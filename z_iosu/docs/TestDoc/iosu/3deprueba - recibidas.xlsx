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A\apps\IA-PDF-Excel\app\TestDoc\iosu\"/>
    </mc:Choice>
  </mc:AlternateContent>
  <xr:revisionPtr revIDLastSave="0" documentId="8_{C04DD4D3-AC21-4156-82A7-27B5F92866C0}" xr6:coauthVersionLast="47" xr6:coauthVersionMax="47" xr10:uidLastSave="{00000000-0000-0000-0000-000000000000}"/>
  <bookViews>
    <workbookView xWindow="-108" yWindow="-108" windowWidth="23256" windowHeight="14856" xr2:uid="{C0EB93D9-9BC3-48F7-8949-92A66A4EF21C}"/>
  </bookViews>
  <sheets>
    <sheet name="FACTURAS SIMPLIFICADAS ENERO 24" sheetId="1" r:id="rId1"/>
    <sheet name="FACTURAS SIMPLIFICAS FEBRERO 24" sheetId="2" r:id="rId2"/>
    <sheet name="FACTURAS SIMPLIFICADAS MARZO 24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E3" i="3"/>
  <c r="H3" i="3"/>
  <c r="D4" i="3"/>
  <c r="E4" i="3"/>
  <c r="H4" i="3"/>
  <c r="D5" i="3"/>
  <c r="E5" i="3"/>
  <c r="H5" i="3"/>
  <c r="D6" i="3"/>
  <c r="E6" i="3"/>
  <c r="H6" i="3"/>
  <c r="D7" i="3"/>
  <c r="E7" i="3"/>
  <c r="H7" i="3"/>
  <c r="D8" i="3"/>
  <c r="E8" i="3"/>
  <c r="H8" i="3"/>
  <c r="D9" i="3"/>
  <c r="E9" i="3"/>
  <c r="H9" i="3"/>
  <c r="D10" i="3"/>
  <c r="E10" i="3"/>
  <c r="H10" i="3"/>
  <c r="D11" i="3"/>
  <c r="E11" i="3"/>
  <c r="H11" i="3"/>
  <c r="D12" i="3"/>
  <c r="E12" i="3"/>
  <c r="H12" i="3"/>
  <c r="D13" i="3"/>
  <c r="E13" i="3"/>
  <c r="H13" i="3"/>
  <c r="D14" i="3"/>
  <c r="E14" i="3"/>
  <c r="H14" i="3"/>
  <c r="D15" i="3"/>
  <c r="E15" i="3"/>
  <c r="H15" i="3"/>
  <c r="D16" i="3"/>
  <c r="E16" i="3"/>
  <c r="H16" i="3"/>
  <c r="D17" i="3"/>
  <c r="E17" i="3"/>
  <c r="H17" i="3"/>
  <c r="D18" i="3"/>
  <c r="E18" i="3"/>
  <c r="H18" i="3"/>
  <c r="D19" i="3"/>
  <c r="E19" i="3"/>
  <c r="H19" i="3"/>
  <c r="D20" i="3"/>
  <c r="E20" i="3"/>
  <c r="H20" i="3"/>
  <c r="D21" i="3"/>
  <c r="E21" i="3"/>
  <c r="H21" i="3"/>
  <c r="D22" i="3"/>
  <c r="E22" i="3"/>
  <c r="H22" i="3"/>
  <c r="D23" i="3"/>
  <c r="E23" i="3"/>
  <c r="H23" i="3"/>
  <c r="D24" i="3"/>
  <c r="E24" i="3"/>
  <c r="H24" i="3"/>
  <c r="D25" i="3"/>
  <c r="E25" i="3" s="1"/>
  <c r="H25" i="3"/>
  <c r="D26" i="3"/>
  <c r="E26" i="3"/>
  <c r="H26" i="3"/>
  <c r="D27" i="3"/>
  <c r="E27" i="3"/>
  <c r="H27" i="3"/>
  <c r="D28" i="3"/>
  <c r="E28" i="3"/>
  <c r="H28" i="3"/>
  <c r="D29" i="3"/>
  <c r="E29" i="3"/>
  <c r="H29" i="3"/>
  <c r="D30" i="3"/>
  <c r="E30" i="3"/>
  <c r="H30" i="3"/>
  <c r="D31" i="3"/>
  <c r="E31" i="3"/>
  <c r="H31" i="3"/>
  <c r="D32" i="3"/>
  <c r="E32" i="3"/>
  <c r="H32" i="3"/>
  <c r="D33" i="3"/>
  <c r="E33" i="3"/>
  <c r="H33" i="3"/>
  <c r="D34" i="3"/>
  <c r="E34" i="3"/>
  <c r="H34" i="3"/>
  <c r="D35" i="3"/>
  <c r="E35" i="3"/>
  <c r="H35" i="3"/>
  <c r="D36" i="3"/>
  <c r="E36" i="3"/>
  <c r="H36" i="3"/>
  <c r="D37" i="3"/>
  <c r="E37" i="3"/>
  <c r="H37" i="3"/>
  <c r="D38" i="3"/>
  <c r="E38" i="3"/>
  <c r="H38" i="3"/>
  <c r="D39" i="3"/>
  <c r="E39" i="3"/>
  <c r="H39" i="3"/>
  <c r="D40" i="3"/>
  <c r="E40" i="3"/>
  <c r="H40" i="3"/>
  <c r="D41" i="3"/>
  <c r="E41" i="3"/>
  <c r="H41" i="3"/>
  <c r="D42" i="3"/>
  <c r="E42" i="3"/>
  <c r="H42" i="3"/>
  <c r="D43" i="3"/>
  <c r="E43" i="3"/>
  <c r="H43" i="3"/>
  <c r="D44" i="3"/>
  <c r="E44" i="3"/>
  <c r="H44" i="3"/>
  <c r="D45" i="3"/>
  <c r="E45" i="3"/>
  <c r="H45" i="3"/>
  <c r="D46" i="3"/>
  <c r="E46" i="3"/>
  <c r="H46" i="3"/>
  <c r="D47" i="3"/>
  <c r="E47" i="3" s="1"/>
  <c r="H47" i="3"/>
  <c r="D48" i="3"/>
  <c r="E48" i="3"/>
  <c r="H48" i="3"/>
  <c r="D49" i="3"/>
  <c r="E49" i="3"/>
  <c r="H49" i="3"/>
  <c r="D50" i="3"/>
  <c r="E50" i="3"/>
  <c r="H50" i="3"/>
  <c r="D51" i="3"/>
  <c r="E51" i="3"/>
  <c r="H51" i="3"/>
  <c r="D52" i="3"/>
  <c r="E52" i="3"/>
  <c r="H52" i="3"/>
  <c r="D53" i="3"/>
  <c r="E53" i="3"/>
  <c r="H53" i="3"/>
  <c r="D54" i="3"/>
  <c r="E54" i="3"/>
  <c r="H54" i="3"/>
  <c r="D55" i="3"/>
  <c r="E55" i="3"/>
  <c r="H55" i="3"/>
  <c r="D56" i="3"/>
  <c r="E56" i="3"/>
  <c r="H56" i="3"/>
  <c r="D57" i="3"/>
  <c r="E57" i="3"/>
  <c r="H57" i="3"/>
  <c r="D58" i="3"/>
  <c r="E58" i="3"/>
  <c r="H58" i="3"/>
  <c r="D59" i="3"/>
  <c r="E59" i="3"/>
  <c r="H59" i="3"/>
  <c r="D60" i="3"/>
  <c r="E60" i="3"/>
  <c r="H60" i="3"/>
  <c r="D61" i="3"/>
  <c r="E61" i="3"/>
  <c r="H61" i="3"/>
  <c r="D62" i="3"/>
  <c r="E62" i="3" s="1"/>
  <c r="H62" i="3"/>
  <c r="D63" i="3"/>
  <c r="E63" i="3"/>
  <c r="H63" i="3"/>
  <c r="D64" i="3"/>
  <c r="E64" i="3"/>
  <c r="H64" i="3"/>
  <c r="D65" i="3"/>
  <c r="E65" i="3"/>
  <c r="H65" i="3"/>
  <c r="D66" i="3"/>
  <c r="E66" i="3" s="1"/>
  <c r="H66" i="3"/>
  <c r="D67" i="3"/>
  <c r="E67" i="3"/>
  <c r="H67" i="3"/>
  <c r="D68" i="3"/>
  <c r="E68" i="3"/>
  <c r="H68" i="3"/>
  <c r="D69" i="3"/>
  <c r="E69" i="3"/>
  <c r="H69" i="3"/>
  <c r="D70" i="3"/>
  <c r="E70" i="3" s="1"/>
  <c r="H70" i="3"/>
  <c r="D71" i="3"/>
  <c r="E71" i="3" s="1"/>
  <c r="H71" i="3"/>
  <c r="D72" i="3"/>
  <c r="E72" i="3"/>
  <c r="H72" i="3"/>
  <c r="D73" i="3"/>
  <c r="E73" i="3"/>
  <c r="H73" i="3"/>
  <c r="D74" i="3"/>
  <c r="E74" i="3"/>
  <c r="H74" i="3"/>
  <c r="D75" i="3"/>
  <c r="E75" i="3"/>
  <c r="H75" i="3"/>
  <c r="D76" i="3"/>
  <c r="E76" i="3"/>
  <c r="H76" i="3"/>
  <c r="D77" i="3"/>
  <c r="E77" i="3"/>
  <c r="H77" i="3"/>
  <c r="D78" i="3"/>
  <c r="E78" i="3"/>
  <c r="H78" i="3"/>
  <c r="D79" i="3"/>
  <c r="E79" i="3"/>
  <c r="H79" i="3"/>
  <c r="D80" i="3"/>
  <c r="E80" i="3" s="1"/>
  <c r="H80" i="3"/>
  <c r="D81" i="3"/>
  <c r="E81" i="3"/>
  <c r="H81" i="3"/>
  <c r="D82" i="3"/>
  <c r="E82" i="3"/>
  <c r="H82" i="3"/>
  <c r="D83" i="3"/>
  <c r="E83" i="3"/>
  <c r="H83" i="3"/>
  <c r="D84" i="3"/>
  <c r="E84" i="3"/>
  <c r="H84" i="3"/>
  <c r="D85" i="3"/>
  <c r="E85" i="3"/>
  <c r="H85" i="3"/>
  <c r="D86" i="3"/>
  <c r="E86" i="3" s="1"/>
  <c r="H86" i="3"/>
  <c r="D87" i="3"/>
  <c r="E87" i="3" s="1"/>
  <c r="H87" i="3"/>
  <c r="D88" i="3"/>
  <c r="E88" i="3"/>
  <c r="H88" i="3"/>
  <c r="D89" i="3"/>
  <c r="E89" i="3"/>
  <c r="H89" i="3"/>
  <c r="D90" i="3"/>
  <c r="E90" i="3"/>
  <c r="H90" i="3"/>
  <c r="D91" i="3"/>
  <c r="E91" i="3"/>
  <c r="H91" i="3"/>
  <c r="D92" i="3"/>
  <c r="E92" i="3"/>
  <c r="H92" i="3"/>
  <c r="D93" i="3"/>
  <c r="E93" i="3"/>
  <c r="H93" i="3"/>
  <c r="D94" i="3"/>
  <c r="E94" i="3"/>
  <c r="H94" i="3"/>
  <c r="D95" i="3"/>
  <c r="E95" i="3"/>
  <c r="H95" i="3"/>
  <c r="D96" i="3"/>
  <c r="E96" i="3"/>
  <c r="H96" i="3"/>
  <c r="D97" i="3"/>
  <c r="E97" i="3" s="1"/>
  <c r="H97" i="3"/>
  <c r="D98" i="3"/>
  <c r="E98" i="3"/>
  <c r="H98" i="3"/>
  <c r="D99" i="3"/>
  <c r="E99" i="3" s="1"/>
  <c r="H99" i="3"/>
  <c r="D100" i="3"/>
  <c r="E100" i="3"/>
  <c r="H100" i="3"/>
  <c r="D101" i="3"/>
  <c r="E101" i="3"/>
  <c r="H101" i="3"/>
  <c r="D102" i="3"/>
  <c r="E102" i="3"/>
  <c r="H102" i="3"/>
  <c r="D103" i="3"/>
  <c r="E103" i="3" s="1"/>
  <c r="H103" i="3"/>
  <c r="D104" i="3"/>
  <c r="E104" i="3" s="1"/>
  <c r="H104" i="3"/>
  <c r="D105" i="3"/>
  <c r="E105" i="3"/>
  <c r="H105" i="3"/>
  <c r="D106" i="3"/>
  <c r="E106" i="3"/>
  <c r="H106" i="3"/>
  <c r="D107" i="3"/>
  <c r="E107" i="3" s="1"/>
  <c r="H107" i="3"/>
  <c r="D108" i="3"/>
  <c r="E108" i="3"/>
  <c r="H108" i="3"/>
  <c r="D109" i="3"/>
  <c r="E109" i="3"/>
  <c r="H109" i="3"/>
  <c r="D110" i="3"/>
  <c r="E110" i="3" s="1"/>
  <c r="H110" i="3"/>
  <c r="D111" i="3"/>
  <c r="E111" i="3" s="1"/>
  <c r="H111" i="3"/>
  <c r="D112" i="3"/>
  <c r="E112" i="3"/>
  <c r="H112" i="3"/>
  <c r="D113" i="3"/>
  <c r="E113" i="3"/>
  <c r="H113" i="3"/>
  <c r="D114" i="3"/>
  <c r="E114" i="3" s="1"/>
  <c r="H114" i="3"/>
  <c r="D115" i="3"/>
  <c r="E115" i="3"/>
  <c r="H115" i="3"/>
  <c r="D116" i="3"/>
  <c r="E116" i="3"/>
  <c r="H116" i="3"/>
  <c r="D117" i="3"/>
  <c r="E117" i="3"/>
  <c r="H117" i="3"/>
  <c r="D118" i="3"/>
  <c r="E118" i="3"/>
  <c r="H118" i="3"/>
  <c r="D119" i="3"/>
  <c r="E119" i="3"/>
  <c r="H119" i="3"/>
  <c r="D120" i="3"/>
  <c r="E120" i="3"/>
  <c r="H120" i="3"/>
  <c r="D121" i="3"/>
  <c r="E121" i="3"/>
  <c r="H121" i="3"/>
  <c r="D122" i="3"/>
  <c r="E122" i="3"/>
  <c r="H122" i="3"/>
  <c r="D123" i="3"/>
  <c r="E123" i="3"/>
  <c r="H123" i="3"/>
  <c r="D124" i="3"/>
  <c r="E124" i="3"/>
  <c r="H124" i="3"/>
  <c r="D125" i="3"/>
  <c r="E125" i="3"/>
  <c r="H125" i="3"/>
  <c r="D126" i="3"/>
  <c r="E126" i="3"/>
  <c r="H126" i="3"/>
  <c r="D127" i="3"/>
  <c r="E127" i="3"/>
  <c r="H127" i="3"/>
  <c r="D128" i="3"/>
  <c r="E128" i="3"/>
  <c r="H128" i="3"/>
  <c r="D129" i="3"/>
  <c r="E129" i="3"/>
  <c r="H129" i="3"/>
  <c r="D130" i="3"/>
  <c r="E130" i="3"/>
  <c r="H130" i="3"/>
  <c r="D131" i="3"/>
  <c r="E131" i="3"/>
  <c r="H131" i="3"/>
  <c r="D132" i="3"/>
  <c r="E132" i="3"/>
  <c r="H132" i="3"/>
  <c r="D133" i="3"/>
  <c r="E133" i="3"/>
  <c r="H133" i="3"/>
  <c r="D134" i="3"/>
  <c r="E134" i="3"/>
  <c r="H134" i="3"/>
  <c r="D135" i="3"/>
  <c r="E135" i="3"/>
  <c r="H135" i="3"/>
  <c r="D136" i="3"/>
  <c r="E136" i="3" s="1"/>
  <c r="H136" i="3"/>
  <c r="D137" i="3"/>
  <c r="E137" i="3"/>
  <c r="H137" i="3"/>
  <c r="D138" i="3"/>
  <c r="E138" i="3"/>
  <c r="H138" i="3"/>
  <c r="D139" i="3"/>
  <c r="E139" i="3"/>
  <c r="H139" i="3"/>
  <c r="D140" i="3"/>
  <c r="E140" i="3"/>
  <c r="H140" i="3"/>
  <c r="D141" i="3"/>
  <c r="E141" i="3"/>
  <c r="H141" i="3"/>
  <c r="D142" i="3"/>
  <c r="E142" i="3"/>
  <c r="H142" i="3"/>
  <c r="D143" i="3"/>
  <c r="E143" i="3"/>
  <c r="H143" i="3"/>
  <c r="D144" i="3"/>
  <c r="E144" i="3"/>
  <c r="H144" i="3"/>
  <c r="D145" i="3"/>
  <c r="E145" i="3"/>
  <c r="H145" i="3"/>
  <c r="D146" i="3"/>
  <c r="E146" i="3"/>
  <c r="H146" i="3"/>
  <c r="D147" i="3"/>
  <c r="E147" i="3"/>
  <c r="H147" i="3"/>
  <c r="D148" i="3"/>
  <c r="E148" i="3"/>
  <c r="H148" i="3"/>
  <c r="D149" i="3"/>
  <c r="E149" i="3"/>
  <c r="H149" i="3"/>
  <c r="D150" i="3"/>
  <c r="E150" i="3"/>
  <c r="H150" i="3"/>
  <c r="D151" i="3"/>
  <c r="E151" i="3"/>
  <c r="H151" i="3"/>
  <c r="D152" i="3"/>
  <c r="E152" i="3"/>
  <c r="H152" i="3"/>
  <c r="D153" i="3"/>
  <c r="E153" i="3"/>
  <c r="H153" i="3"/>
  <c r="D154" i="3"/>
  <c r="E154" i="3"/>
  <c r="H154" i="3"/>
  <c r="D155" i="3"/>
  <c r="E155" i="3"/>
  <c r="H155" i="3"/>
  <c r="D156" i="3"/>
  <c r="E156" i="3"/>
  <c r="H156" i="3"/>
  <c r="D157" i="3"/>
  <c r="E157" i="3"/>
  <c r="H157" i="3"/>
  <c r="D158" i="3"/>
  <c r="E158" i="3"/>
  <c r="H158" i="3"/>
  <c r="D159" i="3"/>
  <c r="E159" i="3"/>
  <c r="H159" i="3"/>
  <c r="D160" i="3"/>
  <c r="E160" i="3"/>
  <c r="H160" i="3"/>
  <c r="D161" i="3"/>
  <c r="E161" i="3"/>
  <c r="H161" i="3"/>
  <c r="D162" i="3"/>
  <c r="E162" i="3"/>
  <c r="H162" i="3"/>
  <c r="D163" i="3"/>
  <c r="E163" i="3"/>
  <c r="H163" i="3"/>
  <c r="D164" i="3"/>
  <c r="E164" i="3"/>
  <c r="H164" i="3"/>
  <c r="D165" i="3"/>
  <c r="E165" i="3"/>
  <c r="H165" i="3"/>
  <c r="D166" i="3"/>
  <c r="E166" i="3"/>
  <c r="H166" i="3"/>
  <c r="D167" i="3"/>
  <c r="E167" i="3"/>
  <c r="H167" i="3"/>
  <c r="D168" i="3"/>
  <c r="E168" i="3"/>
  <c r="H168" i="3"/>
  <c r="D169" i="3"/>
  <c r="E169" i="3"/>
  <c r="H169" i="3"/>
  <c r="D170" i="3"/>
  <c r="E170" i="3"/>
  <c r="H170" i="3"/>
  <c r="D171" i="3"/>
  <c r="E171" i="3"/>
  <c r="H171" i="3"/>
  <c r="D172" i="3"/>
  <c r="E172" i="3"/>
  <c r="H172" i="3"/>
  <c r="D173" i="3"/>
  <c r="E173" i="3"/>
  <c r="H173" i="3"/>
  <c r="D174" i="3"/>
  <c r="E174" i="3"/>
  <c r="H174" i="3"/>
  <c r="D175" i="3"/>
  <c r="E175" i="3"/>
  <c r="H175" i="3"/>
  <c r="D176" i="3"/>
  <c r="E176" i="3"/>
  <c r="H176" i="3"/>
  <c r="D177" i="3"/>
  <c r="E177" i="3"/>
  <c r="H177" i="3"/>
  <c r="D178" i="3"/>
  <c r="E178" i="3"/>
  <c r="H178" i="3"/>
  <c r="D179" i="3"/>
  <c r="E179" i="3"/>
  <c r="H179" i="3"/>
  <c r="D180" i="3"/>
  <c r="E180" i="3"/>
  <c r="H180" i="3"/>
  <c r="D181" i="3"/>
  <c r="E181" i="3" s="1"/>
  <c r="H181" i="3"/>
  <c r="D182" i="3"/>
  <c r="E182" i="3"/>
  <c r="H182" i="3"/>
  <c r="D183" i="3"/>
  <c r="E183" i="3"/>
  <c r="H183" i="3"/>
  <c r="D184" i="3"/>
  <c r="E184" i="3"/>
  <c r="H184" i="3"/>
  <c r="D185" i="3"/>
  <c r="E185" i="3"/>
  <c r="H185" i="3"/>
  <c r="D188" i="3"/>
  <c r="D193" i="3" s="1"/>
  <c r="D3" i="2"/>
  <c r="E3" i="2"/>
  <c r="D4" i="2"/>
  <c r="E4" i="2"/>
  <c r="D5" i="2"/>
  <c r="E5" i="2"/>
  <c r="H5" i="2"/>
  <c r="D6" i="2"/>
  <c r="E6" i="2"/>
  <c r="H6" i="2"/>
  <c r="D7" i="2"/>
  <c r="E7" i="2"/>
  <c r="H7" i="2"/>
  <c r="D8" i="2"/>
  <c r="E8" i="2"/>
  <c r="H8" i="2"/>
  <c r="D9" i="2"/>
  <c r="E9" i="2"/>
  <c r="H9" i="2"/>
  <c r="D10" i="2"/>
  <c r="E10" i="2"/>
  <c r="H10" i="2"/>
  <c r="D11" i="2"/>
  <c r="E11" i="2"/>
  <c r="H11" i="2"/>
  <c r="D12" i="2"/>
  <c r="E12" i="2"/>
  <c r="H12" i="2"/>
  <c r="D13" i="2"/>
  <c r="E13" i="2"/>
  <c r="H13" i="2"/>
  <c r="D14" i="2"/>
  <c r="E14" i="2"/>
  <c r="H14" i="2"/>
  <c r="D15" i="2"/>
  <c r="E15" i="2"/>
  <c r="H15" i="2"/>
  <c r="D16" i="2"/>
  <c r="E16" i="2"/>
  <c r="H16" i="2"/>
  <c r="D17" i="2"/>
  <c r="E17" i="2"/>
  <c r="H17" i="2"/>
  <c r="D18" i="2"/>
  <c r="E18" i="2"/>
  <c r="H18" i="2"/>
  <c r="D19" i="2"/>
  <c r="E19" i="2"/>
  <c r="H19" i="2"/>
  <c r="D20" i="2"/>
  <c r="E20" i="2" s="1"/>
  <c r="H20" i="2"/>
  <c r="D21" i="2"/>
  <c r="E21" i="2"/>
  <c r="H21" i="2"/>
  <c r="D22" i="2"/>
  <c r="E22" i="2"/>
  <c r="H22" i="2"/>
  <c r="D23" i="2"/>
  <c r="E23" i="2"/>
  <c r="H23" i="2"/>
  <c r="D24" i="2"/>
  <c r="E24" i="2" s="1"/>
  <c r="H24" i="2"/>
  <c r="D25" i="2"/>
  <c r="E25" i="2"/>
  <c r="H25" i="2"/>
  <c r="D26" i="2"/>
  <c r="E26" i="2" s="1"/>
  <c r="H26" i="2"/>
  <c r="D27" i="2"/>
  <c r="E27" i="2"/>
  <c r="H27" i="2"/>
  <c r="D28" i="2"/>
  <c r="E28" i="2"/>
  <c r="H28" i="2"/>
  <c r="D29" i="2"/>
  <c r="E29" i="2"/>
  <c r="H29" i="2"/>
  <c r="D30" i="2"/>
  <c r="E30" i="2"/>
  <c r="H30" i="2"/>
  <c r="D31" i="2"/>
  <c r="E31" i="2"/>
  <c r="H31" i="2"/>
  <c r="D32" i="2"/>
  <c r="E32" i="2" s="1"/>
  <c r="H32" i="2"/>
  <c r="D33" i="2"/>
  <c r="E33" i="2"/>
  <c r="H33" i="2"/>
  <c r="D34" i="2"/>
  <c r="E34" i="2"/>
  <c r="H34" i="2"/>
  <c r="D35" i="2"/>
  <c r="E35" i="2"/>
  <c r="H35" i="2"/>
  <c r="D36" i="2"/>
  <c r="E36" i="2"/>
  <c r="H36" i="2"/>
  <c r="D37" i="2"/>
  <c r="E37" i="2"/>
  <c r="H37" i="2"/>
  <c r="D38" i="2"/>
  <c r="E38" i="2"/>
  <c r="H38" i="2"/>
  <c r="D39" i="2"/>
  <c r="E39" i="2"/>
  <c r="H39" i="2"/>
  <c r="D40" i="2"/>
  <c r="E40" i="2"/>
  <c r="H40" i="2"/>
  <c r="D41" i="2"/>
  <c r="E41" i="2"/>
  <c r="H41" i="2"/>
  <c r="D42" i="2"/>
  <c r="E42" i="2"/>
  <c r="H42" i="2"/>
  <c r="D43" i="2"/>
  <c r="E43" i="2"/>
  <c r="H43" i="2"/>
  <c r="D44" i="2"/>
  <c r="E44" i="2"/>
  <c r="H44" i="2"/>
  <c r="D45" i="2"/>
  <c r="E45" i="2"/>
  <c r="H45" i="2"/>
  <c r="D46" i="2"/>
  <c r="E46" i="2"/>
  <c r="H46" i="2"/>
  <c r="D47" i="2"/>
  <c r="E47" i="2"/>
  <c r="H47" i="2"/>
  <c r="D48" i="2"/>
  <c r="E48" i="2"/>
  <c r="H48" i="2"/>
  <c r="D49" i="2"/>
  <c r="E49" i="2"/>
  <c r="H49" i="2"/>
  <c r="D50" i="2"/>
  <c r="E50" i="2"/>
  <c r="H50" i="2"/>
  <c r="D51" i="2"/>
  <c r="E51" i="2"/>
  <c r="H51" i="2"/>
  <c r="D52" i="2"/>
  <c r="E52" i="2"/>
  <c r="H52" i="2"/>
  <c r="D53" i="2"/>
  <c r="E53" i="2"/>
  <c r="H53" i="2"/>
  <c r="D54" i="2"/>
  <c r="E54" i="2"/>
  <c r="H54" i="2"/>
  <c r="D55" i="2"/>
  <c r="E55" i="2"/>
  <c r="H55" i="2"/>
  <c r="D56" i="2"/>
  <c r="E56" i="2"/>
  <c r="H56" i="2"/>
  <c r="D57" i="2"/>
  <c r="E57" i="2"/>
  <c r="H57" i="2"/>
  <c r="D58" i="2"/>
  <c r="E58" i="2"/>
  <c r="H58" i="2"/>
  <c r="D59" i="2"/>
  <c r="E59" i="2"/>
  <c r="H59" i="2"/>
  <c r="D60" i="2"/>
  <c r="E60" i="2"/>
  <c r="H60" i="2"/>
  <c r="D61" i="2"/>
  <c r="E61" i="2"/>
  <c r="H61" i="2"/>
  <c r="D62" i="2"/>
  <c r="E62" i="2"/>
  <c r="H62" i="2"/>
  <c r="D63" i="2"/>
  <c r="E63" i="2"/>
  <c r="H63" i="2"/>
  <c r="D64" i="2"/>
  <c r="E64" i="2"/>
  <c r="H64" i="2"/>
  <c r="D65" i="2"/>
  <c r="E65" i="2"/>
  <c r="H65" i="2"/>
  <c r="D66" i="2"/>
  <c r="E66" i="2"/>
  <c r="H66" i="2"/>
  <c r="D67" i="2"/>
  <c r="E67" i="2"/>
  <c r="H67" i="2"/>
  <c r="D68" i="2"/>
  <c r="E68" i="2"/>
  <c r="H68" i="2"/>
  <c r="D69" i="2"/>
  <c r="E69" i="2"/>
  <c r="H69" i="2"/>
  <c r="D70" i="2"/>
  <c r="E70" i="2"/>
  <c r="H70" i="2"/>
  <c r="D71" i="2"/>
  <c r="E71" i="2"/>
  <c r="H71" i="2"/>
  <c r="D72" i="2"/>
  <c r="E72" i="2"/>
  <c r="H72" i="2"/>
  <c r="D73" i="2"/>
  <c r="E73" i="2"/>
  <c r="H73" i="2"/>
  <c r="D74" i="2"/>
  <c r="E74" i="2"/>
  <c r="H74" i="2"/>
  <c r="D75" i="2"/>
  <c r="E75" i="2"/>
  <c r="H75" i="2"/>
  <c r="D76" i="2"/>
  <c r="E76" i="2"/>
  <c r="H76" i="2"/>
  <c r="D77" i="2"/>
  <c r="E77" i="2"/>
  <c r="H77" i="2"/>
  <c r="D78" i="2"/>
  <c r="E78" i="2"/>
  <c r="H78" i="2"/>
  <c r="D79" i="2"/>
  <c r="E79" i="2"/>
  <c r="H79" i="2"/>
  <c r="D80" i="2"/>
  <c r="E80" i="2"/>
  <c r="H80" i="2"/>
  <c r="D81" i="2"/>
  <c r="E81" i="2"/>
  <c r="H81" i="2"/>
  <c r="D82" i="2"/>
  <c r="E82" i="2"/>
  <c r="H82" i="2"/>
  <c r="D83" i="2"/>
  <c r="E83" i="2"/>
  <c r="H83" i="2"/>
  <c r="D84" i="2"/>
  <c r="E84" i="2"/>
  <c r="H84" i="2"/>
  <c r="D85" i="2"/>
  <c r="E85" i="2"/>
  <c r="H85" i="2"/>
  <c r="D86" i="2"/>
  <c r="E86" i="2"/>
  <c r="H86" i="2"/>
  <c r="D87" i="2"/>
  <c r="E87" i="2" s="1"/>
  <c r="H87" i="2"/>
  <c r="D88" i="2"/>
  <c r="E88" i="2"/>
  <c r="H88" i="2"/>
  <c r="D89" i="2"/>
  <c r="E89" i="2"/>
  <c r="H89" i="2"/>
  <c r="D90" i="2"/>
  <c r="E90" i="2"/>
  <c r="H90" i="2"/>
  <c r="D91" i="2"/>
  <c r="E91" i="2"/>
  <c r="H91" i="2"/>
  <c r="D92" i="2"/>
  <c r="E92" i="2"/>
  <c r="H92" i="2"/>
  <c r="D93" i="2"/>
  <c r="E93" i="2"/>
  <c r="H93" i="2"/>
  <c r="D94" i="2"/>
  <c r="E94" i="2"/>
  <c r="H94" i="2"/>
  <c r="D95" i="2"/>
  <c r="E95" i="2"/>
  <c r="H95" i="2"/>
  <c r="D96" i="2"/>
  <c r="E96" i="2"/>
  <c r="H96" i="2"/>
  <c r="D97" i="2"/>
  <c r="E97" i="2"/>
  <c r="H97" i="2"/>
  <c r="D98" i="2"/>
  <c r="E98" i="2"/>
  <c r="H98" i="2"/>
  <c r="D99" i="2"/>
  <c r="E99" i="2"/>
  <c r="H99" i="2"/>
  <c r="D100" i="2"/>
  <c r="E100" i="2"/>
  <c r="H100" i="2"/>
  <c r="D101" i="2"/>
  <c r="E101" i="2"/>
  <c r="H101" i="2"/>
  <c r="D102" i="2"/>
  <c r="E102" i="2"/>
  <c r="H102" i="2"/>
  <c r="D103" i="2"/>
  <c r="E103" i="2"/>
  <c r="H103" i="2"/>
  <c r="D104" i="2"/>
  <c r="E104" i="2"/>
  <c r="H104" i="2"/>
  <c r="D105" i="2"/>
  <c r="E105" i="2"/>
  <c r="H105" i="2"/>
  <c r="D106" i="2"/>
  <c r="E106" i="2"/>
  <c r="H106" i="2"/>
  <c r="D107" i="2"/>
  <c r="E107" i="2"/>
  <c r="H107" i="2"/>
  <c r="D108" i="2"/>
  <c r="E108" i="2"/>
  <c r="H108" i="2"/>
  <c r="D109" i="2"/>
  <c r="E109" i="2" s="1"/>
  <c r="H109" i="2"/>
  <c r="D110" i="2"/>
  <c r="E110" i="2"/>
  <c r="H110" i="2"/>
  <c r="D111" i="2"/>
  <c r="E111" i="2"/>
  <c r="H111" i="2"/>
  <c r="D112" i="2"/>
  <c r="E112" i="2"/>
  <c r="H112" i="2"/>
  <c r="D113" i="2"/>
  <c r="E113" i="2"/>
  <c r="H113" i="2"/>
  <c r="D114" i="2"/>
  <c r="E114" i="2" s="1"/>
  <c r="H114" i="2"/>
  <c r="D115" i="2"/>
  <c r="E115" i="2"/>
  <c r="H115" i="2"/>
  <c r="D116" i="2"/>
  <c r="E116" i="2"/>
  <c r="H116" i="2"/>
  <c r="D117" i="2"/>
  <c r="E117" i="2"/>
  <c r="H117" i="2"/>
  <c r="D118" i="2"/>
  <c r="E118" i="2"/>
  <c r="H118" i="2"/>
  <c r="D119" i="2"/>
  <c r="E119" i="2"/>
  <c r="H119" i="2"/>
  <c r="D120" i="2"/>
  <c r="E120" i="2" s="1"/>
  <c r="H120" i="2"/>
  <c r="D121" i="2"/>
  <c r="E121" i="2"/>
  <c r="H121" i="2"/>
  <c r="D122" i="2"/>
  <c r="E122" i="2"/>
  <c r="H122" i="2"/>
  <c r="D123" i="2"/>
  <c r="E123" i="2"/>
  <c r="H123" i="2"/>
  <c r="D124" i="2"/>
  <c r="E124" i="2"/>
  <c r="H124" i="2"/>
  <c r="D125" i="2"/>
  <c r="E125" i="2"/>
  <c r="H125" i="2"/>
  <c r="D126" i="2"/>
  <c r="E126" i="2"/>
  <c r="H126" i="2"/>
  <c r="D127" i="2"/>
  <c r="E127" i="2"/>
  <c r="H127" i="2"/>
  <c r="D128" i="2"/>
  <c r="E128" i="2"/>
  <c r="H128" i="2"/>
  <c r="D129" i="2"/>
  <c r="E129" i="2"/>
  <c r="H129" i="2"/>
  <c r="D130" i="2"/>
  <c r="E130" i="2"/>
  <c r="H130" i="2"/>
  <c r="D131" i="2"/>
  <c r="E131" i="2"/>
  <c r="H131" i="2"/>
  <c r="D132" i="2"/>
  <c r="E132" i="2"/>
  <c r="H132" i="2"/>
  <c r="D133" i="2"/>
  <c r="E133" i="2"/>
  <c r="H133" i="2"/>
  <c r="D134" i="2"/>
  <c r="E134" i="2"/>
  <c r="H134" i="2"/>
  <c r="D135" i="2"/>
  <c r="E135" i="2"/>
  <c r="H135" i="2"/>
  <c r="D136" i="2"/>
  <c r="E136" i="2"/>
  <c r="H136" i="2"/>
  <c r="D137" i="2"/>
  <c r="E137" i="2"/>
  <c r="H137" i="2"/>
  <c r="D138" i="2"/>
  <c r="E138" i="2"/>
  <c r="H138" i="2"/>
  <c r="D139" i="2"/>
  <c r="E139" i="2"/>
  <c r="H139" i="2"/>
  <c r="D140" i="2"/>
  <c r="E140" i="2"/>
  <c r="H140" i="2"/>
  <c r="D141" i="2"/>
  <c r="E141" i="2"/>
  <c r="H141" i="2"/>
  <c r="D142" i="2"/>
  <c r="E142" i="2"/>
  <c r="H142" i="2"/>
  <c r="D143" i="2"/>
  <c r="E143" i="2"/>
  <c r="H143" i="2"/>
  <c r="D144" i="2"/>
  <c r="E144" i="2"/>
  <c r="H144" i="2"/>
  <c r="D145" i="2"/>
  <c r="E145" i="2"/>
  <c r="H145" i="2"/>
  <c r="D146" i="2"/>
  <c r="E146" i="2" s="1"/>
  <c r="H146" i="2"/>
  <c r="D147" i="2"/>
  <c r="E147" i="2"/>
  <c r="H147" i="2"/>
  <c r="D148" i="2"/>
  <c r="E148" i="2"/>
  <c r="H148" i="2"/>
  <c r="D149" i="2"/>
  <c r="E149" i="2"/>
  <c r="H149" i="2"/>
  <c r="D150" i="2"/>
  <c r="E150" i="2"/>
  <c r="H150" i="2"/>
  <c r="D151" i="2"/>
  <c r="E151" i="2"/>
  <c r="H151" i="2"/>
  <c r="D152" i="2"/>
  <c r="E152" i="2"/>
  <c r="H152" i="2"/>
  <c r="D153" i="2"/>
  <c r="E153" i="2"/>
  <c r="H153" i="2"/>
  <c r="D154" i="2"/>
  <c r="E154" i="2"/>
  <c r="H154" i="2"/>
  <c r="D155" i="2"/>
  <c r="E155" i="2"/>
  <c r="H155" i="2"/>
  <c r="D156" i="2"/>
  <c r="E156" i="2"/>
  <c r="H156" i="2"/>
  <c r="D157" i="2"/>
  <c r="E157" i="2"/>
  <c r="H157" i="2"/>
  <c r="D162" i="2"/>
  <c r="D3" i="1"/>
  <c r="E3" i="1"/>
  <c r="D4" i="1"/>
  <c r="E4" i="1" s="1"/>
  <c r="H4" i="1"/>
  <c r="D5" i="1"/>
  <c r="E5" i="1"/>
  <c r="H5" i="1"/>
  <c r="D6" i="1"/>
  <c r="E6" i="1" s="1"/>
  <c r="H6" i="1"/>
  <c r="D7" i="1"/>
  <c r="E7" i="1"/>
  <c r="H7" i="1"/>
  <c r="D8" i="1"/>
  <c r="E8" i="1"/>
  <c r="H8" i="1"/>
  <c r="D9" i="1"/>
  <c r="E9" i="1"/>
  <c r="H9" i="1"/>
  <c r="D10" i="1"/>
  <c r="E10" i="1"/>
  <c r="H10" i="1"/>
  <c r="D11" i="1"/>
  <c r="E11" i="1"/>
  <c r="H11" i="1"/>
  <c r="D12" i="1"/>
  <c r="E12" i="1"/>
  <c r="H12" i="1"/>
  <c r="D13" i="1"/>
  <c r="E13" i="1"/>
  <c r="H13" i="1"/>
  <c r="D14" i="1"/>
  <c r="E14" i="1" s="1"/>
  <c r="H14" i="1"/>
  <c r="D15" i="1"/>
  <c r="E15" i="1"/>
  <c r="H15" i="1"/>
  <c r="D16" i="1"/>
  <c r="E16" i="1"/>
  <c r="H16" i="1"/>
  <c r="D17" i="1"/>
  <c r="E17" i="1"/>
  <c r="H17" i="1"/>
  <c r="D18" i="1"/>
  <c r="E18" i="1" s="1"/>
  <c r="H18" i="1"/>
  <c r="D19" i="1"/>
  <c r="E19" i="1" s="1"/>
  <c r="H19" i="1"/>
  <c r="D20" i="1"/>
  <c r="E20" i="1"/>
  <c r="H20" i="1"/>
  <c r="D21" i="1"/>
  <c r="E21" i="1"/>
  <c r="H21" i="1"/>
  <c r="D22" i="1"/>
  <c r="E22" i="1"/>
  <c r="H22" i="1"/>
  <c r="D23" i="1"/>
  <c r="E23" i="1"/>
  <c r="H23" i="1"/>
  <c r="D24" i="1"/>
  <c r="E24" i="1"/>
  <c r="H24" i="1"/>
  <c r="D25" i="1"/>
  <c r="E25" i="1"/>
  <c r="H25" i="1"/>
  <c r="D26" i="1"/>
  <c r="E26" i="1"/>
  <c r="H26" i="1"/>
  <c r="D27" i="1"/>
  <c r="E27" i="1"/>
  <c r="H27" i="1"/>
  <c r="D28" i="1"/>
  <c r="E28" i="1"/>
  <c r="H28" i="1"/>
  <c r="D29" i="1"/>
  <c r="E29" i="1"/>
  <c r="H29" i="1"/>
  <c r="D30" i="1"/>
  <c r="E30" i="1"/>
  <c r="H30" i="1"/>
  <c r="D31" i="1"/>
  <c r="E31" i="1"/>
  <c r="H31" i="1"/>
  <c r="D32" i="1"/>
  <c r="E32" i="1"/>
  <c r="H32" i="1"/>
  <c r="D33" i="1"/>
  <c r="E33" i="1"/>
  <c r="H33" i="1"/>
  <c r="D34" i="1"/>
  <c r="E34" i="1"/>
  <c r="H34" i="1"/>
  <c r="D35" i="1"/>
  <c r="E35" i="1"/>
  <c r="H35" i="1"/>
  <c r="D36" i="1"/>
  <c r="E36" i="1"/>
  <c r="H36" i="1"/>
  <c r="D37" i="1"/>
  <c r="E37" i="1"/>
  <c r="H37" i="1"/>
  <c r="D38" i="1"/>
  <c r="E38" i="1"/>
  <c r="H38" i="1"/>
  <c r="D39" i="1"/>
  <c r="E39" i="1"/>
  <c r="H39" i="1"/>
  <c r="D40" i="1"/>
  <c r="E40" i="1"/>
  <c r="H40" i="1"/>
  <c r="D41" i="1"/>
  <c r="E41" i="1"/>
  <c r="H41" i="1"/>
  <c r="D42" i="1"/>
  <c r="E42" i="1"/>
  <c r="H42" i="1"/>
  <c r="D43" i="1"/>
  <c r="E43" i="1" s="1"/>
  <c r="H43" i="1"/>
  <c r="D44" i="1"/>
  <c r="E44" i="1"/>
  <c r="H44" i="1"/>
  <c r="D45" i="1"/>
  <c r="E45" i="1"/>
  <c r="H45" i="1"/>
  <c r="D46" i="1"/>
  <c r="E46" i="1"/>
  <c r="H46" i="1"/>
  <c r="D47" i="1"/>
  <c r="E47" i="1"/>
  <c r="H47" i="1"/>
  <c r="D48" i="1"/>
  <c r="E48" i="1"/>
  <c r="H48" i="1"/>
  <c r="D49" i="1"/>
  <c r="E49" i="1"/>
  <c r="H49" i="1"/>
  <c r="D50" i="1"/>
  <c r="E50" i="1"/>
  <c r="H50" i="1"/>
  <c r="D51" i="1"/>
  <c r="E51" i="1"/>
  <c r="H51" i="1"/>
  <c r="D52" i="1"/>
  <c r="E52" i="1"/>
  <c r="H52" i="1"/>
  <c r="D53" i="1"/>
  <c r="E53" i="1"/>
  <c r="H53" i="1"/>
  <c r="D54" i="1"/>
  <c r="E54" i="1"/>
  <c r="H54" i="1"/>
  <c r="D55" i="1"/>
  <c r="E55" i="1"/>
  <c r="H55" i="1"/>
  <c r="D56" i="1"/>
  <c r="E56" i="1"/>
  <c r="H56" i="1"/>
  <c r="D57" i="1"/>
  <c r="E57" i="1"/>
  <c r="H57" i="1"/>
  <c r="D58" i="1"/>
  <c r="E58" i="1"/>
  <c r="H58" i="1"/>
  <c r="D59" i="1"/>
  <c r="E59" i="1"/>
  <c r="H59" i="1"/>
  <c r="D60" i="1"/>
  <c r="E60" i="1"/>
  <c r="H60" i="1"/>
  <c r="D61" i="1"/>
  <c r="E61" i="1"/>
  <c r="H61" i="1"/>
  <c r="D62" i="1"/>
  <c r="E62" i="1"/>
  <c r="H62" i="1"/>
  <c r="D63" i="1"/>
  <c r="E63" i="1"/>
  <c r="H63" i="1"/>
  <c r="D64" i="1"/>
  <c r="E64" i="1"/>
  <c r="H64" i="1"/>
  <c r="D65" i="1"/>
  <c r="E65" i="1"/>
  <c r="H65" i="1"/>
  <c r="D66" i="1"/>
  <c r="E66" i="1"/>
  <c r="H66" i="1"/>
  <c r="D67" i="1"/>
  <c r="E67" i="1"/>
  <c r="H67" i="1"/>
  <c r="D68" i="1"/>
  <c r="E68" i="1"/>
  <c r="H68" i="1"/>
  <c r="D69" i="1"/>
  <c r="E69" i="1"/>
  <c r="H69" i="1"/>
  <c r="D70" i="1"/>
  <c r="E70" i="1"/>
  <c r="H70" i="1"/>
  <c r="D71" i="1"/>
  <c r="E71" i="1"/>
  <c r="H71" i="1"/>
  <c r="D72" i="1"/>
  <c r="E72" i="1"/>
  <c r="H72" i="1"/>
  <c r="D73" i="1"/>
  <c r="E73" i="1"/>
  <c r="H73" i="1"/>
  <c r="D74" i="1"/>
  <c r="E74" i="1"/>
  <c r="H74" i="1"/>
  <c r="D75" i="1"/>
  <c r="E75" i="1"/>
  <c r="H75" i="1"/>
  <c r="D76" i="1"/>
  <c r="E76" i="1"/>
  <c r="H76" i="1"/>
  <c r="D77" i="1"/>
  <c r="E77" i="1"/>
  <c r="H77" i="1"/>
  <c r="D78" i="1"/>
  <c r="E78" i="1"/>
  <c r="H78" i="1"/>
  <c r="D79" i="1"/>
  <c r="E79" i="1"/>
  <c r="H79" i="1"/>
  <c r="D80" i="1"/>
  <c r="E80" i="1"/>
  <c r="H80" i="1"/>
  <c r="D81" i="1"/>
  <c r="E81" i="1"/>
  <c r="H81" i="1"/>
  <c r="D82" i="1"/>
  <c r="E82" i="1"/>
  <c r="H82" i="1"/>
  <c r="D83" i="1"/>
  <c r="E83" i="1"/>
  <c r="H83" i="1"/>
  <c r="D84" i="1"/>
  <c r="E84" i="1"/>
  <c r="H84" i="1"/>
  <c r="D85" i="1"/>
  <c r="E85" i="1"/>
  <c r="H85" i="1"/>
  <c r="D86" i="1"/>
  <c r="E86" i="1"/>
  <c r="H86" i="1"/>
  <c r="D87" i="1"/>
  <c r="E87" i="1"/>
  <c r="H87" i="1"/>
  <c r="D88" i="1"/>
  <c r="E88" i="1" s="1"/>
  <c r="H88" i="1"/>
  <c r="D89" i="1"/>
  <c r="E89" i="1"/>
  <c r="H89" i="1"/>
  <c r="D90" i="1"/>
  <c r="E90" i="1"/>
  <c r="H90" i="1"/>
  <c r="D91" i="1"/>
  <c r="E91" i="1"/>
  <c r="H91" i="1"/>
  <c r="D92" i="1"/>
  <c r="E92" i="1"/>
  <c r="H92" i="1"/>
  <c r="D93" i="1"/>
  <c r="E93" i="1"/>
  <c r="H93" i="1"/>
  <c r="D94" i="1"/>
  <c r="E94" i="1"/>
  <c r="H94" i="1"/>
  <c r="D95" i="1"/>
  <c r="E95" i="1"/>
  <c r="H95" i="1"/>
  <c r="D96" i="1"/>
  <c r="E96" i="1"/>
  <c r="H96" i="1"/>
  <c r="D97" i="1"/>
  <c r="E97" i="1"/>
  <c r="H97" i="1"/>
  <c r="D98" i="1"/>
  <c r="E98" i="1"/>
  <c r="H98" i="1"/>
  <c r="D99" i="1"/>
  <c r="E99" i="1"/>
  <c r="H99" i="1"/>
  <c r="D100" i="1"/>
  <c r="E100" i="1"/>
  <c r="H100" i="1"/>
  <c r="D101" i="1"/>
  <c r="E101" i="1"/>
  <c r="H101" i="1"/>
  <c r="D102" i="1"/>
  <c r="E102" i="1"/>
  <c r="H102" i="1"/>
  <c r="D103" i="1"/>
  <c r="E103" i="1"/>
  <c r="H103" i="1"/>
  <c r="D104" i="1"/>
  <c r="E104" i="1"/>
  <c r="H104" i="1"/>
  <c r="D105" i="1"/>
  <c r="E105" i="1"/>
  <c r="H105" i="1"/>
  <c r="D106" i="1"/>
  <c r="E106" i="1"/>
  <c r="H106" i="1"/>
  <c r="D107" i="1"/>
  <c r="E107" i="1"/>
  <c r="H107" i="1"/>
  <c r="D108" i="1"/>
  <c r="E108" i="1"/>
  <c r="H108" i="1"/>
  <c r="D114" i="1"/>
</calcChain>
</file>

<file path=xl/sharedStrings.xml><?xml version="1.0" encoding="utf-8"?>
<sst xmlns="http://schemas.openxmlformats.org/spreadsheetml/2006/main" count="1505" uniqueCount="767">
  <si>
    <t>0039-0038</t>
  </si>
  <si>
    <t>GESTION SERVICIO ALQUILER LIMUSINA</t>
  </si>
  <si>
    <t>FS2024XT 000106</t>
  </si>
  <si>
    <t>0092/2023</t>
  </si>
  <si>
    <t>FS2024XT 000105</t>
  </si>
  <si>
    <t>COLABORADOR</t>
  </si>
  <si>
    <t>FS2024XT 000104</t>
  </si>
  <si>
    <t>KILOMETRAJE</t>
  </si>
  <si>
    <t>055/2024</t>
  </si>
  <si>
    <t>FS2024XT 000103</t>
  </si>
  <si>
    <t>UH</t>
  </si>
  <si>
    <t>FS2024XT 000102</t>
  </si>
  <si>
    <t>0032/2024</t>
  </si>
  <si>
    <t>FS2024XT 000101</t>
  </si>
  <si>
    <t>PACK CUMPLEAÑOS</t>
  </si>
  <si>
    <t>0101/2024</t>
  </si>
  <si>
    <t>FS2024XT 000100</t>
  </si>
  <si>
    <t>FS2024XT 000099</t>
  </si>
  <si>
    <t>0034/2024</t>
  </si>
  <si>
    <t>FS2024XT 000098</t>
  </si>
  <si>
    <t>FS2024XT 000097</t>
  </si>
  <si>
    <t>0016/2024</t>
  </si>
  <si>
    <t>FS2024XT 000096</t>
  </si>
  <si>
    <t>FS2024XT 000095</t>
  </si>
  <si>
    <t>FS2024XT 000094</t>
  </si>
  <si>
    <t>0044/2024</t>
  </si>
  <si>
    <t>FS2024XT 000093</t>
  </si>
  <si>
    <t>2714/2024</t>
  </si>
  <si>
    <t>FS2024XT 000092</t>
  </si>
  <si>
    <t>0065/2024</t>
  </si>
  <si>
    <t>FS2024XT 000091</t>
  </si>
  <si>
    <t>0109/2024</t>
  </si>
  <si>
    <t>FS2024XT 000090</t>
  </si>
  <si>
    <t>RTE. BULEVAR</t>
  </si>
  <si>
    <t>0017/2024</t>
  </si>
  <si>
    <t>FS2024XT 000089</t>
  </si>
  <si>
    <t>FS2024XT 000088</t>
  </si>
  <si>
    <t>FS2024XT 000087</t>
  </si>
  <si>
    <t>0105/2024</t>
  </si>
  <si>
    <t>FS2024XT 000086</t>
  </si>
  <si>
    <t>0118/2024</t>
  </si>
  <si>
    <t>FS2024XT 000085</t>
  </si>
  <si>
    <t>0120/2024</t>
  </si>
  <si>
    <t>FS2024XT 000084</t>
  </si>
  <si>
    <t>0073/2024</t>
  </si>
  <si>
    <t>FS2024XT 000083</t>
  </si>
  <si>
    <t>0064/2024</t>
  </si>
  <si>
    <t>FS2024XT 000082</t>
  </si>
  <si>
    <t>FS2024XT 000081</t>
  </si>
  <si>
    <t>FS2024XT 000080</t>
  </si>
  <si>
    <t>0124/2024</t>
  </si>
  <si>
    <t>FS2024XT 000079</t>
  </si>
  <si>
    <t>0096/2024</t>
  </si>
  <si>
    <t>FS2024XT 000078</t>
  </si>
  <si>
    <t>FS2024XT 000077</t>
  </si>
  <si>
    <t>FS2024XT 000076</t>
  </si>
  <si>
    <t>0060/2024</t>
  </si>
  <si>
    <t>FS2024XT 000075</t>
  </si>
  <si>
    <t>0089/2024</t>
  </si>
  <si>
    <t>FS2024XT 000074</t>
  </si>
  <si>
    <t>0026/2024</t>
  </si>
  <si>
    <t>FS2024XT 000073</t>
  </si>
  <si>
    <t>FS2024XT 000072</t>
  </si>
  <si>
    <t>FS2024XT 000071</t>
  </si>
  <si>
    <t>FS2024XT 000070</t>
  </si>
  <si>
    <t>0052/2024</t>
  </si>
  <si>
    <t>FS2024XT 000069</t>
  </si>
  <si>
    <t>FS2024XT 000068</t>
  </si>
  <si>
    <t>0085/2024</t>
  </si>
  <si>
    <t>FS2024XT 000067</t>
  </si>
  <si>
    <t>0081/2024</t>
  </si>
  <si>
    <t>FS2024XT 000066</t>
  </si>
  <si>
    <t>0080/2024</t>
  </si>
  <si>
    <t>FS2024XT 000065</t>
  </si>
  <si>
    <t>0040/2024</t>
  </si>
  <si>
    <t>FS2024XT 000064</t>
  </si>
  <si>
    <t>FS2024XT 000063</t>
  </si>
  <si>
    <t>0084/2024</t>
  </si>
  <si>
    <t>FS2024XT 000062</t>
  </si>
  <si>
    <t>FS2024XT 000061</t>
  </si>
  <si>
    <t>0090/2024</t>
  </si>
  <si>
    <t>FS2024XT 000060</t>
  </si>
  <si>
    <t>0076/2024</t>
  </si>
  <si>
    <t>FS2024XT 000059</t>
  </si>
  <si>
    <t>0024/2024</t>
  </si>
  <si>
    <t>FS2024XT 000058</t>
  </si>
  <si>
    <t>FS2024XT 000057</t>
  </si>
  <si>
    <t>0077/2024</t>
  </si>
  <si>
    <t>FS2024XT 000056</t>
  </si>
  <si>
    <t>0074/2024</t>
  </si>
  <si>
    <t>FS2024XT 000055</t>
  </si>
  <si>
    <t>0068/2024</t>
  </si>
  <si>
    <t>FS2024XT 000054</t>
  </si>
  <si>
    <t>0071/2024</t>
  </si>
  <si>
    <t>FS2024XT 000053</t>
  </si>
  <si>
    <t>0048/2024</t>
  </si>
  <si>
    <t>FS2024XT 000052</t>
  </si>
  <si>
    <t>FS2024XT 000051</t>
  </si>
  <si>
    <t>2801/2023</t>
  </si>
  <si>
    <t>FS2024XT 000050</t>
  </si>
  <si>
    <t>FS2024XT 000049</t>
  </si>
  <si>
    <t>0072/2024</t>
  </si>
  <si>
    <t>FS2024XT 000048</t>
  </si>
  <si>
    <t>ROMANTICO</t>
  </si>
  <si>
    <t>0042/2024</t>
  </si>
  <si>
    <t>FS2024XT 000047</t>
  </si>
  <si>
    <t>0095/2024</t>
  </si>
  <si>
    <t>FS2024XT 000046</t>
  </si>
  <si>
    <t>0063/2024</t>
  </si>
  <si>
    <t>FS2024XT 000045</t>
  </si>
  <si>
    <t>0054/2024</t>
  </si>
  <si>
    <t>FS2024XT 000044</t>
  </si>
  <si>
    <t>FS2024XT 000043</t>
  </si>
  <si>
    <t>0078/2023</t>
  </si>
  <si>
    <t>FS2024XT 000042</t>
  </si>
  <si>
    <t>FS2024XT 000041</t>
  </si>
  <si>
    <t>FS2024XT 000040</t>
  </si>
  <si>
    <t>FS2024XT 000039</t>
  </si>
  <si>
    <t>2816/2023</t>
  </si>
  <si>
    <t>FS2024XT 000038</t>
  </si>
  <si>
    <t>FS2024XT 000037</t>
  </si>
  <si>
    <t>0057/2023</t>
  </si>
  <si>
    <t>FS2024XT 000036</t>
  </si>
  <si>
    <t>FS2024XT 000035</t>
  </si>
  <si>
    <t>2810/2023</t>
  </si>
  <si>
    <t>FS2024XT 000034</t>
  </si>
  <si>
    <t>U.H</t>
  </si>
  <si>
    <t>FS2024XT 000033</t>
  </si>
  <si>
    <t>FS2024XT 000032</t>
  </si>
  <si>
    <t>FS2024XT 000031</t>
  </si>
  <si>
    <t>0045/2024</t>
  </si>
  <si>
    <t>FS2024XT 000030</t>
  </si>
  <si>
    <t>FS2024XT 000029</t>
  </si>
  <si>
    <t>2712/2023</t>
  </si>
  <si>
    <t>FS2024XT 000028</t>
  </si>
  <si>
    <t>001/2024</t>
  </si>
  <si>
    <t>FS2024XT 000027</t>
  </si>
  <si>
    <t>RESTASURANTE</t>
  </si>
  <si>
    <t>0027/2024</t>
  </si>
  <si>
    <t>FS2024XT 000026</t>
  </si>
  <si>
    <t>0037/2024</t>
  </si>
  <si>
    <t>FS2024XT 000025</t>
  </si>
  <si>
    <t>FS2024XT 000024</t>
  </si>
  <si>
    <t>FS2024XT 000023</t>
  </si>
  <si>
    <t>003/2024</t>
  </si>
  <si>
    <t>FS2024XT 000022</t>
  </si>
  <si>
    <t>0047/2024</t>
  </si>
  <si>
    <t>FS2024XT 000021</t>
  </si>
  <si>
    <t>0046/2024</t>
  </si>
  <si>
    <t>FS2024XT 000020</t>
  </si>
  <si>
    <t>FS2024XT 000019</t>
  </si>
  <si>
    <t>004/2024</t>
  </si>
  <si>
    <t>FS2024XT 000018</t>
  </si>
  <si>
    <t>FS2024XT 000017</t>
  </si>
  <si>
    <t>PACK BEBIDA+ RED BULL</t>
  </si>
  <si>
    <t>0031/2024</t>
  </si>
  <si>
    <t>FS2024XT 000016</t>
  </si>
  <si>
    <t>0013/2024</t>
  </si>
  <si>
    <t>FS2024XT 000015</t>
  </si>
  <si>
    <t>2809/2023</t>
  </si>
  <si>
    <t>FS2024XT 000014</t>
  </si>
  <si>
    <t>0002/2024</t>
  </si>
  <si>
    <t>FS2024XT 000013</t>
  </si>
  <si>
    <t>FS2024XT 000012</t>
  </si>
  <si>
    <t>FS2024XT 000011</t>
  </si>
  <si>
    <t>FS2024XT 000010</t>
  </si>
  <si>
    <t>0015/2024</t>
  </si>
  <si>
    <t>FS2024XT 000009</t>
  </si>
  <si>
    <t>0028/2024</t>
  </si>
  <si>
    <t>FS2024XT 000008</t>
  </si>
  <si>
    <t>0011/2024</t>
  </si>
  <si>
    <t>FS2024XT 000007</t>
  </si>
  <si>
    <t>2804/2023</t>
  </si>
  <si>
    <t>FS2024XT 000006</t>
  </si>
  <si>
    <t>COLAB.CAPITAL</t>
  </si>
  <si>
    <t>FS2024XT 000005</t>
  </si>
  <si>
    <t>FS2024XT 000004</t>
  </si>
  <si>
    <t>2806/2023</t>
  </si>
  <si>
    <t>FS2024XT 000003</t>
  </si>
  <si>
    <t>2803/2023</t>
  </si>
  <si>
    <t>FS2024XT 000002</t>
  </si>
  <si>
    <t>S/ NÚMERO</t>
  </si>
  <si>
    <t>FS2024XT 000001</t>
  </si>
  <si>
    <t>EFECTIVO</t>
  </si>
  <si>
    <t>TRANSFERENCIA</t>
  </si>
  <si>
    <t>PAGADO</t>
  </si>
  <si>
    <t>CONCEPTO</t>
  </si>
  <si>
    <t>COMISIONABLE</t>
  </si>
  <si>
    <t>EXTRAS</t>
  </si>
  <si>
    <t>LIMUSINAS</t>
  </si>
  <si>
    <t xml:space="preserve">RESERVA </t>
  </si>
  <si>
    <t>FORMA DE PAGO</t>
  </si>
  <si>
    <t>TOTAL</t>
  </si>
  <si>
    <t>IVA 10%</t>
  </si>
  <si>
    <t>B. IMPONIBLE</t>
  </si>
  <si>
    <t xml:space="preserve"> CONCEPTO</t>
  </si>
  <si>
    <t>Nº FACTURA</t>
  </si>
  <si>
    <t>FECHA</t>
  </si>
  <si>
    <t>0252/2024</t>
  </si>
  <si>
    <t>FS2024XT 000261</t>
  </si>
  <si>
    <t>0075/2024</t>
  </si>
  <si>
    <t>FS2024XT 000260</t>
  </si>
  <si>
    <t>0204/2024</t>
  </si>
  <si>
    <t>FS2024XT 000259</t>
  </si>
  <si>
    <t>0182/2024</t>
  </si>
  <si>
    <t>FS2024XT 000258</t>
  </si>
  <si>
    <t>COLB.CAPITAL</t>
  </si>
  <si>
    <t>FS2024XT 000257</t>
  </si>
  <si>
    <t>0222/2024</t>
  </si>
  <si>
    <t>FS2024XT 000256</t>
  </si>
  <si>
    <t>0191/2024</t>
  </si>
  <si>
    <t>FS2024XT 000255</t>
  </si>
  <si>
    <t>066/2024</t>
  </si>
  <si>
    <t>FS2024XT 000254</t>
  </si>
  <si>
    <t>0139/2024</t>
  </si>
  <si>
    <t>FS2024XT 000253</t>
  </si>
  <si>
    <t>0239/2024</t>
  </si>
  <si>
    <t>FS2024XT 000252</t>
  </si>
  <si>
    <t>0114/2024</t>
  </si>
  <si>
    <t>FS2024XT 000251</t>
  </si>
  <si>
    <t>0014/2024</t>
  </si>
  <si>
    <t>FS2024XT 000250</t>
  </si>
  <si>
    <t>FS2024XT 000249</t>
  </si>
  <si>
    <t>0173/2024</t>
  </si>
  <si>
    <t>FS2024XT 000248</t>
  </si>
  <si>
    <t>0107/20224</t>
  </si>
  <si>
    <t>FS2024XT 000247</t>
  </si>
  <si>
    <t>0225/2024</t>
  </si>
  <si>
    <t>FS2024XT 000246</t>
  </si>
  <si>
    <t>0232/2024</t>
  </si>
  <si>
    <t>FS2024XT 000245</t>
  </si>
  <si>
    <t>0154/2024</t>
  </si>
  <si>
    <t>FS2024XT 000244</t>
  </si>
  <si>
    <t>FS2024XT 000243</t>
  </si>
  <si>
    <t>0235/2024</t>
  </si>
  <si>
    <t>FS2024XT 000242</t>
  </si>
  <si>
    <t>0247/2024</t>
  </si>
  <si>
    <t>FS2024XT 000241</t>
  </si>
  <si>
    <t>RESTAURANTE</t>
  </si>
  <si>
    <t>0049/2024</t>
  </si>
  <si>
    <t>FS2024XT 000240</t>
  </si>
  <si>
    <t>COLAB.ESTEBAN</t>
  </si>
  <si>
    <t>FS2024XT 000239</t>
  </si>
  <si>
    <t>0138/2024</t>
  </si>
  <si>
    <t>FS2024XT 000238</t>
  </si>
  <si>
    <t>0142/2024</t>
  </si>
  <si>
    <t>FS2024XT 000237</t>
  </si>
  <si>
    <t>FS2024XT 000236</t>
  </si>
  <si>
    <t>0117/2024</t>
  </si>
  <si>
    <t>FS2024XT 000235</t>
  </si>
  <si>
    <t>0192/2024</t>
  </si>
  <si>
    <t>FS2024XT 000234</t>
  </si>
  <si>
    <t>0206/2024</t>
  </si>
  <si>
    <t>FS2024XT 000233</t>
  </si>
  <si>
    <t>0207/2024</t>
  </si>
  <si>
    <t>FS2024XT 000232</t>
  </si>
  <si>
    <t>0218/2021</t>
  </si>
  <si>
    <t>FS2024XT 000231</t>
  </si>
  <si>
    <t>0234/2024</t>
  </si>
  <si>
    <t>FS2024XT 000230</t>
  </si>
  <si>
    <t>COLAB.CUMPLIDO</t>
  </si>
  <si>
    <t>FS2024XT 000229</t>
  </si>
  <si>
    <t>COLAB. TU DESPEDIDA</t>
  </si>
  <si>
    <t>FS2024XT 000228</t>
  </si>
  <si>
    <t>0193/2024</t>
  </si>
  <si>
    <t>FS2024XT 000227</t>
  </si>
  <si>
    <t>`0145/2024</t>
  </si>
  <si>
    <t>FS2024XT 000226</t>
  </si>
  <si>
    <t>FS2024XT 000225</t>
  </si>
  <si>
    <t>0186/2024</t>
  </si>
  <si>
    <t>FS2024XT 000224</t>
  </si>
  <si>
    <t>0240/2024</t>
  </si>
  <si>
    <t>FS2024XT 000223</t>
  </si>
  <si>
    <t xml:space="preserve">COLAB. FUN </t>
  </si>
  <si>
    <t>FS2024XT 000222</t>
  </si>
  <si>
    <t>0208/2024</t>
  </si>
  <si>
    <t>FS2024XT 000221</t>
  </si>
  <si>
    <t>0229/2024</t>
  </si>
  <si>
    <t>FS2024XT 000220</t>
  </si>
  <si>
    <t>FS2024XT 000219</t>
  </si>
  <si>
    <t>0188/2024</t>
  </si>
  <si>
    <t>FS2024XT 000218</t>
  </si>
  <si>
    <t>COLB. EXCLUSIVE</t>
  </si>
  <si>
    <t>FS2024XT 000217</t>
  </si>
  <si>
    <t>FS2024XT 000216</t>
  </si>
  <si>
    <t>ROMÁNTICO</t>
  </si>
  <si>
    <t>0214/2024</t>
  </si>
  <si>
    <t>FS2024XT 000215</t>
  </si>
  <si>
    <t>0203/2024</t>
  </si>
  <si>
    <t>FS2024XT 000214</t>
  </si>
  <si>
    <t>0200/2024</t>
  </si>
  <si>
    <t>FS2024XT 000213</t>
  </si>
  <si>
    <t>0079/2024</t>
  </si>
  <si>
    <t>FS2024XT 000212</t>
  </si>
  <si>
    <t>0123/2024</t>
  </si>
  <si>
    <t>FS2024XT 000211</t>
  </si>
  <si>
    <t>0128/2024</t>
  </si>
  <si>
    <t>FS2024XT 000210</t>
  </si>
  <si>
    <t>0133/2024</t>
  </si>
  <si>
    <t>FS2024XT 000209</t>
  </si>
  <si>
    <t>0201/2024</t>
  </si>
  <si>
    <t>FS2024XT 000208</t>
  </si>
  <si>
    <t>0212/2024</t>
  </si>
  <si>
    <t>FS2024XT 000207</t>
  </si>
  <si>
    <t>COLB.FUN</t>
  </si>
  <si>
    <t>FS2024XT 000206</t>
  </si>
  <si>
    <t>COLB.BIG EVENTOS</t>
  </si>
  <si>
    <t>FS2024XT 000205</t>
  </si>
  <si>
    <t>0213/2024</t>
  </si>
  <si>
    <t>FS2024XT 000204</t>
  </si>
  <si>
    <t>0211/2024</t>
  </si>
  <si>
    <t>FS2024XT 000203</t>
  </si>
  <si>
    <t>FS2024XT 000202</t>
  </si>
  <si>
    <t>0053/2024</t>
  </si>
  <si>
    <t>FS2024XT 000201</t>
  </si>
  <si>
    <t>FS2024XT 000200</t>
  </si>
  <si>
    <t>FS2024XT 000199</t>
  </si>
  <si>
    <t>FS2024XT 000198</t>
  </si>
  <si>
    <t>0164/2024</t>
  </si>
  <si>
    <t>FS2024XT 000197</t>
  </si>
  <si>
    <t>FS2024XT 000196</t>
  </si>
  <si>
    <t>0168/2024</t>
  </si>
  <si>
    <t>FS2024XT 000195</t>
  </si>
  <si>
    <t>0198/2024</t>
  </si>
  <si>
    <t>FS2024XT 000194</t>
  </si>
  <si>
    <t>COLAB.BIG EVENTOS</t>
  </si>
  <si>
    <t>FS2024XT 000193</t>
  </si>
  <si>
    <t>0150/2024</t>
  </si>
  <si>
    <t>FS2024XT 000192</t>
  </si>
  <si>
    <t>FS2024XT 000191</t>
  </si>
  <si>
    <t>0086/2024</t>
  </si>
  <si>
    <t>FS2024XT 000190</t>
  </si>
  <si>
    <t>COLB. BIG EVENTOS</t>
  </si>
  <si>
    <t>FS2024XT 000189</t>
  </si>
  <si>
    <t>0143/2024</t>
  </si>
  <si>
    <t>FS2024XT 000188</t>
  </si>
  <si>
    <t>0179/2024</t>
  </si>
  <si>
    <t>FS2024XT 000187</t>
  </si>
  <si>
    <t>0158/2024</t>
  </si>
  <si>
    <t>FS2024XT 000186</t>
  </si>
  <si>
    <t>FS2024XT 000185</t>
  </si>
  <si>
    <t>0183/2024</t>
  </si>
  <si>
    <t>FS2024XT 000184</t>
  </si>
  <si>
    <t>FS2024XT 000183</t>
  </si>
  <si>
    <t>FS2024XT 000182</t>
  </si>
  <si>
    <t>0170/2024</t>
  </si>
  <si>
    <t>FS2024XT 000181</t>
  </si>
  <si>
    <t>0185/2024</t>
  </si>
  <si>
    <t>FS2024XT 000180</t>
  </si>
  <si>
    <t>FS2024XT 000179</t>
  </si>
  <si>
    <t>0165/2024</t>
  </si>
  <si>
    <t>FS2024XT 000178</t>
  </si>
  <si>
    <t>0184/2024</t>
  </si>
  <si>
    <t>FS2024XT 000177</t>
  </si>
  <si>
    <t>FS2024XT 000176</t>
  </si>
  <si>
    <t>FS2024XT 000175</t>
  </si>
  <si>
    <t>FS2024XT 000174</t>
  </si>
  <si>
    <t>FS2024XT 000173</t>
  </si>
  <si>
    <t>0100/2024</t>
  </si>
  <si>
    <t>FS2024XT 000172</t>
  </si>
  <si>
    <t>0209/2024</t>
  </si>
  <si>
    <t>FS2024XT 000171</t>
  </si>
  <si>
    <t>FS2024XT 000170</t>
  </si>
  <si>
    <t>0174/2024</t>
  </si>
  <si>
    <t>FS2024XT 000169</t>
  </si>
  <si>
    <t>0067/2024</t>
  </si>
  <si>
    <t>FS2024XT 000168</t>
  </si>
  <si>
    <t>FS2024XT 000167</t>
  </si>
  <si>
    <t>0202/2024</t>
  </si>
  <si>
    <t>FS2024XT 000166</t>
  </si>
  <si>
    <t>0127/2024</t>
  </si>
  <si>
    <t>FS2024XT 000165</t>
  </si>
  <si>
    <t>FS2024XT 000164</t>
  </si>
  <si>
    <t>0108/2024</t>
  </si>
  <si>
    <t>FS2024XT 000163</t>
  </si>
  <si>
    <t>FS2024XT 000162</t>
  </si>
  <si>
    <t>0153/2024</t>
  </si>
  <si>
    <t>FS2024XT 000161</t>
  </si>
  <si>
    <t>FS2024XT 000160</t>
  </si>
  <si>
    <t>0094/2024</t>
  </si>
  <si>
    <t>FS2024XT 000159</t>
  </si>
  <si>
    <t>0149/2024</t>
  </si>
  <si>
    <t>FS2024XT 000158</t>
  </si>
  <si>
    <t>0167/2024</t>
  </si>
  <si>
    <t>FS2024XT 000157</t>
  </si>
  <si>
    <t>0172/2024</t>
  </si>
  <si>
    <t>FS2024XT 000156</t>
  </si>
  <si>
    <t>FS2024XT 000155</t>
  </si>
  <si>
    <t>COLAB. RISCO</t>
  </si>
  <si>
    <t>FS2024XT 000154</t>
  </si>
  <si>
    <t>COLAB. CAPITAL</t>
  </si>
  <si>
    <t>FS2024XT 000153</t>
  </si>
  <si>
    <t>0175/2024</t>
  </si>
  <si>
    <t>FS2024XT 000152</t>
  </si>
  <si>
    <t>FS2024XT 000151</t>
  </si>
  <si>
    <t>COLAB. BIG EVENTOS</t>
  </si>
  <si>
    <t>FS2024XT 000150</t>
  </si>
  <si>
    <t>0157/2024</t>
  </si>
  <si>
    <t>FS2024XT 000149</t>
  </si>
  <si>
    <t>0130/2024</t>
  </si>
  <si>
    <t>FS2024XT 000148</t>
  </si>
  <si>
    <t>0093/2024</t>
  </si>
  <si>
    <t>FS2024XT 000147</t>
  </si>
  <si>
    <t>0106/2024</t>
  </si>
  <si>
    <t>FS2024XT 000146</t>
  </si>
  <si>
    <t>0177/2024</t>
  </si>
  <si>
    <t>FS2024XT 000145</t>
  </si>
  <si>
    <t>0126/2024</t>
  </si>
  <si>
    <t>FS2024XT 000144</t>
  </si>
  <si>
    <t>BEBIDA</t>
  </si>
  <si>
    <t>0125/2024</t>
  </si>
  <si>
    <t>FS2024XT 000143</t>
  </si>
  <si>
    <t>0104/2024</t>
  </si>
  <si>
    <t>FS2024XT 000142</t>
  </si>
  <si>
    <t>0148/2024</t>
  </si>
  <si>
    <t>FS2024XT 000141</t>
  </si>
  <si>
    <t>FS2024XT 000140</t>
  </si>
  <si>
    <t>0111/2024</t>
  </si>
  <si>
    <t>FS2024XT 000139</t>
  </si>
  <si>
    <t>FS2024XT 000138</t>
  </si>
  <si>
    <t>FS2024XT 000137</t>
  </si>
  <si>
    <t>FS2024XT 000136</t>
  </si>
  <si>
    <t>0061/2024</t>
  </si>
  <si>
    <t>FS2024XT 000135</t>
  </si>
  <si>
    <t>FS2024XT 000134</t>
  </si>
  <si>
    <t>FS2024XT 000133</t>
  </si>
  <si>
    <t>FS2024XT 000132</t>
  </si>
  <si>
    <t>FS2024XT 000131</t>
  </si>
  <si>
    <t>0050/2024</t>
  </si>
  <si>
    <t>FS2024XT 000130</t>
  </si>
  <si>
    <t>0144/2024</t>
  </si>
  <si>
    <t>FS2024XT 000129</t>
  </si>
  <si>
    <t>0159/2024</t>
  </si>
  <si>
    <t>FS2024XT 000128</t>
  </si>
  <si>
    <t>COLAB. PARADISE</t>
  </si>
  <si>
    <t>FS2024XT 000127</t>
  </si>
  <si>
    <t>0140/2024</t>
  </si>
  <si>
    <t>FS2024XT 000126</t>
  </si>
  <si>
    <t>FS2024XT 000125</t>
  </si>
  <si>
    <t>FS2024XT 000124</t>
  </si>
  <si>
    <t>FS2024XT 000123</t>
  </si>
  <si>
    <t>FS2024XT 000122</t>
  </si>
  <si>
    <t xml:space="preserve"> 0152/2024</t>
  </si>
  <si>
    <t>FS2024XT 000121</t>
  </si>
  <si>
    <t xml:space="preserve"> 0110/2024</t>
  </si>
  <si>
    <t>FS2024XT 000120</t>
  </si>
  <si>
    <t>FS2024XT 000119</t>
  </si>
  <si>
    <t>COLAB. BORJA</t>
  </si>
  <si>
    <t>FS2024XT 000118</t>
  </si>
  <si>
    <t>FS2024XT 000117</t>
  </si>
  <si>
    <t>0035/2024</t>
  </si>
  <si>
    <t>FS2024XT 000116</t>
  </si>
  <si>
    <t>FS2024XT 000115</t>
  </si>
  <si>
    <t>0082/2024</t>
  </si>
  <si>
    <t>FS2024XT 000114</t>
  </si>
  <si>
    <t>0097/2024</t>
  </si>
  <si>
    <t>FS2024XT 000113</t>
  </si>
  <si>
    <t>0103/2024</t>
  </si>
  <si>
    <t>FS2024XT 000112</t>
  </si>
  <si>
    <t>FS2024XT 000111</t>
  </si>
  <si>
    <t>0131/2024</t>
  </si>
  <si>
    <t>FS2024XT 000110</t>
  </si>
  <si>
    <t>0137/2024</t>
  </si>
  <si>
    <t>FS2024XT 000109</t>
  </si>
  <si>
    <t>0051/2024</t>
  </si>
  <si>
    <t>FS2024XT 000108</t>
  </si>
  <si>
    <t>0156/2024</t>
  </si>
  <si>
    <t>FS2024XT 000107</t>
  </si>
  <si>
    <t>FS2024XT 000444</t>
  </si>
  <si>
    <t>0195/2024</t>
  </si>
  <si>
    <t>FS2024XT 000443</t>
  </si>
  <si>
    <t>FS2024XT 000442</t>
  </si>
  <si>
    <t>0316/2024</t>
  </si>
  <si>
    <t>FS2024XT 000441</t>
  </si>
  <si>
    <t>0321/2024</t>
  </si>
  <si>
    <t>FS2024XT 000440</t>
  </si>
  <si>
    <t>FS2024XT 000439</t>
  </si>
  <si>
    <t>COLB.PARTY</t>
  </si>
  <si>
    <t>FS2024XT 000438</t>
  </si>
  <si>
    <t>FS2024XT 000437</t>
  </si>
  <si>
    <t>0370/2024</t>
  </si>
  <si>
    <t>FS2024XT 000436</t>
  </si>
  <si>
    <t>FS2024XT 000435</t>
  </si>
  <si>
    <t>FS2024XT 000434</t>
  </si>
  <si>
    <t>FS2024XT 000433</t>
  </si>
  <si>
    <t>0330/2024</t>
  </si>
  <si>
    <t>FS2024XT 000432</t>
  </si>
  <si>
    <t>FS2024XT 000431</t>
  </si>
  <si>
    <t>0333/2024</t>
  </si>
  <si>
    <t>FS2024XT 000430</t>
  </si>
  <si>
    <t>0278/2024</t>
  </si>
  <si>
    <t>FS2024XT 000429</t>
  </si>
  <si>
    <t>FS2024XT 000428</t>
  </si>
  <si>
    <t>0381/2024</t>
  </si>
  <si>
    <t>FS2024XT 000427</t>
  </si>
  <si>
    <t>FS2024XT 000426</t>
  </si>
  <si>
    <t>0376/2024</t>
  </si>
  <si>
    <t>FS2024XT 000425</t>
  </si>
  <si>
    <t>FS2024XT 000424</t>
  </si>
  <si>
    <t>0341/2024</t>
  </si>
  <si>
    <t>FS2024XT 000423</t>
  </si>
  <si>
    <t>0263/2024</t>
  </si>
  <si>
    <t>FS2024XT 000422</t>
  </si>
  <si>
    <t>COLB.CUMPLIDO</t>
  </si>
  <si>
    <t>FS2024XT 000421</t>
  </si>
  <si>
    <t>COLB.FRANCISCO</t>
  </si>
  <si>
    <t>FS2024XT 000420</t>
  </si>
  <si>
    <t>FS2024XT 000419</t>
  </si>
  <si>
    <t>FS2024XT 000418</t>
  </si>
  <si>
    <t>FS2024XT 000417</t>
  </si>
  <si>
    <t>0337/2024</t>
  </si>
  <si>
    <t>FS2024XT 000416</t>
  </si>
  <si>
    <t>FS2024XT 000415</t>
  </si>
  <si>
    <t>FS2024XT 000414</t>
  </si>
  <si>
    <t>FS2024XT 000413</t>
  </si>
  <si>
    <t>COLB.ESTEBAN</t>
  </si>
  <si>
    <t>FS2024XT 000412</t>
  </si>
  <si>
    <t>FS2024XT 000411</t>
  </si>
  <si>
    <t>0324/2024</t>
  </si>
  <si>
    <t>FS2024XT 000410</t>
  </si>
  <si>
    <t>0349/2024</t>
  </si>
  <si>
    <t>FS2024XT 000409</t>
  </si>
  <si>
    <t>FS2024XT 000408</t>
  </si>
  <si>
    <t>FS2024XT 000407</t>
  </si>
  <si>
    <t>0347/2024</t>
  </si>
  <si>
    <t>FS2024XT 000406</t>
  </si>
  <si>
    <t>COLB.BIG</t>
  </si>
  <si>
    <t>FS2024XT 000405</t>
  </si>
  <si>
    <t>COLB.PARADISE</t>
  </si>
  <si>
    <t>FS2024XT 000404</t>
  </si>
  <si>
    <t>0160/2024</t>
  </si>
  <si>
    <t>FS2024XT 000403</t>
  </si>
  <si>
    <t>0264/2024</t>
  </si>
  <si>
    <t>FS2024XT 000402</t>
  </si>
  <si>
    <t>0088/2024</t>
  </si>
  <si>
    <t>FS2024XT 000401</t>
  </si>
  <si>
    <t>COLB.DESCONECTA</t>
  </si>
  <si>
    <t>FS2024XT 000400</t>
  </si>
  <si>
    <t>0282/2024</t>
  </si>
  <si>
    <t>FS2024XT 000399</t>
  </si>
  <si>
    <t>COLB.EXCLUXIVE</t>
  </si>
  <si>
    <t>FS2024XT 000398</t>
  </si>
  <si>
    <t>0344/2024</t>
  </si>
  <si>
    <t>FS2024XT 000397</t>
  </si>
  <si>
    <t>FS2024XT 000396</t>
  </si>
  <si>
    <t>FS2024XT 000395</t>
  </si>
  <si>
    <t>0339/2024</t>
  </si>
  <si>
    <t>FS2024XT 000394</t>
  </si>
  <si>
    <t>0272/2024</t>
  </si>
  <si>
    <t>FS2024XT 000393</t>
  </si>
  <si>
    <t>FS2024XT 000392</t>
  </si>
  <si>
    <t>0242/2024</t>
  </si>
  <si>
    <t>FS2024XT 000391</t>
  </si>
  <si>
    <t>FS2024XT 000390</t>
  </si>
  <si>
    <t>COLB.FUN BUYS</t>
  </si>
  <si>
    <t>FS2024XT 000389</t>
  </si>
  <si>
    <t>FS2024XT 000388</t>
  </si>
  <si>
    <t>FS2024XT 000387</t>
  </si>
  <si>
    <t>0169/2024</t>
  </si>
  <si>
    <t>FS2024XT 000386</t>
  </si>
  <si>
    <t>0268/2024</t>
  </si>
  <si>
    <t>FS2024XT 000385</t>
  </si>
  <si>
    <t>FS2024XT 000384</t>
  </si>
  <si>
    <t>0320/2024</t>
  </si>
  <si>
    <t>FS2024XT 000383</t>
  </si>
  <si>
    <t>0238/2024</t>
  </si>
  <si>
    <t>FS2024XT 000382</t>
  </si>
  <si>
    <t>0310/2024</t>
  </si>
  <si>
    <t>FS2024XT 000381</t>
  </si>
  <si>
    <t>0334/2024</t>
  </si>
  <si>
    <t>FS2024XT 000380</t>
  </si>
  <si>
    <t>0279/2024</t>
  </si>
  <si>
    <t>FS2024XT 000379</t>
  </si>
  <si>
    <t>0326/2024</t>
  </si>
  <si>
    <t>FS2024XT 000378</t>
  </si>
  <si>
    <t>0250/2024</t>
  </si>
  <si>
    <t>FS2024XT 000377</t>
  </si>
  <si>
    <t>0228/2024</t>
  </si>
  <si>
    <t>FS2024XT 000376</t>
  </si>
  <si>
    <t>FS2024XT 000375</t>
  </si>
  <si>
    <t>0332/2024</t>
  </si>
  <si>
    <t>FS2024XT 000374</t>
  </si>
  <si>
    <t>0261/2024</t>
  </si>
  <si>
    <t>FS2024XT 000373</t>
  </si>
  <si>
    <t>0297/2024</t>
  </si>
  <si>
    <t>FS2024XT 000372</t>
  </si>
  <si>
    <t>0277/2024</t>
  </si>
  <si>
    <t>FS2024XT 000371</t>
  </si>
  <si>
    <t>FS2024XT 000370</t>
  </si>
  <si>
    <t>0286/2024</t>
  </si>
  <si>
    <t>FS2024XT 000369</t>
  </si>
  <si>
    <t>0258/2024</t>
  </si>
  <si>
    <t>FS2024XT 000368</t>
  </si>
  <si>
    <t>0135/2024</t>
  </si>
  <si>
    <t>FS2024XT 000367</t>
  </si>
  <si>
    <t>0311/2024</t>
  </si>
  <si>
    <t>FS2024XT 000366</t>
  </si>
  <si>
    <t>0280/2024</t>
  </si>
  <si>
    <t>FS2024XT 000365</t>
  </si>
  <si>
    <t>FS2024XT 000364</t>
  </si>
  <si>
    <t>0166/2024</t>
  </si>
  <si>
    <t>FS2024XT 000363</t>
  </si>
  <si>
    <t>COLB.HUGO</t>
  </si>
  <si>
    <t>FS2024XT 000362</t>
  </si>
  <si>
    <t>FS2024XT 000361</t>
  </si>
  <si>
    <t>0248/2024</t>
  </si>
  <si>
    <t>FS2024XT 000360</t>
  </si>
  <si>
    <t>FS2024XT 000359</t>
  </si>
  <si>
    <t>0328/2024</t>
  </si>
  <si>
    <t>FS2024XT 000358</t>
  </si>
  <si>
    <t>0281/2024</t>
  </si>
  <si>
    <t>FS2024XT 000357</t>
  </si>
  <si>
    <t>0283/2024</t>
  </si>
  <si>
    <t>FS2024XT 000356</t>
  </si>
  <si>
    <t>0243/2024</t>
  </si>
  <si>
    <t>FS2024XT 000355</t>
  </si>
  <si>
    <t>0308/2024</t>
  </si>
  <si>
    <t>FS2024XT 000354</t>
  </si>
  <si>
    <t>FS2024XT 000353</t>
  </si>
  <si>
    <t>0323/2024</t>
  </si>
  <si>
    <t>FS2024XT 000352</t>
  </si>
  <si>
    <t>COLB.JESUS</t>
  </si>
  <si>
    <t>FS2024XT 000351</t>
  </si>
  <si>
    <t>BOYS</t>
  </si>
  <si>
    <t>FS2024XT 000350</t>
  </si>
  <si>
    <t>0331/2024</t>
  </si>
  <si>
    <t>FS2024XT 000349</t>
  </si>
  <si>
    <t>FS2024XT 000348</t>
  </si>
  <si>
    <t>FS2024XT 000347</t>
  </si>
  <si>
    <t>COLB.JULIO</t>
  </si>
  <si>
    <t>FS2024XT 000346</t>
  </si>
  <si>
    <t>0319/2024</t>
  </si>
  <si>
    <t>FS2024XT 000345</t>
  </si>
  <si>
    <t>0301/2024</t>
  </si>
  <si>
    <t>FS2024XT 000344</t>
  </si>
  <si>
    <t>FS2024XT 000343</t>
  </si>
  <si>
    <t>0251/2024</t>
  </si>
  <si>
    <t>FS2024XT 000342</t>
  </si>
  <si>
    <t>FS2024XT 000341</t>
  </si>
  <si>
    <t>FS2024XT 000340</t>
  </si>
  <si>
    <t>FS2024XT 000339</t>
  </si>
  <si>
    <t>0237/2024</t>
  </si>
  <si>
    <t>FS2024XT 000338</t>
  </si>
  <si>
    <t>FS2024XT 000337</t>
  </si>
  <si>
    <t>COLB. CUMPLIDO</t>
  </si>
  <si>
    <t>FS2024XT 000336</t>
  </si>
  <si>
    <t>0221/2024</t>
  </si>
  <si>
    <t>FS2024XT 000335</t>
  </si>
  <si>
    <t>FS2024XT 000334</t>
  </si>
  <si>
    <t>FS2024XT 000333</t>
  </si>
  <si>
    <t>0274/2024</t>
  </si>
  <si>
    <t>FS2024XT 000332</t>
  </si>
  <si>
    <t>FS2024XT 000331</t>
  </si>
  <si>
    <t>0199/2024</t>
  </si>
  <si>
    <t>FS2024XT 000330</t>
  </si>
  <si>
    <t>FS2024XT 000329</t>
  </si>
  <si>
    <t>0305/2024</t>
  </si>
  <si>
    <t>FS2024XT 000328</t>
  </si>
  <si>
    <t>FS2024XT 000327</t>
  </si>
  <si>
    <t>FS2024XT 000326</t>
  </si>
  <si>
    <t>0309/2024</t>
  </si>
  <si>
    <t>FS2024XT 000325</t>
  </si>
  <si>
    <t>FS2024XT 000324</t>
  </si>
  <si>
    <t>0230/2024</t>
  </si>
  <si>
    <t>FS2024XT 000323</t>
  </si>
  <si>
    <t>FS2024XT 000322</t>
  </si>
  <si>
    <t>0302/2024</t>
  </si>
  <si>
    <t>FS2024XT 000321</t>
  </si>
  <si>
    <t>COLAB. HOLLYWOOD</t>
  </si>
  <si>
    <t>FS2024XT 000320</t>
  </si>
  <si>
    <t>0231/2024</t>
  </si>
  <si>
    <t>FS2024XT 000319</t>
  </si>
  <si>
    <t>0257/2024</t>
  </si>
  <si>
    <t>FS2024XT 000318</t>
  </si>
  <si>
    <t>FS2024XT 000317</t>
  </si>
  <si>
    <t>FS2024XT 000316</t>
  </si>
  <si>
    <t>FS2024XT 000315</t>
  </si>
  <si>
    <t>0134/2024</t>
  </si>
  <si>
    <t>FS2024XT 000314</t>
  </si>
  <si>
    <t>FS2024XT 000313</t>
  </si>
  <si>
    <t>0260/2024</t>
  </si>
  <si>
    <t>FS2024XT 000312</t>
  </si>
  <si>
    <t>0227/2024</t>
  </si>
  <si>
    <t>FS2024XT 000311</t>
  </si>
  <si>
    <t>FS2024XT 000310</t>
  </si>
  <si>
    <t>0245/2024</t>
  </si>
  <si>
    <t>FS2024XT 000309</t>
  </si>
  <si>
    <t>0289/2024</t>
  </si>
  <si>
    <t>FS2024XT 000308</t>
  </si>
  <si>
    <t>0246/2024</t>
  </si>
  <si>
    <t>FS2024XT 000307</t>
  </si>
  <si>
    <t>0300/2024</t>
  </si>
  <si>
    <t>FS2024XT 000306</t>
  </si>
  <si>
    <t>0273/2024</t>
  </si>
  <si>
    <t>FS2024XT 000305</t>
  </si>
  <si>
    <t>0292/2024</t>
  </si>
  <si>
    <t>FS2024XT 000304</t>
  </si>
  <si>
    <t>0288/2024</t>
  </si>
  <si>
    <t>FS2024XT 000303</t>
  </si>
  <si>
    <t>0244/2024</t>
  </si>
  <si>
    <t>FS2024XT 000302</t>
  </si>
  <si>
    <t>FS2024XT 000301</t>
  </si>
  <si>
    <t>FS2024XT 000300</t>
  </si>
  <si>
    <t>0287/2024</t>
  </si>
  <si>
    <t>FS2024XT 000299</t>
  </si>
  <si>
    <t>FS2024XT 000298</t>
  </si>
  <si>
    <t>FS2024XT 000297</t>
  </si>
  <si>
    <t>0290/2024</t>
  </si>
  <si>
    <t>FS2024XT 000296</t>
  </si>
  <si>
    <t>0284/2024</t>
  </si>
  <si>
    <t>FS2024XT 000295</t>
  </si>
  <si>
    <t>0194/2024</t>
  </si>
  <si>
    <t>FS2024XT 000294</t>
  </si>
  <si>
    <t>0262/2024</t>
  </si>
  <si>
    <t>FS2024XT 000293</t>
  </si>
  <si>
    <t>0136/2024</t>
  </si>
  <si>
    <t>FS2024XT 000292</t>
  </si>
  <si>
    <t>FS2024XT 000291</t>
  </si>
  <si>
    <t>FS2024XT 000290</t>
  </si>
  <si>
    <t>FS2024XT 000289</t>
  </si>
  <si>
    <t>COLB. ESTO ES HOLLYWOOD</t>
  </si>
  <si>
    <t>FS2024XT 000288</t>
  </si>
  <si>
    <t>0176/2024</t>
  </si>
  <si>
    <t>FS2024XT 000287</t>
  </si>
  <si>
    <t>FS2024XT 000286</t>
  </si>
  <si>
    <t>COLAB.HUGO</t>
  </si>
  <si>
    <t>FS2024XT 000285</t>
  </si>
  <si>
    <t>COLB.RAUL</t>
  </si>
  <si>
    <t>FS2024XT 000284</t>
  </si>
  <si>
    <t>0171/2024</t>
  </si>
  <si>
    <t>FS2024XT 000283</t>
  </si>
  <si>
    <t>0155/2024</t>
  </si>
  <si>
    <t>FS2024XT 000282</t>
  </si>
  <si>
    <t>0151/2024</t>
  </si>
  <si>
    <t>FS2024XT 000281</t>
  </si>
  <si>
    <t>0190/2024</t>
  </si>
  <si>
    <t>FS2024XT 000280</t>
  </si>
  <si>
    <t>0189/2024</t>
  </si>
  <si>
    <t>FS2024XT 000279</t>
  </si>
  <si>
    <t>0255/2024</t>
  </si>
  <si>
    <t>FS2024XT 000278</t>
  </si>
  <si>
    <t>0205/2024</t>
  </si>
  <si>
    <t>FS2024XT 000277</t>
  </si>
  <si>
    <t>0216/2024</t>
  </si>
  <si>
    <t>FS2024XT 000276</t>
  </si>
  <si>
    <t>0259/2024</t>
  </si>
  <si>
    <t>FS2024XT 000275</t>
  </si>
  <si>
    <t>FS2024XT 000274</t>
  </si>
  <si>
    <t>FS2024XT 000273</t>
  </si>
  <si>
    <t>0271/2024</t>
  </si>
  <si>
    <t>FS2024XT 000272</t>
  </si>
  <si>
    <t>0266/2024</t>
  </si>
  <si>
    <t>FS2024XT 000271</t>
  </si>
  <si>
    <t>0270/2024</t>
  </si>
  <si>
    <t>FS2024XT 000270</t>
  </si>
  <si>
    <t>FS2024XT 000269</t>
  </si>
  <si>
    <t>FS2024XT 000268</t>
  </si>
  <si>
    <t>FS2024XT 000267</t>
  </si>
  <si>
    <t>0146/2024</t>
  </si>
  <si>
    <t>FS2024XT 000266</t>
  </si>
  <si>
    <t>0161/2024</t>
  </si>
  <si>
    <t>FS2024XT 000265</t>
  </si>
  <si>
    <t>0162/2024</t>
  </si>
  <si>
    <t>FS2024XT 000264</t>
  </si>
  <si>
    <t>COLB.JOEL</t>
  </si>
  <si>
    <t>FS2024XT 000263</t>
  </si>
  <si>
    <t>FS2024XT 000262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</si>
</sst>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&quot;€&quot;_-;\-* #,##0.00\ &quot;€&quot;_-;_-* &quot;-&quot;??\ &quot;€&quot;_-;_-@_-"/>
    <numFmt numFmtId="165" formatCode="#,##0.00&quot; &quot;[$€-C0A];[Red]&quot;-&quot;#,##0.00&quot; &quot;[$€-C0A]"/>
    <numFmt numFmtId="166" formatCode="#,##0&quot; &quot;[$€-C0A];[Red]&quot;-&quot;#,##0&quot; &quot;[$€-C0A]"/>
    <numFmt numFmtId="167" formatCode="#,##0.00\ &quot;€&quot;;[Red]\-#,##0.00\ &quot;€&quot;"/>
    <numFmt numFmtId="168" formatCode="#,##0\ &quot;€&quot;;[Red]\-#,##0\ &quot;€&quot;"/>
    <numFmt numFmtId="169" formatCode="&quot; &quot;#,##0.00&quot; &quot;[$€-C0A]&quot; &quot;;&quot;-&quot;#,##0.00&quot; &quot;[$€-C0A]&quot; &quot;;&quot; -&quot;00&quot; &quot;[$€-C0A]&quot; &quot;;&quot; &quot;@&quot; &quot;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669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1">
    <xf numFmtId="0" fontId="0" fillId="0" borderId="0" xfId="0"/>
    <xf numFmtId="0" fontId="0" fillId="0" borderId="1" xfId="0" applyBorder="1"/>
    <xf numFmtId="164" fontId="0" fillId="0" borderId="1" xfId="1" applyFont="1" applyBorder="1"/>
    <xf numFmtId="165" fontId="3" fillId="0" borderId="1" xfId="1" applyNumberFormat="1" applyFont="1" applyBorder="1"/>
    <xf numFmtId="164" fontId="3" fillId="0" borderId="1" xfId="1" applyFont="1" applyBorder="1"/>
    <xf numFmtId="0" fontId="3" fillId="0" borderId="1" xfId="0" applyFont="1" applyBorder="1"/>
    <xf numFmtId="14" fontId="0" fillId="0" borderId="1" xfId="0" applyNumberFormat="1" applyBorder="1"/>
    <xf numFmtId="164" fontId="1" fillId="0" borderId="1" xfId="1" applyBorder="1"/>
    <xf numFmtId="166" fontId="0" fillId="0" borderId="1" xfId="0" applyNumberFormat="1" applyBorder="1"/>
    <xf numFmtId="0" fontId="0" fillId="0" borderId="1" xfId="0" applyBorder="1" applyAlignment="1">
      <alignment vertical="center" wrapText="1"/>
    </xf>
    <xf numFmtId="164" fontId="0" fillId="0" borderId="1" xfId="1" applyFont="1" applyBorder="1" applyAlignment="1">
      <alignment horizontal="right" vertical="center"/>
    </xf>
    <xf numFmtId="14" fontId="0" fillId="0" borderId="1" xfId="0" applyNumberFormat="1" applyBorder="1" applyAlignment="1">
      <alignment horizontal="left" vertical="center"/>
    </xf>
    <xf numFmtId="14" fontId="1" fillId="0" borderId="1" xfId="1" applyNumberFormat="1" applyBorder="1" applyAlignment="1">
      <alignment horizontal="left"/>
    </xf>
    <xf numFmtId="164" fontId="1" fillId="0" borderId="1" xfId="1" applyFill="1" applyBorder="1"/>
    <xf numFmtId="0" fontId="3" fillId="0" borderId="2" xfId="0" applyFont="1" applyBorder="1"/>
    <xf numFmtId="14" fontId="0" fillId="0" borderId="1" xfId="0" applyNumberFormat="1" applyBorder="1" applyAlignment="1">
      <alignment horizontal="left" vertical="center" wrapText="1"/>
    </xf>
    <xf numFmtId="164" fontId="1" fillId="0" borderId="3" xfId="1" applyBorder="1"/>
    <xf numFmtId="0" fontId="0" fillId="0" borderId="3" xfId="0" applyBorder="1"/>
    <xf numFmtId="166" fontId="0" fillId="0" borderId="3" xfId="0" applyNumberFormat="1" applyBorder="1"/>
    <xf numFmtId="0" fontId="3" fillId="0" borderId="3" xfId="0" applyFont="1" applyBorder="1" applyAlignment="1">
      <alignment vertical="center" wrapText="1"/>
    </xf>
    <xf numFmtId="164" fontId="3" fillId="0" borderId="3" xfId="1" applyFont="1" applyFill="1" applyBorder="1" applyAlignment="1">
      <alignment vertical="center" wrapText="1"/>
    </xf>
    <xf numFmtId="167" fontId="0" fillId="0" borderId="3" xfId="0" applyNumberForma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67" fontId="3" fillId="0" borderId="1" xfId="0" applyNumberFormat="1" applyFont="1" applyBorder="1" applyAlignment="1">
      <alignment vertical="center" wrapText="1"/>
    </xf>
    <xf numFmtId="167" fontId="0" fillId="0" borderId="1" xfId="0" applyNumberFormat="1" applyBorder="1" applyAlignment="1">
      <alignment vertical="center" wrapText="1"/>
    </xf>
    <xf numFmtId="168" fontId="1" fillId="0" borderId="1" xfId="1" applyNumberFormat="1" applyBorder="1"/>
    <xf numFmtId="14" fontId="3" fillId="0" borderId="1" xfId="0" applyNumberFormat="1" applyFont="1" applyBorder="1" applyAlignment="1">
      <alignment horizontal="left" vertical="center" wrapText="1"/>
    </xf>
    <xf numFmtId="164" fontId="3" fillId="0" borderId="1" xfId="1" applyFont="1" applyBorder="1" applyAlignment="1">
      <alignment vertical="center" wrapText="1"/>
    </xf>
    <xf numFmtId="164" fontId="1" fillId="0" borderId="4" xfId="1" applyBorder="1"/>
    <xf numFmtId="164" fontId="1" fillId="0" borderId="5" xfId="1" applyBorder="1"/>
    <xf numFmtId="0" fontId="3" fillId="0" borderId="3" xfId="0" applyFont="1" applyBorder="1"/>
    <xf numFmtId="166" fontId="3" fillId="0" borderId="3" xfId="0" applyNumberFormat="1" applyFont="1" applyBorder="1"/>
    <xf numFmtId="164" fontId="3" fillId="0" borderId="3" xfId="1" applyFont="1" applyBorder="1"/>
    <xf numFmtId="167" fontId="3" fillId="0" borderId="3" xfId="0" applyNumberFormat="1" applyFont="1" applyBorder="1" applyAlignment="1">
      <alignment vertical="center" wrapText="1"/>
    </xf>
    <xf numFmtId="164" fontId="1" fillId="0" borderId="6" xfId="1" applyBorder="1"/>
    <xf numFmtId="164" fontId="1" fillId="0" borderId="7" xfId="1" applyBorder="1"/>
    <xf numFmtId="166" fontId="3" fillId="0" borderId="1" xfId="0" applyNumberFormat="1" applyFont="1" applyBorder="1"/>
    <xf numFmtId="14" fontId="3" fillId="0" borderId="1" xfId="1" applyNumberFormat="1" applyFont="1" applyBorder="1" applyAlignment="1">
      <alignment horizontal="left"/>
    </xf>
    <xf numFmtId="166" fontId="1" fillId="0" borderId="6" xfId="1" applyNumberFormat="1" applyBorder="1"/>
    <xf numFmtId="49" fontId="0" fillId="0" borderId="1" xfId="1" applyNumberFormat="1" applyFont="1" applyBorder="1"/>
    <xf numFmtId="14" fontId="0" fillId="0" borderId="0" xfId="0" applyNumberFormat="1" applyAlignment="1">
      <alignment horizontal="left"/>
    </xf>
    <xf numFmtId="164" fontId="3" fillId="0" borderId="1" xfId="1" applyFont="1" applyBorder="1" applyAlignment="1">
      <alignment horizontal="right"/>
    </xf>
    <xf numFmtId="169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left" vertical="center"/>
    </xf>
    <xf numFmtId="49" fontId="3" fillId="0" borderId="1" xfId="1" applyNumberFormat="1" applyFont="1" applyBorder="1"/>
    <xf numFmtId="14" fontId="3" fillId="0" borderId="1" xfId="0" applyNumberFormat="1" applyFont="1" applyBorder="1"/>
    <xf numFmtId="168" fontId="3" fillId="0" borderId="1" xfId="1" applyNumberFormat="1" applyFont="1" applyBorder="1"/>
    <xf numFmtId="166" fontId="1" fillId="0" borderId="7" xfId="1" applyNumberFormat="1" applyBorder="1"/>
    <xf numFmtId="164" fontId="2" fillId="0" borderId="7" xfId="1" applyFont="1" applyBorder="1"/>
    <xf numFmtId="165" fontId="3" fillId="0" borderId="1" xfId="0" applyNumberFormat="1" applyFont="1" applyBorder="1" applyAlignment="1">
      <alignment horizontal="right" vertical="center"/>
    </xf>
    <xf numFmtId="164" fontId="0" fillId="0" borderId="6" xfId="1" applyFont="1" applyBorder="1"/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3" fillId="0" borderId="4" xfId="0" applyFont="1" applyBorder="1"/>
    <xf numFmtId="164" fontId="0" fillId="0" borderId="0" xfId="0" applyNumberFormat="1"/>
    <xf numFmtId="0" fontId="0" fillId="2" borderId="1" xfId="0" applyFill="1" applyBorder="1"/>
    <xf numFmtId="164" fontId="0" fillId="3" borderId="1" xfId="1" applyFont="1" applyFill="1" applyBorder="1"/>
    <xf numFmtId="14" fontId="0" fillId="0" borderId="1" xfId="0" applyNumberFormat="1" applyBorder="1" applyAlignment="1">
      <alignment horizontal="right"/>
    </xf>
    <xf numFmtId="164" fontId="0" fillId="4" borderId="1" xfId="1" applyFont="1" applyFill="1" applyBorder="1"/>
    <xf numFmtId="14" fontId="0" fillId="0" borderId="1" xfId="0" applyNumberFormat="1" applyBorder="1" applyAlignment="1">
      <alignment horizontal="right" vertical="center"/>
    </xf>
    <xf numFmtId="0" fontId="0" fillId="5" borderId="1" xfId="0" applyFill="1" applyBorder="1"/>
    <xf numFmtId="164" fontId="1" fillId="3" borderId="1" xfId="1" applyFill="1" applyBorder="1"/>
    <xf numFmtId="0" fontId="0" fillId="6" borderId="1" xfId="0" applyFill="1" applyBorder="1" applyAlignment="1">
      <alignment vertical="center" wrapText="1"/>
    </xf>
    <xf numFmtId="14" fontId="0" fillId="0" borderId="6" xfId="0" applyNumberFormat="1" applyBorder="1"/>
    <xf numFmtId="0" fontId="0" fillId="7" borderId="1" xfId="0" applyFill="1" applyBorder="1" applyAlignment="1">
      <alignment vertical="center" wrapText="1"/>
    </xf>
    <xf numFmtId="14" fontId="0" fillId="0" borderId="0" xfId="0" applyNumberFormat="1"/>
    <xf numFmtId="0" fontId="0" fillId="2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13" fontId="3" fillId="0" borderId="1" xfId="0" applyNumberFormat="1" applyFont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49" fontId="3" fillId="10" borderId="1" xfId="1" applyNumberFormat="1" applyFont="1" applyFill="1" applyBorder="1"/>
    <xf numFmtId="0" fontId="3" fillId="2" borderId="1" xfId="0" applyFont="1" applyFill="1" applyBorder="1"/>
    <xf numFmtId="0" fontId="3" fillId="3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vertical="center" wrapText="1"/>
    </xf>
    <xf numFmtId="14" fontId="0" fillId="0" borderId="1" xfId="0" applyNumberFormat="1" applyBorder="1" applyAlignment="1">
      <alignment horizontal="left"/>
    </xf>
    <xf numFmtId="164" fontId="0" fillId="0" borderId="1" xfId="1" applyFont="1" applyFill="1" applyBorder="1"/>
    <xf numFmtId="14" fontId="0" fillId="0" borderId="6" xfId="0" applyNumberFormat="1" applyBorder="1" applyAlignment="1">
      <alignment horizontal="left"/>
    </xf>
    <xf numFmtId="164" fontId="1" fillId="0" borderId="3" xfId="1" applyFill="1" applyBorder="1"/>
    <xf numFmtId="168" fontId="1" fillId="0" borderId="1" xfId="1" applyNumberFormat="1" applyFill="1" applyBorder="1"/>
    <xf numFmtId="164" fontId="1" fillId="0" borderId="4" xfId="1" applyFill="1" applyBorder="1"/>
    <xf numFmtId="164" fontId="1" fillId="0" borderId="5" xfId="1" applyFill="1" applyBorder="1"/>
    <xf numFmtId="164" fontId="3" fillId="0" borderId="3" xfId="1" applyFont="1" applyFill="1" applyBorder="1"/>
    <xf numFmtId="164" fontId="1" fillId="0" borderId="6" xfId="1" applyFill="1" applyBorder="1"/>
    <xf numFmtId="164" fontId="1" fillId="0" borderId="7" xfId="1" applyFill="1" applyBorder="1"/>
    <xf numFmtId="164" fontId="3" fillId="0" borderId="1" xfId="1" applyFont="1" applyFill="1" applyBorder="1"/>
    <xf numFmtId="166" fontId="1" fillId="0" borderId="6" xfId="1" applyNumberFormat="1" applyFill="1" applyBorder="1"/>
    <xf numFmtId="49" fontId="0" fillId="0" borderId="1" xfId="1" applyNumberFormat="1" applyFont="1" applyFill="1" applyBorder="1"/>
    <xf numFmtId="164" fontId="3" fillId="0" borderId="1" xfId="1" applyFont="1" applyFill="1" applyBorder="1" applyAlignment="1">
      <alignment horizontal="right"/>
    </xf>
    <xf numFmtId="49" fontId="3" fillId="0" borderId="1" xfId="1" applyNumberFormat="1" applyFont="1" applyFill="1" applyBorder="1"/>
    <xf numFmtId="168" fontId="3" fillId="0" borderId="1" xfId="1" applyNumberFormat="1" applyFont="1" applyFill="1" applyBorder="1"/>
    <xf numFmtId="166" fontId="1" fillId="0" borderId="7" xfId="1" applyNumberFormat="1" applyFill="1" applyBorder="1"/>
    <xf numFmtId="164" fontId="2" fillId="0" borderId="7" xfId="1" applyFont="1" applyFill="1" applyBorder="1"/>
    <xf numFmtId="164" fontId="0" fillId="0" borderId="6" xfId="1" applyFont="1" applyFill="1" applyBorder="1"/>
    <xf numFmtId="164" fontId="0" fillId="0" borderId="0" xfId="1" applyFont="1"/>
  </cellXfs>
  <cellStyles count="2">
    <cellStyle name="Moneda" xfId="1" builtinId="4"/>
    <cellStyle name="Normal" xfId="0" builtinId="0"/>
  </cellStyles>
  <dxfs count="123"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DEA8E-4CFF-447B-8753-E4C19C5AD424}">
  <dimension ref="A1:O199"/>
  <sheetViews>
    <sheetView tabSelected="1" topLeftCell="A90" workbookViewId="0">
      <selection activeCell="C118" sqref="C118"/>
    </sheetView>
  </sheetViews>
  <sheetFormatPr baseColWidth="10" defaultRowHeight="14.4" x14ac:dyDescent="0.3"/>
  <cols>
    <col min="1" max="1" width="14.5546875" customWidth="1"/>
    <col min="2" max="2" width="18.44140625" customWidth="1"/>
    <col min="3" max="3" width="37" customWidth="1"/>
    <col min="4" max="4" width="15.5546875" customWidth="1"/>
    <col min="7" max="7" width="15.88671875" customWidth="1"/>
    <col min="9" max="9" width="24" customWidth="1"/>
    <col min="12" max="12" width="13.6640625" customWidth="1"/>
  </cols>
  <sheetData>
    <row r="1" spans="1:15" x14ac:dyDescent="0.3">
      <c r="A1" s="51" t="s">
        <v>197</v>
      </c>
      <c r="B1" s="51" t="s">
        <v>196</v>
      </c>
      <c r="C1" s="51" t="s">
        <v>195</v>
      </c>
      <c r="D1" s="51" t="s">
        <v>194</v>
      </c>
      <c r="E1" s="51" t="s">
        <v>193</v>
      </c>
      <c r="F1" s="51" t="s">
        <v>192</v>
      </c>
      <c r="G1" s="51" t="s">
        <v>191</v>
      </c>
      <c r="H1" s="51"/>
      <c r="I1" s="51" t="s">
        <v>190</v>
      </c>
      <c r="J1" s="51" t="s">
        <v>189</v>
      </c>
      <c r="K1" s="51" t="s">
        <v>188</v>
      </c>
      <c r="L1" s="51" t="s">
        <v>186</v>
      </c>
      <c r="M1" s="51" t="s">
        <v>187</v>
      </c>
      <c r="N1" s="53" t="s">
        <v>186</v>
      </c>
      <c r="O1" s="51" t="s">
        <v>185</v>
      </c>
    </row>
    <row r="2" spans="1:15" x14ac:dyDescent="0.3">
      <c r="A2" s="53"/>
      <c r="B2" s="53"/>
      <c r="C2" s="53"/>
      <c r="D2" s="53"/>
      <c r="E2" s="53"/>
      <c r="F2" s="53"/>
      <c r="G2" s="55" t="s">
        <v>184</v>
      </c>
      <c r="H2" s="54" t="s">
        <v>183</v>
      </c>
      <c r="I2" s="53"/>
      <c r="J2" s="53"/>
      <c r="K2" s="53"/>
      <c r="L2" s="53"/>
      <c r="M2" s="51"/>
      <c r="N2" s="52"/>
      <c r="O2" s="51"/>
    </row>
    <row r="3" spans="1:15" x14ac:dyDescent="0.3">
      <c r="A3" s="43">
        <v>45292</v>
      </c>
      <c r="B3" s="5" t="s">
        <v>182</v>
      </c>
      <c r="C3" s="5" t="s">
        <v>1</v>
      </c>
      <c r="D3" s="4">
        <f>F3/1.21</f>
        <v>223.14049586776861</v>
      </c>
      <c r="E3" s="4">
        <f>D3*10/100</f>
        <v>22.314049586776861</v>
      </c>
      <c r="F3" s="49">
        <v>270</v>
      </c>
      <c r="G3" s="4">
        <v>50</v>
      </c>
      <c r="H3" s="3">
        <v>220</v>
      </c>
      <c r="I3" s="44" t="s">
        <v>181</v>
      </c>
      <c r="J3" s="4">
        <v>270</v>
      </c>
      <c r="K3" s="4"/>
      <c r="L3" s="5"/>
      <c r="M3" s="35"/>
      <c r="N3" s="34"/>
      <c r="O3" s="34"/>
    </row>
    <row r="4" spans="1:15" x14ac:dyDescent="0.3">
      <c r="A4" s="43">
        <v>45293</v>
      </c>
      <c r="B4" s="5" t="s">
        <v>180</v>
      </c>
      <c r="C4" s="5" t="s">
        <v>1</v>
      </c>
      <c r="D4" s="4">
        <f>F4/1.21</f>
        <v>256.198347107438</v>
      </c>
      <c r="E4" s="4">
        <f>D4*10/100</f>
        <v>25.619834710743799</v>
      </c>
      <c r="F4" s="42">
        <v>310</v>
      </c>
      <c r="G4" s="4">
        <v>50</v>
      </c>
      <c r="H4" s="3">
        <f>F4-G4</f>
        <v>260</v>
      </c>
      <c r="I4" s="44" t="s">
        <v>179</v>
      </c>
      <c r="J4" s="4">
        <v>270</v>
      </c>
      <c r="K4" s="4">
        <v>40</v>
      </c>
      <c r="L4" s="5" t="s">
        <v>14</v>
      </c>
      <c r="M4" s="35"/>
      <c r="N4" s="34"/>
      <c r="O4" s="34"/>
    </row>
    <row r="5" spans="1:15" x14ac:dyDescent="0.3">
      <c r="A5" s="43">
        <v>45293</v>
      </c>
      <c r="B5" s="5" t="s">
        <v>178</v>
      </c>
      <c r="C5" s="5" t="s">
        <v>1</v>
      </c>
      <c r="D5" s="4">
        <f>F5/1.21</f>
        <v>140.49586776859505</v>
      </c>
      <c r="E5" s="4">
        <f>D5*10/100</f>
        <v>14.049586776859506</v>
      </c>
      <c r="F5" s="42">
        <v>170</v>
      </c>
      <c r="G5" s="4">
        <v>50</v>
      </c>
      <c r="H5" s="3">
        <f>F5-G5</f>
        <v>120</v>
      </c>
      <c r="I5" s="44" t="s">
        <v>177</v>
      </c>
      <c r="J5" s="4">
        <v>170</v>
      </c>
      <c r="K5" s="4"/>
      <c r="L5" s="5"/>
      <c r="M5" s="35"/>
      <c r="N5" s="34"/>
      <c r="O5" s="34"/>
    </row>
    <row r="6" spans="1:15" x14ac:dyDescent="0.3">
      <c r="A6" s="43">
        <v>45293</v>
      </c>
      <c r="B6" s="5" t="s">
        <v>176</v>
      </c>
      <c r="C6" s="5" t="s">
        <v>1</v>
      </c>
      <c r="D6" s="4">
        <f>F6/1.21</f>
        <v>115.70247933884298</v>
      </c>
      <c r="E6" s="4">
        <f>D6*10/100</f>
        <v>11.570247933884298</v>
      </c>
      <c r="F6" s="42">
        <v>140</v>
      </c>
      <c r="G6" s="4"/>
      <c r="H6" s="3">
        <f>F6-G6</f>
        <v>140</v>
      </c>
      <c r="I6" s="44" t="s">
        <v>174</v>
      </c>
      <c r="J6" s="4">
        <v>140</v>
      </c>
      <c r="K6" s="4"/>
      <c r="L6" s="5"/>
      <c r="M6" s="35"/>
      <c r="N6" s="34"/>
      <c r="O6" s="34"/>
    </row>
    <row r="7" spans="1:15" x14ac:dyDescent="0.3">
      <c r="A7" s="43">
        <v>45293</v>
      </c>
      <c r="B7" s="5" t="s">
        <v>175</v>
      </c>
      <c r="C7" s="5" t="s">
        <v>1</v>
      </c>
      <c r="D7" s="4">
        <f>F7/1.21</f>
        <v>330.57851239669424</v>
      </c>
      <c r="E7" s="4">
        <f>D7*10/100</f>
        <v>33.057851239669425</v>
      </c>
      <c r="F7" s="42">
        <v>400</v>
      </c>
      <c r="G7" s="4"/>
      <c r="H7" s="3">
        <f>F7-G7</f>
        <v>400</v>
      </c>
      <c r="I7" s="44" t="s">
        <v>174</v>
      </c>
      <c r="J7" s="4">
        <v>400</v>
      </c>
      <c r="K7" s="4"/>
      <c r="L7" s="5"/>
      <c r="M7" s="35"/>
      <c r="N7" s="50"/>
      <c r="O7" s="34"/>
    </row>
    <row r="8" spans="1:15" x14ac:dyDescent="0.3">
      <c r="A8" s="43">
        <v>45297</v>
      </c>
      <c r="B8" s="5" t="s">
        <v>173</v>
      </c>
      <c r="C8" s="5" t="s">
        <v>1</v>
      </c>
      <c r="D8" s="4">
        <f>F8/1.21</f>
        <v>297.52066115702479</v>
      </c>
      <c r="E8" s="4">
        <f>D8*10/100</f>
        <v>29.752066115702476</v>
      </c>
      <c r="F8" s="49">
        <v>360</v>
      </c>
      <c r="G8" s="4">
        <v>50</v>
      </c>
      <c r="H8" s="3">
        <f>F8-G8</f>
        <v>310</v>
      </c>
      <c r="I8" s="44" t="s">
        <v>172</v>
      </c>
      <c r="J8" s="4">
        <v>360</v>
      </c>
      <c r="K8" s="4"/>
      <c r="L8" s="5"/>
      <c r="M8" s="35"/>
      <c r="N8" s="34"/>
      <c r="O8" s="34"/>
    </row>
    <row r="9" spans="1:15" x14ac:dyDescent="0.3">
      <c r="A9" s="43">
        <v>45297</v>
      </c>
      <c r="B9" s="5" t="s">
        <v>171</v>
      </c>
      <c r="C9" s="5" t="s">
        <v>1</v>
      </c>
      <c r="D9" s="4">
        <f>F9/1.21</f>
        <v>181.81818181818181</v>
      </c>
      <c r="E9" s="4">
        <f>D9*10/100</f>
        <v>18.18181818181818</v>
      </c>
      <c r="F9" s="23">
        <v>220</v>
      </c>
      <c r="G9" s="23">
        <v>50</v>
      </c>
      <c r="H9" s="3">
        <f>F9-G9</f>
        <v>170</v>
      </c>
      <c r="I9" s="22" t="s">
        <v>170</v>
      </c>
      <c r="J9" s="4">
        <v>220</v>
      </c>
      <c r="K9" s="4"/>
      <c r="L9" s="5"/>
      <c r="M9" s="35"/>
      <c r="N9" s="34"/>
      <c r="O9" s="34"/>
    </row>
    <row r="10" spans="1:15" x14ac:dyDescent="0.3">
      <c r="A10" s="43">
        <v>45297</v>
      </c>
      <c r="B10" s="5" t="s">
        <v>169</v>
      </c>
      <c r="C10" s="5" t="s">
        <v>1</v>
      </c>
      <c r="D10" s="4">
        <f>F10/1.21</f>
        <v>181.81818181818181</v>
      </c>
      <c r="E10" s="4">
        <f>D10*10/100</f>
        <v>18.18181818181818</v>
      </c>
      <c r="F10" s="23">
        <v>220</v>
      </c>
      <c r="G10" s="23">
        <v>50</v>
      </c>
      <c r="H10" s="3">
        <f>F10-G10</f>
        <v>170</v>
      </c>
      <c r="I10" s="22" t="s">
        <v>168</v>
      </c>
      <c r="J10" s="4">
        <v>220</v>
      </c>
      <c r="K10" s="4"/>
      <c r="L10" s="5"/>
      <c r="M10" s="35"/>
      <c r="N10" s="34"/>
      <c r="O10" s="34"/>
    </row>
    <row r="11" spans="1:15" x14ac:dyDescent="0.3">
      <c r="A11" s="43">
        <v>45297</v>
      </c>
      <c r="B11" s="5" t="s">
        <v>167</v>
      </c>
      <c r="C11" s="5" t="s">
        <v>1</v>
      </c>
      <c r="D11" s="4">
        <f>F11/1.21</f>
        <v>181.81818181818181</v>
      </c>
      <c r="E11" s="4">
        <f>D11*10/100</f>
        <v>18.18181818181818</v>
      </c>
      <c r="F11" s="23">
        <v>220</v>
      </c>
      <c r="G11" s="23">
        <v>50</v>
      </c>
      <c r="H11" s="3">
        <f>F11-G11</f>
        <v>170</v>
      </c>
      <c r="I11" s="22" t="s">
        <v>166</v>
      </c>
      <c r="J11" s="4">
        <v>220</v>
      </c>
      <c r="K11" s="4"/>
      <c r="L11" s="5"/>
      <c r="M11" s="35"/>
      <c r="N11" s="34"/>
      <c r="O11" s="34"/>
    </row>
    <row r="12" spans="1:15" x14ac:dyDescent="0.3">
      <c r="A12" s="43">
        <v>45297</v>
      </c>
      <c r="B12" s="5" t="s">
        <v>165</v>
      </c>
      <c r="C12" s="5" t="s">
        <v>1</v>
      </c>
      <c r="D12" s="4">
        <f>F12/1.21</f>
        <v>107.43801652892563</v>
      </c>
      <c r="E12" s="4">
        <f>D12*10/100</f>
        <v>10.743801652892563</v>
      </c>
      <c r="F12" s="23">
        <v>130</v>
      </c>
      <c r="G12" s="23"/>
      <c r="H12" s="3">
        <f>F12-G12</f>
        <v>130</v>
      </c>
      <c r="I12" s="22" t="s">
        <v>5</v>
      </c>
      <c r="J12" s="4">
        <v>130</v>
      </c>
      <c r="K12" s="4"/>
      <c r="L12" s="5"/>
      <c r="M12" s="35"/>
      <c r="N12" s="34"/>
      <c r="O12" s="34"/>
    </row>
    <row r="13" spans="1:15" x14ac:dyDescent="0.3">
      <c r="A13" s="43">
        <v>45297</v>
      </c>
      <c r="B13" s="5" t="s">
        <v>164</v>
      </c>
      <c r="C13" s="5" t="s">
        <v>1</v>
      </c>
      <c r="D13" s="4">
        <f>F13/1.21</f>
        <v>107.43801652892563</v>
      </c>
      <c r="E13" s="4">
        <f>D13*10/100</f>
        <v>10.743801652892563</v>
      </c>
      <c r="F13" s="23">
        <v>130</v>
      </c>
      <c r="G13" s="23"/>
      <c r="H13" s="3">
        <f>F13-G13</f>
        <v>130</v>
      </c>
      <c r="I13" s="22" t="s">
        <v>5</v>
      </c>
      <c r="J13" s="4">
        <v>130</v>
      </c>
      <c r="K13" s="4"/>
      <c r="L13" s="5"/>
      <c r="M13" s="35"/>
      <c r="N13" s="34"/>
      <c r="O13" s="34"/>
    </row>
    <row r="14" spans="1:15" x14ac:dyDescent="0.3">
      <c r="A14" s="43">
        <v>45297</v>
      </c>
      <c r="B14" s="5" t="s">
        <v>163</v>
      </c>
      <c r="C14" s="5" t="s">
        <v>1</v>
      </c>
      <c r="D14" s="4">
        <f>F14/1.21</f>
        <v>165.28925619834712</v>
      </c>
      <c r="E14" s="4">
        <f>D14*10/100</f>
        <v>16.528925619834713</v>
      </c>
      <c r="F14" s="23">
        <v>200</v>
      </c>
      <c r="G14" s="23">
        <v>200</v>
      </c>
      <c r="H14" s="3">
        <f>F14-G14</f>
        <v>0</v>
      </c>
      <c r="I14" s="22" t="s">
        <v>5</v>
      </c>
      <c r="J14" s="4">
        <v>200</v>
      </c>
      <c r="K14" s="4"/>
      <c r="L14" s="5"/>
      <c r="M14" s="35"/>
      <c r="N14" s="34"/>
      <c r="O14" s="34"/>
    </row>
    <row r="15" spans="1:15" x14ac:dyDescent="0.3">
      <c r="A15" s="43">
        <v>45297</v>
      </c>
      <c r="B15" s="5" t="s">
        <v>162</v>
      </c>
      <c r="C15" s="5" t="s">
        <v>1</v>
      </c>
      <c r="D15" s="4">
        <f>F15/1.21</f>
        <v>272.72727272727275</v>
      </c>
      <c r="E15" s="4">
        <f>D15*10/100</f>
        <v>27.272727272727273</v>
      </c>
      <c r="F15" s="23">
        <v>330</v>
      </c>
      <c r="G15" s="23">
        <v>50</v>
      </c>
      <c r="H15" s="3">
        <f>F15-G15</f>
        <v>280</v>
      </c>
      <c r="I15" s="22" t="s">
        <v>161</v>
      </c>
      <c r="J15" s="4">
        <v>270</v>
      </c>
      <c r="K15" s="4">
        <v>20</v>
      </c>
      <c r="L15" s="5" t="s">
        <v>7</v>
      </c>
      <c r="M15" s="35">
        <v>40</v>
      </c>
      <c r="N15" s="34" t="s">
        <v>14</v>
      </c>
      <c r="O15" s="34"/>
    </row>
    <row r="16" spans="1:15" x14ac:dyDescent="0.3">
      <c r="A16" s="43">
        <v>45298</v>
      </c>
      <c r="B16" s="5" t="s">
        <v>160</v>
      </c>
      <c r="C16" s="5" t="s">
        <v>1</v>
      </c>
      <c r="D16" s="4">
        <f>F16/1.21</f>
        <v>173.55371900826447</v>
      </c>
      <c r="E16" s="4">
        <f>D16*10/100</f>
        <v>17.355371900826448</v>
      </c>
      <c r="F16" s="23">
        <v>210</v>
      </c>
      <c r="G16" s="23">
        <v>50</v>
      </c>
      <c r="H16" s="3">
        <f>F16-G16</f>
        <v>160</v>
      </c>
      <c r="I16" s="22" t="s">
        <v>159</v>
      </c>
      <c r="J16" s="4">
        <v>170</v>
      </c>
      <c r="K16" s="4">
        <v>30</v>
      </c>
      <c r="L16" s="5" t="s">
        <v>7</v>
      </c>
      <c r="M16" s="48"/>
      <c r="N16" s="34"/>
      <c r="O16" s="34"/>
    </row>
    <row r="17" spans="1:15" x14ac:dyDescent="0.3">
      <c r="A17" s="43">
        <v>45298</v>
      </c>
      <c r="B17" s="5" t="s">
        <v>158</v>
      </c>
      <c r="C17" s="5" t="s">
        <v>1</v>
      </c>
      <c r="D17" s="4">
        <f>F17/1.21</f>
        <v>140.49586776859505</v>
      </c>
      <c r="E17" s="4">
        <f>D17*10/100</f>
        <v>14.049586776859506</v>
      </c>
      <c r="F17" s="23">
        <v>170</v>
      </c>
      <c r="G17" s="23">
        <v>50</v>
      </c>
      <c r="H17" s="3">
        <f>F17-G17</f>
        <v>120</v>
      </c>
      <c r="I17" s="22" t="s">
        <v>157</v>
      </c>
      <c r="J17" s="4">
        <v>170</v>
      </c>
      <c r="K17" s="4"/>
      <c r="L17" s="5"/>
      <c r="M17" s="35"/>
      <c r="N17" s="34"/>
      <c r="O17" s="34"/>
    </row>
    <row r="18" spans="1:15" x14ac:dyDescent="0.3">
      <c r="A18" s="43">
        <v>45301</v>
      </c>
      <c r="B18" s="5" t="s">
        <v>156</v>
      </c>
      <c r="C18" s="5" t="s">
        <v>1</v>
      </c>
      <c r="D18" s="4">
        <f>F18/1.21</f>
        <v>283.47107438016531</v>
      </c>
      <c r="E18" s="4">
        <f>D18*10/100</f>
        <v>28.347107438016529</v>
      </c>
      <c r="F18" s="23">
        <v>343</v>
      </c>
      <c r="G18" s="23">
        <v>50</v>
      </c>
      <c r="H18" s="3">
        <f>F18-G18</f>
        <v>293</v>
      </c>
      <c r="I18" s="22" t="s">
        <v>155</v>
      </c>
      <c r="J18" s="4">
        <v>220</v>
      </c>
      <c r="K18" s="4">
        <v>40</v>
      </c>
      <c r="L18" s="5" t="s">
        <v>14</v>
      </c>
      <c r="M18" s="35">
        <v>83</v>
      </c>
      <c r="N18" s="34" t="s">
        <v>154</v>
      </c>
      <c r="O18" s="34"/>
    </row>
    <row r="19" spans="1:15" x14ac:dyDescent="0.3">
      <c r="A19" s="43">
        <v>45303</v>
      </c>
      <c r="B19" s="5" t="s">
        <v>153</v>
      </c>
      <c r="C19" s="5" t="s">
        <v>1</v>
      </c>
      <c r="D19" s="4">
        <f>F19/1.21</f>
        <v>148.7603305785124</v>
      </c>
      <c r="E19" s="4">
        <f>D19*10/100</f>
        <v>14.876033057851238</v>
      </c>
      <c r="F19" s="23">
        <v>180</v>
      </c>
      <c r="G19" s="23"/>
      <c r="H19" s="3">
        <f>F19-G19</f>
        <v>180</v>
      </c>
      <c r="I19" s="22" t="s">
        <v>5</v>
      </c>
      <c r="J19" s="4">
        <v>180</v>
      </c>
      <c r="K19" s="4"/>
      <c r="L19" s="5"/>
      <c r="M19" s="35"/>
      <c r="N19" s="34"/>
      <c r="O19" s="34"/>
    </row>
    <row r="20" spans="1:15" x14ac:dyDescent="0.3">
      <c r="A20" s="43">
        <v>45303</v>
      </c>
      <c r="B20" s="5" t="s">
        <v>152</v>
      </c>
      <c r="C20" s="5" t="s">
        <v>1</v>
      </c>
      <c r="D20" s="4">
        <f>F20/1.21</f>
        <v>247.93388429752068</v>
      </c>
      <c r="E20" s="4">
        <f>D20*10/100</f>
        <v>24.793388429752067</v>
      </c>
      <c r="F20" s="23">
        <v>300</v>
      </c>
      <c r="G20" s="23">
        <v>50</v>
      </c>
      <c r="H20" s="3">
        <f>F20-G20</f>
        <v>250</v>
      </c>
      <c r="I20" s="22" t="s">
        <v>151</v>
      </c>
      <c r="J20" s="4">
        <v>270</v>
      </c>
      <c r="K20" s="4">
        <v>30</v>
      </c>
      <c r="L20" s="5" t="s">
        <v>7</v>
      </c>
      <c r="M20" s="35"/>
      <c r="N20" s="34"/>
      <c r="O20" s="34"/>
    </row>
    <row r="21" spans="1:15" x14ac:dyDescent="0.3">
      <c r="A21" s="43">
        <v>45303</v>
      </c>
      <c r="B21" s="5" t="s">
        <v>150</v>
      </c>
      <c r="C21" s="5" t="s">
        <v>1</v>
      </c>
      <c r="D21" s="4">
        <f>F21/1.21</f>
        <v>148.7603305785124</v>
      </c>
      <c r="E21" s="4">
        <f>D21*10/100</f>
        <v>14.876033057851238</v>
      </c>
      <c r="F21" s="23">
        <v>180</v>
      </c>
      <c r="G21" s="27"/>
      <c r="H21" s="3">
        <f>F21-G21</f>
        <v>180</v>
      </c>
      <c r="I21" s="22" t="s">
        <v>5</v>
      </c>
      <c r="J21" s="4">
        <v>180</v>
      </c>
      <c r="K21" s="4"/>
      <c r="L21" s="5"/>
      <c r="M21" s="35"/>
      <c r="N21" s="34"/>
      <c r="O21" s="34"/>
    </row>
    <row r="22" spans="1:15" x14ac:dyDescent="0.3">
      <c r="A22" s="43">
        <v>45303</v>
      </c>
      <c r="B22" s="5" t="s">
        <v>149</v>
      </c>
      <c r="C22" s="5" t="s">
        <v>1</v>
      </c>
      <c r="D22" s="4">
        <f>F22/1.21</f>
        <v>239.6694214876033</v>
      </c>
      <c r="E22" s="4">
        <f>D22*10/100</f>
        <v>23.966942148760332</v>
      </c>
      <c r="F22" s="23">
        <v>290</v>
      </c>
      <c r="G22" s="4">
        <v>50</v>
      </c>
      <c r="H22" s="3">
        <f>F22-G22</f>
        <v>240</v>
      </c>
      <c r="I22" s="22" t="s">
        <v>148</v>
      </c>
      <c r="J22" s="4">
        <v>270</v>
      </c>
      <c r="K22" s="4">
        <v>20</v>
      </c>
      <c r="L22" s="5" t="s">
        <v>7</v>
      </c>
      <c r="M22" s="35"/>
      <c r="N22" s="34"/>
      <c r="O22" s="34"/>
    </row>
    <row r="23" spans="1:15" x14ac:dyDescent="0.3">
      <c r="A23" s="43">
        <v>45303</v>
      </c>
      <c r="B23" s="5" t="s">
        <v>147</v>
      </c>
      <c r="C23" s="5" t="s">
        <v>1</v>
      </c>
      <c r="D23" s="4">
        <f>F23/1.21</f>
        <v>223.14049586776861</v>
      </c>
      <c r="E23" s="4">
        <f>D23*10/100</f>
        <v>22.314049586776861</v>
      </c>
      <c r="F23" s="23">
        <v>270</v>
      </c>
      <c r="G23" s="4">
        <v>50</v>
      </c>
      <c r="H23" s="3">
        <f>F23-G23</f>
        <v>220</v>
      </c>
      <c r="I23" s="22" t="s">
        <v>146</v>
      </c>
      <c r="J23" s="4">
        <v>270</v>
      </c>
      <c r="K23" s="4"/>
      <c r="L23" s="5"/>
      <c r="M23" s="35"/>
      <c r="N23" s="34"/>
      <c r="O23" s="34"/>
    </row>
    <row r="24" spans="1:15" x14ac:dyDescent="0.3">
      <c r="A24" s="43">
        <v>45303</v>
      </c>
      <c r="B24" s="5" t="s">
        <v>145</v>
      </c>
      <c r="C24" s="5" t="s">
        <v>1</v>
      </c>
      <c r="D24" s="4">
        <f>F24/1.21</f>
        <v>256.198347107438</v>
      </c>
      <c r="E24" s="4">
        <f>D24*10/100</f>
        <v>25.619834710743799</v>
      </c>
      <c r="F24" s="23">
        <v>310</v>
      </c>
      <c r="G24" s="4">
        <v>50</v>
      </c>
      <c r="H24" s="3">
        <f>F24-G24</f>
        <v>260</v>
      </c>
      <c r="I24" s="22" t="s">
        <v>144</v>
      </c>
      <c r="J24" s="4">
        <v>270</v>
      </c>
      <c r="K24" s="4">
        <v>40</v>
      </c>
      <c r="L24" s="5" t="s">
        <v>14</v>
      </c>
      <c r="M24" s="35"/>
      <c r="N24" s="34"/>
      <c r="O24" s="34"/>
    </row>
    <row r="25" spans="1:15" x14ac:dyDescent="0.3">
      <c r="A25" s="43">
        <v>45303</v>
      </c>
      <c r="B25" s="5" t="s">
        <v>143</v>
      </c>
      <c r="C25" s="5" t="s">
        <v>1</v>
      </c>
      <c r="D25" s="4">
        <f>F25/1.21</f>
        <v>148.7603305785124</v>
      </c>
      <c r="E25" s="4">
        <f>D25*10/100</f>
        <v>14.876033057851238</v>
      </c>
      <c r="F25" s="23">
        <v>180</v>
      </c>
      <c r="G25" s="4"/>
      <c r="H25" s="3">
        <f>F25-G25</f>
        <v>180</v>
      </c>
      <c r="I25" s="22" t="s">
        <v>5</v>
      </c>
      <c r="J25" s="4">
        <v>180</v>
      </c>
      <c r="K25" s="4"/>
      <c r="L25" s="5"/>
      <c r="M25" s="35"/>
      <c r="N25" s="34"/>
      <c r="O25" s="34"/>
    </row>
    <row r="26" spans="1:15" x14ac:dyDescent="0.3">
      <c r="A26" s="43">
        <v>45303</v>
      </c>
      <c r="B26" s="5" t="s">
        <v>142</v>
      </c>
      <c r="C26" s="5" t="s">
        <v>1</v>
      </c>
      <c r="D26" s="4">
        <f>F26/1.21</f>
        <v>132.2314049586777</v>
      </c>
      <c r="E26" s="4">
        <f>D26*10/100</f>
        <v>13.223140495867769</v>
      </c>
      <c r="F26" s="42">
        <v>160</v>
      </c>
      <c r="G26" s="4"/>
      <c r="H26" s="3">
        <f>F26-G26</f>
        <v>160</v>
      </c>
      <c r="I26" s="22" t="s">
        <v>5</v>
      </c>
      <c r="J26" s="4">
        <v>160</v>
      </c>
      <c r="K26" s="4"/>
      <c r="L26" s="5"/>
      <c r="M26" s="47"/>
      <c r="N26" s="38"/>
      <c r="O26" s="38"/>
    </row>
    <row r="27" spans="1:15" x14ac:dyDescent="0.3">
      <c r="A27" s="43">
        <v>45303</v>
      </c>
      <c r="B27" s="5" t="s">
        <v>141</v>
      </c>
      <c r="C27" s="5" t="s">
        <v>1</v>
      </c>
      <c r="D27" s="4">
        <f>F27/1.21</f>
        <v>140.49586776859505</v>
      </c>
      <c r="E27" s="4">
        <f>D27*10/100</f>
        <v>14.049586776859506</v>
      </c>
      <c r="F27" s="42">
        <v>170</v>
      </c>
      <c r="G27" s="4">
        <v>50</v>
      </c>
      <c r="H27" s="3">
        <f>F27-G27</f>
        <v>120</v>
      </c>
      <c r="I27" s="22" t="s">
        <v>140</v>
      </c>
      <c r="J27" s="4">
        <v>170</v>
      </c>
      <c r="K27" s="46"/>
      <c r="L27" s="45"/>
      <c r="M27" s="35"/>
      <c r="N27" s="34"/>
      <c r="O27" s="34"/>
    </row>
    <row r="28" spans="1:15" x14ac:dyDescent="0.3">
      <c r="A28" s="43">
        <v>45303</v>
      </c>
      <c r="B28" s="5" t="s">
        <v>139</v>
      </c>
      <c r="C28" s="5" t="s">
        <v>1</v>
      </c>
      <c r="D28" s="4">
        <f>F28/1.21</f>
        <v>442.14876033057851</v>
      </c>
      <c r="E28" s="4">
        <f>D28*10/100</f>
        <v>44.214876033057855</v>
      </c>
      <c r="F28" s="42">
        <v>535</v>
      </c>
      <c r="G28" s="4">
        <v>100</v>
      </c>
      <c r="H28" s="3">
        <f>F28-G28</f>
        <v>435</v>
      </c>
      <c r="I28" s="44" t="s">
        <v>138</v>
      </c>
      <c r="J28" s="4">
        <v>270</v>
      </c>
      <c r="K28" s="4">
        <v>40</v>
      </c>
      <c r="L28" s="45" t="s">
        <v>14</v>
      </c>
      <c r="M28" s="35">
        <v>225</v>
      </c>
      <c r="N28" s="34" t="s">
        <v>137</v>
      </c>
      <c r="O28" s="34"/>
    </row>
    <row r="29" spans="1:15" x14ac:dyDescent="0.3">
      <c r="A29" s="43">
        <v>45303</v>
      </c>
      <c r="B29" s="5" t="s">
        <v>136</v>
      </c>
      <c r="C29" s="5" t="s">
        <v>1</v>
      </c>
      <c r="D29" s="4">
        <f>F29/1.21</f>
        <v>140.49586776859505</v>
      </c>
      <c r="E29" s="4">
        <f>D29*10/100</f>
        <v>14.049586776859506</v>
      </c>
      <c r="F29" s="42">
        <v>170</v>
      </c>
      <c r="G29" s="4">
        <v>50</v>
      </c>
      <c r="H29" s="3">
        <f>F29-G29</f>
        <v>120</v>
      </c>
      <c r="I29" s="5" t="s">
        <v>135</v>
      </c>
      <c r="J29" s="4">
        <v>170</v>
      </c>
      <c r="K29" s="4"/>
      <c r="L29" s="5"/>
      <c r="M29" s="35"/>
      <c r="N29" s="34"/>
      <c r="O29" s="34"/>
    </row>
    <row r="30" spans="1:15" x14ac:dyDescent="0.3">
      <c r="A30" s="43">
        <v>45303</v>
      </c>
      <c r="B30" s="5" t="s">
        <v>134</v>
      </c>
      <c r="C30" s="5" t="s">
        <v>1</v>
      </c>
      <c r="D30" s="4">
        <f>F30/1.21</f>
        <v>198.34710743801654</v>
      </c>
      <c r="E30" s="4">
        <f>D30*10/100</f>
        <v>19.834710743801654</v>
      </c>
      <c r="F30" s="42">
        <v>240</v>
      </c>
      <c r="G30" s="4">
        <v>50</v>
      </c>
      <c r="H30" s="3">
        <f>F30-G30</f>
        <v>190</v>
      </c>
      <c r="I30" s="22" t="s">
        <v>133</v>
      </c>
      <c r="J30" s="4">
        <v>240</v>
      </c>
      <c r="K30" s="4"/>
      <c r="L30" s="5"/>
      <c r="M30" s="35"/>
      <c r="N30" s="34"/>
      <c r="O30" s="34"/>
    </row>
    <row r="31" spans="1:15" x14ac:dyDescent="0.3">
      <c r="A31" s="43">
        <v>45303</v>
      </c>
      <c r="B31" s="5" t="s">
        <v>132</v>
      </c>
      <c r="C31" s="5" t="s">
        <v>1</v>
      </c>
      <c r="D31" s="4">
        <f>F31/1.21</f>
        <v>115.70247933884298</v>
      </c>
      <c r="E31" s="4">
        <f>D31*10/100</f>
        <v>11.570247933884298</v>
      </c>
      <c r="F31" s="42">
        <v>140</v>
      </c>
      <c r="G31" s="4"/>
      <c r="H31" s="3">
        <f>F31-G31</f>
        <v>140</v>
      </c>
      <c r="I31" s="22" t="s">
        <v>5</v>
      </c>
      <c r="J31" s="4">
        <v>140</v>
      </c>
      <c r="K31" s="4"/>
      <c r="L31" s="5"/>
      <c r="M31" s="35"/>
      <c r="N31" s="34"/>
      <c r="O31" s="34"/>
    </row>
    <row r="32" spans="1:15" x14ac:dyDescent="0.3">
      <c r="A32" s="43">
        <v>45303</v>
      </c>
      <c r="B32" s="5" t="s">
        <v>131</v>
      </c>
      <c r="C32" s="5" t="s">
        <v>1</v>
      </c>
      <c r="D32" s="4">
        <f>F32/1.21</f>
        <v>157.02479338842977</v>
      </c>
      <c r="E32" s="4">
        <f>D32*10/100</f>
        <v>15.702479338842977</v>
      </c>
      <c r="F32" s="42">
        <v>190</v>
      </c>
      <c r="G32" s="4">
        <v>50</v>
      </c>
      <c r="H32" s="3">
        <f>F32-G32</f>
        <v>140</v>
      </c>
      <c r="I32" s="44" t="s">
        <v>130</v>
      </c>
      <c r="J32" s="4">
        <v>170</v>
      </c>
      <c r="K32" s="4">
        <v>20</v>
      </c>
      <c r="L32" s="5" t="s">
        <v>7</v>
      </c>
      <c r="M32" s="35"/>
      <c r="N32" s="34"/>
      <c r="O32" s="34"/>
    </row>
    <row r="33" spans="1:15" x14ac:dyDescent="0.3">
      <c r="A33" s="43">
        <v>45304</v>
      </c>
      <c r="B33" s="5" t="s">
        <v>129</v>
      </c>
      <c r="C33" s="5" t="s">
        <v>1</v>
      </c>
      <c r="D33" s="4">
        <f>F33/1.21</f>
        <v>148.7603305785124</v>
      </c>
      <c r="E33" s="4">
        <f>D33*10/100</f>
        <v>14.876033057851238</v>
      </c>
      <c r="F33" s="42">
        <v>180</v>
      </c>
      <c r="G33" s="4"/>
      <c r="H33" s="3">
        <f>F33-G33</f>
        <v>180</v>
      </c>
      <c r="I33" s="44" t="s">
        <v>5</v>
      </c>
      <c r="J33" s="4">
        <v>180</v>
      </c>
      <c r="K33" s="4"/>
      <c r="L33" s="5"/>
      <c r="M33" s="35"/>
      <c r="N33" s="34"/>
      <c r="O33" s="34"/>
    </row>
    <row r="34" spans="1:15" x14ac:dyDescent="0.3">
      <c r="A34" s="43">
        <v>45304</v>
      </c>
      <c r="B34" s="5" t="s">
        <v>128</v>
      </c>
      <c r="C34" s="5" t="s">
        <v>1</v>
      </c>
      <c r="D34" s="4">
        <f>F34/1.21</f>
        <v>123.96694214876034</v>
      </c>
      <c r="E34" s="4">
        <f>D34*10/100</f>
        <v>12.396694214876034</v>
      </c>
      <c r="F34" s="42">
        <v>150</v>
      </c>
      <c r="G34" s="4"/>
      <c r="H34" s="3">
        <f>F34-G34</f>
        <v>150</v>
      </c>
      <c r="I34" s="44" t="s">
        <v>5</v>
      </c>
      <c r="J34" s="4">
        <v>150</v>
      </c>
      <c r="K34" s="4"/>
      <c r="L34" s="5"/>
      <c r="M34" s="35"/>
      <c r="N34" s="34"/>
      <c r="O34" s="34"/>
    </row>
    <row r="35" spans="1:15" x14ac:dyDescent="0.3">
      <c r="A35" s="43">
        <v>45304</v>
      </c>
      <c r="B35" s="5" t="s">
        <v>127</v>
      </c>
      <c r="C35" s="5" t="s">
        <v>1</v>
      </c>
      <c r="D35" s="4">
        <f>F35/1.21</f>
        <v>173.55371900826447</v>
      </c>
      <c r="E35" s="4">
        <f>D35*10/100</f>
        <v>17.355371900826448</v>
      </c>
      <c r="F35" s="42">
        <v>210</v>
      </c>
      <c r="G35" s="4">
        <v>50</v>
      </c>
      <c r="H35" s="3">
        <f>F35-G35</f>
        <v>160</v>
      </c>
      <c r="I35" s="44" t="s">
        <v>126</v>
      </c>
      <c r="J35" s="4">
        <v>170</v>
      </c>
      <c r="K35" s="4">
        <v>40</v>
      </c>
      <c r="L35" s="5" t="s">
        <v>14</v>
      </c>
      <c r="M35" s="35"/>
      <c r="N35" s="34"/>
      <c r="O35" s="34"/>
    </row>
    <row r="36" spans="1:15" x14ac:dyDescent="0.3">
      <c r="A36" s="43">
        <v>45304</v>
      </c>
      <c r="B36" s="5" t="s">
        <v>125</v>
      </c>
      <c r="C36" s="5" t="s">
        <v>1</v>
      </c>
      <c r="D36" s="4">
        <f>F36/1.21</f>
        <v>157.02479338842977</v>
      </c>
      <c r="E36" s="4">
        <f>D36*10/100</f>
        <v>15.702479338842977</v>
      </c>
      <c r="F36" s="42">
        <v>190</v>
      </c>
      <c r="G36" s="4">
        <v>50</v>
      </c>
      <c r="H36" s="3">
        <f>F36-G36</f>
        <v>140</v>
      </c>
      <c r="I36" s="22" t="s">
        <v>124</v>
      </c>
      <c r="J36" s="4">
        <v>170</v>
      </c>
      <c r="K36" s="4">
        <v>20</v>
      </c>
      <c r="L36" s="5" t="s">
        <v>7</v>
      </c>
      <c r="M36" s="35"/>
      <c r="N36" s="34"/>
      <c r="O36" s="34"/>
    </row>
    <row r="37" spans="1:15" x14ac:dyDescent="0.3">
      <c r="A37" s="43">
        <v>45304</v>
      </c>
      <c r="B37" s="5" t="s">
        <v>123</v>
      </c>
      <c r="C37" s="5" t="s">
        <v>1</v>
      </c>
      <c r="D37" s="4">
        <f>F37/1.21</f>
        <v>148.7603305785124</v>
      </c>
      <c r="E37" s="4">
        <f>D37*10/100</f>
        <v>14.876033057851238</v>
      </c>
      <c r="F37" s="42">
        <v>180</v>
      </c>
      <c r="G37" s="4"/>
      <c r="H37" s="3">
        <f>F37-G37</f>
        <v>180</v>
      </c>
      <c r="I37" s="22" t="s">
        <v>5</v>
      </c>
      <c r="J37" s="4">
        <v>180</v>
      </c>
      <c r="K37" s="4"/>
      <c r="L37" s="5"/>
      <c r="M37" s="35"/>
      <c r="N37" s="34"/>
      <c r="O37" s="34"/>
    </row>
    <row r="38" spans="1:15" x14ac:dyDescent="0.3">
      <c r="A38" s="26">
        <v>45305</v>
      </c>
      <c r="B38" s="5" t="s">
        <v>122</v>
      </c>
      <c r="C38" s="5" t="s">
        <v>1</v>
      </c>
      <c r="D38" s="4">
        <f>F38/1.21</f>
        <v>243.801652892562</v>
      </c>
      <c r="E38" s="4">
        <f>D38*10/100</f>
        <v>24.380165289256201</v>
      </c>
      <c r="F38" s="23">
        <v>295</v>
      </c>
      <c r="G38" s="23"/>
      <c r="H38" s="3">
        <f>F38-G38</f>
        <v>295</v>
      </c>
      <c r="I38" s="22" t="s">
        <v>121</v>
      </c>
      <c r="J38" s="4">
        <v>295</v>
      </c>
      <c r="K38" s="41"/>
      <c r="L38" s="5"/>
      <c r="M38" s="35"/>
      <c r="N38" s="34"/>
      <c r="O38" s="34"/>
    </row>
    <row r="39" spans="1:15" x14ac:dyDescent="0.3">
      <c r="A39" s="26">
        <v>45305</v>
      </c>
      <c r="B39" s="5" t="s">
        <v>120</v>
      </c>
      <c r="C39" s="5" t="s">
        <v>1</v>
      </c>
      <c r="D39" s="4">
        <f>F39/1.21</f>
        <v>165.28925619834712</v>
      </c>
      <c r="E39" s="4">
        <f>D39*10/100</f>
        <v>16.528925619834713</v>
      </c>
      <c r="F39" s="23">
        <v>200</v>
      </c>
      <c r="G39" s="23"/>
      <c r="H39" s="3">
        <f>F39-G39</f>
        <v>200</v>
      </c>
      <c r="I39" s="22" t="s">
        <v>5</v>
      </c>
      <c r="J39" s="4">
        <v>200</v>
      </c>
      <c r="K39" s="4"/>
      <c r="L39" s="5"/>
      <c r="M39" s="35"/>
      <c r="N39" s="34"/>
      <c r="O39" s="34"/>
    </row>
    <row r="40" spans="1:15" x14ac:dyDescent="0.3">
      <c r="A40" s="26">
        <v>45305</v>
      </c>
      <c r="B40" s="5" t="s">
        <v>119</v>
      </c>
      <c r="C40" s="5" t="s">
        <v>1</v>
      </c>
      <c r="D40" s="4">
        <f>F40/1.21</f>
        <v>173.55371900826447</v>
      </c>
      <c r="E40" s="4">
        <f>D40*10/100</f>
        <v>17.355371900826448</v>
      </c>
      <c r="F40" s="23">
        <v>210</v>
      </c>
      <c r="G40" s="23">
        <v>50</v>
      </c>
      <c r="H40" s="3">
        <f>F40-G40</f>
        <v>160</v>
      </c>
      <c r="I40" s="22" t="s">
        <v>118</v>
      </c>
      <c r="J40" s="4">
        <v>160</v>
      </c>
      <c r="K40" s="4">
        <v>40</v>
      </c>
      <c r="L40" s="5" t="s">
        <v>14</v>
      </c>
      <c r="M40" s="35"/>
      <c r="N40" s="34"/>
      <c r="O40" s="34"/>
    </row>
    <row r="41" spans="1:15" x14ac:dyDescent="0.3">
      <c r="A41" s="26">
        <v>45306</v>
      </c>
      <c r="B41" s="5" t="s">
        <v>117</v>
      </c>
      <c r="C41" s="5" t="s">
        <v>1</v>
      </c>
      <c r="D41" s="4">
        <f>F41/1.21</f>
        <v>157.02479338842977</v>
      </c>
      <c r="E41" s="4">
        <f>D41*10/100</f>
        <v>15.702479338842977</v>
      </c>
      <c r="F41" s="23">
        <v>190</v>
      </c>
      <c r="G41" s="23"/>
      <c r="H41" s="3">
        <f>F41-G41</f>
        <v>190</v>
      </c>
      <c r="I41" s="22" t="s">
        <v>5</v>
      </c>
      <c r="J41" s="4">
        <v>190</v>
      </c>
      <c r="K41" s="4"/>
      <c r="L41" s="5"/>
      <c r="M41" s="35"/>
      <c r="N41" s="34"/>
      <c r="O41" s="34"/>
    </row>
    <row r="42" spans="1:15" x14ac:dyDescent="0.3">
      <c r="A42" s="26">
        <v>45309</v>
      </c>
      <c r="B42" s="5" t="s">
        <v>116</v>
      </c>
      <c r="C42" s="5" t="s">
        <v>1</v>
      </c>
      <c r="D42" s="4">
        <f>F42/1.21</f>
        <v>115.70247933884298</v>
      </c>
      <c r="E42" s="4">
        <f>D42*10/100</f>
        <v>11.570247933884298</v>
      </c>
      <c r="F42" s="23">
        <v>140</v>
      </c>
      <c r="G42" s="23"/>
      <c r="H42" s="3">
        <f>F42-G42</f>
        <v>140</v>
      </c>
      <c r="I42" s="22" t="s">
        <v>5</v>
      </c>
      <c r="J42" s="4">
        <v>140</v>
      </c>
      <c r="K42" s="4"/>
      <c r="L42" s="5"/>
      <c r="M42" s="35"/>
      <c r="N42" s="34"/>
      <c r="O42" s="34"/>
    </row>
    <row r="43" spans="1:15" x14ac:dyDescent="0.3">
      <c r="A43" s="26">
        <v>45309</v>
      </c>
      <c r="B43" s="5" t="s">
        <v>115</v>
      </c>
      <c r="C43" s="5" t="s">
        <v>1</v>
      </c>
      <c r="D43" s="4">
        <f>F43/1.21</f>
        <v>322.31404958677689</v>
      </c>
      <c r="E43" s="4">
        <f>D43*10/100</f>
        <v>32.231404958677693</v>
      </c>
      <c r="F43" s="23">
        <v>390</v>
      </c>
      <c r="G43" s="23"/>
      <c r="H43" s="3">
        <f>F43-G43</f>
        <v>390</v>
      </c>
      <c r="I43" s="22" t="s">
        <v>5</v>
      </c>
      <c r="J43" s="4">
        <v>390</v>
      </c>
      <c r="K43" s="4"/>
      <c r="L43" s="5"/>
      <c r="M43" s="35"/>
      <c r="N43" s="34"/>
      <c r="O43" s="34"/>
    </row>
    <row r="44" spans="1:15" x14ac:dyDescent="0.3">
      <c r="A44" s="26">
        <v>45310</v>
      </c>
      <c r="B44" s="5" t="s">
        <v>114</v>
      </c>
      <c r="C44" s="5" t="s">
        <v>1</v>
      </c>
      <c r="D44" s="4">
        <f>F44/1.21</f>
        <v>173.55371900826447</v>
      </c>
      <c r="E44" s="4">
        <f>D44*10/100</f>
        <v>17.355371900826448</v>
      </c>
      <c r="F44" s="23">
        <v>210</v>
      </c>
      <c r="G44" s="23">
        <v>50</v>
      </c>
      <c r="H44" s="3">
        <f>F44-G44</f>
        <v>160</v>
      </c>
      <c r="I44" s="22" t="s">
        <v>113</v>
      </c>
      <c r="J44" s="4">
        <v>210</v>
      </c>
      <c r="K44" s="4"/>
      <c r="L44" s="5"/>
      <c r="M44" s="35"/>
      <c r="N44" s="34"/>
      <c r="O44" s="34"/>
    </row>
    <row r="45" spans="1:15" x14ac:dyDescent="0.3">
      <c r="A45" s="26">
        <v>45310</v>
      </c>
      <c r="B45" s="5" t="s">
        <v>112</v>
      </c>
      <c r="C45" s="5" t="s">
        <v>1</v>
      </c>
      <c r="D45" s="4">
        <f>F45/1.21</f>
        <v>297.52066115702479</v>
      </c>
      <c r="E45" s="4">
        <f>D45*10/100</f>
        <v>29.752066115702476</v>
      </c>
      <c r="F45" s="23">
        <v>360</v>
      </c>
      <c r="G45" s="23"/>
      <c r="H45" s="3">
        <f>F45-G45</f>
        <v>360</v>
      </c>
      <c r="I45" s="22" t="s">
        <v>5</v>
      </c>
      <c r="J45" s="4">
        <v>360</v>
      </c>
      <c r="K45" s="4"/>
      <c r="L45" s="5"/>
      <c r="M45" s="35"/>
      <c r="N45" s="34"/>
      <c r="O45" s="34"/>
    </row>
    <row r="46" spans="1:15" x14ac:dyDescent="0.3">
      <c r="A46" s="26">
        <v>45310</v>
      </c>
      <c r="B46" s="5" t="s">
        <v>111</v>
      </c>
      <c r="C46" s="5" t="s">
        <v>1</v>
      </c>
      <c r="D46" s="4">
        <f>F46/1.21</f>
        <v>177.68595041322314</v>
      </c>
      <c r="E46" s="4">
        <f>D46*10/100</f>
        <v>17.768595041322314</v>
      </c>
      <c r="F46" s="23">
        <v>215</v>
      </c>
      <c r="G46" s="23">
        <v>50</v>
      </c>
      <c r="H46" s="3">
        <f>F46-G46</f>
        <v>165</v>
      </c>
      <c r="I46" s="22" t="s">
        <v>110</v>
      </c>
      <c r="J46" s="4">
        <v>170</v>
      </c>
      <c r="K46" s="4">
        <v>45</v>
      </c>
      <c r="L46" s="5" t="s">
        <v>14</v>
      </c>
      <c r="M46" s="35"/>
      <c r="N46" s="34"/>
      <c r="O46" s="34"/>
    </row>
    <row r="47" spans="1:15" x14ac:dyDescent="0.3">
      <c r="A47" s="26">
        <v>45310</v>
      </c>
      <c r="B47" s="5" t="s">
        <v>109</v>
      </c>
      <c r="C47" s="5" t="s">
        <v>1</v>
      </c>
      <c r="D47" s="4">
        <f>F47/1.21</f>
        <v>177.68595041322314</v>
      </c>
      <c r="E47" s="4">
        <f>D47*10/100</f>
        <v>17.768595041322314</v>
      </c>
      <c r="F47" s="23">
        <v>215</v>
      </c>
      <c r="G47" s="23">
        <v>50</v>
      </c>
      <c r="H47" s="3">
        <f>F47-G47</f>
        <v>165</v>
      </c>
      <c r="I47" s="22" t="s">
        <v>108</v>
      </c>
      <c r="J47" s="4">
        <v>170</v>
      </c>
      <c r="K47" s="4">
        <v>45</v>
      </c>
      <c r="L47" s="5" t="s">
        <v>14</v>
      </c>
      <c r="M47" s="35"/>
      <c r="N47" s="34"/>
      <c r="O47" s="34"/>
    </row>
    <row r="48" spans="1:15" x14ac:dyDescent="0.3">
      <c r="A48" s="26">
        <v>45310</v>
      </c>
      <c r="B48" s="5" t="s">
        <v>107</v>
      </c>
      <c r="C48" s="5" t="s">
        <v>1</v>
      </c>
      <c r="D48" s="4">
        <f>F48/1.21</f>
        <v>173.55371900826447</v>
      </c>
      <c r="E48" s="4">
        <f>D48*10/100</f>
        <v>17.355371900826448</v>
      </c>
      <c r="F48" s="23">
        <v>210</v>
      </c>
      <c r="G48" s="23">
        <v>50</v>
      </c>
      <c r="H48" s="3">
        <f>F48-G48</f>
        <v>160</v>
      </c>
      <c r="I48" s="22" t="s">
        <v>106</v>
      </c>
      <c r="J48" s="4">
        <v>170</v>
      </c>
      <c r="K48" s="4">
        <v>40</v>
      </c>
      <c r="L48" s="5" t="s">
        <v>7</v>
      </c>
      <c r="M48" s="35"/>
      <c r="N48" s="34"/>
      <c r="O48" s="34"/>
    </row>
    <row r="49" spans="1:15" x14ac:dyDescent="0.3">
      <c r="A49" s="26">
        <v>45310</v>
      </c>
      <c r="B49" s="5" t="s">
        <v>105</v>
      </c>
      <c r="C49" s="5" t="s">
        <v>1</v>
      </c>
      <c r="D49" s="4">
        <f>F49/1.21</f>
        <v>177.68595041322314</v>
      </c>
      <c r="E49" s="4">
        <f>D49*10/100</f>
        <v>17.768595041322314</v>
      </c>
      <c r="F49" s="23">
        <v>215</v>
      </c>
      <c r="G49" s="23"/>
      <c r="H49" s="3">
        <f>F49-G49</f>
        <v>215</v>
      </c>
      <c r="I49" s="22" t="s">
        <v>104</v>
      </c>
      <c r="J49" s="4">
        <v>170</v>
      </c>
      <c r="K49" s="4">
        <v>45</v>
      </c>
      <c r="L49" s="5" t="s">
        <v>103</v>
      </c>
      <c r="M49" s="35"/>
      <c r="N49" s="34"/>
      <c r="O49" s="34"/>
    </row>
    <row r="50" spans="1:15" x14ac:dyDescent="0.3">
      <c r="A50" s="26">
        <v>45311</v>
      </c>
      <c r="B50" s="5" t="s">
        <v>102</v>
      </c>
      <c r="C50" s="5" t="s">
        <v>1</v>
      </c>
      <c r="D50" s="4">
        <f>F50/1.21</f>
        <v>190.08264462809919</v>
      </c>
      <c r="E50" s="4">
        <f>D50*10/100</f>
        <v>19.008264462809919</v>
      </c>
      <c r="F50" s="23">
        <v>230</v>
      </c>
      <c r="G50" s="23">
        <v>50</v>
      </c>
      <c r="H50" s="3">
        <f>F50-G50</f>
        <v>180</v>
      </c>
      <c r="I50" s="22" t="s">
        <v>101</v>
      </c>
      <c r="J50" s="4">
        <v>170</v>
      </c>
      <c r="K50" s="4">
        <v>60</v>
      </c>
      <c r="L50" s="5" t="s">
        <v>7</v>
      </c>
      <c r="M50" s="35"/>
      <c r="N50" s="34"/>
      <c r="O50" s="34"/>
    </row>
    <row r="51" spans="1:15" x14ac:dyDescent="0.3">
      <c r="A51" s="26">
        <v>45311</v>
      </c>
      <c r="B51" s="5" t="s">
        <v>100</v>
      </c>
      <c r="C51" s="5" t="s">
        <v>1</v>
      </c>
      <c r="D51" s="4">
        <f>F51/1.21</f>
        <v>115.70247933884298</v>
      </c>
      <c r="E51" s="4">
        <f>D51*10/100</f>
        <v>11.570247933884298</v>
      </c>
      <c r="F51" s="23">
        <v>140</v>
      </c>
      <c r="G51" s="23"/>
      <c r="H51" s="3">
        <f>F51-G51</f>
        <v>140</v>
      </c>
      <c r="I51" s="22" t="s">
        <v>5</v>
      </c>
      <c r="J51" s="4">
        <v>140</v>
      </c>
      <c r="K51" s="4"/>
      <c r="L51" s="5"/>
      <c r="M51" s="35"/>
      <c r="N51" s="34"/>
      <c r="O51" s="34"/>
    </row>
    <row r="52" spans="1:15" x14ac:dyDescent="0.3">
      <c r="A52" s="40">
        <v>45311</v>
      </c>
      <c r="B52" s="5" t="s">
        <v>99</v>
      </c>
      <c r="C52" s="5" t="s">
        <v>1</v>
      </c>
      <c r="D52" s="4">
        <f>F52/1.21</f>
        <v>173.55371900826447</v>
      </c>
      <c r="E52" s="4">
        <f>D52*10/100</f>
        <v>17.355371900826448</v>
      </c>
      <c r="F52" s="23">
        <v>210</v>
      </c>
      <c r="G52" s="23">
        <v>50</v>
      </c>
      <c r="H52" s="3">
        <f>F52-G52</f>
        <v>160</v>
      </c>
      <c r="I52" s="39" t="s">
        <v>98</v>
      </c>
      <c r="J52" s="2">
        <v>170</v>
      </c>
      <c r="K52" s="2">
        <v>40</v>
      </c>
      <c r="L52" s="1" t="s">
        <v>14</v>
      </c>
      <c r="M52" s="35"/>
      <c r="N52" s="34"/>
      <c r="O52" s="38"/>
    </row>
    <row r="53" spans="1:15" x14ac:dyDescent="0.3">
      <c r="A53" s="26">
        <v>45311</v>
      </c>
      <c r="B53" s="5" t="s">
        <v>97</v>
      </c>
      <c r="C53" s="5" t="s">
        <v>1</v>
      </c>
      <c r="D53" s="4">
        <f>F53/1.21</f>
        <v>115.70247933884298</v>
      </c>
      <c r="E53" s="4">
        <f>D53*10/100</f>
        <v>11.570247933884298</v>
      </c>
      <c r="F53" s="23">
        <v>140</v>
      </c>
      <c r="G53" s="23"/>
      <c r="H53" s="3">
        <f>F53-G53</f>
        <v>140</v>
      </c>
      <c r="I53" s="22" t="s">
        <v>5</v>
      </c>
      <c r="J53" s="4">
        <v>140</v>
      </c>
      <c r="K53" s="4"/>
      <c r="L53" s="5"/>
      <c r="M53" s="35"/>
      <c r="N53" s="34"/>
      <c r="O53" s="34"/>
    </row>
    <row r="54" spans="1:15" x14ac:dyDescent="0.3">
      <c r="A54" s="26">
        <v>45311</v>
      </c>
      <c r="B54" s="5" t="s">
        <v>96</v>
      </c>
      <c r="C54" s="5" t="s">
        <v>1</v>
      </c>
      <c r="D54" s="4">
        <f>F54/1.21</f>
        <v>140.49586776859505</v>
      </c>
      <c r="E54" s="4">
        <f>D54*10/100</f>
        <v>14.049586776859506</v>
      </c>
      <c r="F54" s="23">
        <v>170</v>
      </c>
      <c r="G54" s="23">
        <v>50</v>
      </c>
      <c r="H54" s="3">
        <f>F54-G54</f>
        <v>120</v>
      </c>
      <c r="I54" s="22" t="s">
        <v>95</v>
      </c>
      <c r="J54" s="4">
        <v>170</v>
      </c>
      <c r="K54" s="4"/>
      <c r="L54" s="5"/>
      <c r="M54" s="35"/>
      <c r="N54" s="34"/>
      <c r="O54" s="34"/>
    </row>
    <row r="55" spans="1:15" x14ac:dyDescent="0.3">
      <c r="A55" s="26">
        <v>45311</v>
      </c>
      <c r="B55" s="5" t="s">
        <v>94</v>
      </c>
      <c r="C55" s="5" t="s">
        <v>1</v>
      </c>
      <c r="D55" s="4">
        <f>F55/1.21</f>
        <v>177.68595041322314</v>
      </c>
      <c r="E55" s="4">
        <f>D55*10/100</f>
        <v>17.768595041322314</v>
      </c>
      <c r="F55" s="23">
        <v>215</v>
      </c>
      <c r="G55" s="23">
        <v>50</v>
      </c>
      <c r="H55" s="3">
        <f>F55-G55</f>
        <v>165</v>
      </c>
      <c r="I55" s="22" t="s">
        <v>93</v>
      </c>
      <c r="J55" s="4">
        <v>170</v>
      </c>
      <c r="K55" s="4">
        <v>45</v>
      </c>
      <c r="L55" s="5" t="s">
        <v>14</v>
      </c>
      <c r="M55" s="35"/>
      <c r="N55" s="34"/>
      <c r="O55" s="34"/>
    </row>
    <row r="56" spans="1:15" x14ac:dyDescent="0.3">
      <c r="A56" s="26">
        <v>45311</v>
      </c>
      <c r="B56" s="5" t="s">
        <v>92</v>
      </c>
      <c r="C56" s="5" t="s">
        <v>1</v>
      </c>
      <c r="D56" s="4">
        <f>F56/1.21</f>
        <v>177.68595041322314</v>
      </c>
      <c r="E56" s="4">
        <f>D56*10/100</f>
        <v>17.768595041322314</v>
      </c>
      <c r="F56" s="23">
        <v>215</v>
      </c>
      <c r="G56" s="23">
        <v>50</v>
      </c>
      <c r="H56" s="3">
        <f>F56-G56</f>
        <v>165</v>
      </c>
      <c r="I56" s="22" t="s">
        <v>91</v>
      </c>
      <c r="J56" s="4">
        <v>170</v>
      </c>
      <c r="K56" s="4">
        <v>45</v>
      </c>
      <c r="L56" s="5" t="s">
        <v>14</v>
      </c>
      <c r="M56" s="35"/>
      <c r="N56" s="34"/>
      <c r="O56" s="34"/>
    </row>
    <row r="57" spans="1:15" x14ac:dyDescent="0.3">
      <c r="A57" s="26">
        <v>45311</v>
      </c>
      <c r="B57" s="5" t="s">
        <v>90</v>
      </c>
      <c r="C57" s="5" t="s">
        <v>1</v>
      </c>
      <c r="D57" s="4">
        <f>F57/1.21</f>
        <v>140.49586776859505</v>
      </c>
      <c r="E57" s="4">
        <f>D57*10/100</f>
        <v>14.049586776859506</v>
      </c>
      <c r="F57" s="23">
        <v>170</v>
      </c>
      <c r="G57" s="23">
        <v>50</v>
      </c>
      <c r="H57" s="3">
        <f>F57-G57</f>
        <v>120</v>
      </c>
      <c r="I57" s="22" t="s">
        <v>89</v>
      </c>
      <c r="J57" s="4">
        <v>170</v>
      </c>
      <c r="K57" s="4"/>
      <c r="L57" s="5"/>
      <c r="M57" s="35"/>
      <c r="N57" s="34"/>
      <c r="O57" s="34"/>
    </row>
    <row r="58" spans="1:15" x14ac:dyDescent="0.3">
      <c r="A58" s="26">
        <v>45311</v>
      </c>
      <c r="B58" s="5" t="s">
        <v>88</v>
      </c>
      <c r="C58" s="5" t="s">
        <v>1</v>
      </c>
      <c r="D58" s="4">
        <f>F58/1.21</f>
        <v>140.49586776859505</v>
      </c>
      <c r="E58" s="4">
        <f>D58*10/100</f>
        <v>14.049586776859506</v>
      </c>
      <c r="F58" s="23">
        <v>170</v>
      </c>
      <c r="G58" s="23">
        <v>50</v>
      </c>
      <c r="H58" s="3">
        <f>F58-G58</f>
        <v>120</v>
      </c>
      <c r="I58" s="22" t="s">
        <v>87</v>
      </c>
      <c r="J58" s="4">
        <v>170</v>
      </c>
      <c r="K58" s="4"/>
      <c r="L58" s="5"/>
      <c r="M58" s="35"/>
      <c r="N58" s="34"/>
      <c r="O58" s="34"/>
    </row>
    <row r="59" spans="1:15" x14ac:dyDescent="0.3">
      <c r="A59" s="26">
        <v>45311</v>
      </c>
      <c r="B59" s="5" t="s">
        <v>86</v>
      </c>
      <c r="C59" s="5" t="s">
        <v>1</v>
      </c>
      <c r="D59" s="4">
        <f>F59/1.21</f>
        <v>123.96694214876034</v>
      </c>
      <c r="E59" s="4">
        <f>D59*10/100</f>
        <v>12.396694214876034</v>
      </c>
      <c r="F59" s="23">
        <v>150</v>
      </c>
      <c r="G59" s="23"/>
      <c r="H59" s="3">
        <f>F59-G59</f>
        <v>150</v>
      </c>
      <c r="I59" s="22" t="s">
        <v>5</v>
      </c>
      <c r="J59" s="4">
        <v>150</v>
      </c>
      <c r="K59" s="4"/>
      <c r="L59" s="5"/>
      <c r="M59" s="35"/>
      <c r="N59" s="34"/>
      <c r="O59" s="34"/>
    </row>
    <row r="60" spans="1:15" x14ac:dyDescent="0.3">
      <c r="A60" s="26">
        <v>45311</v>
      </c>
      <c r="B60" s="5" t="s">
        <v>85</v>
      </c>
      <c r="C60" s="5" t="s">
        <v>1</v>
      </c>
      <c r="D60" s="4">
        <f>F60/1.21</f>
        <v>181.81818181818181</v>
      </c>
      <c r="E60" s="4">
        <f>D60*10/100</f>
        <v>18.18181818181818</v>
      </c>
      <c r="F60" s="23">
        <v>220</v>
      </c>
      <c r="G60" s="23">
        <v>50</v>
      </c>
      <c r="H60" s="3">
        <f>F60-G60</f>
        <v>170</v>
      </c>
      <c r="I60" s="22" t="s">
        <v>84</v>
      </c>
      <c r="J60" s="4">
        <v>220</v>
      </c>
      <c r="K60" s="4"/>
      <c r="L60" s="5"/>
      <c r="M60" s="35"/>
      <c r="N60" s="34"/>
      <c r="O60" s="34"/>
    </row>
    <row r="61" spans="1:15" x14ac:dyDescent="0.3">
      <c r="A61" s="26">
        <v>45311</v>
      </c>
      <c r="B61" s="5" t="s">
        <v>83</v>
      </c>
      <c r="C61" s="5" t="s">
        <v>1</v>
      </c>
      <c r="D61" s="4">
        <f>F61/1.21</f>
        <v>214.87603305785126</v>
      </c>
      <c r="E61" s="4">
        <f>D61*10/100</f>
        <v>21.487603305785125</v>
      </c>
      <c r="F61" s="23">
        <v>260</v>
      </c>
      <c r="G61" s="23">
        <v>50</v>
      </c>
      <c r="H61" s="3">
        <f>F61-G61</f>
        <v>210</v>
      </c>
      <c r="I61" s="22" t="s">
        <v>82</v>
      </c>
      <c r="J61" s="4">
        <v>220</v>
      </c>
      <c r="K61" s="4">
        <v>40</v>
      </c>
      <c r="L61" s="5" t="s">
        <v>7</v>
      </c>
      <c r="M61" s="35"/>
      <c r="N61" s="34"/>
      <c r="O61" s="34"/>
    </row>
    <row r="62" spans="1:15" x14ac:dyDescent="0.3">
      <c r="A62" s="26">
        <v>45311</v>
      </c>
      <c r="B62" s="5" t="s">
        <v>81</v>
      </c>
      <c r="C62" s="5" t="s">
        <v>1</v>
      </c>
      <c r="D62" s="4">
        <f>F62/1.21</f>
        <v>181.81818181818181</v>
      </c>
      <c r="E62" s="4">
        <f>D62*10/100</f>
        <v>18.18181818181818</v>
      </c>
      <c r="F62" s="23">
        <v>220</v>
      </c>
      <c r="G62" s="23">
        <v>50</v>
      </c>
      <c r="H62" s="3">
        <f>F62-G62</f>
        <v>170</v>
      </c>
      <c r="I62" s="22" t="s">
        <v>80</v>
      </c>
      <c r="J62" s="4">
        <v>220</v>
      </c>
      <c r="K62" s="4"/>
      <c r="L62" s="5"/>
      <c r="M62" s="35"/>
      <c r="N62" s="34"/>
      <c r="O62" s="34"/>
    </row>
    <row r="63" spans="1:15" x14ac:dyDescent="0.3">
      <c r="A63" s="37">
        <v>45311</v>
      </c>
      <c r="B63" s="5" t="s">
        <v>79</v>
      </c>
      <c r="C63" s="5" t="s">
        <v>1</v>
      </c>
      <c r="D63" s="4">
        <f>F63/1.21</f>
        <v>165.28925619834712</v>
      </c>
      <c r="E63" s="4">
        <f>D63*10/100</f>
        <v>16.528925619834713</v>
      </c>
      <c r="F63" s="23">
        <v>200</v>
      </c>
      <c r="G63" s="23"/>
      <c r="H63" s="3">
        <f>F63-G63</f>
        <v>200</v>
      </c>
      <c r="I63" s="22" t="s">
        <v>5</v>
      </c>
      <c r="J63" s="4">
        <v>200</v>
      </c>
      <c r="K63" s="4"/>
      <c r="L63" s="5"/>
      <c r="M63" s="35"/>
      <c r="N63" s="34"/>
      <c r="O63" s="34"/>
    </row>
    <row r="64" spans="1:15" x14ac:dyDescent="0.3">
      <c r="A64" s="37">
        <v>45311</v>
      </c>
      <c r="B64" s="5" t="s">
        <v>78</v>
      </c>
      <c r="C64" s="5" t="s">
        <v>1</v>
      </c>
      <c r="D64" s="4">
        <f>F64/1.21</f>
        <v>239.6694214876033</v>
      </c>
      <c r="E64" s="4">
        <f>D64*10/100</f>
        <v>23.966942148760332</v>
      </c>
      <c r="F64" s="23">
        <v>290</v>
      </c>
      <c r="G64" s="23"/>
      <c r="H64" s="3">
        <f>F64-G64</f>
        <v>290</v>
      </c>
      <c r="I64" s="22" t="s">
        <v>77</v>
      </c>
      <c r="J64" s="4">
        <v>270</v>
      </c>
      <c r="K64" s="4">
        <v>20</v>
      </c>
      <c r="L64" s="5" t="s">
        <v>7</v>
      </c>
      <c r="M64" s="35"/>
      <c r="N64" s="34"/>
      <c r="O64" s="34"/>
    </row>
    <row r="65" spans="1:15" x14ac:dyDescent="0.3">
      <c r="A65" s="37">
        <v>45311</v>
      </c>
      <c r="B65" s="5" t="s">
        <v>76</v>
      </c>
      <c r="C65" s="5" t="s">
        <v>1</v>
      </c>
      <c r="D65" s="4">
        <f>F65/1.21</f>
        <v>173.55371900826447</v>
      </c>
      <c r="E65" s="4">
        <f>D65*10/100</f>
        <v>17.355371900826448</v>
      </c>
      <c r="F65" s="23">
        <v>210</v>
      </c>
      <c r="G65" s="23"/>
      <c r="H65" s="3">
        <f>F65-G65</f>
        <v>210</v>
      </c>
      <c r="I65" s="22" t="s">
        <v>5</v>
      </c>
      <c r="J65" s="4">
        <v>210</v>
      </c>
      <c r="K65" s="4"/>
      <c r="L65" s="5"/>
      <c r="M65" s="35"/>
      <c r="N65" s="34"/>
      <c r="O65" s="34"/>
    </row>
    <row r="66" spans="1:15" x14ac:dyDescent="0.3">
      <c r="A66" s="37">
        <v>45311</v>
      </c>
      <c r="B66" s="5" t="s">
        <v>75</v>
      </c>
      <c r="C66" s="5" t="s">
        <v>1</v>
      </c>
      <c r="D66" s="4">
        <f>F66/1.21</f>
        <v>256.198347107438</v>
      </c>
      <c r="E66" s="4">
        <f>D66*10/100</f>
        <v>25.619834710743799</v>
      </c>
      <c r="F66" s="23">
        <v>310</v>
      </c>
      <c r="G66" s="23"/>
      <c r="H66" s="3">
        <f>F66-G66</f>
        <v>310</v>
      </c>
      <c r="I66" s="22" t="s">
        <v>74</v>
      </c>
      <c r="J66" s="4">
        <v>270</v>
      </c>
      <c r="K66" s="4">
        <v>40</v>
      </c>
      <c r="L66" s="5" t="s">
        <v>14</v>
      </c>
      <c r="M66" s="35"/>
      <c r="N66" s="34"/>
      <c r="O66" s="34"/>
    </row>
    <row r="67" spans="1:15" x14ac:dyDescent="0.3">
      <c r="A67" s="26">
        <v>45311</v>
      </c>
      <c r="B67" s="5" t="s">
        <v>73</v>
      </c>
      <c r="C67" s="5" t="s">
        <v>1</v>
      </c>
      <c r="D67" s="4">
        <f>F67/1.21</f>
        <v>181.81818181818181</v>
      </c>
      <c r="E67" s="4">
        <f>D67*10/100</f>
        <v>18.18181818181818</v>
      </c>
      <c r="F67" s="23">
        <v>220</v>
      </c>
      <c r="G67" s="23"/>
      <c r="H67" s="3">
        <f>F67-G67</f>
        <v>220</v>
      </c>
      <c r="I67" s="22" t="s">
        <v>72</v>
      </c>
      <c r="J67" s="4">
        <v>220</v>
      </c>
      <c r="K67" s="4"/>
      <c r="L67" s="5"/>
      <c r="M67" s="35"/>
      <c r="N67" s="34"/>
      <c r="O67" s="34"/>
    </row>
    <row r="68" spans="1:15" x14ac:dyDescent="0.3">
      <c r="A68" s="26">
        <v>45311</v>
      </c>
      <c r="B68" s="5" t="s">
        <v>71</v>
      </c>
      <c r="C68" s="5" t="s">
        <v>1</v>
      </c>
      <c r="D68" s="4">
        <f>F68/1.21</f>
        <v>239.6694214876033</v>
      </c>
      <c r="E68" s="4">
        <f>D68*10/100</f>
        <v>23.966942148760332</v>
      </c>
      <c r="F68" s="23">
        <v>290</v>
      </c>
      <c r="G68" s="23">
        <v>290</v>
      </c>
      <c r="H68" s="3">
        <f>F68-G68</f>
        <v>0</v>
      </c>
      <c r="I68" s="22" t="s">
        <v>70</v>
      </c>
      <c r="J68" s="4">
        <v>270</v>
      </c>
      <c r="K68" s="4">
        <v>20</v>
      </c>
      <c r="L68" s="5" t="s">
        <v>7</v>
      </c>
      <c r="M68" s="35"/>
      <c r="N68" s="34"/>
      <c r="O68" s="34"/>
    </row>
    <row r="69" spans="1:15" x14ac:dyDescent="0.3">
      <c r="A69" s="26">
        <v>45311</v>
      </c>
      <c r="B69" s="5" t="s">
        <v>69</v>
      </c>
      <c r="C69" s="5" t="s">
        <v>1</v>
      </c>
      <c r="D69" s="4">
        <f>F69/1.21</f>
        <v>165.28925619834712</v>
      </c>
      <c r="E69" s="4">
        <f>D69*10/100</f>
        <v>16.528925619834713</v>
      </c>
      <c r="F69" s="23">
        <v>200</v>
      </c>
      <c r="G69" s="23">
        <v>50</v>
      </c>
      <c r="H69" s="3">
        <f>F69-G69</f>
        <v>150</v>
      </c>
      <c r="I69" s="22" t="s">
        <v>68</v>
      </c>
      <c r="J69" s="4">
        <v>200</v>
      </c>
      <c r="K69" s="4"/>
      <c r="L69" s="5"/>
      <c r="M69" s="35"/>
      <c r="N69" s="34"/>
      <c r="O69" s="34"/>
    </row>
    <row r="70" spans="1:15" x14ac:dyDescent="0.3">
      <c r="A70" s="26">
        <v>45311</v>
      </c>
      <c r="B70" s="5" t="s">
        <v>67</v>
      </c>
      <c r="C70" s="5" t="s">
        <v>1</v>
      </c>
      <c r="D70" s="4">
        <f>F70/1.21</f>
        <v>165.28925619834712</v>
      </c>
      <c r="E70" s="4">
        <f>D70*10/100</f>
        <v>16.528925619834713</v>
      </c>
      <c r="F70" s="23">
        <v>200</v>
      </c>
      <c r="G70" s="23"/>
      <c r="H70" s="3">
        <f>F70-G70</f>
        <v>200</v>
      </c>
      <c r="I70" s="22" t="s">
        <v>5</v>
      </c>
      <c r="J70" s="4">
        <v>180</v>
      </c>
      <c r="K70" s="4"/>
      <c r="L70" s="5"/>
      <c r="M70" s="35"/>
      <c r="N70" s="34"/>
      <c r="O70" s="34"/>
    </row>
    <row r="71" spans="1:15" x14ac:dyDescent="0.3">
      <c r="A71" s="26">
        <v>45311</v>
      </c>
      <c r="B71" s="5" t="s">
        <v>66</v>
      </c>
      <c r="C71" s="5" t="s">
        <v>1</v>
      </c>
      <c r="D71" s="4">
        <f>F71/1.21</f>
        <v>235.53719008264463</v>
      </c>
      <c r="E71" s="4">
        <f>D71*10/100</f>
        <v>23.553719008264462</v>
      </c>
      <c r="F71" s="23">
        <v>285</v>
      </c>
      <c r="G71" s="23">
        <v>150</v>
      </c>
      <c r="H71" s="3">
        <f>F71-G71</f>
        <v>135</v>
      </c>
      <c r="I71" s="22" t="s">
        <v>65</v>
      </c>
      <c r="J71" s="4">
        <v>220</v>
      </c>
      <c r="K71" s="4">
        <v>45</v>
      </c>
      <c r="L71" s="5" t="s">
        <v>14</v>
      </c>
      <c r="M71" s="35">
        <v>20</v>
      </c>
      <c r="N71" s="34" t="s">
        <v>7</v>
      </c>
      <c r="O71" s="34"/>
    </row>
    <row r="72" spans="1:15" x14ac:dyDescent="0.3">
      <c r="A72" s="26">
        <v>45311</v>
      </c>
      <c r="B72" s="5" t="s">
        <v>64</v>
      </c>
      <c r="C72" s="5" t="s">
        <v>1</v>
      </c>
      <c r="D72" s="4">
        <f>F72/1.21</f>
        <v>181.81818181818181</v>
      </c>
      <c r="E72" s="4">
        <f>D72*10/100</f>
        <v>18.18181818181818</v>
      </c>
      <c r="F72" s="23">
        <v>220</v>
      </c>
      <c r="G72" s="23">
        <v>50</v>
      </c>
      <c r="H72" s="3">
        <f>F72-G72</f>
        <v>170</v>
      </c>
      <c r="I72" s="22" t="s">
        <v>10</v>
      </c>
      <c r="J72" s="4">
        <v>220</v>
      </c>
      <c r="K72" s="4"/>
      <c r="L72" s="5"/>
      <c r="M72" s="35"/>
      <c r="N72" s="34"/>
      <c r="O72" s="34"/>
    </row>
    <row r="73" spans="1:15" x14ac:dyDescent="0.3">
      <c r="A73" s="26">
        <v>45312</v>
      </c>
      <c r="B73" s="5" t="s">
        <v>63</v>
      </c>
      <c r="C73" s="5" t="s">
        <v>1</v>
      </c>
      <c r="D73" s="4">
        <f>F73/1.21</f>
        <v>148.7603305785124</v>
      </c>
      <c r="E73" s="4">
        <f>D73*10/100</f>
        <v>14.876033057851238</v>
      </c>
      <c r="F73" s="23">
        <v>180</v>
      </c>
      <c r="G73" s="23"/>
      <c r="H73" s="3">
        <f>F73-G73</f>
        <v>180</v>
      </c>
      <c r="I73" s="22" t="s">
        <v>5</v>
      </c>
      <c r="J73" s="4">
        <v>180</v>
      </c>
      <c r="K73" s="4"/>
      <c r="L73" s="5"/>
      <c r="M73" s="35"/>
      <c r="N73" s="34"/>
      <c r="O73" s="34"/>
    </row>
    <row r="74" spans="1:15" x14ac:dyDescent="0.3">
      <c r="A74" s="26">
        <v>45312</v>
      </c>
      <c r="B74" s="5" t="s">
        <v>62</v>
      </c>
      <c r="C74" s="5" t="s">
        <v>1</v>
      </c>
      <c r="D74" s="4">
        <f>F74/1.21</f>
        <v>132.2314049586777</v>
      </c>
      <c r="E74" s="4">
        <f>D74*10/100</f>
        <v>13.223140495867769</v>
      </c>
      <c r="F74" s="23">
        <v>160</v>
      </c>
      <c r="G74" s="23"/>
      <c r="H74" s="3">
        <f>F74-G74</f>
        <v>160</v>
      </c>
      <c r="I74" s="22" t="s">
        <v>5</v>
      </c>
      <c r="J74" s="4">
        <v>160</v>
      </c>
      <c r="K74" s="4"/>
      <c r="L74" s="5"/>
      <c r="M74" s="35"/>
      <c r="N74" s="34"/>
      <c r="O74" s="34"/>
    </row>
    <row r="75" spans="1:15" x14ac:dyDescent="0.3">
      <c r="A75" s="26">
        <v>45312</v>
      </c>
      <c r="B75" s="5" t="s">
        <v>61</v>
      </c>
      <c r="C75" s="5" t="s">
        <v>1</v>
      </c>
      <c r="D75" s="4">
        <f>F75/1.21</f>
        <v>264.4628099173554</v>
      </c>
      <c r="E75" s="4">
        <f>D75*10/100</f>
        <v>26.446280991735538</v>
      </c>
      <c r="F75" s="23">
        <v>320</v>
      </c>
      <c r="G75" s="27">
        <v>50</v>
      </c>
      <c r="H75" s="3">
        <f>F75-G75</f>
        <v>270</v>
      </c>
      <c r="I75" s="22" t="s">
        <v>60</v>
      </c>
      <c r="J75" s="4">
        <v>320</v>
      </c>
      <c r="K75" s="4"/>
      <c r="L75" s="5"/>
      <c r="M75" s="35"/>
      <c r="N75" s="34"/>
      <c r="O75" s="34"/>
    </row>
    <row r="76" spans="1:15" x14ac:dyDescent="0.3">
      <c r="A76" s="26">
        <v>45312</v>
      </c>
      <c r="B76" s="5" t="s">
        <v>59</v>
      </c>
      <c r="C76" s="5" t="s">
        <v>1</v>
      </c>
      <c r="D76" s="4">
        <f>F76/1.21</f>
        <v>140.49586776859505</v>
      </c>
      <c r="E76" s="4">
        <f>D76*10/100</f>
        <v>14.049586776859506</v>
      </c>
      <c r="F76" s="23">
        <v>170</v>
      </c>
      <c r="G76" s="23">
        <v>50</v>
      </c>
      <c r="H76" s="3">
        <f>F76-G76</f>
        <v>120</v>
      </c>
      <c r="I76" s="22" t="s">
        <v>58</v>
      </c>
      <c r="J76" s="4">
        <v>170</v>
      </c>
      <c r="K76" s="4"/>
      <c r="L76" s="5"/>
      <c r="M76" s="35"/>
      <c r="N76" s="34"/>
      <c r="O76" s="34"/>
    </row>
    <row r="77" spans="1:15" x14ac:dyDescent="0.3">
      <c r="A77" s="26">
        <v>45317</v>
      </c>
      <c r="B77" s="5" t="s">
        <v>57</v>
      </c>
      <c r="C77" s="5" t="s">
        <v>1</v>
      </c>
      <c r="D77" s="4">
        <f>F77/1.21</f>
        <v>177.68595041322314</v>
      </c>
      <c r="E77" s="4">
        <f>D77*10/100</f>
        <v>17.768595041322314</v>
      </c>
      <c r="F77" s="23">
        <v>215</v>
      </c>
      <c r="G77" s="23">
        <v>50</v>
      </c>
      <c r="H77" s="3">
        <f>F77-G77</f>
        <v>165</v>
      </c>
      <c r="I77" s="22" t="s">
        <v>56</v>
      </c>
      <c r="J77" s="4">
        <v>170</v>
      </c>
      <c r="K77" s="36">
        <v>45</v>
      </c>
      <c r="L77" s="5" t="s">
        <v>14</v>
      </c>
      <c r="M77" s="35"/>
      <c r="N77" s="34"/>
      <c r="O77" s="34"/>
    </row>
    <row r="78" spans="1:15" x14ac:dyDescent="0.3">
      <c r="A78" s="26">
        <v>45317</v>
      </c>
      <c r="B78" s="5" t="s">
        <v>55</v>
      </c>
      <c r="C78" s="5" t="s">
        <v>1</v>
      </c>
      <c r="D78" s="4">
        <f>F78/1.21</f>
        <v>115.70247933884298</v>
      </c>
      <c r="E78" s="4">
        <f>D78*10/100</f>
        <v>11.570247933884298</v>
      </c>
      <c r="F78" s="33">
        <v>140</v>
      </c>
      <c r="G78" s="33"/>
      <c r="H78" s="3">
        <f>F78-G78</f>
        <v>140</v>
      </c>
      <c r="I78" s="22" t="s">
        <v>5</v>
      </c>
      <c r="J78" s="32">
        <v>140</v>
      </c>
      <c r="K78" s="31"/>
      <c r="L78" s="30"/>
      <c r="M78" s="29"/>
      <c r="N78" s="28"/>
      <c r="O78" s="28"/>
    </row>
    <row r="79" spans="1:15" x14ac:dyDescent="0.3">
      <c r="A79" s="26">
        <v>45317</v>
      </c>
      <c r="B79" s="5" t="s">
        <v>54</v>
      </c>
      <c r="C79" s="5" t="s">
        <v>1</v>
      </c>
      <c r="D79" s="4">
        <f>F79/1.21</f>
        <v>181.81818181818181</v>
      </c>
      <c r="E79" s="4">
        <f>D79*10/100</f>
        <v>18.18181818181818</v>
      </c>
      <c r="F79" s="24">
        <v>220</v>
      </c>
      <c r="G79" s="23"/>
      <c r="H79" s="3">
        <f>F79-G79</f>
        <v>220</v>
      </c>
      <c r="I79" s="22"/>
      <c r="J79" s="7">
        <v>220</v>
      </c>
      <c r="K79" s="8"/>
      <c r="L79" s="1"/>
      <c r="M79" s="7"/>
      <c r="N79" s="7"/>
      <c r="O79" s="7"/>
    </row>
    <row r="80" spans="1:15" x14ac:dyDescent="0.3">
      <c r="A80" s="26">
        <v>45317</v>
      </c>
      <c r="B80" s="5" t="s">
        <v>53</v>
      </c>
      <c r="C80" s="5" t="s">
        <v>1</v>
      </c>
      <c r="D80" s="4">
        <f>F80/1.21</f>
        <v>140.49586776859505</v>
      </c>
      <c r="E80" s="4">
        <f>D80*10/100</f>
        <v>14.049586776859506</v>
      </c>
      <c r="F80" s="24">
        <v>170</v>
      </c>
      <c r="G80" s="23">
        <v>50</v>
      </c>
      <c r="H80" s="3">
        <f>F80-G80</f>
        <v>120</v>
      </c>
      <c r="I80" s="22" t="s">
        <v>52</v>
      </c>
      <c r="J80" s="7">
        <v>170</v>
      </c>
      <c r="K80" s="8"/>
      <c r="L80" s="1"/>
      <c r="M80" s="7"/>
      <c r="N80" s="7"/>
      <c r="O80" s="7"/>
    </row>
    <row r="81" spans="1:15" x14ac:dyDescent="0.3">
      <c r="A81" s="26">
        <v>45318</v>
      </c>
      <c r="B81" s="5" t="s">
        <v>51</v>
      </c>
      <c r="C81" s="5" t="s">
        <v>1</v>
      </c>
      <c r="D81" s="4">
        <f>F81/1.21</f>
        <v>206.61157024793388</v>
      </c>
      <c r="E81" s="4">
        <f>D81*10/100</f>
        <v>20.661157024793386</v>
      </c>
      <c r="F81" s="24">
        <v>250</v>
      </c>
      <c r="G81" s="23">
        <v>50</v>
      </c>
      <c r="H81" s="3">
        <f>F81-G81</f>
        <v>200</v>
      </c>
      <c r="I81" s="22" t="s">
        <v>50</v>
      </c>
      <c r="J81" s="7">
        <v>250</v>
      </c>
      <c r="K81" s="8"/>
      <c r="L81" s="1"/>
      <c r="M81" s="7"/>
      <c r="N81" s="7"/>
      <c r="O81" s="7"/>
    </row>
    <row r="82" spans="1:15" x14ac:dyDescent="0.3">
      <c r="A82" s="26">
        <v>45318</v>
      </c>
      <c r="B82" s="5" t="s">
        <v>49</v>
      </c>
      <c r="C82" s="5" t="s">
        <v>1</v>
      </c>
      <c r="D82" s="4">
        <f>F82/1.21</f>
        <v>157.02479338842977</v>
      </c>
      <c r="E82" s="4">
        <f>D82*10/100</f>
        <v>15.702479338842977</v>
      </c>
      <c r="F82" s="24">
        <v>190</v>
      </c>
      <c r="G82" s="23"/>
      <c r="H82" s="3">
        <f>F82-G82</f>
        <v>190</v>
      </c>
      <c r="I82" s="22" t="s">
        <v>5</v>
      </c>
      <c r="J82" s="7">
        <v>190</v>
      </c>
      <c r="K82" s="8"/>
      <c r="L82" s="1"/>
      <c r="M82" s="7"/>
      <c r="N82" s="7"/>
      <c r="O82" s="7"/>
    </row>
    <row r="83" spans="1:15" x14ac:dyDescent="0.3">
      <c r="A83" s="26">
        <v>45318</v>
      </c>
      <c r="B83" s="5" t="s">
        <v>48</v>
      </c>
      <c r="C83" s="5" t="s">
        <v>1</v>
      </c>
      <c r="D83" s="4">
        <f>F83/1.21</f>
        <v>148.7603305785124</v>
      </c>
      <c r="E83" s="4">
        <f>D83*10/100</f>
        <v>14.876033057851238</v>
      </c>
      <c r="F83" s="24">
        <v>180</v>
      </c>
      <c r="G83" s="27"/>
      <c r="H83" s="3">
        <f>F83-G83</f>
        <v>180</v>
      </c>
      <c r="I83" s="22" t="s">
        <v>5</v>
      </c>
      <c r="J83" s="7">
        <v>180</v>
      </c>
      <c r="K83" s="8"/>
      <c r="L83" s="1"/>
      <c r="M83" s="7"/>
      <c r="N83" s="7"/>
      <c r="O83" s="7"/>
    </row>
    <row r="84" spans="1:15" x14ac:dyDescent="0.3">
      <c r="A84" s="26">
        <v>45318</v>
      </c>
      <c r="B84" s="5" t="s">
        <v>47</v>
      </c>
      <c r="C84" s="5" t="s">
        <v>1</v>
      </c>
      <c r="D84" s="4">
        <f>F84/1.21</f>
        <v>181.81818181818181</v>
      </c>
      <c r="E84" s="4">
        <f>D84*10/100</f>
        <v>18.18181818181818</v>
      </c>
      <c r="F84" s="24">
        <v>220</v>
      </c>
      <c r="G84" s="23">
        <v>50</v>
      </c>
      <c r="H84" s="3">
        <f>F84-G84</f>
        <v>170</v>
      </c>
      <c r="I84" s="22" t="s">
        <v>46</v>
      </c>
      <c r="J84" s="7">
        <v>220</v>
      </c>
      <c r="K84" s="8"/>
      <c r="L84" s="1"/>
      <c r="M84" s="7"/>
      <c r="N84" s="7"/>
      <c r="O84" s="7"/>
    </row>
    <row r="85" spans="1:15" x14ac:dyDescent="0.3">
      <c r="A85" s="26">
        <v>45318</v>
      </c>
      <c r="B85" s="14" t="s">
        <v>45</v>
      </c>
      <c r="C85" s="5" t="s">
        <v>1</v>
      </c>
      <c r="D85" s="4">
        <f>F85/1.21</f>
        <v>140.49586776859505</v>
      </c>
      <c r="E85" s="4">
        <f>D85*10/100</f>
        <v>14.049586776859506</v>
      </c>
      <c r="F85" s="24">
        <v>170</v>
      </c>
      <c r="G85" s="23">
        <v>50</v>
      </c>
      <c r="H85" s="3">
        <f>F85-G85</f>
        <v>120</v>
      </c>
      <c r="I85" s="22" t="s">
        <v>44</v>
      </c>
      <c r="J85" s="7">
        <v>170</v>
      </c>
      <c r="K85" s="8"/>
      <c r="L85" s="1"/>
      <c r="M85" s="7"/>
      <c r="N85" s="7"/>
      <c r="O85" s="7"/>
    </row>
    <row r="86" spans="1:15" x14ac:dyDescent="0.3">
      <c r="A86" s="15">
        <v>45318</v>
      </c>
      <c r="B86" s="14" t="s">
        <v>43</v>
      </c>
      <c r="C86" s="5" t="s">
        <v>1</v>
      </c>
      <c r="D86" s="4">
        <f>F86/1.21</f>
        <v>177.68595041322314</v>
      </c>
      <c r="E86" s="4">
        <f>D86*10/100</f>
        <v>17.768595041322314</v>
      </c>
      <c r="F86" s="24">
        <v>215</v>
      </c>
      <c r="G86" s="23">
        <v>50</v>
      </c>
      <c r="H86" s="3">
        <f>F86-G86</f>
        <v>165</v>
      </c>
      <c r="I86" s="22" t="s">
        <v>42</v>
      </c>
      <c r="J86" s="7">
        <v>170</v>
      </c>
      <c r="K86" s="8">
        <v>45</v>
      </c>
      <c r="L86" s="1" t="s">
        <v>14</v>
      </c>
      <c r="M86" s="7"/>
      <c r="N86" s="7"/>
      <c r="O86" s="7"/>
    </row>
    <row r="87" spans="1:15" x14ac:dyDescent="0.3">
      <c r="A87" s="15">
        <v>45318</v>
      </c>
      <c r="B87" s="14" t="s">
        <v>41</v>
      </c>
      <c r="C87" s="5" t="s">
        <v>1</v>
      </c>
      <c r="D87" s="4">
        <f>F87/1.21</f>
        <v>99.173553719008268</v>
      </c>
      <c r="E87" s="4">
        <f>D87*10/100</f>
        <v>9.9173553719008272</v>
      </c>
      <c r="F87" s="24">
        <v>120</v>
      </c>
      <c r="G87" s="23">
        <v>50</v>
      </c>
      <c r="H87" s="3">
        <f>F87-G87</f>
        <v>70</v>
      </c>
      <c r="I87" s="22" t="s">
        <v>40</v>
      </c>
      <c r="J87" s="7">
        <v>120</v>
      </c>
      <c r="K87" s="8"/>
      <c r="L87" s="6"/>
      <c r="M87" s="7"/>
      <c r="N87" s="7"/>
      <c r="O87" s="7"/>
    </row>
    <row r="88" spans="1:15" x14ac:dyDescent="0.3">
      <c r="A88" s="15">
        <v>45318</v>
      </c>
      <c r="B88" s="14" t="s">
        <v>39</v>
      </c>
      <c r="C88" s="5" t="s">
        <v>1</v>
      </c>
      <c r="D88" s="4">
        <f>F88/1.21</f>
        <v>140.49586776859505</v>
      </c>
      <c r="E88" s="4">
        <f>D88*10/100</f>
        <v>14.049586776859506</v>
      </c>
      <c r="F88" s="24">
        <v>170</v>
      </c>
      <c r="G88" s="23">
        <v>50</v>
      </c>
      <c r="H88" s="3">
        <f>F88-G88</f>
        <v>120</v>
      </c>
      <c r="I88" s="22" t="s">
        <v>38</v>
      </c>
      <c r="J88" s="7">
        <v>170</v>
      </c>
      <c r="K88" s="8"/>
      <c r="L88" s="1"/>
      <c r="M88" s="25"/>
      <c r="N88" s="7"/>
      <c r="O88" s="7"/>
    </row>
    <row r="89" spans="1:15" x14ac:dyDescent="0.3">
      <c r="A89" s="15">
        <v>45318</v>
      </c>
      <c r="B89" s="14" t="s">
        <v>37</v>
      </c>
      <c r="C89" s="5" t="s">
        <v>1</v>
      </c>
      <c r="D89" s="4">
        <f>F89/1.21</f>
        <v>173.55371900826447</v>
      </c>
      <c r="E89" s="4">
        <f>D89*10/100</f>
        <v>17.355371900826448</v>
      </c>
      <c r="F89" s="24">
        <v>210</v>
      </c>
      <c r="G89" s="23"/>
      <c r="H89" s="3">
        <f>F89-G89</f>
        <v>210</v>
      </c>
      <c r="I89" s="22" t="s">
        <v>5</v>
      </c>
      <c r="J89" s="7">
        <v>210</v>
      </c>
      <c r="K89" s="8"/>
      <c r="L89" s="1"/>
      <c r="M89" s="7"/>
      <c r="N89" s="7"/>
      <c r="O89" s="7"/>
    </row>
    <row r="90" spans="1:15" x14ac:dyDescent="0.3">
      <c r="A90" s="15">
        <v>45318</v>
      </c>
      <c r="B90" s="14" t="s">
        <v>36</v>
      </c>
      <c r="C90" s="5" t="s">
        <v>1</v>
      </c>
      <c r="D90" s="4">
        <f>F90/1.21</f>
        <v>157.02479338842977</v>
      </c>
      <c r="E90" s="4">
        <f>D90*10/100</f>
        <v>15.702479338842977</v>
      </c>
      <c r="F90" s="24">
        <v>190</v>
      </c>
      <c r="G90" s="23"/>
      <c r="H90" s="3">
        <f>F90-G90</f>
        <v>190</v>
      </c>
      <c r="I90" s="22" t="s">
        <v>5</v>
      </c>
      <c r="J90" s="7">
        <v>190</v>
      </c>
      <c r="K90" s="8"/>
      <c r="L90" s="1"/>
      <c r="M90" s="7"/>
      <c r="N90" s="7"/>
      <c r="O90" s="7"/>
    </row>
    <row r="91" spans="1:15" x14ac:dyDescent="0.3">
      <c r="A91" s="15">
        <v>45318</v>
      </c>
      <c r="B91" s="14" t="s">
        <v>35</v>
      </c>
      <c r="C91" s="5" t="s">
        <v>1</v>
      </c>
      <c r="D91" s="4">
        <f>F91/1.21</f>
        <v>363.63636363636363</v>
      </c>
      <c r="E91" s="4">
        <f>D91*10/100</f>
        <v>36.36363636363636</v>
      </c>
      <c r="F91" s="24">
        <v>440</v>
      </c>
      <c r="G91" s="23">
        <v>100</v>
      </c>
      <c r="H91" s="3">
        <f>F91-G91</f>
        <v>340</v>
      </c>
      <c r="I91" s="22" t="s">
        <v>34</v>
      </c>
      <c r="J91" s="7">
        <v>220</v>
      </c>
      <c r="K91" s="8">
        <v>45</v>
      </c>
      <c r="L91" s="1" t="s">
        <v>14</v>
      </c>
      <c r="M91" s="7">
        <v>175</v>
      </c>
      <c r="N91" s="7" t="s">
        <v>33</v>
      </c>
      <c r="O91" s="7"/>
    </row>
    <row r="92" spans="1:15" x14ac:dyDescent="0.3">
      <c r="A92" s="15">
        <v>45318</v>
      </c>
      <c r="B92" s="14" t="s">
        <v>32</v>
      </c>
      <c r="C92" s="5" t="s">
        <v>1</v>
      </c>
      <c r="D92" s="4">
        <f>F92/1.21</f>
        <v>223.14049586776861</v>
      </c>
      <c r="E92" s="4">
        <f>D92*10/100</f>
        <v>22.314049586776861</v>
      </c>
      <c r="F92" s="24">
        <v>270</v>
      </c>
      <c r="G92" s="23">
        <v>50</v>
      </c>
      <c r="H92" s="3">
        <f>F92-G92</f>
        <v>220</v>
      </c>
      <c r="I92" s="22" t="s">
        <v>31</v>
      </c>
      <c r="J92" s="7">
        <v>270</v>
      </c>
      <c r="K92" s="8"/>
      <c r="L92" s="1"/>
      <c r="M92" s="7"/>
      <c r="N92" s="7"/>
      <c r="O92" s="7"/>
    </row>
    <row r="93" spans="1:15" x14ac:dyDescent="0.3">
      <c r="A93" s="15">
        <v>45318</v>
      </c>
      <c r="B93" s="14" t="s">
        <v>30</v>
      </c>
      <c r="C93" s="5" t="s">
        <v>1</v>
      </c>
      <c r="D93" s="4">
        <f>F93/1.21</f>
        <v>223.14049586776861</v>
      </c>
      <c r="E93" s="4">
        <f>D93*10/100</f>
        <v>22.314049586776861</v>
      </c>
      <c r="F93" s="24">
        <v>270</v>
      </c>
      <c r="G93" s="23">
        <v>50</v>
      </c>
      <c r="H93" s="3">
        <f>F93-G93</f>
        <v>220</v>
      </c>
      <c r="I93" s="22" t="s">
        <v>29</v>
      </c>
      <c r="J93" s="7">
        <v>270</v>
      </c>
      <c r="K93" s="8"/>
      <c r="L93" s="1"/>
      <c r="M93" s="7"/>
      <c r="N93" s="7"/>
      <c r="O93" s="7"/>
    </row>
    <row r="94" spans="1:15" x14ac:dyDescent="0.3">
      <c r="A94" s="15">
        <v>45318</v>
      </c>
      <c r="B94" s="14" t="s">
        <v>28</v>
      </c>
      <c r="C94" s="5" t="s">
        <v>1</v>
      </c>
      <c r="D94" s="4">
        <f>F94/1.21</f>
        <v>280.9917355371901</v>
      </c>
      <c r="E94" s="4">
        <f>D94*10/100</f>
        <v>28.099173553719012</v>
      </c>
      <c r="F94" s="24">
        <v>340</v>
      </c>
      <c r="G94" s="23">
        <v>50</v>
      </c>
      <c r="H94" s="3">
        <f>F94-G94</f>
        <v>290</v>
      </c>
      <c r="I94" s="22" t="s">
        <v>27</v>
      </c>
      <c r="J94" s="7">
        <v>340</v>
      </c>
      <c r="K94" s="8"/>
      <c r="L94" s="1"/>
      <c r="M94" s="7"/>
      <c r="N94" s="7"/>
      <c r="O94" s="7"/>
    </row>
    <row r="95" spans="1:15" x14ac:dyDescent="0.3">
      <c r="A95" s="15">
        <v>45318</v>
      </c>
      <c r="B95" s="14" t="s">
        <v>26</v>
      </c>
      <c r="C95" s="5" t="s">
        <v>1</v>
      </c>
      <c r="D95" s="4">
        <f>F95/1.21</f>
        <v>202.47933884297521</v>
      </c>
      <c r="E95" s="4">
        <f>D95*10/100</f>
        <v>20.247933884297524</v>
      </c>
      <c r="F95" s="24">
        <v>245</v>
      </c>
      <c r="G95" s="23">
        <v>50</v>
      </c>
      <c r="H95" s="3">
        <f>F95-G95</f>
        <v>195</v>
      </c>
      <c r="I95" s="22" t="s">
        <v>25</v>
      </c>
      <c r="J95" s="7">
        <v>170</v>
      </c>
      <c r="K95" s="8">
        <v>45</v>
      </c>
      <c r="L95" s="1" t="s">
        <v>14</v>
      </c>
      <c r="M95" s="7">
        <v>30</v>
      </c>
      <c r="N95" s="7" t="s">
        <v>7</v>
      </c>
      <c r="O95" s="7"/>
    </row>
    <row r="96" spans="1:15" x14ac:dyDescent="0.3">
      <c r="A96" s="15">
        <v>45318</v>
      </c>
      <c r="B96" s="14" t="s">
        <v>24</v>
      </c>
      <c r="C96" s="5" t="s">
        <v>1</v>
      </c>
      <c r="D96" s="4">
        <f>F96/1.21</f>
        <v>132.2314049586777</v>
      </c>
      <c r="E96" s="4">
        <f>D96*10/100</f>
        <v>13.223140495867769</v>
      </c>
      <c r="F96" s="24">
        <v>160</v>
      </c>
      <c r="G96" s="23"/>
      <c r="H96" s="3">
        <f>F96-G96</f>
        <v>160</v>
      </c>
      <c r="I96" s="22" t="s">
        <v>5</v>
      </c>
      <c r="J96" s="7">
        <v>160</v>
      </c>
      <c r="K96" s="8"/>
      <c r="L96" s="1"/>
      <c r="M96" s="7"/>
      <c r="N96" s="7"/>
      <c r="O96" s="7"/>
    </row>
    <row r="97" spans="1:15" x14ac:dyDescent="0.3">
      <c r="A97" s="15">
        <v>45318</v>
      </c>
      <c r="B97" s="14" t="s">
        <v>23</v>
      </c>
      <c r="C97" s="5" t="s">
        <v>1</v>
      </c>
      <c r="D97" s="4">
        <f>F97/1.21</f>
        <v>115.70247933884298</v>
      </c>
      <c r="E97" s="4">
        <f>D97*10/100</f>
        <v>11.570247933884298</v>
      </c>
      <c r="F97" s="21">
        <v>140</v>
      </c>
      <c r="G97" s="20"/>
      <c r="H97" s="3">
        <f>F97-G97</f>
        <v>140</v>
      </c>
      <c r="I97" s="19" t="s">
        <v>5</v>
      </c>
      <c r="J97" s="16">
        <v>140</v>
      </c>
      <c r="K97" s="18"/>
      <c r="L97" s="17"/>
      <c r="M97" s="16"/>
      <c r="N97" s="16"/>
      <c r="O97" s="16"/>
    </row>
    <row r="98" spans="1:15" x14ac:dyDescent="0.3">
      <c r="A98" s="15">
        <v>45318</v>
      </c>
      <c r="B98" s="14" t="s">
        <v>22</v>
      </c>
      <c r="C98" s="5" t="s">
        <v>1</v>
      </c>
      <c r="D98" s="4">
        <f>F98/1.21</f>
        <v>165.28925619834712</v>
      </c>
      <c r="E98" s="4">
        <f>D98*10/100</f>
        <v>16.528925619834713</v>
      </c>
      <c r="F98" s="2">
        <v>200</v>
      </c>
      <c r="G98" s="2">
        <v>50</v>
      </c>
      <c r="H98" s="3">
        <f>F98-G98</f>
        <v>150</v>
      </c>
      <c r="I98" s="9" t="s">
        <v>21</v>
      </c>
      <c r="J98" s="7">
        <v>170</v>
      </c>
      <c r="K98" s="8">
        <v>30</v>
      </c>
      <c r="L98" s="1" t="s">
        <v>7</v>
      </c>
      <c r="M98" s="7"/>
      <c r="N98" s="7"/>
      <c r="O98" s="7"/>
    </row>
    <row r="99" spans="1:15" x14ac:dyDescent="0.3">
      <c r="A99" s="15">
        <v>45318</v>
      </c>
      <c r="B99" s="14" t="s">
        <v>20</v>
      </c>
      <c r="C99" s="5" t="s">
        <v>1</v>
      </c>
      <c r="D99" s="4">
        <f>F99/1.21</f>
        <v>115.70247933884298</v>
      </c>
      <c r="E99" s="4">
        <f>D99*10/100</f>
        <v>11.570247933884298</v>
      </c>
      <c r="F99" s="2">
        <v>140</v>
      </c>
      <c r="G99" s="2"/>
      <c r="H99" s="3">
        <f>F99-G99</f>
        <v>140</v>
      </c>
      <c r="I99" s="9" t="s">
        <v>5</v>
      </c>
      <c r="J99" s="7">
        <v>140</v>
      </c>
      <c r="K99" s="8"/>
      <c r="L99" s="1"/>
      <c r="M99" s="7"/>
      <c r="N99" s="7"/>
      <c r="O99" s="7"/>
    </row>
    <row r="100" spans="1:15" x14ac:dyDescent="0.3">
      <c r="A100" s="11">
        <v>45318</v>
      </c>
      <c r="B100" s="14" t="s">
        <v>19</v>
      </c>
      <c r="C100" s="5" t="s">
        <v>1</v>
      </c>
      <c r="D100" s="4">
        <f>F100/1.21</f>
        <v>214.87603305785126</v>
      </c>
      <c r="E100" s="4">
        <f>D100*10/100</f>
        <v>21.487603305785125</v>
      </c>
      <c r="F100" s="10">
        <v>260</v>
      </c>
      <c r="G100" s="7">
        <v>50</v>
      </c>
      <c r="H100" s="3">
        <f>F100-G100</f>
        <v>210</v>
      </c>
      <c r="I100" s="9" t="s">
        <v>18</v>
      </c>
      <c r="J100" s="7">
        <v>220</v>
      </c>
      <c r="K100" s="8">
        <v>40</v>
      </c>
      <c r="L100" s="1" t="s">
        <v>14</v>
      </c>
      <c r="M100" s="7"/>
      <c r="N100" s="7"/>
      <c r="O100" s="7"/>
    </row>
    <row r="101" spans="1:15" x14ac:dyDescent="0.3">
      <c r="A101" s="11">
        <v>45318</v>
      </c>
      <c r="B101" s="5" t="s">
        <v>17</v>
      </c>
      <c r="C101" s="5" t="s">
        <v>1</v>
      </c>
      <c r="D101" s="4">
        <f>F101/1.21</f>
        <v>148.7603305785124</v>
      </c>
      <c r="E101" s="4">
        <f>D101*10/100</f>
        <v>14.876033057851238</v>
      </c>
      <c r="F101" s="10">
        <v>180</v>
      </c>
      <c r="G101" s="7"/>
      <c r="H101" s="3">
        <f>F101-G101</f>
        <v>180</v>
      </c>
      <c r="I101" s="9" t="s">
        <v>5</v>
      </c>
      <c r="J101" s="7">
        <v>180</v>
      </c>
      <c r="K101" s="8"/>
      <c r="L101" s="1"/>
      <c r="M101" s="7"/>
      <c r="N101" s="7"/>
      <c r="O101" s="7"/>
    </row>
    <row r="102" spans="1:15" x14ac:dyDescent="0.3">
      <c r="A102" s="11">
        <v>45319</v>
      </c>
      <c r="B102" s="5" t="s">
        <v>16</v>
      </c>
      <c r="C102" s="5" t="s">
        <v>1</v>
      </c>
      <c r="D102" s="4">
        <f>F102/1.21</f>
        <v>177.68595041322314</v>
      </c>
      <c r="E102" s="4">
        <f>D102*10/100</f>
        <v>17.768595041322314</v>
      </c>
      <c r="F102" s="10">
        <v>215</v>
      </c>
      <c r="G102" s="7">
        <v>50</v>
      </c>
      <c r="H102" s="3">
        <f>F102-G102</f>
        <v>165</v>
      </c>
      <c r="I102" s="9" t="s">
        <v>15</v>
      </c>
      <c r="J102" s="7">
        <v>170</v>
      </c>
      <c r="K102" s="8">
        <v>45</v>
      </c>
      <c r="L102" s="1" t="s">
        <v>14</v>
      </c>
      <c r="M102" s="7"/>
      <c r="N102" s="13"/>
      <c r="O102" s="7"/>
    </row>
    <row r="103" spans="1:15" x14ac:dyDescent="0.3">
      <c r="A103" s="11">
        <v>45319</v>
      </c>
      <c r="B103" s="5" t="s">
        <v>13</v>
      </c>
      <c r="C103" s="5" t="s">
        <v>1</v>
      </c>
      <c r="D103" s="4">
        <f>F103/1.21</f>
        <v>322.31404958677689</v>
      </c>
      <c r="E103" s="4">
        <f>D103*10/100</f>
        <v>32.231404958677693</v>
      </c>
      <c r="F103" s="10">
        <v>390</v>
      </c>
      <c r="G103" s="7">
        <v>50</v>
      </c>
      <c r="H103" s="3">
        <f>F103-G103</f>
        <v>340</v>
      </c>
      <c r="I103" s="9" t="s">
        <v>12</v>
      </c>
      <c r="J103" s="7">
        <v>390</v>
      </c>
      <c r="K103" s="8"/>
      <c r="L103" s="1"/>
      <c r="M103" s="7"/>
      <c r="N103" s="7"/>
      <c r="O103" s="7"/>
    </row>
    <row r="104" spans="1:15" x14ac:dyDescent="0.3">
      <c r="A104" s="11">
        <v>45319</v>
      </c>
      <c r="B104" s="5" t="s">
        <v>11</v>
      </c>
      <c r="C104" s="5" t="s">
        <v>1</v>
      </c>
      <c r="D104" s="4">
        <f>F104/1.21</f>
        <v>173.55371900826447</v>
      </c>
      <c r="E104" s="4">
        <f>D104*10/100</f>
        <v>17.355371900826448</v>
      </c>
      <c r="F104" s="10">
        <v>210</v>
      </c>
      <c r="G104" s="7">
        <v>50</v>
      </c>
      <c r="H104" s="3">
        <f>F104-G104</f>
        <v>160</v>
      </c>
      <c r="I104" s="9" t="s">
        <v>10</v>
      </c>
      <c r="J104" s="7">
        <v>170</v>
      </c>
      <c r="K104" s="8">
        <v>40</v>
      </c>
      <c r="L104" s="1" t="s">
        <v>7</v>
      </c>
      <c r="M104" s="7"/>
      <c r="N104" s="7"/>
      <c r="O104" s="7"/>
    </row>
    <row r="105" spans="1:15" x14ac:dyDescent="0.3">
      <c r="A105" s="11">
        <v>45319</v>
      </c>
      <c r="B105" s="5" t="s">
        <v>9</v>
      </c>
      <c r="C105" s="5" t="s">
        <v>1</v>
      </c>
      <c r="D105" s="4">
        <f>F105/1.21</f>
        <v>235.53719008264463</v>
      </c>
      <c r="E105" s="4">
        <f>D105*10/100</f>
        <v>23.553719008264462</v>
      </c>
      <c r="F105" s="10">
        <v>285</v>
      </c>
      <c r="G105" s="7">
        <v>50</v>
      </c>
      <c r="H105" s="3">
        <f>F105-G105</f>
        <v>235</v>
      </c>
      <c r="I105" s="9" t="s">
        <v>8</v>
      </c>
      <c r="J105" s="7">
        <v>270</v>
      </c>
      <c r="K105" s="8">
        <v>15</v>
      </c>
      <c r="L105" s="1" t="s">
        <v>7</v>
      </c>
      <c r="M105" s="7"/>
      <c r="N105" s="7"/>
      <c r="O105" s="7"/>
    </row>
    <row r="106" spans="1:15" x14ac:dyDescent="0.3">
      <c r="A106" s="11">
        <v>45320</v>
      </c>
      <c r="B106" s="5" t="s">
        <v>6</v>
      </c>
      <c r="C106" s="5" t="s">
        <v>1</v>
      </c>
      <c r="D106" s="4">
        <f>F106/1.21</f>
        <v>165.28925619834712</v>
      </c>
      <c r="E106" s="4">
        <f>D106*10/100</f>
        <v>16.528925619834713</v>
      </c>
      <c r="F106" s="10">
        <v>200</v>
      </c>
      <c r="G106" s="7"/>
      <c r="H106" s="3">
        <f>F106-G106</f>
        <v>200</v>
      </c>
      <c r="I106" s="9" t="s">
        <v>5</v>
      </c>
      <c r="J106" s="7">
        <v>200</v>
      </c>
      <c r="K106" s="8"/>
      <c r="L106" s="1"/>
      <c r="M106" s="7"/>
      <c r="N106" s="7"/>
      <c r="O106" s="7"/>
    </row>
    <row r="107" spans="1:15" x14ac:dyDescent="0.3">
      <c r="A107" s="11">
        <v>45321</v>
      </c>
      <c r="B107" s="5" t="s">
        <v>4</v>
      </c>
      <c r="C107" s="5" t="s">
        <v>1</v>
      </c>
      <c r="D107" s="4">
        <f>F107/1.21</f>
        <v>140.49586776859505</v>
      </c>
      <c r="E107" s="4">
        <f>D107*10/100</f>
        <v>14.049586776859506</v>
      </c>
      <c r="F107" s="10">
        <v>170</v>
      </c>
      <c r="G107" s="7">
        <v>50</v>
      </c>
      <c r="H107" s="3">
        <f>F107-G107</f>
        <v>120</v>
      </c>
      <c r="I107" s="9" t="s">
        <v>3</v>
      </c>
      <c r="J107" s="7">
        <v>170</v>
      </c>
      <c r="K107" s="8"/>
      <c r="L107" s="1"/>
      <c r="M107" s="7"/>
      <c r="N107" s="7"/>
      <c r="O107" s="7"/>
    </row>
    <row r="108" spans="1:15" x14ac:dyDescent="0.3">
      <c r="A108" s="12">
        <v>45321</v>
      </c>
      <c r="B108" s="5" t="s">
        <v>2</v>
      </c>
      <c r="C108" s="5" t="s">
        <v>1</v>
      </c>
      <c r="D108" s="4">
        <f>F108/1.21</f>
        <v>247.93388429752068</v>
      </c>
      <c r="E108" s="4">
        <f>D108*10/100</f>
        <v>24.793388429752067</v>
      </c>
      <c r="F108" s="10">
        <v>300</v>
      </c>
      <c r="G108" s="7">
        <v>100</v>
      </c>
      <c r="H108" s="3">
        <f>F108-G108</f>
        <v>200</v>
      </c>
      <c r="I108" s="9" t="s">
        <v>0</v>
      </c>
      <c r="J108" s="7">
        <v>300</v>
      </c>
      <c r="K108" s="8"/>
      <c r="L108" s="1"/>
      <c r="M108" s="7"/>
      <c r="N108" s="7"/>
      <c r="O108" s="7"/>
    </row>
    <row r="109" spans="1:15" x14ac:dyDescent="0.3">
      <c r="A109" s="11"/>
      <c r="B109" s="5"/>
      <c r="C109" s="5"/>
      <c r="D109" s="4"/>
      <c r="E109" s="4"/>
      <c r="F109" s="10"/>
      <c r="G109" s="7"/>
      <c r="H109" s="3"/>
      <c r="I109" s="9"/>
      <c r="J109" s="7"/>
      <c r="K109" s="8"/>
      <c r="L109" s="1"/>
      <c r="M109" s="7"/>
      <c r="N109" s="7"/>
      <c r="O109" s="7"/>
    </row>
    <row r="110" spans="1:15" x14ac:dyDescent="0.3">
      <c r="A110" s="11"/>
      <c r="B110" s="5"/>
      <c r="C110" s="5"/>
      <c r="D110" s="4"/>
      <c r="E110" s="4"/>
      <c r="F110" s="10"/>
      <c r="G110" s="7"/>
      <c r="H110" s="3"/>
      <c r="I110" s="9"/>
      <c r="J110" s="7"/>
      <c r="K110" s="8"/>
      <c r="L110" s="1"/>
      <c r="M110" s="7"/>
      <c r="N110" s="7"/>
      <c r="O110" s="7"/>
    </row>
    <row r="111" spans="1:15" x14ac:dyDescent="0.3">
      <c r="A111" s="11"/>
      <c r="B111" s="5"/>
      <c r="C111" s="5"/>
      <c r="D111" s="4"/>
      <c r="E111" s="4"/>
      <c r="F111" s="10"/>
      <c r="G111" s="7"/>
      <c r="H111" s="3"/>
      <c r="I111" s="9"/>
      <c r="J111" s="7"/>
      <c r="K111" s="8"/>
      <c r="L111" s="1"/>
      <c r="M111" s="7"/>
      <c r="N111" s="7"/>
      <c r="O111" s="7"/>
    </row>
    <row r="112" spans="1:15" x14ac:dyDescent="0.3">
      <c r="A112" s="11"/>
      <c r="B112" s="5"/>
      <c r="C112" s="5"/>
      <c r="D112" s="4"/>
      <c r="E112" s="4"/>
      <c r="F112" s="10"/>
      <c r="G112" s="7"/>
      <c r="H112" s="3"/>
      <c r="I112" s="9"/>
      <c r="J112" s="7"/>
      <c r="K112" s="8"/>
      <c r="L112" s="1"/>
      <c r="M112" s="7"/>
      <c r="N112" s="7"/>
      <c r="O112" s="7"/>
    </row>
    <row r="113" spans="1:15" x14ac:dyDescent="0.3">
      <c r="A113" s="11"/>
      <c r="B113" s="5"/>
      <c r="C113" s="5"/>
      <c r="D113" s="4"/>
      <c r="E113" s="4"/>
      <c r="F113" s="10"/>
      <c r="G113" s="7"/>
      <c r="H113" s="3"/>
      <c r="I113" s="9"/>
      <c r="J113" s="7"/>
      <c r="K113" s="8"/>
      <c r="L113" s="1"/>
      <c r="M113" s="7"/>
      <c r="N113" s="7"/>
      <c r="O113" s="7"/>
    </row>
    <row r="114" spans="1:15" x14ac:dyDescent="0.3">
      <c r="A114" s="11"/>
      <c r="B114" s="5"/>
      <c r="C114" s="5"/>
      <c r="D114" s="4">
        <f>SUM(D3:D113)</f>
        <v>19618.181818181816</v>
      </c>
      <c r="E114" s="4"/>
      <c r="F114" s="10"/>
      <c r="G114" s="7"/>
      <c r="H114" s="3"/>
      <c r="I114" s="9"/>
      <c r="J114" s="7"/>
      <c r="K114" s="8"/>
      <c r="L114" s="1"/>
      <c r="M114" s="7"/>
      <c r="N114" s="7"/>
      <c r="O114" s="7"/>
    </row>
    <row r="115" spans="1:15" x14ac:dyDescent="0.3">
      <c r="A115" s="11"/>
      <c r="B115" s="5"/>
      <c r="C115" s="5"/>
      <c r="D115" s="4"/>
      <c r="E115" s="4"/>
      <c r="F115" s="10"/>
      <c r="G115" s="7"/>
      <c r="H115" s="3"/>
      <c r="I115" s="9"/>
      <c r="J115" s="7"/>
      <c r="K115" s="8"/>
      <c r="L115" s="1"/>
      <c r="M115" s="7"/>
      <c r="N115" s="7"/>
      <c r="O115" s="7"/>
    </row>
    <row r="116" spans="1:15" x14ac:dyDescent="0.3">
      <c r="A116" s="11"/>
      <c r="B116" s="5"/>
      <c r="C116" s="5"/>
      <c r="D116" s="4"/>
      <c r="E116" s="4"/>
      <c r="F116" s="10"/>
      <c r="G116" s="7"/>
      <c r="H116" s="3"/>
      <c r="I116" s="9"/>
      <c r="J116" s="7"/>
      <c r="K116" s="8"/>
      <c r="L116" s="1"/>
      <c r="M116" s="7"/>
      <c r="N116" s="7"/>
      <c r="O116" s="7"/>
    </row>
    <row r="117" spans="1:15" x14ac:dyDescent="0.3">
      <c r="A117" s="11"/>
      <c r="B117" s="5"/>
      <c r="C117" s="5"/>
      <c r="D117" s="4"/>
      <c r="E117" s="4"/>
      <c r="F117" s="10"/>
      <c r="G117" s="7"/>
      <c r="H117" s="3"/>
      <c r="I117" s="9"/>
      <c r="J117" s="7"/>
      <c r="K117" s="8"/>
      <c r="L117" s="1"/>
      <c r="M117" s="7"/>
      <c r="N117" s="7"/>
      <c r="O117" s="7"/>
    </row>
    <row r="118" spans="1:15" x14ac:dyDescent="0.3">
      <c r="A118" s="11"/>
      <c r="B118" s="5"/>
      <c r="C118" s="5"/>
      <c r="D118" s="4"/>
      <c r="E118" s="4"/>
      <c r="F118" s="10"/>
      <c r="G118" s="7"/>
      <c r="H118" s="3"/>
      <c r="I118" s="9"/>
      <c r="J118" s="7"/>
      <c r="K118" s="8"/>
      <c r="L118" s="1"/>
      <c r="M118" s="7"/>
      <c r="N118" s="7"/>
      <c r="O118" s="7"/>
    </row>
    <row r="119" spans="1:15" x14ac:dyDescent="0.3">
      <c r="A119" s="11"/>
      <c r="B119" s="5"/>
      <c r="C119" s="5"/>
      <c r="D119" s="4"/>
      <c r="E119" s="4"/>
      <c r="F119" s="10"/>
      <c r="G119" s="7"/>
      <c r="H119" s="3"/>
      <c r="I119" s="9"/>
      <c r="J119" s="7"/>
      <c r="K119" s="8"/>
      <c r="L119" s="1"/>
      <c r="M119" s="7"/>
      <c r="N119" s="7"/>
      <c r="O119" s="7"/>
    </row>
    <row r="120" spans="1:15" x14ac:dyDescent="0.3">
      <c r="A120" s="11"/>
      <c r="B120" s="5"/>
      <c r="C120" s="5"/>
      <c r="D120" s="4"/>
      <c r="E120" s="4"/>
      <c r="F120" s="10"/>
      <c r="G120" s="7"/>
      <c r="H120" s="3"/>
      <c r="I120" s="9"/>
      <c r="J120" s="7"/>
      <c r="K120" s="8"/>
      <c r="L120" s="1"/>
      <c r="M120" s="7"/>
      <c r="N120" s="7"/>
      <c r="O120" s="7"/>
    </row>
    <row r="121" spans="1:15" x14ac:dyDescent="0.3">
      <c r="A121" s="11"/>
      <c r="B121" s="5"/>
      <c r="C121" s="5"/>
      <c r="D121" s="4"/>
      <c r="E121" s="4"/>
      <c r="F121" s="10"/>
      <c r="G121" s="7"/>
      <c r="H121" s="3"/>
      <c r="I121" s="9"/>
      <c r="J121" s="7"/>
      <c r="K121" s="8"/>
      <c r="L121" s="1"/>
      <c r="M121" s="7"/>
      <c r="N121" s="7"/>
      <c r="O121" s="7"/>
    </row>
    <row r="122" spans="1:15" x14ac:dyDescent="0.3">
      <c r="A122" s="11"/>
      <c r="B122" s="5"/>
      <c r="C122" s="5"/>
      <c r="D122" s="4"/>
      <c r="E122" s="4"/>
      <c r="F122" s="10"/>
      <c r="G122" s="7"/>
      <c r="H122" s="3"/>
      <c r="I122" s="9"/>
      <c r="J122" s="7"/>
      <c r="K122" s="8"/>
      <c r="L122" s="1"/>
      <c r="M122" s="7"/>
      <c r="N122" s="7"/>
      <c r="O122" s="7"/>
    </row>
    <row r="123" spans="1:15" x14ac:dyDescent="0.3">
      <c r="A123" s="11"/>
      <c r="B123" s="5"/>
      <c r="C123" s="5"/>
      <c r="D123" s="4"/>
      <c r="E123" s="4"/>
      <c r="F123" s="10"/>
      <c r="G123" s="7"/>
      <c r="H123" s="3"/>
      <c r="I123" s="9"/>
      <c r="J123" s="7"/>
      <c r="K123" s="8"/>
      <c r="L123" s="1"/>
      <c r="M123" s="7"/>
      <c r="N123" s="7"/>
      <c r="O123" s="7"/>
    </row>
    <row r="124" spans="1:15" x14ac:dyDescent="0.3">
      <c r="A124" s="11"/>
      <c r="B124" s="5"/>
      <c r="C124" s="5"/>
      <c r="D124" s="4"/>
      <c r="E124" s="4"/>
      <c r="F124" s="10"/>
      <c r="G124" s="7"/>
      <c r="H124" s="3"/>
      <c r="I124" s="9"/>
      <c r="J124" s="7"/>
      <c r="K124" s="8"/>
      <c r="L124" s="1"/>
      <c r="M124" s="7"/>
      <c r="N124" s="7"/>
      <c r="O124" s="7"/>
    </row>
    <row r="125" spans="1:15" x14ac:dyDescent="0.3">
      <c r="A125" s="11"/>
      <c r="B125" s="5"/>
      <c r="C125" s="5"/>
      <c r="D125" s="4"/>
      <c r="E125" s="4"/>
      <c r="F125" s="10"/>
      <c r="G125" s="7"/>
      <c r="H125" s="3"/>
      <c r="I125" s="9"/>
      <c r="J125" s="7"/>
      <c r="K125" s="8"/>
      <c r="L125" s="1"/>
      <c r="M125" s="7"/>
      <c r="N125" s="7"/>
      <c r="O125" s="7"/>
    </row>
    <row r="126" spans="1:15" x14ac:dyDescent="0.3">
      <c r="A126" s="11"/>
      <c r="B126" s="5"/>
      <c r="C126" s="5"/>
      <c r="D126" s="4"/>
      <c r="E126" s="4"/>
      <c r="F126" s="10"/>
      <c r="G126" s="7"/>
      <c r="H126" s="3"/>
      <c r="I126" s="9"/>
      <c r="J126" s="7"/>
      <c r="K126" s="8"/>
      <c r="L126" s="1"/>
      <c r="M126" s="7"/>
      <c r="N126" s="7"/>
      <c r="O126" s="7"/>
    </row>
    <row r="127" spans="1:15" x14ac:dyDescent="0.3">
      <c r="A127" s="6"/>
      <c r="B127" s="5"/>
      <c r="C127" s="5"/>
      <c r="D127" s="4"/>
      <c r="E127" s="4"/>
      <c r="F127" s="2"/>
      <c r="G127" s="2"/>
      <c r="H127" s="3"/>
      <c r="I127" s="1"/>
      <c r="J127" s="2"/>
      <c r="K127" s="2"/>
      <c r="L127" s="1"/>
      <c r="M127" s="1"/>
      <c r="N127" s="1"/>
      <c r="O127" s="1"/>
    </row>
    <row r="128" spans="1:15" x14ac:dyDescent="0.3">
      <c r="A128" s="6"/>
      <c r="B128" s="5"/>
      <c r="C128" s="5"/>
      <c r="D128" s="4"/>
      <c r="E128" s="4"/>
      <c r="F128" s="2"/>
      <c r="G128" s="2"/>
      <c r="H128" s="3"/>
      <c r="I128" s="1"/>
      <c r="J128" s="2"/>
      <c r="K128" s="2"/>
      <c r="L128" s="1"/>
      <c r="M128" s="1"/>
      <c r="N128" s="1"/>
      <c r="O128" s="1"/>
    </row>
    <row r="129" spans="1:15" x14ac:dyDescent="0.3">
      <c r="A129" s="6"/>
      <c r="B129" s="5"/>
      <c r="C129" s="5"/>
      <c r="D129" s="4"/>
      <c r="E129" s="4"/>
      <c r="F129" s="2"/>
      <c r="G129" s="2"/>
      <c r="H129" s="3"/>
      <c r="I129" s="1"/>
      <c r="J129" s="2"/>
      <c r="K129" s="2"/>
      <c r="L129" s="1"/>
      <c r="M129" s="1"/>
      <c r="N129" s="1"/>
      <c r="O129" s="1"/>
    </row>
    <row r="130" spans="1:15" x14ac:dyDescent="0.3">
      <c r="A130" s="6"/>
      <c r="B130" s="5"/>
      <c r="C130" s="5"/>
      <c r="D130" s="4"/>
      <c r="E130" s="4"/>
      <c r="F130" s="2"/>
      <c r="G130" s="2"/>
      <c r="H130" s="3"/>
      <c r="I130" s="1"/>
      <c r="J130" s="2"/>
      <c r="K130" s="2"/>
      <c r="L130" s="1"/>
      <c r="M130" s="1"/>
      <c r="N130" s="1"/>
      <c r="O130" s="1"/>
    </row>
    <row r="131" spans="1:15" x14ac:dyDescent="0.3">
      <c r="A131" s="6"/>
      <c r="B131" s="5"/>
      <c r="C131" s="5"/>
      <c r="D131" s="4"/>
      <c r="E131" s="4"/>
      <c r="F131" s="2"/>
      <c r="G131" s="2"/>
      <c r="H131" s="3"/>
      <c r="I131" s="1"/>
      <c r="J131" s="2"/>
      <c r="K131" s="2"/>
      <c r="L131" s="1"/>
      <c r="M131" s="1"/>
      <c r="N131" s="1"/>
      <c r="O131" s="1"/>
    </row>
    <row r="132" spans="1:15" x14ac:dyDescent="0.3">
      <c r="A132" s="6"/>
      <c r="B132" s="5"/>
      <c r="C132" s="5"/>
      <c r="D132" s="4"/>
      <c r="E132" s="4"/>
      <c r="F132" s="2"/>
      <c r="G132" s="2"/>
      <c r="H132" s="3"/>
      <c r="I132" s="1"/>
      <c r="J132" s="2"/>
      <c r="K132" s="2"/>
      <c r="L132" s="1"/>
      <c r="M132" s="1"/>
      <c r="N132" s="1"/>
      <c r="O132" s="1"/>
    </row>
    <row r="133" spans="1:15" x14ac:dyDescent="0.3">
      <c r="A133" s="6"/>
      <c r="B133" s="5"/>
      <c r="C133" s="5"/>
      <c r="D133" s="4"/>
      <c r="E133" s="4"/>
      <c r="F133" s="2"/>
      <c r="G133" s="2"/>
      <c r="H133" s="3"/>
      <c r="I133" s="1"/>
      <c r="J133" s="2"/>
      <c r="K133" s="2"/>
      <c r="L133" s="1"/>
      <c r="M133" s="1"/>
      <c r="N133" s="1"/>
      <c r="O133" s="1"/>
    </row>
    <row r="134" spans="1:15" x14ac:dyDescent="0.3">
      <c r="A134" s="6"/>
      <c r="B134" s="5"/>
      <c r="C134" s="5"/>
      <c r="D134" s="4"/>
      <c r="E134" s="4"/>
      <c r="F134" s="2"/>
      <c r="G134" s="2"/>
      <c r="H134" s="3"/>
      <c r="I134" s="1"/>
      <c r="J134" s="2"/>
      <c r="K134" s="2"/>
      <c r="L134" s="1"/>
      <c r="M134" s="1"/>
      <c r="N134" s="1"/>
      <c r="O134" s="1"/>
    </row>
    <row r="135" spans="1:15" x14ac:dyDescent="0.3">
      <c r="A135" s="6"/>
      <c r="B135" s="5"/>
      <c r="C135" s="5"/>
      <c r="D135" s="4"/>
      <c r="E135" s="4"/>
      <c r="F135" s="2"/>
      <c r="G135" s="2"/>
      <c r="H135" s="3"/>
      <c r="I135" s="1"/>
      <c r="J135" s="2"/>
      <c r="K135" s="2"/>
      <c r="L135" s="1"/>
      <c r="M135" s="1"/>
      <c r="N135" s="1"/>
      <c r="O135" s="1"/>
    </row>
    <row r="136" spans="1:15" x14ac:dyDescent="0.3">
      <c r="A136" s="6"/>
      <c r="B136" s="5"/>
      <c r="C136" s="5"/>
      <c r="D136" s="4"/>
      <c r="E136" s="4"/>
      <c r="F136" s="2"/>
      <c r="G136" s="2"/>
      <c r="H136" s="3"/>
      <c r="I136" s="1"/>
      <c r="J136" s="2"/>
      <c r="K136" s="2"/>
      <c r="L136" s="1"/>
      <c r="M136" s="1"/>
      <c r="N136" s="1"/>
      <c r="O136" s="1"/>
    </row>
    <row r="137" spans="1:15" x14ac:dyDescent="0.3">
      <c r="A137" s="6"/>
      <c r="B137" s="5"/>
      <c r="C137" s="5"/>
      <c r="D137" s="4"/>
      <c r="E137" s="4"/>
      <c r="F137" s="2"/>
      <c r="G137" s="2"/>
      <c r="H137" s="3"/>
      <c r="I137" s="1"/>
      <c r="J137" s="2"/>
      <c r="K137" s="2"/>
      <c r="L137" s="1"/>
      <c r="M137" s="1"/>
      <c r="N137" s="1"/>
      <c r="O137" s="1"/>
    </row>
    <row r="138" spans="1:15" x14ac:dyDescent="0.3">
      <c r="A138" s="6"/>
      <c r="B138" s="5"/>
      <c r="C138" s="5"/>
      <c r="D138" s="4"/>
      <c r="E138" s="4"/>
      <c r="F138" s="2"/>
      <c r="G138" s="2"/>
      <c r="H138" s="3"/>
      <c r="I138" s="1"/>
      <c r="J138" s="2"/>
      <c r="K138" s="2"/>
      <c r="L138" s="1"/>
      <c r="M138" s="1"/>
      <c r="N138" s="1"/>
      <c r="O138" s="1"/>
    </row>
    <row r="139" spans="1:15" x14ac:dyDescent="0.3">
      <c r="A139" s="6"/>
      <c r="B139" s="5"/>
      <c r="C139" s="5"/>
      <c r="D139" s="4"/>
      <c r="E139" s="4"/>
      <c r="F139" s="2"/>
      <c r="G139" s="2"/>
      <c r="H139" s="3"/>
      <c r="I139" s="1"/>
      <c r="J139" s="2"/>
      <c r="K139" s="2"/>
      <c r="L139" s="1"/>
      <c r="M139" s="1"/>
      <c r="N139" s="1"/>
      <c r="O139" s="1"/>
    </row>
    <row r="140" spans="1:15" x14ac:dyDescent="0.3">
      <c r="A140" s="6"/>
      <c r="B140" s="5"/>
      <c r="C140" s="5"/>
      <c r="D140" s="4"/>
      <c r="E140" s="4"/>
      <c r="F140" s="2"/>
      <c r="G140" s="2"/>
      <c r="H140" s="3"/>
      <c r="I140" s="1"/>
      <c r="J140" s="2"/>
      <c r="K140" s="2"/>
      <c r="L140" s="1"/>
      <c r="M140" s="1"/>
      <c r="N140" s="1"/>
      <c r="O140" s="1"/>
    </row>
    <row r="141" spans="1:15" x14ac:dyDescent="0.3">
      <c r="A141" s="6"/>
      <c r="B141" s="5"/>
      <c r="C141" s="5"/>
      <c r="D141" s="4"/>
      <c r="E141" s="4"/>
      <c r="F141" s="2"/>
      <c r="G141" s="2"/>
      <c r="H141" s="3"/>
      <c r="I141" s="1"/>
      <c r="J141" s="2"/>
      <c r="K141" s="2"/>
      <c r="L141" s="1"/>
      <c r="M141" s="1"/>
      <c r="N141" s="1"/>
      <c r="O141" s="1"/>
    </row>
    <row r="142" spans="1:15" x14ac:dyDescent="0.3">
      <c r="A142" s="6"/>
      <c r="B142" s="5"/>
      <c r="C142" s="5"/>
      <c r="D142" s="4"/>
      <c r="E142" s="4"/>
      <c r="F142" s="2"/>
      <c r="G142" s="2"/>
      <c r="H142" s="3"/>
      <c r="I142" s="1"/>
      <c r="J142" s="2"/>
      <c r="K142" s="2"/>
      <c r="L142" s="1"/>
      <c r="M142" s="1"/>
      <c r="N142" s="1"/>
      <c r="O142" s="1"/>
    </row>
    <row r="143" spans="1:15" x14ac:dyDescent="0.3">
      <c r="A143" s="6"/>
      <c r="B143" s="5"/>
      <c r="C143" s="5"/>
      <c r="D143" s="4"/>
      <c r="E143" s="4"/>
      <c r="F143" s="2"/>
      <c r="G143" s="2"/>
      <c r="H143" s="3"/>
      <c r="I143" s="1"/>
      <c r="J143" s="2"/>
      <c r="K143" s="2"/>
      <c r="L143" s="1"/>
      <c r="M143" s="1"/>
      <c r="N143" s="1"/>
      <c r="O143" s="1"/>
    </row>
    <row r="144" spans="1:15" x14ac:dyDescent="0.3">
      <c r="A144" s="6"/>
      <c r="B144" s="5"/>
      <c r="C144" s="5"/>
      <c r="D144" s="4"/>
      <c r="E144" s="4"/>
      <c r="F144" s="2"/>
      <c r="G144" s="2"/>
      <c r="H144" s="3"/>
      <c r="I144" s="1"/>
      <c r="J144" s="2"/>
      <c r="K144" s="2"/>
      <c r="L144" s="1"/>
      <c r="M144" s="1"/>
      <c r="N144" s="1"/>
      <c r="O144" s="1"/>
    </row>
    <row r="145" spans="1:15" x14ac:dyDescent="0.3">
      <c r="A145" s="6"/>
      <c r="B145" s="5"/>
      <c r="C145" s="5"/>
      <c r="D145" s="4"/>
      <c r="E145" s="4"/>
      <c r="F145" s="2"/>
      <c r="G145" s="2"/>
      <c r="H145" s="3"/>
      <c r="I145" s="1"/>
      <c r="J145" s="2"/>
      <c r="K145" s="1"/>
      <c r="L145" s="1"/>
      <c r="M145" s="1"/>
      <c r="N145" s="1"/>
      <c r="O145" s="1"/>
    </row>
    <row r="146" spans="1:15" x14ac:dyDescent="0.3">
      <c r="A146" s="6"/>
      <c r="B146" s="5"/>
      <c r="C146" s="5"/>
      <c r="D146" s="4"/>
      <c r="E146" s="4"/>
      <c r="F146" s="2"/>
      <c r="G146" s="2"/>
      <c r="H146" s="3"/>
      <c r="I146" s="1"/>
      <c r="J146" s="2"/>
      <c r="K146" s="1"/>
      <c r="L146" s="1"/>
      <c r="M146" s="1"/>
      <c r="N146" s="1"/>
      <c r="O146" s="1"/>
    </row>
    <row r="147" spans="1:15" x14ac:dyDescent="0.3">
      <c r="A147" s="6"/>
      <c r="B147" s="5"/>
      <c r="C147" s="5"/>
      <c r="D147" s="4"/>
      <c r="E147" s="4"/>
      <c r="F147" s="2"/>
      <c r="G147" s="2"/>
      <c r="H147" s="3"/>
      <c r="I147" s="1"/>
      <c r="J147" s="2"/>
      <c r="K147" s="1"/>
      <c r="L147" s="1"/>
      <c r="M147" s="1"/>
      <c r="N147" s="1"/>
      <c r="O147" s="1"/>
    </row>
    <row r="148" spans="1:15" x14ac:dyDescent="0.3">
      <c r="A148" s="6"/>
      <c r="B148" s="5"/>
      <c r="C148" s="5"/>
      <c r="D148" s="4"/>
      <c r="E148" s="4"/>
      <c r="F148" s="2"/>
      <c r="G148" s="2"/>
      <c r="H148" s="3"/>
      <c r="I148" s="1"/>
      <c r="J148" s="2"/>
      <c r="K148" s="1"/>
      <c r="L148" s="1"/>
      <c r="M148" s="1"/>
      <c r="N148" s="1"/>
      <c r="O148" s="1"/>
    </row>
    <row r="149" spans="1:15" x14ac:dyDescent="0.3">
      <c r="A149" s="6"/>
      <c r="B149" s="5"/>
      <c r="C149" s="5"/>
      <c r="D149" s="4"/>
      <c r="E149" s="4"/>
      <c r="F149" s="2"/>
      <c r="G149" s="2"/>
      <c r="H149" s="3"/>
      <c r="I149" s="1"/>
      <c r="J149" s="2"/>
      <c r="K149" s="1"/>
      <c r="L149" s="1"/>
      <c r="M149" s="1"/>
      <c r="N149" s="1"/>
      <c r="O149" s="1"/>
    </row>
    <row r="150" spans="1:15" x14ac:dyDescent="0.3">
      <c r="A150" s="6"/>
      <c r="B150" s="5"/>
      <c r="C150" s="5"/>
      <c r="D150" s="4"/>
      <c r="E150" s="4"/>
      <c r="F150" s="2"/>
      <c r="G150" s="2"/>
      <c r="H150" s="3"/>
      <c r="I150" s="1"/>
      <c r="J150" s="2"/>
      <c r="K150" s="1"/>
      <c r="L150" s="1"/>
      <c r="M150" s="1"/>
      <c r="N150" s="1"/>
      <c r="O150" s="1"/>
    </row>
    <row r="151" spans="1:15" x14ac:dyDescent="0.3">
      <c r="A151" s="6"/>
      <c r="B151" s="5"/>
      <c r="C151" s="5"/>
      <c r="D151" s="4"/>
      <c r="E151" s="4"/>
      <c r="F151" s="2"/>
      <c r="G151" s="2"/>
      <c r="H151" s="3"/>
      <c r="I151" s="1"/>
      <c r="J151" s="2"/>
      <c r="K151" s="1"/>
      <c r="L151" s="1"/>
      <c r="M151" s="1"/>
      <c r="N151" s="1"/>
      <c r="O151" s="1"/>
    </row>
    <row r="152" spans="1:15" x14ac:dyDescent="0.3">
      <c r="A152" s="6"/>
      <c r="B152" s="5"/>
      <c r="C152" s="5"/>
      <c r="D152" s="4"/>
      <c r="E152" s="4"/>
      <c r="F152" s="2"/>
      <c r="G152" s="2"/>
      <c r="H152" s="3"/>
      <c r="I152" s="1"/>
      <c r="J152" s="2"/>
      <c r="K152" s="1"/>
      <c r="L152" s="1"/>
      <c r="M152" s="1"/>
      <c r="N152" s="1"/>
      <c r="O152" s="1"/>
    </row>
    <row r="153" spans="1:15" x14ac:dyDescent="0.3">
      <c r="A153" s="6"/>
      <c r="B153" s="5"/>
      <c r="C153" s="5"/>
      <c r="D153" s="4"/>
      <c r="E153" s="4"/>
      <c r="F153" s="2"/>
      <c r="G153" s="2"/>
      <c r="H153" s="3"/>
      <c r="I153" s="1"/>
      <c r="J153" s="2"/>
      <c r="K153" s="1"/>
      <c r="L153" s="1"/>
      <c r="M153" s="1"/>
      <c r="N153" s="1"/>
      <c r="O153" s="1"/>
    </row>
    <row r="154" spans="1:15" x14ac:dyDescent="0.3">
      <c r="A154" s="6"/>
      <c r="B154" s="5"/>
      <c r="C154" s="5"/>
      <c r="D154" s="4"/>
      <c r="E154" s="4"/>
      <c r="F154" s="2"/>
      <c r="G154" s="2"/>
      <c r="H154" s="3"/>
      <c r="I154" s="1"/>
      <c r="J154" s="2"/>
      <c r="K154" s="1"/>
      <c r="L154" s="1"/>
      <c r="M154" s="1"/>
      <c r="N154" s="1"/>
      <c r="O154" s="1"/>
    </row>
    <row r="155" spans="1:15" x14ac:dyDescent="0.3">
      <c r="A155" s="6"/>
      <c r="B155" s="5"/>
      <c r="C155" s="5"/>
      <c r="D155" s="4"/>
      <c r="E155" s="4"/>
      <c r="F155" s="2"/>
      <c r="G155" s="2"/>
      <c r="H155" s="3"/>
      <c r="I155" s="1"/>
      <c r="J155" s="2"/>
      <c r="K155" s="1"/>
      <c r="L155" s="1"/>
      <c r="M155" s="1"/>
      <c r="N155" s="1"/>
      <c r="O155" s="1"/>
    </row>
    <row r="156" spans="1:15" x14ac:dyDescent="0.3">
      <c r="A156" s="6"/>
      <c r="B156" s="5"/>
      <c r="C156" s="5"/>
      <c r="D156" s="4"/>
      <c r="E156" s="4"/>
      <c r="F156" s="2"/>
      <c r="G156" s="2"/>
      <c r="H156" s="3"/>
      <c r="I156" s="1"/>
      <c r="J156" s="2"/>
      <c r="K156" s="1"/>
      <c r="L156" s="1"/>
      <c r="M156" s="1"/>
      <c r="N156" s="1"/>
      <c r="O156" s="1"/>
    </row>
    <row r="157" spans="1:15" x14ac:dyDescent="0.3">
      <c r="A157" s="6"/>
      <c r="B157" s="5"/>
      <c r="C157" s="5"/>
      <c r="D157" s="4"/>
      <c r="E157" s="4"/>
      <c r="F157" s="2"/>
      <c r="G157" s="2"/>
      <c r="H157" s="3"/>
      <c r="I157" s="1"/>
      <c r="J157" s="2"/>
      <c r="K157" s="1"/>
      <c r="L157" s="1"/>
      <c r="M157" s="1"/>
      <c r="N157" s="1"/>
      <c r="O157" s="1"/>
    </row>
    <row r="158" spans="1:15" x14ac:dyDescent="0.3">
      <c r="A158" s="6"/>
      <c r="B158" s="5"/>
      <c r="C158" s="5"/>
      <c r="D158" s="4"/>
      <c r="E158" s="4"/>
      <c r="F158" s="2"/>
      <c r="G158" s="2"/>
      <c r="H158" s="3"/>
      <c r="I158" s="1"/>
      <c r="J158" s="2"/>
      <c r="K158" s="1"/>
      <c r="L158" s="1"/>
      <c r="M158" s="1"/>
      <c r="N158" s="1"/>
      <c r="O158" s="1"/>
    </row>
    <row r="159" spans="1:15" x14ac:dyDescent="0.3">
      <c r="A159" s="6"/>
      <c r="B159" s="5"/>
      <c r="C159" s="5"/>
      <c r="D159" s="4"/>
      <c r="E159" s="4"/>
      <c r="F159" s="2"/>
      <c r="G159" s="2"/>
      <c r="H159" s="3"/>
      <c r="I159" s="1"/>
      <c r="J159" s="2"/>
      <c r="K159" s="1"/>
      <c r="L159" s="1"/>
      <c r="M159" s="1"/>
      <c r="N159" s="1"/>
      <c r="O159" s="1"/>
    </row>
    <row r="160" spans="1:15" x14ac:dyDescent="0.3">
      <c r="A160" s="6"/>
      <c r="B160" s="5"/>
      <c r="C160" s="5"/>
      <c r="D160" s="4"/>
      <c r="E160" s="4"/>
      <c r="F160" s="2"/>
      <c r="G160" s="2"/>
      <c r="H160" s="3"/>
      <c r="I160" s="1"/>
      <c r="J160" s="2"/>
      <c r="K160" s="1"/>
      <c r="L160" s="1"/>
      <c r="M160" s="1"/>
      <c r="N160" s="1"/>
      <c r="O160" s="1"/>
    </row>
    <row r="161" spans="1:15" x14ac:dyDescent="0.3">
      <c r="A161" s="6"/>
      <c r="B161" s="5"/>
      <c r="C161" s="5"/>
      <c r="D161" s="4"/>
      <c r="E161" s="4"/>
      <c r="F161" s="2"/>
      <c r="G161" s="2"/>
      <c r="H161" s="3"/>
      <c r="I161" s="1"/>
      <c r="J161" s="2"/>
      <c r="K161" s="1"/>
      <c r="L161" s="1"/>
      <c r="M161" s="1"/>
      <c r="N161" s="1"/>
      <c r="O161" s="1"/>
    </row>
    <row r="162" spans="1:15" x14ac:dyDescent="0.3">
      <c r="A162" s="6"/>
      <c r="B162" s="5"/>
      <c r="C162" s="5"/>
      <c r="D162" s="4"/>
      <c r="E162" s="4"/>
      <c r="F162" s="2"/>
      <c r="G162" s="2"/>
      <c r="H162" s="3"/>
      <c r="I162" s="1"/>
      <c r="J162" s="2"/>
      <c r="K162" s="1"/>
      <c r="L162" s="1"/>
      <c r="M162" s="1"/>
      <c r="N162" s="1"/>
      <c r="O162" s="1"/>
    </row>
    <row r="163" spans="1:15" x14ac:dyDescent="0.3">
      <c r="A163" s="6"/>
      <c r="B163" s="5"/>
      <c r="C163" s="5"/>
      <c r="D163" s="4"/>
      <c r="E163" s="4"/>
      <c r="F163" s="2"/>
      <c r="G163" s="2"/>
      <c r="H163" s="3"/>
      <c r="I163" s="1"/>
      <c r="J163" s="2"/>
      <c r="K163" s="1"/>
      <c r="L163" s="1"/>
      <c r="M163" s="1"/>
      <c r="N163" s="1"/>
      <c r="O163" s="1"/>
    </row>
    <row r="164" spans="1:15" x14ac:dyDescent="0.3">
      <c r="A164" s="6"/>
      <c r="B164" s="5"/>
      <c r="C164" s="5"/>
      <c r="D164" s="4"/>
      <c r="E164" s="4"/>
      <c r="F164" s="2"/>
      <c r="G164" s="2"/>
      <c r="H164" s="3"/>
      <c r="I164" s="1"/>
      <c r="J164" s="2"/>
      <c r="K164" s="1"/>
      <c r="L164" s="1"/>
      <c r="M164" s="1"/>
      <c r="N164" s="1"/>
      <c r="O164" s="1"/>
    </row>
    <row r="165" spans="1:15" x14ac:dyDescent="0.3">
      <c r="A165" s="6"/>
      <c r="B165" s="5"/>
      <c r="C165" s="5"/>
      <c r="D165" s="4"/>
      <c r="E165" s="4"/>
      <c r="F165" s="2"/>
      <c r="G165" s="2"/>
      <c r="H165" s="3"/>
      <c r="I165" s="1"/>
      <c r="J165" s="2"/>
      <c r="K165" s="1"/>
      <c r="L165" s="1"/>
      <c r="M165" s="1"/>
      <c r="N165" s="1"/>
      <c r="O165" s="1"/>
    </row>
    <row r="166" spans="1:15" x14ac:dyDescent="0.3">
      <c r="A166" s="6"/>
      <c r="B166" s="5"/>
      <c r="C166" s="5"/>
      <c r="D166" s="4"/>
      <c r="E166" s="4"/>
      <c r="F166" s="2"/>
      <c r="G166" s="2"/>
      <c r="H166" s="3"/>
      <c r="I166" s="1"/>
      <c r="J166" s="2"/>
      <c r="K166" s="1"/>
      <c r="L166" s="1"/>
      <c r="M166" s="1"/>
      <c r="N166" s="1"/>
      <c r="O166" s="1"/>
    </row>
    <row r="167" spans="1:15" x14ac:dyDescent="0.3">
      <c r="A167" s="6"/>
      <c r="B167" s="5"/>
      <c r="C167" s="5"/>
      <c r="D167" s="4"/>
      <c r="E167" s="4"/>
      <c r="F167" s="2"/>
      <c r="G167" s="2"/>
      <c r="H167" s="3"/>
      <c r="I167" s="1"/>
      <c r="J167" s="2"/>
      <c r="K167" s="1"/>
      <c r="L167" s="1"/>
      <c r="M167" s="1"/>
      <c r="N167" s="1"/>
      <c r="O167" s="1"/>
    </row>
    <row r="168" spans="1:15" x14ac:dyDescent="0.3">
      <c r="A168" s="6"/>
      <c r="B168" s="5"/>
      <c r="C168" s="5"/>
      <c r="D168" s="4"/>
      <c r="E168" s="4"/>
      <c r="F168" s="2"/>
      <c r="G168" s="2"/>
      <c r="H168" s="3"/>
      <c r="I168" s="1"/>
      <c r="J168" s="2"/>
      <c r="K168" s="1"/>
      <c r="L168" s="1"/>
      <c r="M168" s="1"/>
      <c r="N168" s="1"/>
      <c r="O168" s="1"/>
    </row>
    <row r="169" spans="1:15" x14ac:dyDescent="0.3">
      <c r="A169" s="6"/>
      <c r="B169" s="5"/>
      <c r="C169" s="5"/>
      <c r="D169" s="4"/>
      <c r="E169" s="4"/>
      <c r="F169" s="2"/>
      <c r="G169" s="2"/>
      <c r="H169" s="3"/>
      <c r="I169" s="1"/>
      <c r="J169" s="2"/>
      <c r="K169" s="1"/>
      <c r="L169" s="1"/>
      <c r="M169" s="1"/>
      <c r="N169" s="1"/>
      <c r="O169" s="1"/>
    </row>
    <row r="170" spans="1:15" x14ac:dyDescent="0.3">
      <c r="A170" s="6"/>
      <c r="B170" s="5"/>
      <c r="C170" s="5"/>
      <c r="D170" s="4"/>
      <c r="E170" s="4"/>
      <c r="F170" s="2"/>
      <c r="G170" s="2"/>
      <c r="H170" s="3"/>
      <c r="I170" s="1"/>
      <c r="J170" s="2"/>
      <c r="K170" s="1"/>
      <c r="L170" s="1"/>
      <c r="M170" s="1"/>
      <c r="N170" s="1"/>
      <c r="O170" s="1"/>
    </row>
    <row r="171" spans="1:15" x14ac:dyDescent="0.3">
      <c r="A171" s="6"/>
      <c r="B171" s="5"/>
      <c r="C171" s="5"/>
      <c r="D171" s="4"/>
      <c r="E171" s="4"/>
      <c r="F171" s="2"/>
      <c r="G171" s="2"/>
      <c r="H171" s="3"/>
      <c r="I171" s="1"/>
      <c r="J171" s="2"/>
      <c r="K171" s="1"/>
      <c r="L171" s="1"/>
      <c r="M171" s="1"/>
      <c r="N171" s="1"/>
      <c r="O171" s="1"/>
    </row>
    <row r="172" spans="1:15" x14ac:dyDescent="0.3">
      <c r="A172" s="6"/>
      <c r="B172" s="5"/>
      <c r="C172" s="5"/>
      <c r="D172" s="4"/>
      <c r="E172" s="4"/>
      <c r="F172" s="2"/>
      <c r="G172" s="2"/>
      <c r="H172" s="3"/>
      <c r="I172" s="1"/>
      <c r="J172" s="2"/>
      <c r="K172" s="1"/>
      <c r="L172" s="1"/>
      <c r="M172" s="1"/>
      <c r="N172" s="1"/>
      <c r="O172" s="1"/>
    </row>
    <row r="173" spans="1:15" x14ac:dyDescent="0.3">
      <c r="A173" s="6"/>
      <c r="B173" s="5"/>
      <c r="C173" s="5"/>
      <c r="D173" s="4"/>
      <c r="E173" s="4"/>
      <c r="F173" s="2"/>
      <c r="G173" s="2"/>
      <c r="H173" s="3"/>
      <c r="I173" s="1"/>
      <c r="J173" s="2"/>
      <c r="K173" s="1"/>
      <c r="L173" s="1"/>
      <c r="M173" s="1"/>
      <c r="N173" s="1"/>
      <c r="O173" s="1"/>
    </row>
    <row r="174" spans="1:15" x14ac:dyDescent="0.3">
      <c r="A174" s="6"/>
      <c r="B174" s="5"/>
      <c r="C174" s="5"/>
      <c r="D174" s="4"/>
      <c r="E174" s="4"/>
      <c r="F174" s="2"/>
      <c r="G174" s="2"/>
      <c r="H174" s="3"/>
      <c r="I174" s="1"/>
      <c r="J174" s="2"/>
      <c r="K174" s="1"/>
      <c r="L174" s="1"/>
      <c r="M174" s="1"/>
      <c r="N174" s="1"/>
      <c r="O174" s="1"/>
    </row>
    <row r="175" spans="1:15" x14ac:dyDescent="0.3">
      <c r="A175" s="6"/>
      <c r="B175" s="5"/>
      <c r="C175" s="5"/>
      <c r="D175" s="4"/>
      <c r="E175" s="4"/>
      <c r="F175" s="2"/>
      <c r="G175" s="2"/>
      <c r="H175" s="3"/>
      <c r="I175" s="1"/>
      <c r="J175" s="2"/>
      <c r="K175" s="1"/>
      <c r="L175" s="1"/>
      <c r="M175" s="1"/>
      <c r="N175" s="1"/>
      <c r="O175" s="1"/>
    </row>
    <row r="176" spans="1:15" x14ac:dyDescent="0.3">
      <c r="A176" s="6"/>
      <c r="B176" s="5"/>
      <c r="C176" s="5"/>
      <c r="D176" s="4"/>
      <c r="E176" s="4"/>
      <c r="F176" s="2"/>
      <c r="G176" s="2"/>
      <c r="H176" s="3"/>
      <c r="I176" s="1"/>
      <c r="J176" s="2"/>
      <c r="K176" s="1"/>
      <c r="L176" s="1"/>
      <c r="M176" s="1"/>
      <c r="N176" s="1"/>
      <c r="O176" s="1"/>
    </row>
    <row r="177" spans="1:15" x14ac:dyDescent="0.3">
      <c r="A177" s="6"/>
      <c r="B177" s="5"/>
      <c r="C177" s="5"/>
      <c r="D177" s="4"/>
      <c r="E177" s="4"/>
      <c r="F177" s="2"/>
      <c r="G177" s="2"/>
      <c r="H177" s="3"/>
      <c r="I177" s="1"/>
      <c r="J177" s="2"/>
      <c r="K177" s="1"/>
      <c r="L177" s="1"/>
      <c r="M177" s="1"/>
      <c r="N177" s="1"/>
      <c r="O177" s="1"/>
    </row>
    <row r="178" spans="1:15" x14ac:dyDescent="0.3">
      <c r="A178" s="6"/>
      <c r="B178" s="5"/>
      <c r="C178" s="5"/>
      <c r="D178" s="4"/>
      <c r="E178" s="4"/>
      <c r="F178" s="2"/>
      <c r="G178" s="2"/>
      <c r="H178" s="3"/>
      <c r="I178" s="1"/>
      <c r="J178" s="2"/>
      <c r="K178" s="1"/>
      <c r="L178" s="1"/>
      <c r="M178" s="1"/>
      <c r="N178" s="1"/>
      <c r="O178" s="1"/>
    </row>
    <row r="179" spans="1:15" x14ac:dyDescent="0.3">
      <c r="A179" s="6"/>
      <c r="B179" s="5"/>
      <c r="C179" s="5"/>
      <c r="D179" s="4"/>
      <c r="E179" s="4"/>
      <c r="F179" s="2"/>
      <c r="G179" s="2"/>
      <c r="H179" s="3"/>
      <c r="I179" s="1"/>
      <c r="J179" s="2"/>
      <c r="K179" s="1"/>
      <c r="L179" s="1"/>
      <c r="M179" s="1"/>
      <c r="N179" s="1"/>
      <c r="O179" s="1"/>
    </row>
    <row r="180" spans="1:15" x14ac:dyDescent="0.3">
      <c r="A180" s="6"/>
      <c r="B180" s="5"/>
      <c r="C180" s="5"/>
      <c r="D180" s="4"/>
      <c r="E180" s="4"/>
      <c r="F180" s="2"/>
      <c r="G180" s="2"/>
      <c r="H180" s="3"/>
      <c r="I180" s="1"/>
      <c r="J180" s="2"/>
      <c r="K180" s="1"/>
      <c r="L180" s="1"/>
      <c r="M180" s="1"/>
      <c r="N180" s="1"/>
      <c r="O180" s="1"/>
    </row>
    <row r="181" spans="1:15" x14ac:dyDescent="0.3">
      <c r="A181" s="6"/>
      <c r="B181" s="5"/>
      <c r="C181" s="5"/>
      <c r="D181" s="4"/>
      <c r="E181" s="4"/>
      <c r="F181" s="2"/>
      <c r="G181" s="2"/>
      <c r="H181" s="3"/>
      <c r="I181" s="1"/>
      <c r="J181" s="2"/>
      <c r="K181" s="1"/>
      <c r="L181" s="1"/>
      <c r="M181" s="1"/>
      <c r="N181" s="1"/>
      <c r="O181" s="1"/>
    </row>
    <row r="182" spans="1:15" x14ac:dyDescent="0.3">
      <c r="A182" s="6"/>
      <c r="B182" s="5"/>
      <c r="C182" s="5"/>
      <c r="D182" s="4"/>
      <c r="E182" s="4"/>
      <c r="F182" s="2"/>
      <c r="G182" s="2"/>
      <c r="H182" s="3"/>
      <c r="I182" s="1"/>
      <c r="J182" s="2"/>
      <c r="K182" s="1"/>
      <c r="L182" s="1"/>
      <c r="M182" s="1"/>
      <c r="N182" s="1"/>
      <c r="O182" s="1"/>
    </row>
    <row r="183" spans="1:15" x14ac:dyDescent="0.3">
      <c r="A183" s="6"/>
      <c r="B183" s="5"/>
      <c r="C183" s="5"/>
      <c r="D183" s="4"/>
      <c r="E183" s="4"/>
      <c r="F183" s="2"/>
      <c r="G183" s="2"/>
      <c r="H183" s="3"/>
      <c r="I183" s="1"/>
      <c r="J183" s="2"/>
      <c r="K183" s="1"/>
      <c r="L183" s="1"/>
      <c r="M183" s="1"/>
      <c r="N183" s="1"/>
      <c r="O183" s="1"/>
    </row>
    <row r="184" spans="1:15" x14ac:dyDescent="0.3">
      <c r="A184" s="6"/>
      <c r="B184" s="5"/>
      <c r="C184" s="5"/>
      <c r="D184" s="4"/>
      <c r="E184" s="4"/>
      <c r="F184" s="2"/>
      <c r="G184" s="2"/>
      <c r="H184" s="3"/>
      <c r="I184" s="1"/>
      <c r="J184" s="2"/>
      <c r="K184" s="1"/>
      <c r="L184" s="1"/>
      <c r="M184" s="1"/>
      <c r="N184" s="1"/>
      <c r="O184" s="1"/>
    </row>
    <row r="185" spans="1:15" x14ac:dyDescent="0.3">
      <c r="A185" s="6"/>
      <c r="B185" s="5"/>
      <c r="C185" s="5"/>
      <c r="D185" s="4"/>
      <c r="E185" s="4"/>
      <c r="F185" s="2"/>
      <c r="G185" s="2"/>
      <c r="H185" s="3"/>
      <c r="I185" s="1"/>
      <c r="J185" s="2"/>
      <c r="K185" s="1"/>
      <c r="L185" s="1"/>
      <c r="M185" s="1"/>
      <c r="N185" s="1"/>
      <c r="O185" s="1"/>
    </row>
    <row r="186" spans="1:15" x14ac:dyDescent="0.3">
      <c r="A186" s="6"/>
      <c r="B186" s="5"/>
      <c r="C186" s="5"/>
      <c r="D186" s="4"/>
      <c r="E186" s="4"/>
      <c r="F186" s="2"/>
      <c r="G186" s="2"/>
      <c r="H186" s="3"/>
      <c r="I186" s="1"/>
      <c r="J186" s="2"/>
      <c r="K186" s="1"/>
      <c r="L186" s="1"/>
      <c r="M186" s="1"/>
      <c r="N186" s="1"/>
      <c r="O186" s="1"/>
    </row>
    <row r="187" spans="1:15" x14ac:dyDescent="0.3">
      <c r="A187" s="6"/>
      <c r="B187" s="5"/>
      <c r="C187" s="5"/>
      <c r="D187" s="4"/>
      <c r="E187" s="4"/>
      <c r="F187" s="2"/>
      <c r="G187" s="2"/>
      <c r="H187" s="3"/>
      <c r="I187" s="1"/>
      <c r="J187" s="2"/>
      <c r="K187" s="1"/>
      <c r="L187" s="1"/>
      <c r="M187" s="1"/>
      <c r="N187" s="1"/>
      <c r="O187" s="1"/>
    </row>
    <row r="188" spans="1:15" x14ac:dyDescent="0.3">
      <c r="A188" s="6"/>
      <c r="B188" s="5"/>
      <c r="C188" s="5"/>
      <c r="D188" s="4"/>
      <c r="E188" s="4"/>
      <c r="F188" s="2"/>
      <c r="G188" s="2"/>
      <c r="H188" s="3"/>
      <c r="I188" s="1"/>
      <c r="J188" s="2"/>
      <c r="K188" s="1"/>
      <c r="L188" s="1"/>
      <c r="M188" s="1"/>
      <c r="N188" s="1"/>
      <c r="O188" s="1"/>
    </row>
    <row r="189" spans="1:15" x14ac:dyDescent="0.3">
      <c r="A189" s="6"/>
      <c r="B189" s="5"/>
      <c r="C189" s="5"/>
      <c r="D189" s="4"/>
      <c r="E189" s="4"/>
      <c r="F189" s="2"/>
      <c r="G189" s="2"/>
      <c r="H189" s="3"/>
      <c r="I189" s="1"/>
      <c r="J189" s="2"/>
      <c r="K189" s="1"/>
      <c r="L189" s="1"/>
      <c r="M189" s="1"/>
      <c r="N189" s="1"/>
      <c r="O189" s="1"/>
    </row>
    <row r="190" spans="1:15" x14ac:dyDescent="0.3">
      <c r="A190" s="6"/>
      <c r="B190" s="5"/>
      <c r="C190" s="5"/>
      <c r="D190" s="4"/>
      <c r="E190" s="4"/>
      <c r="F190" s="2"/>
      <c r="G190" s="2"/>
      <c r="H190" s="3"/>
      <c r="I190" s="1"/>
      <c r="J190" s="2"/>
      <c r="K190" s="1"/>
      <c r="L190" s="1"/>
      <c r="M190" s="1"/>
      <c r="N190" s="1"/>
      <c r="O190" s="1"/>
    </row>
    <row r="191" spans="1:15" x14ac:dyDescent="0.3">
      <c r="A191" s="6"/>
      <c r="B191" s="5"/>
      <c r="C191" s="5"/>
      <c r="D191" s="4"/>
      <c r="E191" s="4"/>
      <c r="F191" s="2"/>
      <c r="G191" s="2"/>
      <c r="H191" s="3"/>
      <c r="I191" s="1"/>
      <c r="J191" s="2"/>
      <c r="K191" s="1"/>
      <c r="L191" s="1"/>
      <c r="M191" s="1"/>
      <c r="N191" s="1"/>
      <c r="O191" s="1"/>
    </row>
    <row r="192" spans="1:15" x14ac:dyDescent="0.3">
      <c r="A192" s="6"/>
      <c r="B192" s="5"/>
      <c r="C192" s="5"/>
      <c r="D192" s="4"/>
      <c r="E192" s="4"/>
      <c r="F192" s="2"/>
      <c r="G192" s="2"/>
      <c r="H192" s="3"/>
      <c r="I192" s="1"/>
      <c r="J192" s="2"/>
      <c r="K192" s="1"/>
      <c r="L192" s="1"/>
      <c r="M192" s="1"/>
      <c r="N192" s="1"/>
      <c r="O192" s="1"/>
    </row>
    <row r="193" spans="1:15" x14ac:dyDescent="0.3">
      <c r="A193" s="6"/>
      <c r="B193" s="5"/>
      <c r="C193" s="5"/>
      <c r="D193" s="4"/>
      <c r="E193" s="4"/>
      <c r="F193" s="2"/>
      <c r="G193" s="2"/>
      <c r="H193" s="3"/>
      <c r="I193" s="1"/>
      <c r="J193" s="2"/>
      <c r="K193" s="1"/>
      <c r="L193" s="1"/>
      <c r="M193" s="1"/>
      <c r="N193" s="1"/>
      <c r="O193" s="1"/>
    </row>
    <row r="194" spans="1:15" x14ac:dyDescent="0.3">
      <c r="A194" s="6"/>
      <c r="B194" s="5"/>
      <c r="C194" s="5"/>
      <c r="D194" s="4"/>
      <c r="E194" s="4"/>
      <c r="F194" s="2"/>
      <c r="G194" s="2"/>
      <c r="H194" s="3"/>
      <c r="I194" s="1"/>
      <c r="J194" s="2"/>
      <c r="K194" s="1"/>
      <c r="L194" s="1"/>
      <c r="M194" s="1"/>
      <c r="N194" s="1"/>
      <c r="O194" s="1"/>
    </row>
    <row r="195" spans="1:15" x14ac:dyDescent="0.3">
      <c r="A195" s="6"/>
      <c r="B195" s="5"/>
      <c r="C195" s="5"/>
      <c r="D195" s="4"/>
      <c r="E195" s="4"/>
      <c r="F195" s="2"/>
      <c r="G195" s="2"/>
      <c r="H195" s="3"/>
      <c r="I195" s="1"/>
      <c r="J195" s="2"/>
      <c r="K195" s="1"/>
      <c r="L195" s="1"/>
      <c r="M195" s="1"/>
      <c r="N195" s="1"/>
      <c r="O195" s="1"/>
    </row>
    <row r="196" spans="1:15" x14ac:dyDescent="0.3">
      <c r="A196" s="6"/>
      <c r="B196" s="5"/>
      <c r="C196" s="5"/>
      <c r="D196" s="4"/>
      <c r="E196" s="4"/>
      <c r="F196" s="2"/>
      <c r="G196" s="2"/>
      <c r="H196" s="3"/>
      <c r="I196" s="1"/>
      <c r="J196" s="2"/>
      <c r="K196" s="1"/>
      <c r="L196" s="1"/>
      <c r="M196" s="1"/>
      <c r="N196" s="1"/>
      <c r="O196" s="1"/>
    </row>
    <row r="197" spans="1:15" x14ac:dyDescent="0.3">
      <c r="A197" s="6"/>
      <c r="B197" s="5"/>
      <c r="C197" s="5"/>
      <c r="D197" s="4"/>
      <c r="E197" s="4"/>
      <c r="F197" s="2"/>
      <c r="G197" s="2"/>
      <c r="H197" s="3"/>
      <c r="I197" s="1"/>
      <c r="J197" s="2"/>
      <c r="K197" s="1"/>
      <c r="L197" s="1"/>
      <c r="M197" s="1"/>
      <c r="N197" s="1"/>
      <c r="O197" s="1"/>
    </row>
    <row r="198" spans="1:15" x14ac:dyDescent="0.3">
      <c r="A198" s="6"/>
      <c r="B198" s="5"/>
      <c r="C198" s="5"/>
      <c r="D198" s="4"/>
      <c r="E198" s="4"/>
      <c r="F198" s="2"/>
      <c r="G198" s="2"/>
      <c r="H198" s="3"/>
      <c r="I198" s="1"/>
      <c r="J198" s="2"/>
      <c r="K198" s="1"/>
      <c r="L198" s="1"/>
      <c r="M198" s="1"/>
      <c r="N198" s="1"/>
      <c r="O198" s="1"/>
    </row>
    <row r="199" spans="1:15" x14ac:dyDescent="0.3">
      <c r="A199" s="6"/>
      <c r="B199" s="5"/>
      <c r="C199" s="5"/>
      <c r="D199" s="4"/>
      <c r="E199" s="4"/>
      <c r="F199" s="2"/>
      <c r="G199" s="2"/>
      <c r="H199" s="3"/>
      <c r="I199" s="1"/>
      <c r="J199" s="2"/>
      <c r="K199" s="1"/>
      <c r="L199" s="1"/>
      <c r="M199" s="1"/>
      <c r="N199" s="1"/>
      <c r="O199" s="1"/>
    </row>
  </sheetData>
  <mergeCells count="14">
    <mergeCell ref="N1:N2"/>
    <mergeCell ref="O1:O2"/>
    <mergeCell ref="G1:H1"/>
    <mergeCell ref="I1:I2"/>
    <mergeCell ref="J1:J2"/>
    <mergeCell ref="K1:K2"/>
    <mergeCell ref="L1:L2"/>
    <mergeCell ref="M1:M2"/>
    <mergeCell ref="F1:F2"/>
    <mergeCell ref="A1:A2"/>
    <mergeCell ref="B1:B2"/>
    <mergeCell ref="C1:C2"/>
    <mergeCell ref="D1:D2"/>
    <mergeCell ref="E1:E2"/>
  </mergeCells>
  <conditionalFormatting sqref="A3:A19 A100:A107 F100:F126 A109:A126">
    <cfRule type="expression" dxfId="122" priority="10" stopIfTrue="1">
      <formula>EXACT($C3,"HUMMER")</formula>
    </cfRule>
    <cfRule type="expression" dxfId="121" priority="11" stopIfTrue="1">
      <formula>EXACT($C3,"BLANCA")</formula>
    </cfRule>
    <cfRule type="expression" dxfId="120" priority="12" stopIfTrue="1">
      <formula>EXACT($C3,"ROSA")</formula>
    </cfRule>
  </conditionalFormatting>
  <conditionalFormatting sqref="A20:A23 A25:A28 A30:A34">
    <cfRule type="expression" dxfId="119" priority="16" stopIfTrue="1">
      <formula>EXACT($C21,"HUMMER")</formula>
    </cfRule>
    <cfRule type="expression" dxfId="118" priority="17" stopIfTrue="1">
      <formula>EXACT($C21,"BLANCA")</formula>
    </cfRule>
    <cfRule type="expression" dxfId="117" priority="18" stopIfTrue="1">
      <formula>EXACT($C21,"ROSA")</formula>
    </cfRule>
  </conditionalFormatting>
  <conditionalFormatting sqref="A24">
    <cfRule type="expression" dxfId="116" priority="4" stopIfTrue="1">
      <formula>EXACT($C24,"HUMMER")</formula>
    </cfRule>
    <cfRule type="expression" dxfId="115" priority="5" stopIfTrue="1">
      <formula>EXACT($C24,"BLANCA")</formula>
    </cfRule>
    <cfRule type="expression" dxfId="114" priority="6" stopIfTrue="1">
      <formula>EXACT($C24,"ROSA")</formula>
    </cfRule>
  </conditionalFormatting>
  <conditionalFormatting sqref="A29">
    <cfRule type="expression" dxfId="113" priority="1" stopIfTrue="1">
      <formula>EXACT($C29,"HUMMER")</formula>
    </cfRule>
    <cfRule type="expression" dxfId="112" priority="2" stopIfTrue="1">
      <formula>EXACT($C29,"BLANCA")</formula>
    </cfRule>
    <cfRule type="expression" dxfId="111" priority="3" stopIfTrue="1">
      <formula>EXACT($C29,"ROSA")</formula>
    </cfRule>
  </conditionalFormatting>
  <conditionalFormatting sqref="A35:A37">
    <cfRule type="expression" dxfId="110" priority="19" stopIfTrue="1">
      <formula>EXACT($C37,"HUMMER")</formula>
    </cfRule>
    <cfRule type="expression" dxfId="109" priority="20" stopIfTrue="1">
      <formula>EXACT($C37,"BLANCA")</formula>
    </cfRule>
    <cfRule type="expression" dxfId="108" priority="21" stopIfTrue="1">
      <formula>EXACT($C37,"ROSA")</formula>
    </cfRule>
  </conditionalFormatting>
  <conditionalFormatting sqref="F3:F8">
    <cfRule type="expression" dxfId="107" priority="7" stopIfTrue="1">
      <formula>EXACT($C3,"HUMMER")</formula>
    </cfRule>
    <cfRule type="expression" dxfId="106" priority="8" stopIfTrue="1">
      <formula>EXACT($C3,"BLANCA")</formula>
    </cfRule>
    <cfRule type="expression" dxfId="105" priority="9" stopIfTrue="1">
      <formula>EXACT($C3,"ROSA")</formula>
    </cfRule>
  </conditionalFormatting>
  <conditionalFormatting sqref="F26:F35 F37">
    <cfRule type="expression" dxfId="104" priority="13" stopIfTrue="1">
      <formula>EXACT($C26,"HUMMER")</formula>
    </cfRule>
    <cfRule type="expression" dxfId="103" priority="14" stopIfTrue="1">
      <formula>EXACT($C26,"BLANCA")</formula>
    </cfRule>
    <cfRule type="expression" dxfId="102" priority="15" stopIfTrue="1">
      <formula>EXACT($C26,"ROSA")</formula>
    </cfRule>
  </conditionalFormatting>
  <conditionalFormatting sqref="F36">
    <cfRule type="expression" dxfId="101" priority="22" stopIfTrue="1">
      <formula>EXACT($C39,"HUMMER")</formula>
    </cfRule>
    <cfRule type="expression" dxfId="100" priority="23" stopIfTrue="1">
      <formula>EXACT($C39,"BLANCA")</formula>
    </cfRule>
    <cfRule type="expression" dxfId="99" priority="24" stopIfTrue="1">
      <formula>EXACT($C39,"ROSA")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C0FBD-857D-427E-959F-16F91613C8D9}">
  <dimension ref="A1:O162"/>
  <sheetViews>
    <sheetView topLeftCell="A106" workbookViewId="0">
      <selection activeCell="C118" sqref="C118"/>
    </sheetView>
  </sheetViews>
  <sheetFormatPr baseColWidth="10" defaultRowHeight="14.4" x14ac:dyDescent="0.3"/>
  <cols>
    <col min="2" max="2" width="24" customWidth="1"/>
    <col min="3" max="3" width="39.6640625" customWidth="1"/>
    <col min="4" max="4" width="15.6640625" customWidth="1"/>
    <col min="7" max="7" width="18.33203125" customWidth="1"/>
    <col min="9" max="9" width="21.5546875" customWidth="1"/>
    <col min="10" max="10" width="13" bestFit="1" customWidth="1"/>
    <col min="13" max="13" width="14.44140625" customWidth="1"/>
  </cols>
  <sheetData>
    <row r="1" spans="1:15" x14ac:dyDescent="0.3">
      <c r="A1" s="51" t="s">
        <v>197</v>
      </c>
      <c r="B1" s="51" t="s">
        <v>196</v>
      </c>
      <c r="C1" s="51" t="s">
        <v>195</v>
      </c>
      <c r="D1" s="51" t="s">
        <v>194</v>
      </c>
      <c r="E1" s="51" t="s">
        <v>193</v>
      </c>
      <c r="F1" s="51" t="s">
        <v>192</v>
      </c>
      <c r="G1" s="51" t="s">
        <v>191</v>
      </c>
      <c r="H1" s="51"/>
      <c r="I1" s="51" t="s">
        <v>190</v>
      </c>
      <c r="J1" s="51" t="s">
        <v>189</v>
      </c>
      <c r="K1" s="51" t="s">
        <v>188</v>
      </c>
      <c r="L1" s="51" t="s">
        <v>186</v>
      </c>
      <c r="M1" s="51" t="s">
        <v>187</v>
      </c>
      <c r="N1" s="53" t="s">
        <v>186</v>
      </c>
      <c r="O1" s="51" t="s">
        <v>185</v>
      </c>
    </row>
    <row r="2" spans="1:15" x14ac:dyDescent="0.3">
      <c r="A2" s="53"/>
      <c r="B2" s="53"/>
      <c r="C2" s="53"/>
      <c r="D2" s="53"/>
      <c r="E2" s="53"/>
      <c r="F2" s="53"/>
      <c r="G2" s="55" t="s">
        <v>184</v>
      </c>
      <c r="H2" s="54" t="s">
        <v>183</v>
      </c>
      <c r="I2" s="53"/>
      <c r="J2" s="53"/>
      <c r="K2" s="53"/>
      <c r="L2" s="53"/>
      <c r="M2" s="51"/>
      <c r="N2" s="52"/>
      <c r="O2" s="51"/>
    </row>
    <row r="3" spans="1:15" x14ac:dyDescent="0.3">
      <c r="A3" s="43">
        <v>45324</v>
      </c>
      <c r="B3" s="5" t="s">
        <v>467</v>
      </c>
      <c r="C3" s="5" t="s">
        <v>1</v>
      </c>
      <c r="D3" s="4">
        <f>F3/1.21</f>
        <v>140.49586776859505</v>
      </c>
      <c r="E3" s="4">
        <f>D3*10/100</f>
        <v>14.049586776859506</v>
      </c>
      <c r="F3" s="49">
        <v>170</v>
      </c>
      <c r="G3" s="4">
        <v>50</v>
      </c>
      <c r="H3" s="3">
        <v>120</v>
      </c>
      <c r="I3" s="44" t="s">
        <v>466</v>
      </c>
      <c r="J3" s="4">
        <v>170</v>
      </c>
      <c r="K3" s="4"/>
      <c r="L3" s="5"/>
      <c r="M3" s="35"/>
      <c r="N3" s="34"/>
      <c r="O3" s="34"/>
    </row>
    <row r="4" spans="1:15" x14ac:dyDescent="0.3">
      <c r="A4" s="43">
        <v>45324</v>
      </c>
      <c r="B4" s="5" t="s">
        <v>465</v>
      </c>
      <c r="C4" s="5" t="s">
        <v>1</v>
      </c>
      <c r="D4" s="4">
        <f>F4/1.21</f>
        <v>223.14049586776861</v>
      </c>
      <c r="E4" s="4">
        <f>D4*10/100</f>
        <v>22.314049586776861</v>
      </c>
      <c r="F4" s="42">
        <v>270</v>
      </c>
      <c r="G4" s="4">
        <v>50</v>
      </c>
      <c r="H4" s="3">
        <v>220</v>
      </c>
      <c r="I4" s="44" t="s">
        <v>464</v>
      </c>
      <c r="J4" s="4">
        <v>270</v>
      </c>
      <c r="K4" s="4"/>
      <c r="L4" s="5"/>
      <c r="M4" s="35"/>
      <c r="N4" s="34"/>
      <c r="O4" s="34"/>
    </row>
    <row r="5" spans="1:15" x14ac:dyDescent="0.3">
      <c r="A5" s="43">
        <v>45324</v>
      </c>
      <c r="B5" s="5" t="s">
        <v>463</v>
      </c>
      <c r="C5" s="5" t="s">
        <v>1</v>
      </c>
      <c r="D5" s="4">
        <f>F5/1.21</f>
        <v>181.81818181818181</v>
      </c>
      <c r="E5" s="4">
        <f>D5*10/100</f>
        <v>18.18181818181818</v>
      </c>
      <c r="F5" s="42">
        <v>220</v>
      </c>
      <c r="G5" s="4">
        <v>50</v>
      </c>
      <c r="H5" s="3">
        <f>F5-G5</f>
        <v>170</v>
      </c>
      <c r="I5" s="44" t="s">
        <v>462</v>
      </c>
      <c r="J5" s="4">
        <v>220</v>
      </c>
      <c r="K5" s="4"/>
      <c r="L5" s="5"/>
      <c r="M5" s="35"/>
      <c r="N5" s="34"/>
      <c r="O5" s="34"/>
    </row>
    <row r="6" spans="1:15" x14ac:dyDescent="0.3">
      <c r="A6" s="43">
        <v>45324</v>
      </c>
      <c r="B6" s="5" t="s">
        <v>461</v>
      </c>
      <c r="C6" s="5" t="s">
        <v>1</v>
      </c>
      <c r="D6" s="4">
        <f>F6/1.21</f>
        <v>181.81818181818181</v>
      </c>
      <c r="E6" s="4">
        <f>D6*10/100</f>
        <v>18.18181818181818</v>
      </c>
      <c r="F6" s="42">
        <v>220</v>
      </c>
      <c r="G6" s="4">
        <v>50</v>
      </c>
      <c r="H6" s="3">
        <f>F6-G6</f>
        <v>170</v>
      </c>
      <c r="I6" s="44" t="s">
        <v>460</v>
      </c>
      <c r="J6" s="4">
        <v>220</v>
      </c>
      <c r="K6" s="4"/>
      <c r="L6" s="5"/>
      <c r="M6" s="35"/>
      <c r="N6" s="34"/>
      <c r="O6" s="34"/>
    </row>
    <row r="7" spans="1:15" x14ac:dyDescent="0.3">
      <c r="A7" s="43">
        <v>45324</v>
      </c>
      <c r="B7" s="5" t="s">
        <v>459</v>
      </c>
      <c r="C7" s="5" t="s">
        <v>1</v>
      </c>
      <c r="D7" s="4">
        <f>F7/1.21</f>
        <v>148.7603305785124</v>
      </c>
      <c r="E7" s="4">
        <f>D7*10/100</f>
        <v>14.876033057851238</v>
      </c>
      <c r="F7" s="42">
        <v>180</v>
      </c>
      <c r="G7" s="4"/>
      <c r="H7" s="3">
        <f>F7-G7</f>
        <v>180</v>
      </c>
      <c r="I7" s="77" t="s">
        <v>395</v>
      </c>
      <c r="J7" s="4">
        <v>180</v>
      </c>
      <c r="K7" s="4"/>
      <c r="L7" s="5"/>
      <c r="M7" s="35"/>
      <c r="N7" s="50"/>
      <c r="O7" s="34"/>
    </row>
    <row r="8" spans="1:15" x14ac:dyDescent="0.3">
      <c r="A8" s="43">
        <v>45324</v>
      </c>
      <c r="B8" s="5" t="s">
        <v>458</v>
      </c>
      <c r="C8" s="5" t="s">
        <v>1</v>
      </c>
      <c r="D8" s="4">
        <f>F8/1.21</f>
        <v>181.81818181818181</v>
      </c>
      <c r="E8" s="4">
        <f>D8*10/100</f>
        <v>18.18181818181818</v>
      </c>
      <c r="F8" s="49">
        <v>220</v>
      </c>
      <c r="G8" s="4">
        <v>50</v>
      </c>
      <c r="H8" s="3">
        <f>F8-G8</f>
        <v>170</v>
      </c>
      <c r="I8" s="44" t="s">
        <v>457</v>
      </c>
      <c r="J8" s="4">
        <v>220</v>
      </c>
      <c r="K8" s="4"/>
      <c r="L8" s="5"/>
      <c r="M8" s="35"/>
      <c r="N8" s="34"/>
      <c r="O8" s="34"/>
    </row>
    <row r="9" spans="1:15" x14ac:dyDescent="0.3">
      <c r="A9" s="43">
        <v>45324</v>
      </c>
      <c r="B9" s="5" t="s">
        <v>456</v>
      </c>
      <c r="C9" s="5" t="s">
        <v>1</v>
      </c>
      <c r="D9" s="4">
        <f>F9/1.21</f>
        <v>140.49586776859505</v>
      </c>
      <c r="E9" s="4">
        <f>D9*10/100</f>
        <v>14.049586776859506</v>
      </c>
      <c r="F9" s="23">
        <v>170</v>
      </c>
      <c r="G9" s="23">
        <v>50</v>
      </c>
      <c r="H9" s="3">
        <f>F9-G9</f>
        <v>120</v>
      </c>
      <c r="I9" s="22" t="s">
        <v>455</v>
      </c>
      <c r="J9" s="4">
        <v>170</v>
      </c>
      <c r="K9" s="4"/>
      <c r="L9" s="5"/>
      <c r="M9" s="35"/>
      <c r="N9" s="34"/>
      <c r="O9" s="34"/>
    </row>
    <row r="10" spans="1:15" x14ac:dyDescent="0.3">
      <c r="A10" s="43">
        <v>45324</v>
      </c>
      <c r="B10" s="5" t="s">
        <v>454</v>
      </c>
      <c r="C10" s="5" t="s">
        <v>1</v>
      </c>
      <c r="D10" s="4">
        <f>F10/1.21</f>
        <v>140.49586776859505</v>
      </c>
      <c r="E10" s="4">
        <f>D10*10/100</f>
        <v>14.049586776859506</v>
      </c>
      <c r="F10" s="23">
        <v>170</v>
      </c>
      <c r="G10" s="23">
        <v>50</v>
      </c>
      <c r="H10" s="3">
        <f>F10-G10</f>
        <v>120</v>
      </c>
      <c r="I10" s="22" t="s">
        <v>453</v>
      </c>
      <c r="J10" s="4">
        <v>170</v>
      </c>
      <c r="K10" s="4"/>
      <c r="L10" s="5"/>
      <c r="M10" s="35"/>
      <c r="N10" s="34"/>
      <c r="O10" s="34"/>
    </row>
    <row r="11" spans="1:15" x14ac:dyDescent="0.3">
      <c r="A11" s="43">
        <v>45325</v>
      </c>
      <c r="B11" s="5" t="s">
        <v>452</v>
      </c>
      <c r="C11" s="5" t="s">
        <v>1</v>
      </c>
      <c r="D11" s="4">
        <f>F11/1.21</f>
        <v>214.87603305785126</v>
      </c>
      <c r="E11" s="4">
        <f>D11*10/100</f>
        <v>21.487603305785125</v>
      </c>
      <c r="F11" s="23">
        <v>260</v>
      </c>
      <c r="G11" s="23"/>
      <c r="H11" s="3">
        <f>F11-G11</f>
        <v>260</v>
      </c>
      <c r="I11" s="73" t="s">
        <v>395</v>
      </c>
      <c r="J11" s="4">
        <v>260</v>
      </c>
      <c r="K11" s="4"/>
      <c r="L11" s="5"/>
      <c r="M11" s="35"/>
      <c r="N11" s="34"/>
      <c r="O11" s="34"/>
    </row>
    <row r="12" spans="1:15" x14ac:dyDescent="0.3">
      <c r="A12" s="43">
        <v>45325</v>
      </c>
      <c r="B12" s="5" t="s">
        <v>451</v>
      </c>
      <c r="C12" s="5" t="s">
        <v>1</v>
      </c>
      <c r="D12" s="4">
        <f>F12/1.21</f>
        <v>210.74380165289256</v>
      </c>
      <c r="E12" s="4">
        <f>D12*10/100</f>
        <v>21.074380165289259</v>
      </c>
      <c r="F12" s="23">
        <v>255</v>
      </c>
      <c r="G12" s="23">
        <v>50</v>
      </c>
      <c r="H12" s="3">
        <f>F12-G12</f>
        <v>205</v>
      </c>
      <c r="I12" s="22" t="s">
        <v>450</v>
      </c>
      <c r="J12" s="4">
        <v>170</v>
      </c>
      <c r="K12" s="4">
        <v>40</v>
      </c>
      <c r="L12" s="5" t="s">
        <v>7</v>
      </c>
      <c r="M12" s="35">
        <v>40</v>
      </c>
      <c r="N12" s="34" t="s">
        <v>14</v>
      </c>
      <c r="O12" s="34"/>
    </row>
    <row r="13" spans="1:15" x14ac:dyDescent="0.3">
      <c r="A13" s="43">
        <v>45325</v>
      </c>
      <c r="B13" s="5" t="s">
        <v>449</v>
      </c>
      <c r="C13" s="5" t="s">
        <v>1</v>
      </c>
      <c r="D13" s="4">
        <f>F13/1.21</f>
        <v>115.70247933884298</v>
      </c>
      <c r="E13" s="4">
        <f>D13*10/100</f>
        <v>11.570247933884298</v>
      </c>
      <c r="F13" s="23">
        <v>140</v>
      </c>
      <c r="G13" s="23"/>
      <c r="H13" s="3">
        <f>F13-G13</f>
        <v>140</v>
      </c>
      <c r="I13" s="72" t="s">
        <v>390</v>
      </c>
      <c r="J13" s="4">
        <v>140</v>
      </c>
      <c r="K13" s="4"/>
      <c r="L13" s="5"/>
      <c r="M13" s="35"/>
      <c r="N13" s="34"/>
      <c r="O13" s="34"/>
    </row>
    <row r="14" spans="1:15" x14ac:dyDescent="0.3">
      <c r="A14" s="43">
        <v>45325</v>
      </c>
      <c r="B14" s="5" t="s">
        <v>448</v>
      </c>
      <c r="C14" s="5" t="s">
        <v>1</v>
      </c>
      <c r="D14" s="4">
        <f>F14/1.21</f>
        <v>115.70247933884298</v>
      </c>
      <c r="E14" s="4">
        <f>D14*10/100</f>
        <v>11.570247933884298</v>
      </c>
      <c r="F14" s="23">
        <v>140</v>
      </c>
      <c r="G14" s="23"/>
      <c r="H14" s="3">
        <f>F14-G14</f>
        <v>140</v>
      </c>
      <c r="I14" s="80" t="s">
        <v>447</v>
      </c>
      <c r="J14" s="4">
        <v>140</v>
      </c>
      <c r="K14" s="4"/>
      <c r="L14" s="5"/>
      <c r="M14" s="35"/>
      <c r="N14" s="34"/>
      <c r="O14" s="34"/>
    </row>
    <row r="15" spans="1:15" x14ac:dyDescent="0.3">
      <c r="A15" s="43">
        <v>45325</v>
      </c>
      <c r="B15" s="5" t="s">
        <v>446</v>
      </c>
      <c r="C15" s="5" t="s">
        <v>1</v>
      </c>
      <c r="D15" s="4">
        <f>F15/1.21</f>
        <v>107.43801652892563</v>
      </c>
      <c r="E15" s="4">
        <f>D15*10/100</f>
        <v>10.743801652892563</v>
      </c>
      <c r="F15" s="23">
        <v>130</v>
      </c>
      <c r="G15" s="23"/>
      <c r="H15" s="3">
        <f>F15-G15</f>
        <v>130</v>
      </c>
      <c r="I15" s="73" t="s">
        <v>332</v>
      </c>
      <c r="J15" s="4">
        <v>130</v>
      </c>
      <c r="K15" s="4"/>
      <c r="L15" s="5"/>
      <c r="M15" s="35"/>
      <c r="N15" s="34"/>
      <c r="O15" s="34"/>
    </row>
    <row r="16" spans="1:15" x14ac:dyDescent="0.3">
      <c r="A16" s="43">
        <v>45325</v>
      </c>
      <c r="B16" s="5" t="s">
        <v>445</v>
      </c>
      <c r="C16" s="5" t="s">
        <v>1</v>
      </c>
      <c r="D16" s="4">
        <f>F16/1.21</f>
        <v>140.49586776859505</v>
      </c>
      <c r="E16" s="4">
        <f>D16*10/100</f>
        <v>14.049586776859506</v>
      </c>
      <c r="F16" s="23">
        <v>170</v>
      </c>
      <c r="G16" s="23">
        <v>50</v>
      </c>
      <c r="H16" s="3">
        <f>F16-G16</f>
        <v>120</v>
      </c>
      <c r="I16" s="22" t="s">
        <v>444</v>
      </c>
      <c r="J16" s="4">
        <v>170</v>
      </c>
      <c r="K16" s="4"/>
      <c r="L16" s="5"/>
      <c r="M16" s="48"/>
      <c r="N16" s="34"/>
      <c r="O16" s="34"/>
    </row>
    <row r="17" spans="1:15" x14ac:dyDescent="0.3">
      <c r="A17" s="43">
        <v>45325</v>
      </c>
      <c r="B17" s="5" t="s">
        <v>443</v>
      </c>
      <c r="C17" s="5" t="s">
        <v>1</v>
      </c>
      <c r="D17" s="4">
        <f>F17/1.21</f>
        <v>157.02479338842977</v>
      </c>
      <c r="E17" s="4">
        <f>D17*10/100</f>
        <v>15.702479338842977</v>
      </c>
      <c r="F17" s="23">
        <v>190</v>
      </c>
      <c r="G17" s="23">
        <v>50</v>
      </c>
      <c r="H17" s="3">
        <f>F17-G17</f>
        <v>140</v>
      </c>
      <c r="I17" s="22" t="s">
        <v>442</v>
      </c>
      <c r="J17" s="4">
        <v>170</v>
      </c>
      <c r="K17" s="4">
        <v>20</v>
      </c>
      <c r="L17" s="5" t="s">
        <v>7</v>
      </c>
      <c r="M17" s="35"/>
      <c r="N17" s="34"/>
      <c r="O17" s="34"/>
    </row>
    <row r="18" spans="1:15" x14ac:dyDescent="0.3">
      <c r="A18" s="43">
        <v>45325</v>
      </c>
      <c r="B18" s="5" t="s">
        <v>441</v>
      </c>
      <c r="C18" s="5" t="s">
        <v>1</v>
      </c>
      <c r="D18" s="4">
        <f>F18/1.21</f>
        <v>115.70247933884298</v>
      </c>
      <c r="E18" s="4">
        <f>D18*10/100</f>
        <v>11.570247933884298</v>
      </c>
      <c r="F18" s="23">
        <v>140</v>
      </c>
      <c r="G18" s="23"/>
      <c r="H18" s="3">
        <f>F18-G18</f>
        <v>140</v>
      </c>
      <c r="I18" s="72" t="s">
        <v>390</v>
      </c>
      <c r="J18" s="4">
        <v>140</v>
      </c>
      <c r="K18" s="4"/>
      <c r="L18" s="5"/>
      <c r="M18" s="35"/>
      <c r="N18" s="34"/>
      <c r="O18" s="34"/>
    </row>
    <row r="19" spans="1:15" x14ac:dyDescent="0.3">
      <c r="A19" s="43">
        <v>45325</v>
      </c>
      <c r="B19" s="5" t="s">
        <v>440</v>
      </c>
      <c r="C19" s="5" t="s">
        <v>1</v>
      </c>
      <c r="D19" s="4">
        <f>F19/1.21</f>
        <v>115.70247933884298</v>
      </c>
      <c r="E19" s="4">
        <f>D19*10/100</f>
        <v>11.570247933884298</v>
      </c>
      <c r="F19" s="23">
        <v>140</v>
      </c>
      <c r="G19" s="23"/>
      <c r="H19" s="3">
        <f>F19-G19</f>
        <v>140</v>
      </c>
      <c r="I19" s="72" t="s">
        <v>390</v>
      </c>
      <c r="J19" s="4">
        <v>140</v>
      </c>
      <c r="K19" s="4"/>
      <c r="L19" s="5"/>
      <c r="M19" s="35"/>
      <c r="N19" s="34"/>
      <c r="O19" s="34"/>
    </row>
    <row r="20" spans="1:15" x14ac:dyDescent="0.3">
      <c r="A20" s="43">
        <v>45325</v>
      </c>
      <c r="B20" s="5" t="s">
        <v>439</v>
      </c>
      <c r="C20" s="5" t="s">
        <v>1</v>
      </c>
      <c r="D20" s="4">
        <f>F20/1.21</f>
        <v>115.70247933884298</v>
      </c>
      <c r="E20" s="4">
        <f>D20*10/100</f>
        <v>11.570247933884298</v>
      </c>
      <c r="F20" s="23">
        <v>140</v>
      </c>
      <c r="G20" s="23"/>
      <c r="H20" s="3">
        <f>F20-G20</f>
        <v>140</v>
      </c>
      <c r="I20" s="72" t="s">
        <v>390</v>
      </c>
      <c r="J20" s="4">
        <v>140</v>
      </c>
      <c r="K20" s="4"/>
      <c r="L20" s="5"/>
      <c r="M20" s="35"/>
      <c r="N20" s="34"/>
      <c r="O20" s="34"/>
    </row>
    <row r="21" spans="1:15" x14ac:dyDescent="0.3">
      <c r="A21" s="43">
        <v>45325</v>
      </c>
      <c r="B21" s="5" t="s">
        <v>438</v>
      </c>
      <c r="C21" s="5" t="s">
        <v>1</v>
      </c>
      <c r="D21" s="4">
        <f>F21/1.21</f>
        <v>115.70247933884298</v>
      </c>
      <c r="E21" s="4">
        <f>D21*10/100</f>
        <v>11.570247933884298</v>
      </c>
      <c r="F21" s="23">
        <v>140</v>
      </c>
      <c r="G21" s="27"/>
      <c r="H21" s="3">
        <f>F21-G21</f>
        <v>140</v>
      </c>
      <c r="I21" s="72" t="s">
        <v>390</v>
      </c>
      <c r="J21" s="4">
        <v>140</v>
      </c>
      <c r="K21" s="4"/>
      <c r="L21" s="5"/>
      <c r="M21" s="35"/>
      <c r="N21" s="34"/>
      <c r="O21" s="34"/>
    </row>
    <row r="22" spans="1:15" x14ac:dyDescent="0.3">
      <c r="A22" s="43">
        <v>45325</v>
      </c>
      <c r="B22" s="5" t="s">
        <v>437</v>
      </c>
      <c r="C22" s="5" t="s">
        <v>1</v>
      </c>
      <c r="D22" s="4">
        <f>F22/1.21</f>
        <v>239.6694214876033</v>
      </c>
      <c r="E22" s="4">
        <f>D22*10/100</f>
        <v>23.966942148760332</v>
      </c>
      <c r="F22" s="23">
        <v>290</v>
      </c>
      <c r="G22" s="4"/>
      <c r="H22" s="3">
        <f>F22-G22</f>
        <v>290</v>
      </c>
      <c r="I22" s="22" t="s">
        <v>436</v>
      </c>
      <c r="J22" s="4">
        <v>270</v>
      </c>
      <c r="K22" s="4">
        <v>20</v>
      </c>
      <c r="L22" s="5" t="s">
        <v>7</v>
      </c>
      <c r="M22" s="35"/>
      <c r="N22" s="34"/>
      <c r="O22" s="34"/>
    </row>
    <row r="23" spans="1:15" x14ac:dyDescent="0.3">
      <c r="A23" s="43">
        <v>45325</v>
      </c>
      <c r="B23" s="5" t="s">
        <v>435</v>
      </c>
      <c r="C23" s="5" t="s">
        <v>1</v>
      </c>
      <c r="D23" s="4">
        <f>F23/1.21</f>
        <v>165.28925619834712</v>
      </c>
      <c r="E23" s="4">
        <f>D23*10/100</f>
        <v>16.528925619834713</v>
      </c>
      <c r="F23" s="23">
        <v>200</v>
      </c>
      <c r="G23" s="4"/>
      <c r="H23" s="3">
        <f>F23-G23</f>
        <v>200</v>
      </c>
      <c r="I23" s="79" t="s">
        <v>434</v>
      </c>
      <c r="J23" s="4">
        <v>200</v>
      </c>
      <c r="K23" s="4"/>
      <c r="L23" s="5"/>
      <c r="M23" s="35"/>
      <c r="N23" s="34"/>
      <c r="O23" s="34"/>
    </row>
    <row r="24" spans="1:15" x14ac:dyDescent="0.3">
      <c r="A24" s="43">
        <v>45325</v>
      </c>
      <c r="B24" s="5" t="s">
        <v>433</v>
      </c>
      <c r="C24" s="5" t="s">
        <v>1</v>
      </c>
      <c r="D24" s="4">
        <f>F24/1.21</f>
        <v>256.198347107438</v>
      </c>
      <c r="E24" s="4">
        <f>D24*10/100</f>
        <v>25.619834710743799</v>
      </c>
      <c r="F24" s="23">
        <v>310</v>
      </c>
      <c r="G24" s="4"/>
      <c r="H24" s="3">
        <f>F24-G24</f>
        <v>310</v>
      </c>
      <c r="I24" s="22" t="s">
        <v>432</v>
      </c>
      <c r="J24" s="4">
        <v>270</v>
      </c>
      <c r="K24" s="4">
        <v>40</v>
      </c>
      <c r="L24" s="5" t="s">
        <v>7</v>
      </c>
      <c r="M24" s="35"/>
      <c r="N24" s="34"/>
      <c r="O24" s="34"/>
    </row>
    <row r="25" spans="1:15" x14ac:dyDescent="0.3">
      <c r="A25" s="43">
        <v>45325</v>
      </c>
      <c r="B25" s="5" t="s">
        <v>431</v>
      </c>
      <c r="C25" s="5" t="s">
        <v>1</v>
      </c>
      <c r="D25" s="4">
        <f>F25/1.21</f>
        <v>181.81818181818181</v>
      </c>
      <c r="E25" s="4">
        <f>D25*10/100</f>
        <v>18.18181818181818</v>
      </c>
      <c r="F25" s="23">
        <v>220</v>
      </c>
      <c r="G25" s="4"/>
      <c r="H25" s="3">
        <f>F25-G25</f>
        <v>220</v>
      </c>
      <c r="I25" s="22" t="s">
        <v>430</v>
      </c>
      <c r="J25" s="4">
        <v>220</v>
      </c>
      <c r="K25" s="4"/>
      <c r="L25" s="5"/>
      <c r="M25" s="35"/>
      <c r="N25" s="34"/>
      <c r="O25" s="34"/>
    </row>
    <row r="26" spans="1:15" x14ac:dyDescent="0.3">
      <c r="A26" s="43">
        <v>45325</v>
      </c>
      <c r="B26" s="5" t="s">
        <v>429</v>
      </c>
      <c r="C26" s="5" t="s">
        <v>1</v>
      </c>
      <c r="D26" s="4">
        <f>F26/1.21</f>
        <v>219.00826446280993</v>
      </c>
      <c r="E26" s="4">
        <f>D26*10/100</f>
        <v>21.900826446280995</v>
      </c>
      <c r="F26" s="42">
        <v>265</v>
      </c>
      <c r="G26" s="4"/>
      <c r="H26" s="3">
        <f>F26-G26</f>
        <v>265</v>
      </c>
      <c r="I26" s="22" t="s">
        <v>428</v>
      </c>
      <c r="J26" s="4">
        <v>220</v>
      </c>
      <c r="K26" s="4">
        <v>45</v>
      </c>
      <c r="L26" s="5" t="s">
        <v>14</v>
      </c>
      <c r="M26" s="47"/>
      <c r="N26" s="38"/>
      <c r="O26" s="38"/>
    </row>
    <row r="27" spans="1:15" x14ac:dyDescent="0.3">
      <c r="A27" s="43">
        <v>45327</v>
      </c>
      <c r="B27" s="5" t="s">
        <v>427</v>
      </c>
      <c r="C27" s="5" t="s">
        <v>1</v>
      </c>
      <c r="D27" s="4">
        <f>F27/1.21</f>
        <v>148.7603305785124</v>
      </c>
      <c r="E27" s="4">
        <f>D27*10/100</f>
        <v>14.876033057851238</v>
      </c>
      <c r="F27" s="42">
        <v>180</v>
      </c>
      <c r="G27" s="4"/>
      <c r="H27" s="3">
        <f>F27-G27</f>
        <v>180</v>
      </c>
      <c r="I27" s="72" t="s">
        <v>390</v>
      </c>
      <c r="J27" s="4">
        <v>180</v>
      </c>
      <c r="K27" s="46"/>
      <c r="L27" s="45"/>
      <c r="M27" s="35"/>
      <c r="N27" s="34"/>
      <c r="O27" s="34"/>
    </row>
    <row r="28" spans="1:15" x14ac:dyDescent="0.3">
      <c r="A28" s="43">
        <v>45328</v>
      </c>
      <c r="B28" s="5" t="s">
        <v>426</v>
      </c>
      <c r="C28" s="5" t="s">
        <v>1</v>
      </c>
      <c r="D28" s="4">
        <f>F28/1.21</f>
        <v>107.43801652892563</v>
      </c>
      <c r="E28" s="4">
        <f>D28*10/100</f>
        <v>10.743801652892563</v>
      </c>
      <c r="F28" s="42">
        <v>130</v>
      </c>
      <c r="G28" s="4"/>
      <c r="H28" s="3">
        <f>F28-G28</f>
        <v>130</v>
      </c>
      <c r="I28" s="77" t="s">
        <v>332</v>
      </c>
      <c r="J28" s="4">
        <v>130</v>
      </c>
      <c r="K28" s="4"/>
      <c r="L28" s="45"/>
      <c r="M28" s="35"/>
      <c r="N28" s="34"/>
      <c r="O28" s="34"/>
    </row>
    <row r="29" spans="1:15" x14ac:dyDescent="0.3">
      <c r="A29" s="43">
        <v>45328</v>
      </c>
      <c r="B29" s="5" t="s">
        <v>425</v>
      </c>
      <c r="C29" s="5" t="s">
        <v>1</v>
      </c>
      <c r="D29" s="4">
        <f>F29/1.21</f>
        <v>132.2314049586777</v>
      </c>
      <c r="E29" s="4">
        <f>D29*10/100</f>
        <v>13.223140495867769</v>
      </c>
      <c r="F29" s="42">
        <v>160</v>
      </c>
      <c r="G29" s="4"/>
      <c r="H29" s="3">
        <f>F29-G29</f>
        <v>160</v>
      </c>
      <c r="I29" s="78" t="s">
        <v>174</v>
      </c>
      <c r="J29" s="4">
        <v>160</v>
      </c>
      <c r="K29" s="4"/>
      <c r="L29" s="5"/>
      <c r="M29" s="35"/>
      <c r="N29" s="34"/>
      <c r="O29" s="34"/>
    </row>
    <row r="30" spans="1:15" x14ac:dyDescent="0.3">
      <c r="A30" s="43">
        <v>45449</v>
      </c>
      <c r="B30" s="5" t="s">
        <v>424</v>
      </c>
      <c r="C30" s="5" t="s">
        <v>1</v>
      </c>
      <c r="D30" s="4">
        <f>F30/1.21</f>
        <v>148.7603305785124</v>
      </c>
      <c r="E30" s="4">
        <f>D30*10/100</f>
        <v>14.876033057851238</v>
      </c>
      <c r="F30" s="42">
        <v>180</v>
      </c>
      <c r="G30" s="4"/>
      <c r="H30" s="3">
        <f>F30-G30</f>
        <v>180</v>
      </c>
      <c r="I30" s="72" t="s">
        <v>174</v>
      </c>
      <c r="J30" s="4">
        <v>180</v>
      </c>
      <c r="K30" s="4"/>
      <c r="L30" s="5"/>
      <c r="M30" s="35"/>
      <c r="N30" s="34"/>
      <c r="O30" s="34"/>
    </row>
    <row r="31" spans="1:15" x14ac:dyDescent="0.3">
      <c r="A31" s="43">
        <v>45449</v>
      </c>
      <c r="B31" s="5" t="s">
        <v>423</v>
      </c>
      <c r="C31" s="5" t="s">
        <v>1</v>
      </c>
      <c r="D31" s="4">
        <f>F31/1.21</f>
        <v>297.52066115702479</v>
      </c>
      <c r="E31" s="4">
        <f>D31*10/100</f>
        <v>29.752066115702476</v>
      </c>
      <c r="F31" s="42">
        <v>360</v>
      </c>
      <c r="G31" s="4">
        <v>50</v>
      </c>
      <c r="H31" s="3">
        <f>F31-G31</f>
        <v>310</v>
      </c>
      <c r="I31" s="22" t="s">
        <v>422</v>
      </c>
      <c r="J31" s="4">
        <v>360</v>
      </c>
      <c r="K31" s="4"/>
      <c r="L31" s="5"/>
      <c r="M31" s="35"/>
      <c r="N31" s="34"/>
      <c r="O31" s="34"/>
    </row>
    <row r="32" spans="1:15" x14ac:dyDescent="0.3">
      <c r="A32" s="43">
        <v>45511</v>
      </c>
      <c r="B32" s="5" t="s">
        <v>421</v>
      </c>
      <c r="C32" s="5" t="s">
        <v>1</v>
      </c>
      <c r="D32" s="4">
        <f>F32/1.21</f>
        <v>206.61157024793388</v>
      </c>
      <c r="E32" s="4">
        <f>D32*10/100</f>
        <v>20.661157024793386</v>
      </c>
      <c r="F32" s="42">
        <v>250</v>
      </c>
      <c r="G32" s="4">
        <v>50</v>
      </c>
      <c r="H32" s="3">
        <f>F32-G32</f>
        <v>200</v>
      </c>
      <c r="I32" s="44" t="s">
        <v>126</v>
      </c>
      <c r="J32" s="4">
        <v>200</v>
      </c>
      <c r="K32" s="4"/>
      <c r="L32" s="5"/>
      <c r="M32" s="35"/>
      <c r="N32" s="34"/>
      <c r="O32" s="34"/>
    </row>
    <row r="33" spans="1:15" x14ac:dyDescent="0.3">
      <c r="A33" s="43">
        <v>45330</v>
      </c>
      <c r="B33" s="5" t="s">
        <v>420</v>
      </c>
      <c r="C33" s="5" t="s">
        <v>1</v>
      </c>
      <c r="D33" s="4">
        <f>F33/1.21</f>
        <v>1157.0247933884298</v>
      </c>
      <c r="E33" s="4">
        <f>D33*10/100</f>
        <v>115.70247933884296</v>
      </c>
      <c r="F33" s="42">
        <v>1400</v>
      </c>
      <c r="G33" s="4">
        <v>1400</v>
      </c>
      <c r="H33" s="3">
        <f>F33-G33</f>
        <v>0</v>
      </c>
      <c r="I33" s="77" t="s">
        <v>395</v>
      </c>
      <c r="J33" s="4">
        <v>1400</v>
      </c>
      <c r="K33" s="4"/>
      <c r="L33" s="5"/>
      <c r="M33" s="35"/>
      <c r="N33" s="34"/>
      <c r="O33" s="34"/>
    </row>
    <row r="34" spans="1:15" x14ac:dyDescent="0.3">
      <c r="A34" s="43">
        <v>45330</v>
      </c>
      <c r="B34" s="5" t="s">
        <v>419</v>
      </c>
      <c r="C34" s="5" t="s">
        <v>1</v>
      </c>
      <c r="D34" s="4">
        <f>F34/1.21</f>
        <v>140.49586776859505</v>
      </c>
      <c r="E34" s="4">
        <f>D34*10/100</f>
        <v>14.049586776859506</v>
      </c>
      <c r="F34" s="42">
        <v>170</v>
      </c>
      <c r="G34" s="4">
        <v>50</v>
      </c>
      <c r="H34" s="3">
        <f>F34-G34</f>
        <v>120</v>
      </c>
      <c r="I34" s="44" t="s">
        <v>417</v>
      </c>
      <c r="J34" s="4">
        <v>170</v>
      </c>
      <c r="K34" s="4"/>
      <c r="L34" s="5"/>
      <c r="M34" s="35"/>
      <c r="N34" s="34"/>
      <c r="O34" s="34"/>
    </row>
    <row r="35" spans="1:15" x14ac:dyDescent="0.3">
      <c r="A35" s="43">
        <v>45331</v>
      </c>
      <c r="B35" s="5" t="s">
        <v>418</v>
      </c>
      <c r="C35" s="5" t="s">
        <v>1</v>
      </c>
      <c r="D35" s="4">
        <f>F35/1.21</f>
        <v>99.173553719008268</v>
      </c>
      <c r="E35" s="4">
        <f>D35*10/100</f>
        <v>9.9173553719008272</v>
      </c>
      <c r="F35" s="42">
        <v>120</v>
      </c>
      <c r="G35" s="4">
        <v>50</v>
      </c>
      <c r="H35" s="3">
        <f>F35-G35</f>
        <v>70</v>
      </c>
      <c r="I35" s="44" t="s">
        <v>417</v>
      </c>
      <c r="J35" s="4">
        <v>170</v>
      </c>
      <c r="K35" s="4"/>
      <c r="L35" s="5"/>
      <c r="M35" s="35"/>
      <c r="N35" s="34"/>
      <c r="O35" s="34"/>
    </row>
    <row r="36" spans="1:15" x14ac:dyDescent="0.3">
      <c r="A36" s="43">
        <v>45331</v>
      </c>
      <c r="B36" s="5" t="s">
        <v>416</v>
      </c>
      <c r="C36" s="5" t="s">
        <v>1</v>
      </c>
      <c r="D36" s="4">
        <f>F36/1.21</f>
        <v>198.34710743801654</v>
      </c>
      <c r="E36" s="4">
        <f>D36*10/100</f>
        <v>19.834710743801654</v>
      </c>
      <c r="F36" s="42">
        <v>240</v>
      </c>
      <c r="G36" s="4"/>
      <c r="H36" s="3">
        <f>F36-G36</f>
        <v>240</v>
      </c>
      <c r="I36" s="76" t="s">
        <v>260</v>
      </c>
      <c r="J36" s="4">
        <v>240</v>
      </c>
      <c r="K36" s="4"/>
      <c r="L36" s="5"/>
      <c r="M36" s="35"/>
      <c r="N36" s="34"/>
      <c r="O36" s="34"/>
    </row>
    <row r="37" spans="1:15" x14ac:dyDescent="0.3">
      <c r="A37" s="43">
        <v>45331</v>
      </c>
      <c r="B37" s="5" t="s">
        <v>415</v>
      </c>
      <c r="C37" s="5" t="s">
        <v>1</v>
      </c>
      <c r="D37" s="4">
        <f>F37/1.21</f>
        <v>66.11570247933885</v>
      </c>
      <c r="E37" s="4">
        <f>D37*10/100</f>
        <v>6.6115702479338845</v>
      </c>
      <c r="F37" s="42">
        <v>80</v>
      </c>
      <c r="G37" s="4">
        <v>50</v>
      </c>
      <c r="H37" s="3">
        <f>F37-G37</f>
        <v>30</v>
      </c>
      <c r="I37" s="22" t="s">
        <v>414</v>
      </c>
      <c r="J37" s="4">
        <v>130</v>
      </c>
      <c r="K37" s="4"/>
      <c r="L37" s="5"/>
      <c r="M37" s="35"/>
      <c r="N37" s="34"/>
      <c r="O37" s="34"/>
    </row>
    <row r="38" spans="1:15" x14ac:dyDescent="0.3">
      <c r="A38" s="26">
        <v>45332</v>
      </c>
      <c r="B38" s="5" t="s">
        <v>413</v>
      </c>
      <c r="C38" s="5" t="s">
        <v>1</v>
      </c>
      <c r="D38" s="4">
        <f>F38/1.21</f>
        <v>219.00826446280993</v>
      </c>
      <c r="E38" s="4">
        <f>D38*10/100</f>
        <v>21.900826446280995</v>
      </c>
      <c r="F38" s="23">
        <v>265</v>
      </c>
      <c r="G38" s="23">
        <v>50</v>
      </c>
      <c r="H38" s="3">
        <f>F38-G38</f>
        <v>215</v>
      </c>
      <c r="I38" s="22" t="s">
        <v>412</v>
      </c>
      <c r="J38" s="4">
        <v>220</v>
      </c>
      <c r="K38" s="41">
        <v>45</v>
      </c>
      <c r="L38" s="5" t="s">
        <v>14</v>
      </c>
      <c r="M38" s="35"/>
      <c r="N38" s="34"/>
      <c r="O38" s="34"/>
    </row>
    <row r="39" spans="1:15" x14ac:dyDescent="0.3">
      <c r="A39" s="26">
        <v>45332</v>
      </c>
      <c r="B39" s="5" t="s">
        <v>411</v>
      </c>
      <c r="C39" s="5" t="s">
        <v>1</v>
      </c>
      <c r="D39" s="4">
        <f>F39/1.21</f>
        <v>238.01652892561984</v>
      </c>
      <c r="E39" s="4">
        <f>D39*10/100</f>
        <v>23.801652892561982</v>
      </c>
      <c r="F39" s="23">
        <v>288</v>
      </c>
      <c r="G39" s="23">
        <v>100</v>
      </c>
      <c r="H39" s="3">
        <f>F39-G39</f>
        <v>188</v>
      </c>
      <c r="I39" s="22" t="s">
        <v>410</v>
      </c>
      <c r="J39" s="4">
        <v>220</v>
      </c>
      <c r="K39" s="4">
        <v>48</v>
      </c>
      <c r="L39" s="5" t="s">
        <v>409</v>
      </c>
      <c r="M39" s="35"/>
      <c r="N39" s="34"/>
      <c r="O39" s="34"/>
    </row>
    <row r="40" spans="1:15" x14ac:dyDescent="0.3">
      <c r="A40" s="26">
        <v>45332</v>
      </c>
      <c r="B40" s="5" t="s">
        <v>408</v>
      </c>
      <c r="C40" s="5" t="s">
        <v>1</v>
      </c>
      <c r="D40" s="4">
        <f>F40/1.21</f>
        <v>198.34710743801654</v>
      </c>
      <c r="E40" s="4">
        <f>D40*10/100</f>
        <v>19.834710743801654</v>
      </c>
      <c r="F40" s="23">
        <v>240</v>
      </c>
      <c r="G40" s="23">
        <v>240</v>
      </c>
      <c r="H40" s="3">
        <f>F40-G40</f>
        <v>0</v>
      </c>
      <c r="I40" s="22" t="s">
        <v>407</v>
      </c>
      <c r="J40" s="4">
        <v>240</v>
      </c>
      <c r="K40" s="4"/>
      <c r="L40" s="5"/>
      <c r="M40" s="35"/>
      <c r="N40" s="34"/>
      <c r="O40" s="34"/>
    </row>
    <row r="41" spans="1:15" x14ac:dyDescent="0.3">
      <c r="A41" s="26">
        <v>45332</v>
      </c>
      <c r="B41" s="5" t="s">
        <v>406</v>
      </c>
      <c r="C41" s="5" t="s">
        <v>1</v>
      </c>
      <c r="D41" s="4">
        <f>F41/1.21</f>
        <v>219.00826446280993</v>
      </c>
      <c r="E41" s="4">
        <f>D41*10/100</f>
        <v>21.900826446280995</v>
      </c>
      <c r="F41" s="23">
        <v>265</v>
      </c>
      <c r="G41" s="23">
        <v>50</v>
      </c>
      <c r="H41" s="3">
        <f>F41-G41</f>
        <v>215</v>
      </c>
      <c r="I41" s="22" t="s">
        <v>405</v>
      </c>
      <c r="J41" s="4">
        <v>220</v>
      </c>
      <c r="K41" s="4">
        <v>45</v>
      </c>
      <c r="L41" s="5" t="s">
        <v>14</v>
      </c>
      <c r="M41" s="35"/>
      <c r="N41" s="34"/>
      <c r="O41" s="34"/>
    </row>
    <row r="42" spans="1:15" x14ac:dyDescent="0.3">
      <c r="A42" s="26">
        <v>45332</v>
      </c>
      <c r="B42" s="5" t="s">
        <v>404</v>
      </c>
      <c r="C42" s="5" t="s">
        <v>1</v>
      </c>
      <c r="D42" s="4">
        <f>F42/1.21</f>
        <v>223.14049586776861</v>
      </c>
      <c r="E42" s="4">
        <f>D42*10/100</f>
        <v>22.314049586776861</v>
      </c>
      <c r="F42" s="23">
        <v>270</v>
      </c>
      <c r="G42" s="23">
        <v>50</v>
      </c>
      <c r="H42" s="3">
        <f>F42-G42</f>
        <v>220</v>
      </c>
      <c r="I42" s="22" t="s">
        <v>403</v>
      </c>
      <c r="J42" s="4">
        <v>270</v>
      </c>
      <c r="K42" s="4"/>
      <c r="L42" s="5"/>
      <c r="M42" s="35"/>
      <c r="N42" s="34"/>
      <c r="O42" s="34"/>
    </row>
    <row r="43" spans="1:15" x14ac:dyDescent="0.3">
      <c r="A43" s="26">
        <v>45332</v>
      </c>
      <c r="B43" s="5" t="s">
        <v>402</v>
      </c>
      <c r="C43" s="5" t="s">
        <v>1</v>
      </c>
      <c r="D43" s="4">
        <f>F43/1.21</f>
        <v>256.198347107438</v>
      </c>
      <c r="E43" s="4">
        <f>D43*10/100</f>
        <v>25.619834710743799</v>
      </c>
      <c r="F43" s="23">
        <v>310</v>
      </c>
      <c r="G43" s="23">
        <v>50</v>
      </c>
      <c r="H43" s="3">
        <f>F43-G43</f>
        <v>260</v>
      </c>
      <c r="I43" s="22" t="s">
        <v>401</v>
      </c>
      <c r="J43" s="4">
        <v>270</v>
      </c>
      <c r="K43" s="4">
        <v>40</v>
      </c>
      <c r="L43" s="5" t="s">
        <v>7</v>
      </c>
      <c r="M43" s="35"/>
      <c r="N43" s="34"/>
      <c r="O43" s="34"/>
    </row>
    <row r="44" spans="1:15" x14ac:dyDescent="0.3">
      <c r="A44" s="26">
        <v>45332</v>
      </c>
      <c r="B44" s="5" t="s">
        <v>400</v>
      </c>
      <c r="C44" s="5" t="s">
        <v>1</v>
      </c>
      <c r="D44" s="4">
        <f>F44/1.21</f>
        <v>206.61157024793388</v>
      </c>
      <c r="E44" s="4">
        <f>D44*10/100</f>
        <v>20.661157024793386</v>
      </c>
      <c r="F44" s="23">
        <v>250</v>
      </c>
      <c r="G44" s="23">
        <v>50</v>
      </c>
      <c r="H44" s="3">
        <f>F44-G44</f>
        <v>200</v>
      </c>
      <c r="I44" s="22" t="s">
        <v>399</v>
      </c>
      <c r="J44" s="4">
        <v>220</v>
      </c>
      <c r="K44" s="4">
        <v>30</v>
      </c>
      <c r="L44" s="5" t="s">
        <v>7</v>
      </c>
      <c r="M44" s="35"/>
      <c r="N44" s="34"/>
      <c r="O44" s="34"/>
    </row>
    <row r="45" spans="1:15" x14ac:dyDescent="0.3">
      <c r="A45" s="26">
        <v>45332</v>
      </c>
      <c r="B45" s="5" t="s">
        <v>398</v>
      </c>
      <c r="C45" s="5" t="s">
        <v>1</v>
      </c>
      <c r="D45" s="4">
        <f>F45/1.21</f>
        <v>206.61157024793388</v>
      </c>
      <c r="E45" s="4">
        <f>D45*10/100</f>
        <v>20.661157024793386</v>
      </c>
      <c r="F45" s="23">
        <v>250</v>
      </c>
      <c r="G45" s="23">
        <v>50</v>
      </c>
      <c r="H45" s="3">
        <f>F45-G45</f>
        <v>200</v>
      </c>
      <c r="I45" s="22" t="s">
        <v>397</v>
      </c>
      <c r="J45" s="4">
        <v>220</v>
      </c>
      <c r="K45" s="4">
        <v>30</v>
      </c>
      <c r="L45" s="5" t="s">
        <v>7</v>
      </c>
      <c r="M45" s="35"/>
      <c r="N45" s="34"/>
      <c r="O45" s="34"/>
    </row>
    <row r="46" spans="1:15" x14ac:dyDescent="0.3">
      <c r="A46" s="26">
        <v>45332</v>
      </c>
      <c r="B46" s="5" t="s">
        <v>396</v>
      </c>
      <c r="C46" s="5" t="s">
        <v>1</v>
      </c>
      <c r="D46" s="4">
        <f>F46/1.21</f>
        <v>123.96694214876034</v>
      </c>
      <c r="E46" s="4">
        <f>D46*10/100</f>
        <v>12.396694214876034</v>
      </c>
      <c r="F46" s="23">
        <v>150</v>
      </c>
      <c r="G46" s="23"/>
      <c r="H46" s="3">
        <f>F46-G46</f>
        <v>150</v>
      </c>
      <c r="I46" s="73" t="s">
        <v>395</v>
      </c>
      <c r="J46" s="4">
        <v>150</v>
      </c>
      <c r="K46" s="4"/>
      <c r="L46" s="5"/>
      <c r="M46" s="35"/>
      <c r="N46" s="34"/>
      <c r="O46" s="34"/>
    </row>
    <row r="47" spans="1:15" x14ac:dyDescent="0.3">
      <c r="A47" s="26">
        <v>45332</v>
      </c>
      <c r="B47" s="5" t="s">
        <v>394</v>
      </c>
      <c r="C47" s="5" t="s">
        <v>1</v>
      </c>
      <c r="D47" s="4">
        <f>F47/1.21</f>
        <v>123.96694214876034</v>
      </c>
      <c r="E47" s="4">
        <f>D47*10/100</f>
        <v>12.396694214876034</v>
      </c>
      <c r="F47" s="23">
        <v>150</v>
      </c>
      <c r="G47" s="23"/>
      <c r="H47" s="3">
        <f>F47-G47</f>
        <v>150</v>
      </c>
      <c r="I47" s="73" t="s">
        <v>325</v>
      </c>
      <c r="J47" s="4">
        <v>150</v>
      </c>
      <c r="K47" s="4"/>
      <c r="L47" s="5"/>
      <c r="M47" s="35"/>
      <c r="N47" s="34"/>
      <c r="O47" s="34"/>
    </row>
    <row r="48" spans="1:15" x14ac:dyDescent="0.3">
      <c r="A48" s="26">
        <v>45332</v>
      </c>
      <c r="B48" s="5" t="s">
        <v>393</v>
      </c>
      <c r="C48" s="5" t="s">
        <v>1</v>
      </c>
      <c r="D48" s="4">
        <f>F48/1.21</f>
        <v>99.173553719008268</v>
      </c>
      <c r="E48" s="4">
        <f>D48*10/100</f>
        <v>9.9173553719008272</v>
      </c>
      <c r="F48" s="23">
        <v>120</v>
      </c>
      <c r="G48" s="23">
        <v>50</v>
      </c>
      <c r="H48" s="3">
        <f>F48-G48</f>
        <v>70</v>
      </c>
      <c r="I48" s="22" t="s">
        <v>392</v>
      </c>
      <c r="J48" s="4">
        <v>170</v>
      </c>
      <c r="K48" s="4"/>
      <c r="L48" s="5"/>
      <c r="M48" s="35"/>
      <c r="N48" s="34"/>
      <c r="O48" s="34"/>
    </row>
    <row r="49" spans="1:15" x14ac:dyDescent="0.3">
      <c r="A49" s="26">
        <v>45332</v>
      </c>
      <c r="B49" s="5" t="s">
        <v>391</v>
      </c>
      <c r="C49" s="5" t="s">
        <v>1</v>
      </c>
      <c r="D49" s="4">
        <f>F49/1.21</f>
        <v>148.7603305785124</v>
      </c>
      <c r="E49" s="4">
        <f>D49*10/100</f>
        <v>14.876033057851238</v>
      </c>
      <c r="F49" s="23">
        <v>180</v>
      </c>
      <c r="G49" s="23"/>
      <c r="H49" s="3">
        <f>F49-G49</f>
        <v>180</v>
      </c>
      <c r="I49" s="72" t="s">
        <v>390</v>
      </c>
      <c r="J49" s="4">
        <v>180</v>
      </c>
      <c r="K49" s="4"/>
      <c r="L49" s="5"/>
      <c r="M49" s="35"/>
      <c r="N49" s="34"/>
      <c r="O49" s="34"/>
    </row>
    <row r="50" spans="1:15" x14ac:dyDescent="0.3">
      <c r="A50" s="26">
        <v>45332</v>
      </c>
      <c r="B50" s="5" t="s">
        <v>389</v>
      </c>
      <c r="C50" s="5" t="s">
        <v>1</v>
      </c>
      <c r="D50" s="4">
        <f>F50/1.21</f>
        <v>123.96694214876034</v>
      </c>
      <c r="E50" s="4">
        <f>D50*10/100</f>
        <v>12.396694214876034</v>
      </c>
      <c r="F50" s="23">
        <v>150</v>
      </c>
      <c r="G50" s="23"/>
      <c r="H50" s="3">
        <f>F50-G50</f>
        <v>150</v>
      </c>
      <c r="I50" s="75" t="s">
        <v>388</v>
      </c>
      <c r="J50" s="4">
        <v>150</v>
      </c>
      <c r="K50" s="4"/>
      <c r="L50" s="5"/>
      <c r="M50" s="35"/>
      <c r="N50" s="34"/>
      <c r="O50" s="34"/>
    </row>
    <row r="51" spans="1:15" x14ac:dyDescent="0.3">
      <c r="A51" s="26">
        <v>45332</v>
      </c>
      <c r="B51" s="5" t="s">
        <v>387</v>
      </c>
      <c r="C51" s="5" t="s">
        <v>1</v>
      </c>
      <c r="D51" s="4">
        <f>F51/1.21</f>
        <v>181.81818181818181</v>
      </c>
      <c r="E51" s="4">
        <f>D51*10/100</f>
        <v>18.18181818181818</v>
      </c>
      <c r="F51" s="23">
        <v>220</v>
      </c>
      <c r="G51" s="23">
        <v>50</v>
      </c>
      <c r="H51" s="3">
        <f>F51-G51</f>
        <v>170</v>
      </c>
      <c r="I51" s="22" t="s">
        <v>10</v>
      </c>
      <c r="J51" s="4">
        <v>220</v>
      </c>
      <c r="K51" s="4"/>
      <c r="L51" s="5"/>
      <c r="M51" s="35"/>
      <c r="N51" s="34"/>
      <c r="O51" s="34"/>
    </row>
    <row r="52" spans="1:15" x14ac:dyDescent="0.3">
      <c r="A52" s="40">
        <v>45332</v>
      </c>
      <c r="B52" s="5" t="s">
        <v>386</v>
      </c>
      <c r="C52" s="5" t="s">
        <v>1</v>
      </c>
      <c r="D52" s="4">
        <f>F52/1.21</f>
        <v>219.00826446280993</v>
      </c>
      <c r="E52" s="4">
        <f>D52*10/100</f>
        <v>21.900826446280995</v>
      </c>
      <c r="F52" s="23">
        <v>265</v>
      </c>
      <c r="G52" s="23">
        <v>50</v>
      </c>
      <c r="H52" s="3">
        <f>F52-G52</f>
        <v>215</v>
      </c>
      <c r="I52" s="39" t="s">
        <v>385</v>
      </c>
      <c r="J52" s="2">
        <v>220</v>
      </c>
      <c r="K52" s="2">
        <v>45</v>
      </c>
      <c r="L52" s="1" t="s">
        <v>14</v>
      </c>
      <c r="M52" s="35"/>
      <c r="N52" s="34"/>
      <c r="O52" s="38"/>
    </row>
    <row r="53" spans="1:15" x14ac:dyDescent="0.3">
      <c r="A53" s="26">
        <v>45332</v>
      </c>
      <c r="B53" s="5" t="s">
        <v>384</v>
      </c>
      <c r="C53" s="5" t="s">
        <v>1</v>
      </c>
      <c r="D53" s="4">
        <f>F53/1.21</f>
        <v>181.81818181818181</v>
      </c>
      <c r="E53" s="4">
        <f>D53*10/100</f>
        <v>18.18181818181818</v>
      </c>
      <c r="F53" s="23">
        <v>220</v>
      </c>
      <c r="G53" s="23">
        <v>50</v>
      </c>
      <c r="H53" s="3">
        <f>F53-G53</f>
        <v>170</v>
      </c>
      <c r="I53" s="22" t="s">
        <v>383</v>
      </c>
      <c r="J53" s="4">
        <v>220</v>
      </c>
      <c r="K53" s="4"/>
      <c r="L53" s="5"/>
      <c r="M53" s="35"/>
      <c r="N53" s="34"/>
      <c r="O53" s="34"/>
    </row>
    <row r="54" spans="1:15" x14ac:dyDescent="0.3">
      <c r="A54" s="26">
        <v>45332</v>
      </c>
      <c r="B54" s="5" t="s">
        <v>382</v>
      </c>
      <c r="C54" s="5" t="s">
        <v>1</v>
      </c>
      <c r="D54" s="4">
        <f>F54/1.21</f>
        <v>173.55371900826447</v>
      </c>
      <c r="E54" s="4">
        <f>D54*10/100</f>
        <v>17.355371900826448</v>
      </c>
      <c r="F54" s="23">
        <v>210</v>
      </c>
      <c r="G54" s="23">
        <v>50</v>
      </c>
      <c r="H54" s="3">
        <f>F54-G54</f>
        <v>160</v>
      </c>
      <c r="I54" s="22" t="s">
        <v>381</v>
      </c>
      <c r="J54" s="4">
        <v>170</v>
      </c>
      <c r="K54" s="4">
        <v>40</v>
      </c>
      <c r="L54" s="5" t="s">
        <v>7</v>
      </c>
      <c r="M54" s="35"/>
      <c r="N54" s="34"/>
      <c r="O54" s="34"/>
    </row>
    <row r="55" spans="1:15" x14ac:dyDescent="0.3">
      <c r="A55" s="26">
        <v>45332</v>
      </c>
      <c r="B55" s="5" t="s">
        <v>380</v>
      </c>
      <c r="C55" s="5" t="s">
        <v>1</v>
      </c>
      <c r="D55" s="4">
        <f>F55/1.21</f>
        <v>140.49586776859505</v>
      </c>
      <c r="E55" s="4">
        <f>D55*10/100</f>
        <v>14.049586776859506</v>
      </c>
      <c r="F55" s="23">
        <v>170</v>
      </c>
      <c r="G55" s="23">
        <v>50</v>
      </c>
      <c r="H55" s="3">
        <f>F55-G55</f>
        <v>120</v>
      </c>
      <c r="I55" s="22" t="s">
        <v>379</v>
      </c>
      <c r="J55" s="4">
        <v>170</v>
      </c>
      <c r="K55" s="4"/>
      <c r="L55" s="5"/>
      <c r="M55" s="35"/>
      <c r="N55" s="34"/>
      <c r="O55" s="34"/>
    </row>
    <row r="56" spans="1:15" x14ac:dyDescent="0.3">
      <c r="A56" s="26">
        <v>45332</v>
      </c>
      <c r="B56" s="5" t="s">
        <v>378</v>
      </c>
      <c r="C56" s="5" t="s">
        <v>1</v>
      </c>
      <c r="D56" s="4">
        <f>F56/1.21</f>
        <v>107.43801652892563</v>
      </c>
      <c r="E56" s="4">
        <f>D56*10/100</f>
        <v>10.743801652892563</v>
      </c>
      <c r="F56" s="23">
        <v>130</v>
      </c>
      <c r="G56" s="23"/>
      <c r="H56" s="3">
        <f>F56-G56</f>
        <v>130</v>
      </c>
      <c r="I56" s="73" t="s">
        <v>325</v>
      </c>
      <c r="J56" s="4">
        <v>130</v>
      </c>
      <c r="K56" s="4"/>
      <c r="L56" s="5"/>
      <c r="M56" s="35"/>
      <c r="N56" s="34"/>
      <c r="O56" s="34"/>
    </row>
    <row r="57" spans="1:15" x14ac:dyDescent="0.3">
      <c r="A57" s="26">
        <v>45332</v>
      </c>
      <c r="B57" s="5" t="s">
        <v>377</v>
      </c>
      <c r="C57" s="5" t="s">
        <v>1</v>
      </c>
      <c r="D57" s="4">
        <f>F57/1.21</f>
        <v>140.49586776859505</v>
      </c>
      <c r="E57" s="4">
        <f>D57*10/100</f>
        <v>14.049586776859506</v>
      </c>
      <c r="F57" s="23">
        <v>170</v>
      </c>
      <c r="G57" s="23">
        <v>50</v>
      </c>
      <c r="H57" s="3">
        <f>F57-G57</f>
        <v>120</v>
      </c>
      <c r="I57" s="22" t="s">
        <v>376</v>
      </c>
      <c r="J57" s="4">
        <v>170</v>
      </c>
      <c r="K57" s="4"/>
      <c r="L57" s="5"/>
      <c r="M57" s="35"/>
      <c r="N57" s="34"/>
      <c r="O57" s="34"/>
    </row>
    <row r="58" spans="1:15" x14ac:dyDescent="0.3">
      <c r="A58" s="26">
        <v>45332</v>
      </c>
      <c r="B58" s="5" t="s">
        <v>375</v>
      </c>
      <c r="C58" s="5" t="s">
        <v>1</v>
      </c>
      <c r="D58" s="4">
        <f>F58/1.21</f>
        <v>223.14049586776861</v>
      </c>
      <c r="E58" s="4">
        <f>D58*10/100</f>
        <v>22.314049586776861</v>
      </c>
      <c r="F58" s="23">
        <v>270</v>
      </c>
      <c r="G58" s="23">
        <v>270</v>
      </c>
      <c r="H58" s="3">
        <f>F58-G58</f>
        <v>0</v>
      </c>
      <c r="I58" s="22" t="s">
        <v>10</v>
      </c>
      <c r="J58" s="4">
        <v>170</v>
      </c>
      <c r="K58" s="4">
        <v>100</v>
      </c>
      <c r="L58" s="5" t="s">
        <v>33</v>
      </c>
      <c r="M58" s="35"/>
      <c r="N58" s="34"/>
      <c r="O58" s="34"/>
    </row>
    <row r="59" spans="1:15" x14ac:dyDescent="0.3">
      <c r="A59" s="26">
        <v>45333</v>
      </c>
      <c r="B59" s="5" t="s">
        <v>374</v>
      </c>
      <c r="C59" s="5" t="s">
        <v>1</v>
      </c>
      <c r="D59" s="4">
        <f>F59/1.21</f>
        <v>198.34710743801654</v>
      </c>
      <c r="E59" s="4">
        <f>D59*10/100</f>
        <v>19.834710743801654</v>
      </c>
      <c r="F59" s="23">
        <v>240</v>
      </c>
      <c r="G59" s="23">
        <v>50</v>
      </c>
      <c r="H59" s="3">
        <f>F59-G59</f>
        <v>190</v>
      </c>
      <c r="I59" s="22" t="s">
        <v>373</v>
      </c>
      <c r="J59" s="4">
        <v>220</v>
      </c>
      <c r="K59" s="4">
        <v>20</v>
      </c>
      <c r="L59" s="5" t="s">
        <v>7</v>
      </c>
      <c r="M59" s="35"/>
      <c r="N59" s="34"/>
      <c r="O59" s="34"/>
    </row>
    <row r="60" spans="1:15" x14ac:dyDescent="0.3">
      <c r="A60" s="26">
        <v>45333</v>
      </c>
      <c r="B60" s="5" t="s">
        <v>372</v>
      </c>
      <c r="C60" s="5" t="s">
        <v>1</v>
      </c>
      <c r="D60" s="4">
        <f>F60/1.21</f>
        <v>148.7603305785124</v>
      </c>
      <c r="E60" s="4">
        <f>D60*10/100</f>
        <v>14.876033057851238</v>
      </c>
      <c r="F60" s="23">
        <v>180</v>
      </c>
      <c r="G60" s="23"/>
      <c r="H60" s="3">
        <f>F60-G60</f>
        <v>180</v>
      </c>
      <c r="I60" s="73" t="s">
        <v>332</v>
      </c>
      <c r="J60" s="4">
        <v>180</v>
      </c>
      <c r="K60" s="4"/>
      <c r="L60" s="5"/>
      <c r="M60" s="35"/>
      <c r="N60" s="34"/>
      <c r="O60" s="34"/>
    </row>
    <row r="61" spans="1:15" x14ac:dyDescent="0.3">
      <c r="A61" s="26">
        <v>45363</v>
      </c>
      <c r="B61" s="5" t="s">
        <v>371</v>
      </c>
      <c r="C61" s="5" t="s">
        <v>1</v>
      </c>
      <c r="D61" s="4">
        <f>F61/1.21</f>
        <v>243.801652892562</v>
      </c>
      <c r="E61" s="4">
        <f>D61*10/100</f>
        <v>24.380165289256201</v>
      </c>
      <c r="F61" s="23">
        <v>295</v>
      </c>
      <c r="G61" s="23">
        <v>50</v>
      </c>
      <c r="H61" s="3">
        <f>F61-G61</f>
        <v>245</v>
      </c>
      <c r="I61" s="22" t="s">
        <v>370</v>
      </c>
      <c r="J61" s="4">
        <v>220</v>
      </c>
      <c r="K61" s="4">
        <v>45</v>
      </c>
      <c r="L61" s="5" t="s">
        <v>14</v>
      </c>
      <c r="M61" s="35">
        <v>30</v>
      </c>
      <c r="N61" s="34" t="s">
        <v>7</v>
      </c>
      <c r="O61" s="34"/>
    </row>
    <row r="62" spans="1:15" x14ac:dyDescent="0.3">
      <c r="A62" s="26">
        <v>45364</v>
      </c>
      <c r="B62" s="5" t="s">
        <v>369</v>
      </c>
      <c r="C62" s="5" t="s">
        <v>1</v>
      </c>
      <c r="D62" s="4">
        <f>F62/1.21</f>
        <v>314.04958677685954</v>
      </c>
      <c r="E62" s="4">
        <f>D62*10/100</f>
        <v>31.404958677685954</v>
      </c>
      <c r="F62" s="23">
        <v>380</v>
      </c>
      <c r="G62" s="23">
        <v>50</v>
      </c>
      <c r="H62" s="3">
        <f>F62-G62</f>
        <v>330</v>
      </c>
      <c r="I62" s="22" t="s">
        <v>368</v>
      </c>
      <c r="J62" s="4">
        <v>380</v>
      </c>
      <c r="K62" s="4"/>
      <c r="L62" s="5"/>
      <c r="M62" s="35"/>
      <c r="N62" s="34"/>
      <c r="O62" s="34"/>
    </row>
    <row r="63" spans="1:15" x14ac:dyDescent="0.3">
      <c r="A63" s="37">
        <v>45336</v>
      </c>
      <c r="B63" s="5" t="s">
        <v>367</v>
      </c>
      <c r="C63" s="5" t="s">
        <v>1</v>
      </c>
      <c r="D63" s="4">
        <f>F63/1.21</f>
        <v>202.47933884297521</v>
      </c>
      <c r="E63" s="4">
        <f>D63*10/100</f>
        <v>20.247933884297524</v>
      </c>
      <c r="F63" s="23">
        <v>245</v>
      </c>
      <c r="G63" s="23"/>
      <c r="H63" s="3">
        <f>F63-G63</f>
        <v>245</v>
      </c>
      <c r="I63" s="73" t="s">
        <v>325</v>
      </c>
      <c r="J63" s="4">
        <v>200</v>
      </c>
      <c r="K63" s="4">
        <v>45</v>
      </c>
      <c r="L63" s="5" t="s">
        <v>285</v>
      </c>
      <c r="M63" s="35"/>
      <c r="N63" s="34"/>
      <c r="O63" s="34"/>
    </row>
    <row r="64" spans="1:15" x14ac:dyDescent="0.3">
      <c r="A64" s="37">
        <v>45336</v>
      </c>
      <c r="B64" s="5" t="s">
        <v>366</v>
      </c>
      <c r="C64" s="5" t="s">
        <v>1</v>
      </c>
      <c r="D64" s="4">
        <f>F64/1.21</f>
        <v>210.74380165289256</v>
      </c>
      <c r="E64" s="4">
        <f>D64*10/100</f>
        <v>21.074380165289259</v>
      </c>
      <c r="F64" s="23">
        <v>255</v>
      </c>
      <c r="G64" s="23">
        <v>50</v>
      </c>
      <c r="H64" s="3">
        <f>F64-G64</f>
        <v>205</v>
      </c>
      <c r="I64" s="22" t="s">
        <v>365</v>
      </c>
      <c r="J64" s="4">
        <v>170</v>
      </c>
      <c r="K64" s="4">
        <v>40</v>
      </c>
      <c r="L64" s="5" t="s">
        <v>7</v>
      </c>
      <c r="M64" s="35">
        <v>45</v>
      </c>
      <c r="N64" s="34" t="s">
        <v>285</v>
      </c>
      <c r="O64" s="34"/>
    </row>
    <row r="65" spans="1:15" x14ac:dyDescent="0.3">
      <c r="A65" s="37">
        <v>45336</v>
      </c>
      <c r="B65" s="5" t="s">
        <v>364</v>
      </c>
      <c r="C65" s="5" t="s">
        <v>1</v>
      </c>
      <c r="D65" s="4">
        <f>F65/1.21</f>
        <v>181.81818181818181</v>
      </c>
      <c r="E65" s="4">
        <f>D65*10/100</f>
        <v>18.18181818181818</v>
      </c>
      <c r="F65" s="23">
        <v>220</v>
      </c>
      <c r="G65" s="23">
        <v>50</v>
      </c>
      <c r="H65" s="3">
        <f>F65-G65</f>
        <v>170</v>
      </c>
      <c r="I65" s="22" t="s">
        <v>363</v>
      </c>
      <c r="J65" s="4">
        <v>220</v>
      </c>
      <c r="K65" s="4"/>
      <c r="L65" s="5"/>
      <c r="M65" s="35"/>
      <c r="N65" s="34"/>
      <c r="O65" s="34"/>
    </row>
    <row r="66" spans="1:15" x14ac:dyDescent="0.3">
      <c r="A66" s="37">
        <v>45336</v>
      </c>
      <c r="B66" s="5" t="s">
        <v>362</v>
      </c>
      <c r="C66" s="5" t="s">
        <v>1</v>
      </c>
      <c r="D66" s="4">
        <f>F66/1.21</f>
        <v>165.28925619834712</v>
      </c>
      <c r="E66" s="4">
        <f>D66*10/100</f>
        <v>16.528925619834713</v>
      </c>
      <c r="F66" s="23">
        <v>200</v>
      </c>
      <c r="G66" s="23"/>
      <c r="H66" s="3">
        <f>F66-G66</f>
        <v>200</v>
      </c>
      <c r="I66" s="72" t="s">
        <v>174</v>
      </c>
      <c r="J66" s="4">
        <v>180</v>
      </c>
      <c r="K66" s="4">
        <v>20</v>
      </c>
      <c r="L66" s="5" t="s">
        <v>7</v>
      </c>
      <c r="M66" s="35"/>
      <c r="N66" s="34"/>
      <c r="O66" s="34"/>
    </row>
    <row r="67" spans="1:15" x14ac:dyDescent="0.3">
      <c r="A67" s="26">
        <v>45337</v>
      </c>
      <c r="B67" s="5" t="s">
        <v>361</v>
      </c>
      <c r="C67" s="5" t="s">
        <v>1</v>
      </c>
      <c r="D67" s="4">
        <f>F67/1.21</f>
        <v>181.81818181818181</v>
      </c>
      <c r="E67" s="4">
        <f>D67*10/100</f>
        <v>18.18181818181818</v>
      </c>
      <c r="F67" s="23">
        <v>220</v>
      </c>
      <c r="G67" s="23">
        <v>50</v>
      </c>
      <c r="H67" s="3">
        <f>F67-G67</f>
        <v>170</v>
      </c>
      <c r="I67" s="22" t="s">
        <v>360</v>
      </c>
      <c r="J67" s="4">
        <v>220</v>
      </c>
      <c r="K67" s="4"/>
      <c r="L67" s="5"/>
      <c r="M67" s="35"/>
      <c r="N67" s="34"/>
      <c r="O67" s="34"/>
    </row>
    <row r="68" spans="1:15" x14ac:dyDescent="0.3">
      <c r="A68" s="26">
        <v>45338</v>
      </c>
      <c r="B68" s="5" t="s">
        <v>359</v>
      </c>
      <c r="C68" s="5" t="s">
        <v>1</v>
      </c>
      <c r="D68" s="4">
        <f>F68/1.21</f>
        <v>285.12396694214874</v>
      </c>
      <c r="E68" s="4">
        <f>D68*10/100</f>
        <v>28.512396694214875</v>
      </c>
      <c r="F68" s="23">
        <v>345</v>
      </c>
      <c r="G68" s="23">
        <v>50</v>
      </c>
      <c r="H68" s="3">
        <f>F68-G68</f>
        <v>295</v>
      </c>
      <c r="I68" s="22" t="s">
        <v>358</v>
      </c>
      <c r="J68" s="4">
        <v>270</v>
      </c>
      <c r="K68" s="4">
        <v>30</v>
      </c>
      <c r="L68" s="5" t="s">
        <v>7</v>
      </c>
      <c r="M68" s="35">
        <v>45</v>
      </c>
      <c r="N68" s="34" t="s">
        <v>14</v>
      </c>
      <c r="O68" s="34"/>
    </row>
    <row r="69" spans="1:15" x14ac:dyDescent="0.3">
      <c r="A69" s="26">
        <v>45338</v>
      </c>
      <c r="B69" s="5" t="s">
        <v>357</v>
      </c>
      <c r="C69" s="5" t="s">
        <v>1</v>
      </c>
      <c r="D69" s="4">
        <f>F69/1.21</f>
        <v>140.49586776859505</v>
      </c>
      <c r="E69" s="4">
        <f>D69*10/100</f>
        <v>14.049586776859506</v>
      </c>
      <c r="F69" s="23">
        <v>170</v>
      </c>
      <c r="G69" s="23"/>
      <c r="H69" s="3">
        <f>F69-G69</f>
        <v>170</v>
      </c>
      <c r="I69" s="72" t="s">
        <v>206</v>
      </c>
      <c r="J69" s="4">
        <v>170</v>
      </c>
      <c r="K69" s="4"/>
      <c r="L69" s="5"/>
      <c r="M69" s="35"/>
      <c r="N69" s="34"/>
      <c r="O69" s="34"/>
    </row>
    <row r="70" spans="1:15" x14ac:dyDescent="0.3">
      <c r="A70" s="26">
        <v>45338</v>
      </c>
      <c r="B70" s="5" t="s">
        <v>356</v>
      </c>
      <c r="C70" s="5" t="s">
        <v>1</v>
      </c>
      <c r="D70" s="4">
        <f>F70/1.21</f>
        <v>165.28925619834712</v>
      </c>
      <c r="E70" s="4">
        <f>D70*10/100</f>
        <v>16.528925619834713</v>
      </c>
      <c r="F70" s="23">
        <v>200</v>
      </c>
      <c r="G70" s="23"/>
      <c r="H70" s="3">
        <f>F70-G70</f>
        <v>200</v>
      </c>
      <c r="I70" s="73" t="s">
        <v>306</v>
      </c>
      <c r="J70" s="4">
        <v>200</v>
      </c>
      <c r="K70" s="4"/>
      <c r="L70" s="5"/>
      <c r="M70" s="35"/>
      <c r="N70" s="34"/>
      <c r="O70" s="34"/>
    </row>
    <row r="71" spans="1:15" x14ac:dyDescent="0.3">
      <c r="A71" s="26">
        <v>45338</v>
      </c>
      <c r="B71" s="5" t="s">
        <v>355</v>
      </c>
      <c r="C71" s="5" t="s">
        <v>1</v>
      </c>
      <c r="D71" s="4">
        <f>F71/1.21</f>
        <v>148.7603305785124</v>
      </c>
      <c r="E71" s="4">
        <f>D71*10/100</f>
        <v>14.876033057851238</v>
      </c>
      <c r="F71" s="23">
        <v>180</v>
      </c>
      <c r="G71" s="23"/>
      <c r="H71" s="3">
        <f>F71-G71</f>
        <v>180</v>
      </c>
      <c r="I71" s="72" t="s">
        <v>206</v>
      </c>
      <c r="J71" s="4">
        <v>180</v>
      </c>
      <c r="K71" s="4"/>
      <c r="L71" s="5"/>
      <c r="M71" s="35"/>
      <c r="N71" s="34"/>
      <c r="O71" s="34"/>
    </row>
    <row r="72" spans="1:15" x14ac:dyDescent="0.3">
      <c r="A72" s="26">
        <v>45338</v>
      </c>
      <c r="B72" s="5" t="s">
        <v>354</v>
      </c>
      <c r="C72" s="5" t="s">
        <v>1</v>
      </c>
      <c r="D72" s="4">
        <f>F72/1.21</f>
        <v>148.7603305785124</v>
      </c>
      <c r="E72" s="4">
        <f>D72*10/100</f>
        <v>14.876033057851238</v>
      </c>
      <c r="F72" s="23">
        <v>180</v>
      </c>
      <c r="G72" s="23"/>
      <c r="H72" s="3">
        <f>F72-G72</f>
        <v>180</v>
      </c>
      <c r="I72" s="73" t="s">
        <v>306</v>
      </c>
      <c r="J72" s="4">
        <v>180</v>
      </c>
      <c r="K72" s="4"/>
      <c r="L72" s="5"/>
      <c r="M72" s="35"/>
      <c r="N72" s="34"/>
      <c r="O72" s="34"/>
    </row>
    <row r="73" spans="1:15" x14ac:dyDescent="0.3">
      <c r="A73" s="26">
        <v>45338</v>
      </c>
      <c r="B73" s="5" t="s">
        <v>353</v>
      </c>
      <c r="C73" s="5" t="s">
        <v>1</v>
      </c>
      <c r="D73" s="4">
        <f>F73/1.21</f>
        <v>181.81818181818181</v>
      </c>
      <c r="E73" s="4">
        <f>D73*10/100</f>
        <v>18.18181818181818</v>
      </c>
      <c r="F73" s="23">
        <v>220</v>
      </c>
      <c r="G73" s="23">
        <v>220</v>
      </c>
      <c r="H73" s="3">
        <f>F73-G73</f>
        <v>0</v>
      </c>
      <c r="I73" s="22" t="s">
        <v>352</v>
      </c>
      <c r="J73" s="4">
        <v>220</v>
      </c>
      <c r="K73" s="4"/>
      <c r="L73" s="5"/>
      <c r="M73" s="35"/>
      <c r="N73" s="34"/>
      <c r="O73" s="34"/>
    </row>
    <row r="74" spans="1:15" x14ac:dyDescent="0.3">
      <c r="A74" s="26">
        <v>45338</v>
      </c>
      <c r="B74" s="5" t="s">
        <v>351</v>
      </c>
      <c r="C74" s="5" t="s">
        <v>1</v>
      </c>
      <c r="D74" s="4">
        <f>F74/1.21</f>
        <v>264.4628099173554</v>
      </c>
      <c r="E74" s="4">
        <f>D74*10/100</f>
        <v>26.446280991735538</v>
      </c>
      <c r="F74" s="23">
        <v>320</v>
      </c>
      <c r="G74" s="23">
        <v>50</v>
      </c>
      <c r="H74" s="3">
        <f>F74-G74</f>
        <v>270</v>
      </c>
      <c r="I74" s="22" t="s">
        <v>350</v>
      </c>
      <c r="J74" s="4">
        <v>320</v>
      </c>
      <c r="K74" s="4"/>
      <c r="L74" s="5"/>
      <c r="M74" s="35"/>
      <c r="N74" s="34"/>
      <c r="O74" s="34"/>
    </row>
    <row r="75" spans="1:15" x14ac:dyDescent="0.3">
      <c r="A75" s="26">
        <v>45338</v>
      </c>
      <c r="B75" s="5" t="s">
        <v>349</v>
      </c>
      <c r="C75" s="5" t="s">
        <v>1</v>
      </c>
      <c r="D75" s="4">
        <f>F75/1.21</f>
        <v>107.43801652892563</v>
      </c>
      <c r="E75" s="4">
        <f>D75*10/100</f>
        <v>10.743801652892563</v>
      </c>
      <c r="F75" s="23">
        <v>130</v>
      </c>
      <c r="G75" s="27"/>
      <c r="H75" s="3">
        <f>F75-G75</f>
        <v>130</v>
      </c>
      <c r="I75" s="73" t="s">
        <v>306</v>
      </c>
      <c r="J75" s="4">
        <v>130</v>
      </c>
      <c r="K75" s="4"/>
      <c r="L75" s="5"/>
      <c r="M75" s="35"/>
      <c r="N75" s="34"/>
      <c r="O75" s="34"/>
    </row>
    <row r="76" spans="1:15" x14ac:dyDescent="0.3">
      <c r="A76" s="26">
        <v>45338</v>
      </c>
      <c r="B76" s="5" t="s">
        <v>348</v>
      </c>
      <c r="C76" s="5" t="s">
        <v>1</v>
      </c>
      <c r="D76" s="4">
        <f>F76/1.21</f>
        <v>140.49586776859505</v>
      </c>
      <c r="E76" s="4">
        <f>D76*10/100</f>
        <v>14.049586776859506</v>
      </c>
      <c r="F76" s="23">
        <v>170</v>
      </c>
      <c r="G76" s="23">
        <v>170</v>
      </c>
      <c r="H76" s="3">
        <f>F76-G76</f>
        <v>0</v>
      </c>
      <c r="I76" s="22" t="s">
        <v>347</v>
      </c>
      <c r="J76" s="4">
        <v>170</v>
      </c>
      <c r="K76" s="4"/>
      <c r="L76" s="5"/>
      <c r="M76" s="35"/>
      <c r="N76" s="34"/>
      <c r="O76" s="34"/>
    </row>
    <row r="77" spans="1:15" x14ac:dyDescent="0.3">
      <c r="A77" s="26">
        <v>45338</v>
      </c>
      <c r="B77" s="5" t="s">
        <v>346</v>
      </c>
      <c r="C77" s="5" t="s">
        <v>1</v>
      </c>
      <c r="D77" s="4">
        <f>F77/1.21</f>
        <v>140.49586776859505</v>
      </c>
      <c r="E77" s="4">
        <f>D77*10/100</f>
        <v>14.049586776859506</v>
      </c>
      <c r="F77" s="23">
        <v>170</v>
      </c>
      <c r="G77" s="23">
        <v>50</v>
      </c>
      <c r="H77" s="3">
        <f>F77-G77</f>
        <v>120</v>
      </c>
      <c r="I77" s="22" t="s">
        <v>345</v>
      </c>
      <c r="J77" s="4">
        <v>170</v>
      </c>
      <c r="K77" s="36"/>
      <c r="L77" s="5"/>
      <c r="M77" s="35"/>
      <c r="N77" s="34"/>
      <c r="O77" s="34"/>
    </row>
    <row r="78" spans="1:15" x14ac:dyDescent="0.3">
      <c r="A78" s="26">
        <v>45338</v>
      </c>
      <c r="B78" s="5" t="s">
        <v>344</v>
      </c>
      <c r="C78" s="5" t="s">
        <v>1</v>
      </c>
      <c r="D78" s="4">
        <f>F78/1.21</f>
        <v>115.70247933884298</v>
      </c>
      <c r="E78" s="4">
        <f>D78*10/100</f>
        <v>11.570247933884298</v>
      </c>
      <c r="F78" s="33">
        <v>140</v>
      </c>
      <c r="G78" s="33"/>
      <c r="H78" s="3">
        <f>F78-G78</f>
        <v>140</v>
      </c>
      <c r="I78" s="72" t="s">
        <v>206</v>
      </c>
      <c r="J78" s="32">
        <v>140</v>
      </c>
      <c r="K78" s="31"/>
      <c r="L78" s="30"/>
      <c r="M78" s="29"/>
      <c r="N78" s="28"/>
      <c r="O78" s="28"/>
    </row>
    <row r="79" spans="1:15" x14ac:dyDescent="0.3">
      <c r="A79" s="26">
        <v>45338</v>
      </c>
      <c r="B79" s="5" t="s">
        <v>343</v>
      </c>
      <c r="C79" s="5" t="s">
        <v>1</v>
      </c>
      <c r="D79" s="4">
        <f>F79/1.21</f>
        <v>115.70247933884298</v>
      </c>
      <c r="E79" s="4">
        <f>D79*10/100</f>
        <v>11.570247933884298</v>
      </c>
      <c r="F79" s="24">
        <v>140</v>
      </c>
      <c r="G79" s="23"/>
      <c r="H79" s="3">
        <f>F79-G79</f>
        <v>140</v>
      </c>
      <c r="I79" s="72" t="s">
        <v>206</v>
      </c>
      <c r="J79" s="7">
        <v>140</v>
      </c>
      <c r="K79" s="8"/>
      <c r="L79" s="1"/>
      <c r="M79" s="7"/>
      <c r="N79" s="7"/>
      <c r="O79" s="7"/>
    </row>
    <row r="80" spans="1:15" x14ac:dyDescent="0.3">
      <c r="A80" s="26">
        <v>45338</v>
      </c>
      <c r="B80" s="5" t="s">
        <v>342</v>
      </c>
      <c r="C80" s="5" t="s">
        <v>1</v>
      </c>
      <c r="D80" s="4">
        <f>F80/1.21</f>
        <v>140.49586776859505</v>
      </c>
      <c r="E80" s="4">
        <f>D80*10/100</f>
        <v>14.049586776859506</v>
      </c>
      <c r="F80" s="24">
        <v>170</v>
      </c>
      <c r="G80" s="23">
        <v>170</v>
      </c>
      <c r="H80" s="3">
        <f>F80-G80</f>
        <v>0</v>
      </c>
      <c r="I80" s="22" t="s">
        <v>341</v>
      </c>
      <c r="J80" s="7">
        <v>170</v>
      </c>
      <c r="K80" s="8"/>
      <c r="L80" s="1"/>
      <c r="M80" s="7"/>
      <c r="N80" s="7"/>
      <c r="O80" s="7"/>
    </row>
    <row r="81" spans="1:15" x14ac:dyDescent="0.3">
      <c r="A81" s="26">
        <v>45338</v>
      </c>
      <c r="B81" s="5" t="s">
        <v>340</v>
      </c>
      <c r="C81" s="5" t="s">
        <v>1</v>
      </c>
      <c r="D81" s="4">
        <f>F81/1.21</f>
        <v>140.49586776859505</v>
      </c>
      <c r="E81" s="4">
        <f>D81*10/100</f>
        <v>14.049586776859506</v>
      </c>
      <c r="F81" s="24">
        <v>170</v>
      </c>
      <c r="G81" s="23"/>
      <c r="H81" s="3">
        <f>F81-G81</f>
        <v>170</v>
      </c>
      <c r="I81" s="72" t="s">
        <v>206</v>
      </c>
      <c r="J81" s="7">
        <v>170</v>
      </c>
      <c r="K81" s="8"/>
      <c r="L81" s="1"/>
      <c r="M81" s="7"/>
      <c r="N81" s="7"/>
      <c r="O81" s="7"/>
    </row>
    <row r="82" spans="1:15" x14ac:dyDescent="0.3">
      <c r="A82" s="26">
        <v>45338</v>
      </c>
      <c r="B82" s="5" t="s">
        <v>339</v>
      </c>
      <c r="C82" s="5" t="s">
        <v>1</v>
      </c>
      <c r="D82" s="4">
        <f>F82/1.21</f>
        <v>140.49586776859505</v>
      </c>
      <c r="E82" s="4">
        <f>D82*10/100</f>
        <v>14.049586776859506</v>
      </c>
      <c r="F82" s="24">
        <v>170</v>
      </c>
      <c r="G82" s="23">
        <v>50</v>
      </c>
      <c r="H82" s="3">
        <f>F82-G82</f>
        <v>120</v>
      </c>
      <c r="I82" s="22" t="s">
        <v>338</v>
      </c>
      <c r="J82" s="7">
        <v>170</v>
      </c>
      <c r="K82" s="8"/>
      <c r="L82" s="1"/>
      <c r="M82" s="7"/>
      <c r="N82" s="7"/>
      <c r="O82" s="7"/>
    </row>
    <row r="83" spans="1:15" x14ac:dyDescent="0.3">
      <c r="A83" s="26">
        <v>45339</v>
      </c>
      <c r="B83" s="5" t="s">
        <v>337</v>
      </c>
      <c r="C83" s="5" t="s">
        <v>1</v>
      </c>
      <c r="D83" s="4">
        <f>F83/1.21</f>
        <v>247.93388429752068</v>
      </c>
      <c r="E83" s="4">
        <f>D83*10/100</f>
        <v>24.793388429752067</v>
      </c>
      <c r="F83" s="24">
        <v>300</v>
      </c>
      <c r="G83" s="27">
        <v>50</v>
      </c>
      <c r="H83" s="3">
        <f>F83-G83</f>
        <v>250</v>
      </c>
      <c r="I83" s="22" t="s">
        <v>336</v>
      </c>
      <c r="J83" s="7">
        <v>270</v>
      </c>
      <c r="K83" s="8">
        <v>30</v>
      </c>
      <c r="L83" s="1" t="s">
        <v>7</v>
      </c>
      <c r="M83" s="7"/>
      <c r="N83" s="7"/>
      <c r="O83" s="7"/>
    </row>
    <row r="84" spans="1:15" x14ac:dyDescent="0.3">
      <c r="A84" s="26">
        <v>45339</v>
      </c>
      <c r="B84" s="5" t="s">
        <v>335</v>
      </c>
      <c r="C84" s="5" t="s">
        <v>1</v>
      </c>
      <c r="D84" s="4">
        <f>F84/1.21</f>
        <v>181.81818181818181</v>
      </c>
      <c r="E84" s="4">
        <f>D84*10/100</f>
        <v>18.18181818181818</v>
      </c>
      <c r="F84" s="24">
        <v>220</v>
      </c>
      <c r="G84" s="23">
        <v>50</v>
      </c>
      <c r="H84" s="3">
        <f>F84-G84</f>
        <v>170</v>
      </c>
      <c r="I84" s="22" t="s">
        <v>334</v>
      </c>
      <c r="J84" s="7">
        <v>270</v>
      </c>
      <c r="K84" s="8"/>
      <c r="L84" s="1"/>
      <c r="M84" s="7"/>
      <c r="N84" s="7"/>
      <c r="O84" s="7"/>
    </row>
    <row r="85" spans="1:15" x14ac:dyDescent="0.3">
      <c r="A85" s="26">
        <v>45339</v>
      </c>
      <c r="B85" s="5" t="s">
        <v>333</v>
      </c>
      <c r="C85" s="5" t="s">
        <v>1</v>
      </c>
      <c r="D85" s="4">
        <f>F85/1.21</f>
        <v>181.81818181818181</v>
      </c>
      <c r="E85" s="4">
        <f>D85*10/100</f>
        <v>18.18181818181818</v>
      </c>
      <c r="F85" s="24">
        <v>220</v>
      </c>
      <c r="G85" s="23"/>
      <c r="H85" s="3">
        <f>F85-G85</f>
        <v>220</v>
      </c>
      <c r="I85" s="73" t="s">
        <v>332</v>
      </c>
      <c r="J85" s="7">
        <v>220</v>
      </c>
      <c r="K85" s="8"/>
      <c r="L85" s="1"/>
      <c r="M85" s="7"/>
      <c r="N85" s="7"/>
      <c r="O85" s="7"/>
    </row>
    <row r="86" spans="1:15" x14ac:dyDescent="0.3">
      <c r="A86" s="15">
        <v>45339</v>
      </c>
      <c r="B86" s="5" t="s">
        <v>331</v>
      </c>
      <c r="C86" s="5" t="s">
        <v>1</v>
      </c>
      <c r="D86" s="4">
        <f>F86/1.21</f>
        <v>181.81818181818181</v>
      </c>
      <c r="E86" s="4">
        <f>D86*10/100</f>
        <v>18.18181818181818</v>
      </c>
      <c r="F86" s="24">
        <v>220</v>
      </c>
      <c r="G86" s="23">
        <v>50</v>
      </c>
      <c r="H86" s="3">
        <f>F86-G86</f>
        <v>170</v>
      </c>
      <c r="I86" s="22" t="s">
        <v>330</v>
      </c>
      <c r="J86" s="7">
        <v>270</v>
      </c>
      <c r="K86" s="8"/>
      <c r="L86" s="1"/>
      <c r="M86" s="7"/>
      <c r="N86" s="7"/>
      <c r="O86" s="7"/>
    </row>
    <row r="87" spans="1:15" x14ac:dyDescent="0.3">
      <c r="A87" s="15">
        <v>45339</v>
      </c>
      <c r="B87" s="5" t="s">
        <v>329</v>
      </c>
      <c r="C87" s="5" t="s">
        <v>1</v>
      </c>
      <c r="D87" s="4">
        <f>F87/1.21</f>
        <v>148.7603305785124</v>
      </c>
      <c r="E87" s="4">
        <f>D87*10/100</f>
        <v>14.876033057851238</v>
      </c>
      <c r="F87" s="24">
        <v>180</v>
      </c>
      <c r="G87" s="23"/>
      <c r="H87" s="3">
        <f>F87-G87</f>
        <v>180</v>
      </c>
      <c r="I87" s="72" t="s">
        <v>206</v>
      </c>
      <c r="J87" s="7">
        <v>180</v>
      </c>
      <c r="K87" s="8"/>
      <c r="L87" s="6"/>
      <c r="M87" s="7"/>
      <c r="N87" s="7"/>
      <c r="O87" s="7"/>
    </row>
    <row r="88" spans="1:15" x14ac:dyDescent="0.3">
      <c r="A88" s="15">
        <v>45339</v>
      </c>
      <c r="B88" s="5" t="s">
        <v>328</v>
      </c>
      <c r="C88" s="5" t="s">
        <v>1</v>
      </c>
      <c r="D88" s="4">
        <f>F88/1.21</f>
        <v>181.81818181818181</v>
      </c>
      <c r="E88" s="4">
        <f>D88*10/100</f>
        <v>18.18181818181818</v>
      </c>
      <c r="F88" s="24">
        <v>220</v>
      </c>
      <c r="G88" s="23">
        <v>50</v>
      </c>
      <c r="H88" s="3">
        <f>F88-G88</f>
        <v>170</v>
      </c>
      <c r="I88" s="22" t="s">
        <v>327</v>
      </c>
      <c r="J88" s="7">
        <v>220</v>
      </c>
      <c r="K88" s="8"/>
      <c r="L88" s="1"/>
      <c r="M88" s="25"/>
      <c r="N88" s="7"/>
      <c r="O88" s="7"/>
    </row>
    <row r="89" spans="1:15" x14ac:dyDescent="0.3">
      <c r="A89" s="15">
        <v>45339</v>
      </c>
      <c r="B89" s="5" t="s">
        <v>326</v>
      </c>
      <c r="C89" s="5" t="s">
        <v>1</v>
      </c>
      <c r="D89" s="4">
        <f>F89/1.21</f>
        <v>123.96694214876034</v>
      </c>
      <c r="E89" s="4">
        <f>D89*10/100</f>
        <v>12.396694214876034</v>
      </c>
      <c r="F89" s="24">
        <v>150</v>
      </c>
      <c r="G89" s="23"/>
      <c r="H89" s="3">
        <f>F89-G89</f>
        <v>150</v>
      </c>
      <c r="I89" s="73" t="s">
        <v>325</v>
      </c>
      <c r="J89" s="7">
        <v>150</v>
      </c>
      <c r="K89" s="8"/>
      <c r="L89" s="1"/>
      <c r="M89" s="7"/>
      <c r="N89" s="7"/>
      <c r="O89" s="7"/>
    </row>
    <row r="90" spans="1:15" x14ac:dyDescent="0.3">
      <c r="A90" s="15">
        <v>45339</v>
      </c>
      <c r="B90" s="5" t="s">
        <v>324</v>
      </c>
      <c r="C90" s="5" t="s">
        <v>1</v>
      </c>
      <c r="D90" s="4">
        <f>F90/1.21</f>
        <v>140.49586776859505</v>
      </c>
      <c r="E90" s="4">
        <f>D90*10/100</f>
        <v>14.049586776859506</v>
      </c>
      <c r="F90" s="24">
        <v>170</v>
      </c>
      <c r="G90" s="74">
        <v>50</v>
      </c>
      <c r="H90" s="3">
        <f>F90-G90</f>
        <v>120</v>
      </c>
      <c r="I90" s="22" t="s">
        <v>323</v>
      </c>
      <c r="J90" s="7">
        <v>170</v>
      </c>
      <c r="K90" s="8"/>
      <c r="L90" s="1"/>
      <c r="M90" s="7"/>
      <c r="N90" s="7"/>
      <c r="O90" s="7"/>
    </row>
    <row r="91" spans="1:15" x14ac:dyDescent="0.3">
      <c r="A91" s="15">
        <v>45339</v>
      </c>
      <c r="B91" s="5" t="s">
        <v>322</v>
      </c>
      <c r="C91" s="5" t="s">
        <v>1</v>
      </c>
      <c r="D91" s="4">
        <f>F91/1.21</f>
        <v>115.70247933884298</v>
      </c>
      <c r="E91" s="4">
        <f>D91*10/100</f>
        <v>11.570247933884298</v>
      </c>
      <c r="F91" s="24">
        <v>140</v>
      </c>
      <c r="G91" s="74">
        <v>50</v>
      </c>
      <c r="H91" s="3">
        <f>F91-G91</f>
        <v>90</v>
      </c>
      <c r="I91" s="22" t="s">
        <v>321</v>
      </c>
      <c r="J91" s="7">
        <v>140</v>
      </c>
      <c r="K91" s="8"/>
      <c r="L91" s="1"/>
      <c r="M91" s="7"/>
      <c r="N91" s="7"/>
      <c r="O91" s="7"/>
    </row>
    <row r="92" spans="1:15" x14ac:dyDescent="0.3">
      <c r="A92" s="15">
        <v>45339</v>
      </c>
      <c r="B92" s="5" t="s">
        <v>320</v>
      </c>
      <c r="C92" s="5" t="s">
        <v>1</v>
      </c>
      <c r="D92" s="4">
        <f>F92/1.21</f>
        <v>107.43801652892563</v>
      </c>
      <c r="E92" s="4">
        <f>D92*10/100</f>
        <v>10.743801652892563</v>
      </c>
      <c r="F92" s="24">
        <v>130</v>
      </c>
      <c r="G92" s="23"/>
      <c r="H92" s="3">
        <f>F92-G92</f>
        <v>130</v>
      </c>
      <c r="I92" s="73" t="s">
        <v>306</v>
      </c>
      <c r="J92" s="7">
        <v>130</v>
      </c>
      <c r="K92" s="8"/>
      <c r="L92" s="1"/>
      <c r="M92" s="7"/>
      <c r="N92" s="7"/>
      <c r="O92" s="7"/>
    </row>
    <row r="93" spans="1:15" x14ac:dyDescent="0.3">
      <c r="A93" s="15">
        <v>45339</v>
      </c>
      <c r="B93" s="5" t="s">
        <v>319</v>
      </c>
      <c r="C93" s="5" t="s">
        <v>1</v>
      </c>
      <c r="D93" s="4">
        <f>F93/1.21</f>
        <v>157.02479338842977</v>
      </c>
      <c r="E93" s="4">
        <f>D93*10/100</f>
        <v>15.702479338842977</v>
      </c>
      <c r="F93" s="24">
        <v>190</v>
      </c>
      <c r="G93" s="23">
        <v>50</v>
      </c>
      <c r="H93" s="3">
        <f>F93-G93</f>
        <v>140</v>
      </c>
      <c r="I93" s="22" t="s">
        <v>318</v>
      </c>
      <c r="J93" s="7">
        <v>170</v>
      </c>
      <c r="K93" s="8">
        <v>20</v>
      </c>
      <c r="L93" s="1" t="s">
        <v>7</v>
      </c>
      <c r="M93" s="7"/>
      <c r="N93" s="7"/>
      <c r="O93" s="7"/>
    </row>
    <row r="94" spans="1:15" x14ac:dyDescent="0.3">
      <c r="A94" s="15">
        <v>45339</v>
      </c>
      <c r="B94" s="5" t="s">
        <v>317</v>
      </c>
      <c r="C94" s="5" t="s">
        <v>1</v>
      </c>
      <c r="D94" s="4">
        <f>F94/1.21</f>
        <v>123.96694214876034</v>
      </c>
      <c r="E94" s="4">
        <f>D94*10/100</f>
        <v>12.396694214876034</v>
      </c>
      <c r="F94" s="24">
        <v>150</v>
      </c>
      <c r="G94" s="23"/>
      <c r="H94" s="3">
        <f>F94-G94</f>
        <v>150</v>
      </c>
      <c r="I94" s="73" t="s">
        <v>306</v>
      </c>
      <c r="J94" s="7">
        <v>150</v>
      </c>
      <c r="K94" s="8"/>
      <c r="L94" s="1"/>
      <c r="M94" s="7"/>
      <c r="N94" s="7"/>
      <c r="O94" s="7"/>
    </row>
    <row r="95" spans="1:15" x14ac:dyDescent="0.3">
      <c r="A95" s="15">
        <v>45339</v>
      </c>
      <c r="B95" s="5" t="s">
        <v>316</v>
      </c>
      <c r="C95" s="5" t="s">
        <v>1</v>
      </c>
      <c r="D95" s="4">
        <f>F95/1.21</f>
        <v>115.70247933884298</v>
      </c>
      <c r="E95" s="4">
        <f>D95*10/100</f>
        <v>11.570247933884298</v>
      </c>
      <c r="F95" s="24">
        <v>140</v>
      </c>
      <c r="G95" s="23"/>
      <c r="H95" s="3">
        <f>F95-G95</f>
        <v>140</v>
      </c>
      <c r="I95" s="72" t="s">
        <v>206</v>
      </c>
      <c r="J95" s="7">
        <v>140</v>
      </c>
      <c r="K95" s="8"/>
      <c r="L95" s="1"/>
      <c r="M95" s="7"/>
      <c r="N95" s="7"/>
      <c r="O95" s="7"/>
    </row>
    <row r="96" spans="1:15" x14ac:dyDescent="0.3">
      <c r="A96" s="15">
        <v>45339</v>
      </c>
      <c r="B96" s="5" t="s">
        <v>315</v>
      </c>
      <c r="C96" s="5" t="s">
        <v>1</v>
      </c>
      <c r="D96" s="4">
        <f>F96/1.21</f>
        <v>115.70247933884298</v>
      </c>
      <c r="E96" s="4">
        <f>D96*10/100</f>
        <v>11.570247933884298</v>
      </c>
      <c r="F96" s="24">
        <v>140</v>
      </c>
      <c r="G96" s="23"/>
      <c r="H96" s="3">
        <f>F96-G96</f>
        <v>140</v>
      </c>
      <c r="I96" s="72" t="s">
        <v>174</v>
      </c>
      <c r="J96" s="7">
        <v>140</v>
      </c>
      <c r="K96" s="8"/>
      <c r="L96" s="1"/>
      <c r="M96" s="7"/>
      <c r="N96" s="7"/>
      <c r="O96" s="7"/>
    </row>
    <row r="97" spans="1:15" x14ac:dyDescent="0.3">
      <c r="A97" s="15">
        <v>45339</v>
      </c>
      <c r="B97" s="5" t="s">
        <v>314</v>
      </c>
      <c r="C97" s="5" t="s">
        <v>1</v>
      </c>
      <c r="D97" s="4">
        <f>F97/1.21</f>
        <v>173.55371900826447</v>
      </c>
      <c r="E97" s="4">
        <f>D97*10/100</f>
        <v>17.355371900826448</v>
      </c>
      <c r="F97" s="21">
        <v>210</v>
      </c>
      <c r="G97" s="20">
        <v>50</v>
      </c>
      <c r="H97" s="3">
        <f>F97-G97</f>
        <v>160</v>
      </c>
      <c r="I97" s="19" t="s">
        <v>313</v>
      </c>
      <c r="J97" s="16">
        <v>170</v>
      </c>
      <c r="K97" s="18">
        <v>40</v>
      </c>
      <c r="L97" s="17" t="s">
        <v>7</v>
      </c>
      <c r="M97" s="16"/>
      <c r="N97" s="16"/>
      <c r="O97" s="16"/>
    </row>
    <row r="98" spans="1:15" x14ac:dyDescent="0.3">
      <c r="A98" s="15">
        <v>45339</v>
      </c>
      <c r="B98" s="5" t="s">
        <v>312</v>
      </c>
      <c r="C98" s="5" t="s">
        <v>1</v>
      </c>
      <c r="D98" s="4">
        <f>F98/1.21</f>
        <v>115.70247933884298</v>
      </c>
      <c r="E98" s="4">
        <f>D98*10/100</f>
        <v>11.570247933884298</v>
      </c>
      <c r="F98" s="2">
        <v>140</v>
      </c>
      <c r="G98" s="2"/>
      <c r="H98" s="3">
        <f>F98-G98</f>
        <v>140</v>
      </c>
      <c r="I98" s="68" t="s">
        <v>206</v>
      </c>
      <c r="J98" s="7">
        <v>140</v>
      </c>
      <c r="K98" s="8"/>
      <c r="L98" s="1"/>
      <c r="M98" s="7"/>
      <c r="N98" s="7"/>
      <c r="O98" s="7"/>
    </row>
    <row r="99" spans="1:15" x14ac:dyDescent="0.3">
      <c r="A99" s="15">
        <v>45339</v>
      </c>
      <c r="B99" s="5" t="s">
        <v>311</v>
      </c>
      <c r="C99" s="5" t="s">
        <v>1</v>
      </c>
      <c r="D99" s="4">
        <f>F99/1.21</f>
        <v>140.49586776859505</v>
      </c>
      <c r="E99" s="4">
        <f>D99*10/100</f>
        <v>14.049586776859506</v>
      </c>
      <c r="F99" s="2">
        <v>170</v>
      </c>
      <c r="G99" s="2">
        <v>50</v>
      </c>
      <c r="H99" s="3">
        <f>F99-G99</f>
        <v>120</v>
      </c>
      <c r="I99" s="9" t="s">
        <v>310</v>
      </c>
      <c r="J99" s="7">
        <v>170</v>
      </c>
      <c r="K99" s="8"/>
      <c r="L99" s="1"/>
      <c r="M99" s="7"/>
      <c r="N99" s="7"/>
      <c r="O99" s="7"/>
    </row>
    <row r="100" spans="1:15" x14ac:dyDescent="0.3">
      <c r="A100" s="11">
        <v>45339</v>
      </c>
      <c r="B100" s="5" t="s">
        <v>309</v>
      </c>
      <c r="C100" s="5" t="s">
        <v>1</v>
      </c>
      <c r="D100" s="4">
        <f>F100/1.21</f>
        <v>140.49586776859505</v>
      </c>
      <c r="E100" s="4">
        <f>D100*10/100</f>
        <v>14.049586776859506</v>
      </c>
      <c r="F100" s="10">
        <v>170</v>
      </c>
      <c r="G100" s="7">
        <v>50</v>
      </c>
      <c r="H100" s="3">
        <f>F100-G100</f>
        <v>120</v>
      </c>
      <c r="I100" s="9" t="s">
        <v>308</v>
      </c>
      <c r="J100" s="7">
        <v>170</v>
      </c>
      <c r="K100" s="8"/>
      <c r="L100" s="1"/>
      <c r="M100" s="7"/>
      <c r="N100" s="7"/>
      <c r="O100" s="7"/>
    </row>
    <row r="101" spans="1:15" x14ac:dyDescent="0.3">
      <c r="A101" s="11">
        <v>45339</v>
      </c>
      <c r="B101" s="5" t="s">
        <v>307</v>
      </c>
      <c r="C101" s="5" t="s">
        <v>1</v>
      </c>
      <c r="D101" s="4">
        <f>F101/1.21</f>
        <v>123.96694214876034</v>
      </c>
      <c r="E101" s="4">
        <f>D101*10/100</f>
        <v>12.396694214876034</v>
      </c>
      <c r="F101" s="10">
        <v>150</v>
      </c>
      <c r="G101" s="7"/>
      <c r="H101" s="3">
        <f>F101-G101</f>
        <v>150</v>
      </c>
      <c r="I101" s="71" t="s">
        <v>306</v>
      </c>
      <c r="J101" s="7">
        <v>150</v>
      </c>
      <c r="K101" s="8"/>
      <c r="L101" s="1"/>
      <c r="M101" s="7"/>
      <c r="N101" s="7"/>
      <c r="O101" s="7"/>
    </row>
    <row r="102" spans="1:15" x14ac:dyDescent="0.3">
      <c r="A102" s="11">
        <v>45339</v>
      </c>
      <c r="B102" s="5" t="s">
        <v>305</v>
      </c>
      <c r="C102" s="5" t="s">
        <v>1</v>
      </c>
      <c r="D102" s="4">
        <f>F102/1.21</f>
        <v>297.52066115702479</v>
      </c>
      <c r="E102" s="4">
        <f>D102*10/100</f>
        <v>29.752066115702476</v>
      </c>
      <c r="F102" s="10">
        <v>360</v>
      </c>
      <c r="G102" s="7"/>
      <c r="H102" s="3">
        <f>F102-G102</f>
        <v>360</v>
      </c>
      <c r="I102" s="69" t="s">
        <v>304</v>
      </c>
      <c r="J102" s="7">
        <v>360</v>
      </c>
      <c r="K102" s="8"/>
      <c r="L102" s="1"/>
      <c r="M102" s="7"/>
      <c r="N102" s="13"/>
      <c r="O102" s="7"/>
    </row>
    <row r="103" spans="1:15" x14ac:dyDescent="0.3">
      <c r="A103" s="11">
        <v>45339</v>
      </c>
      <c r="B103" s="5" t="s">
        <v>303</v>
      </c>
      <c r="C103" s="5" t="s">
        <v>1</v>
      </c>
      <c r="D103" s="4">
        <f>F103/1.21</f>
        <v>132.2314049586777</v>
      </c>
      <c r="E103" s="4">
        <f>D103*10/100</f>
        <v>13.223140495867769</v>
      </c>
      <c r="F103" s="10">
        <v>160</v>
      </c>
      <c r="G103" s="7">
        <v>50</v>
      </c>
      <c r="H103" s="3">
        <f>F103-G103</f>
        <v>110</v>
      </c>
      <c r="I103" s="9" t="s">
        <v>302</v>
      </c>
      <c r="J103" s="7">
        <v>160</v>
      </c>
      <c r="K103" s="8"/>
      <c r="L103" s="1"/>
      <c r="M103" s="7"/>
      <c r="N103" s="7"/>
      <c r="O103" s="7"/>
    </row>
    <row r="104" spans="1:15" x14ac:dyDescent="0.3">
      <c r="A104" s="11">
        <v>45339</v>
      </c>
      <c r="B104" s="5" t="s">
        <v>301</v>
      </c>
      <c r="C104" s="5" t="s">
        <v>1</v>
      </c>
      <c r="D104" s="4">
        <f>F104/1.21</f>
        <v>363.63636363636363</v>
      </c>
      <c r="E104" s="4">
        <f>D104*10/100</f>
        <v>36.36363636363636</v>
      </c>
      <c r="F104" s="10">
        <v>440</v>
      </c>
      <c r="G104" s="7">
        <v>100</v>
      </c>
      <c r="H104" s="3">
        <f>F104-G104</f>
        <v>340</v>
      </c>
      <c r="I104" s="9" t="s">
        <v>300</v>
      </c>
      <c r="J104" s="7">
        <v>390</v>
      </c>
      <c r="K104" s="8"/>
      <c r="L104" s="1"/>
      <c r="M104" s="7"/>
      <c r="N104" s="7"/>
      <c r="O104" s="7"/>
    </row>
    <row r="105" spans="1:15" x14ac:dyDescent="0.3">
      <c r="A105" s="11">
        <v>45339</v>
      </c>
      <c r="B105" s="5" t="s">
        <v>299</v>
      </c>
      <c r="C105" s="5" t="s">
        <v>1</v>
      </c>
      <c r="D105" s="4">
        <f>F105/1.21</f>
        <v>219.00826446280993</v>
      </c>
      <c r="E105" s="4">
        <f>D105*10/100</f>
        <v>21.900826446280995</v>
      </c>
      <c r="F105" s="10">
        <v>265</v>
      </c>
      <c r="G105" s="7">
        <v>50</v>
      </c>
      <c r="H105" s="3">
        <f>F105-G105</f>
        <v>215</v>
      </c>
      <c r="I105" s="9" t="s">
        <v>298</v>
      </c>
      <c r="J105" s="7">
        <v>220</v>
      </c>
      <c r="K105" s="8">
        <v>45</v>
      </c>
      <c r="L105" s="1" t="s">
        <v>14</v>
      </c>
      <c r="M105" s="7"/>
      <c r="N105" s="7"/>
      <c r="O105" s="7"/>
    </row>
    <row r="106" spans="1:15" x14ac:dyDescent="0.3">
      <c r="A106" s="11">
        <v>45339</v>
      </c>
      <c r="B106" s="5" t="s">
        <v>297</v>
      </c>
      <c r="C106" s="5" t="s">
        <v>1</v>
      </c>
      <c r="D106" s="4">
        <f>F106/1.21</f>
        <v>181.81818181818181</v>
      </c>
      <c r="E106" s="4">
        <f>D106*10/100</f>
        <v>18.18181818181818</v>
      </c>
      <c r="F106" s="10">
        <v>220</v>
      </c>
      <c r="G106" s="7">
        <v>50</v>
      </c>
      <c r="H106" s="3">
        <f>F106-G106</f>
        <v>170</v>
      </c>
      <c r="I106" s="9" t="s">
        <v>296</v>
      </c>
      <c r="J106" s="7">
        <v>220</v>
      </c>
      <c r="K106" s="8"/>
      <c r="L106" s="1"/>
      <c r="M106" s="7"/>
      <c r="N106" s="7"/>
      <c r="O106" s="7"/>
    </row>
    <row r="107" spans="1:15" x14ac:dyDescent="0.3">
      <c r="A107" s="11">
        <v>45339</v>
      </c>
      <c r="B107" s="5" t="s">
        <v>295</v>
      </c>
      <c r="C107" s="5" t="s">
        <v>1</v>
      </c>
      <c r="D107" s="4">
        <f>F107/1.21</f>
        <v>206.61157024793388</v>
      </c>
      <c r="E107" s="4">
        <f>D107*10/100</f>
        <v>20.661157024793386</v>
      </c>
      <c r="F107" s="10">
        <v>250</v>
      </c>
      <c r="G107" s="7">
        <v>50</v>
      </c>
      <c r="H107" s="3">
        <f>F107-G107</f>
        <v>200</v>
      </c>
      <c r="I107" s="9" t="s">
        <v>294</v>
      </c>
      <c r="J107" s="7">
        <v>220</v>
      </c>
      <c r="K107" s="8">
        <v>30</v>
      </c>
      <c r="L107" s="1" t="s">
        <v>7</v>
      </c>
      <c r="M107" s="7"/>
      <c r="N107" s="7"/>
      <c r="O107" s="7"/>
    </row>
    <row r="108" spans="1:15" x14ac:dyDescent="0.3">
      <c r="A108" s="12">
        <v>45339</v>
      </c>
      <c r="B108" s="5" t="s">
        <v>293</v>
      </c>
      <c r="C108" s="5" t="s">
        <v>1</v>
      </c>
      <c r="D108" s="4">
        <f>F108/1.21</f>
        <v>181.81818181818181</v>
      </c>
      <c r="E108" s="4">
        <f>D108*10/100</f>
        <v>18.18181818181818</v>
      </c>
      <c r="F108" s="10">
        <v>220</v>
      </c>
      <c r="G108" s="7">
        <v>50</v>
      </c>
      <c r="H108" s="3">
        <f>F108-G108</f>
        <v>170</v>
      </c>
      <c r="I108" s="9" t="s">
        <v>292</v>
      </c>
      <c r="J108" s="7">
        <v>220</v>
      </c>
      <c r="K108" s="8"/>
      <c r="L108" s="1"/>
      <c r="M108" s="7"/>
      <c r="N108" s="7"/>
      <c r="O108" s="7"/>
    </row>
    <row r="109" spans="1:15" x14ac:dyDescent="0.3">
      <c r="A109" s="11">
        <v>45339</v>
      </c>
      <c r="B109" s="5" t="s">
        <v>291</v>
      </c>
      <c r="C109" s="5" t="s">
        <v>1</v>
      </c>
      <c r="D109" s="4">
        <f>F109/1.21</f>
        <v>363.63636363636363</v>
      </c>
      <c r="E109" s="4">
        <f>D109*10/100</f>
        <v>36.36363636363636</v>
      </c>
      <c r="F109" s="10">
        <v>440</v>
      </c>
      <c r="G109" s="7">
        <v>100</v>
      </c>
      <c r="H109" s="3">
        <f>F109-G109</f>
        <v>340</v>
      </c>
      <c r="I109" s="9" t="s">
        <v>290</v>
      </c>
      <c r="J109" s="7">
        <v>440</v>
      </c>
      <c r="K109" s="8"/>
      <c r="L109" s="1"/>
      <c r="M109" s="7"/>
      <c r="N109" s="7"/>
      <c r="O109" s="7"/>
    </row>
    <row r="110" spans="1:15" x14ac:dyDescent="0.3">
      <c r="A110" s="11">
        <v>45340</v>
      </c>
      <c r="B110" s="5" t="s">
        <v>289</v>
      </c>
      <c r="C110" s="5" t="s">
        <v>1</v>
      </c>
      <c r="D110" s="4">
        <f>F110/1.21</f>
        <v>219.00826446280993</v>
      </c>
      <c r="E110" s="4">
        <f>D110*10/100</f>
        <v>21.900826446280995</v>
      </c>
      <c r="F110" s="10">
        <v>265</v>
      </c>
      <c r="G110" s="7">
        <v>50</v>
      </c>
      <c r="H110" s="3">
        <f>F110-G110</f>
        <v>215</v>
      </c>
      <c r="I110" s="9" t="s">
        <v>288</v>
      </c>
      <c r="J110" s="7">
        <v>220</v>
      </c>
      <c r="K110" s="8">
        <v>45</v>
      </c>
      <c r="L110" s="1" t="s">
        <v>14</v>
      </c>
      <c r="M110" s="7"/>
      <c r="N110" s="7"/>
      <c r="O110" s="7"/>
    </row>
    <row r="111" spans="1:15" x14ac:dyDescent="0.3">
      <c r="A111" s="11">
        <v>45340</v>
      </c>
      <c r="B111" s="5" t="s">
        <v>287</v>
      </c>
      <c r="C111" s="5" t="s">
        <v>1</v>
      </c>
      <c r="D111" s="4">
        <f>F111/1.21</f>
        <v>219.00826446280993</v>
      </c>
      <c r="E111" s="4">
        <f>D111*10/100</f>
        <v>21.900826446280995</v>
      </c>
      <c r="F111" s="10">
        <v>265</v>
      </c>
      <c r="G111" s="7">
        <v>265</v>
      </c>
      <c r="H111" s="3">
        <f>F111-G111</f>
        <v>0</v>
      </c>
      <c r="I111" s="9" t="s">
        <v>286</v>
      </c>
      <c r="J111" s="7">
        <v>220</v>
      </c>
      <c r="K111" s="8">
        <v>45</v>
      </c>
      <c r="L111" s="1" t="s">
        <v>285</v>
      </c>
      <c r="M111" s="7"/>
      <c r="N111" s="7"/>
      <c r="O111" s="7"/>
    </row>
    <row r="112" spans="1:15" x14ac:dyDescent="0.3">
      <c r="A112" s="11">
        <v>45341</v>
      </c>
      <c r="B112" s="5" t="s">
        <v>284</v>
      </c>
      <c r="C112" s="5" t="s">
        <v>1</v>
      </c>
      <c r="D112" s="4">
        <f>F112/1.21</f>
        <v>148.7603305785124</v>
      </c>
      <c r="E112" s="4">
        <f>D112*10/100</f>
        <v>14.876033057851238</v>
      </c>
      <c r="F112" s="10">
        <v>180</v>
      </c>
      <c r="G112" s="7"/>
      <c r="H112" s="3">
        <f>F112-G112</f>
        <v>180</v>
      </c>
      <c r="I112" s="68" t="s">
        <v>206</v>
      </c>
      <c r="J112" s="7">
        <v>180</v>
      </c>
      <c r="K112" s="8"/>
      <c r="L112" s="1"/>
      <c r="M112" s="7"/>
      <c r="N112" s="7"/>
      <c r="O112" s="7"/>
    </row>
    <row r="113" spans="1:15" x14ac:dyDescent="0.3">
      <c r="A113" s="11">
        <v>45342</v>
      </c>
      <c r="B113" s="5" t="s">
        <v>283</v>
      </c>
      <c r="C113" s="5" t="s">
        <v>1</v>
      </c>
      <c r="D113" s="4">
        <f>F113/1.21</f>
        <v>644.62809917355378</v>
      </c>
      <c r="E113" s="4">
        <f>D113*10/100</f>
        <v>64.462809917355386</v>
      </c>
      <c r="F113" s="10">
        <v>780</v>
      </c>
      <c r="G113" s="7">
        <v>300</v>
      </c>
      <c r="H113" s="3">
        <f>F113-G113</f>
        <v>480</v>
      </c>
      <c r="I113" s="70" t="s">
        <v>282</v>
      </c>
      <c r="J113" s="7">
        <v>570</v>
      </c>
      <c r="K113" s="8">
        <v>210</v>
      </c>
      <c r="L113" s="1" t="s">
        <v>7</v>
      </c>
      <c r="M113" s="7"/>
      <c r="N113" s="7"/>
      <c r="O113" s="7"/>
    </row>
    <row r="114" spans="1:15" x14ac:dyDescent="0.3">
      <c r="A114" s="11">
        <v>45342</v>
      </c>
      <c r="B114" s="5" t="s">
        <v>281</v>
      </c>
      <c r="C114" s="5" t="s">
        <v>1</v>
      </c>
      <c r="D114" s="4">
        <f>F114/1.21</f>
        <v>239.6694214876033</v>
      </c>
      <c r="E114" s="4">
        <f>D114*10/100</f>
        <v>23.966942148760332</v>
      </c>
      <c r="F114" s="10">
        <v>290</v>
      </c>
      <c r="G114" s="7">
        <v>50</v>
      </c>
      <c r="H114" s="3">
        <f>F114-G114</f>
        <v>240</v>
      </c>
      <c r="I114" s="9" t="s">
        <v>280</v>
      </c>
      <c r="J114" s="7">
        <v>270</v>
      </c>
      <c r="K114" s="8">
        <v>20</v>
      </c>
      <c r="L114" s="1" t="s">
        <v>7</v>
      </c>
      <c r="M114" s="7"/>
      <c r="N114" s="7"/>
      <c r="O114" s="7"/>
    </row>
    <row r="115" spans="1:15" x14ac:dyDescent="0.3">
      <c r="A115" s="11">
        <v>45343</v>
      </c>
      <c r="B115" s="5" t="s">
        <v>279</v>
      </c>
      <c r="C115" s="5" t="s">
        <v>1</v>
      </c>
      <c r="D115" s="4">
        <f>F115/1.21</f>
        <v>148.7603305785124</v>
      </c>
      <c r="E115" s="4">
        <f>D115*10/100</f>
        <v>14.876033057851238</v>
      </c>
      <c r="F115" s="10">
        <v>180</v>
      </c>
      <c r="G115" s="7"/>
      <c r="H115" s="3">
        <f>F115-G115</f>
        <v>180</v>
      </c>
      <c r="I115" s="68" t="s">
        <v>206</v>
      </c>
      <c r="J115" s="7">
        <v>180</v>
      </c>
      <c r="K115" s="8"/>
      <c r="L115" s="1"/>
      <c r="M115" s="7"/>
      <c r="N115" s="7"/>
      <c r="O115" s="7"/>
    </row>
    <row r="116" spans="1:15" x14ac:dyDescent="0.3">
      <c r="A116" s="11">
        <v>45344</v>
      </c>
      <c r="B116" s="5" t="s">
        <v>278</v>
      </c>
      <c r="C116" s="5" t="s">
        <v>1</v>
      </c>
      <c r="D116" s="4">
        <f>F116/1.21</f>
        <v>198.34710743801654</v>
      </c>
      <c r="E116" s="4">
        <f>D116*10/100</f>
        <v>19.834710743801654</v>
      </c>
      <c r="F116" s="10">
        <v>240</v>
      </c>
      <c r="G116" s="7">
        <v>50</v>
      </c>
      <c r="H116" s="3">
        <f>F116-G116</f>
        <v>190</v>
      </c>
      <c r="I116" s="9" t="s">
        <v>277</v>
      </c>
      <c r="J116" s="7">
        <v>220</v>
      </c>
      <c r="K116" s="8">
        <v>20</v>
      </c>
      <c r="L116" s="1" t="s">
        <v>7</v>
      </c>
      <c r="M116" s="7"/>
      <c r="N116" s="7"/>
      <c r="O116" s="7"/>
    </row>
    <row r="117" spans="1:15" x14ac:dyDescent="0.3">
      <c r="A117" s="11">
        <v>45344</v>
      </c>
      <c r="B117" s="5" t="s">
        <v>276</v>
      </c>
      <c r="C117" s="5" t="s">
        <v>1</v>
      </c>
      <c r="D117" s="4">
        <f>F117/1.21</f>
        <v>140.49586776859505</v>
      </c>
      <c r="E117" s="4">
        <f>D117*10/100</f>
        <v>14.049586776859506</v>
      </c>
      <c r="F117" s="10">
        <v>170</v>
      </c>
      <c r="G117" s="7">
        <v>50</v>
      </c>
      <c r="H117" s="3">
        <f>F117-G117</f>
        <v>120</v>
      </c>
      <c r="I117" s="9" t="s">
        <v>275</v>
      </c>
      <c r="J117" s="7">
        <v>170</v>
      </c>
      <c r="K117" s="8"/>
      <c r="L117" s="1"/>
      <c r="M117" s="7"/>
      <c r="N117" s="7"/>
      <c r="O117" s="7"/>
    </row>
    <row r="118" spans="1:15" x14ac:dyDescent="0.3">
      <c r="A118" s="11">
        <v>45344</v>
      </c>
      <c r="B118" s="5" t="s">
        <v>274</v>
      </c>
      <c r="C118" s="5" t="s">
        <v>1</v>
      </c>
      <c r="D118" s="4">
        <f>F118/1.21</f>
        <v>132.2314049586777</v>
      </c>
      <c r="E118" s="4">
        <f>D118*10/100</f>
        <v>13.223140495867769</v>
      </c>
      <c r="F118" s="10">
        <v>160</v>
      </c>
      <c r="G118" s="7"/>
      <c r="H118" s="3">
        <f>F118-G118</f>
        <v>160</v>
      </c>
      <c r="I118" s="69" t="s">
        <v>273</v>
      </c>
      <c r="J118" s="7">
        <v>160</v>
      </c>
      <c r="K118" s="8"/>
      <c r="L118" s="1"/>
      <c r="M118" s="7"/>
      <c r="N118" s="7"/>
      <c r="O118" s="7"/>
    </row>
    <row r="119" spans="1:15" x14ac:dyDescent="0.3">
      <c r="A119" s="65">
        <v>45345</v>
      </c>
      <c r="B119" s="5" t="s">
        <v>272</v>
      </c>
      <c r="C119" s="5" t="s">
        <v>1</v>
      </c>
      <c r="D119" s="4">
        <f>F119/1.21</f>
        <v>140.49586776859505</v>
      </c>
      <c r="E119" s="4">
        <f>D119*10/100</f>
        <v>14.049586776859506</v>
      </c>
      <c r="F119" s="10">
        <v>170</v>
      </c>
      <c r="G119" s="7">
        <v>170</v>
      </c>
      <c r="H119" s="3">
        <f>F119-G119</f>
        <v>0</v>
      </c>
      <c r="I119" s="9" t="s">
        <v>271</v>
      </c>
      <c r="J119" s="63">
        <v>170</v>
      </c>
      <c r="K119" s="8"/>
      <c r="L119" s="1"/>
      <c r="M119" s="7"/>
      <c r="N119" s="7"/>
      <c r="O119" s="7"/>
    </row>
    <row r="120" spans="1:15" x14ac:dyDescent="0.3">
      <c r="A120" s="65">
        <v>45345</v>
      </c>
      <c r="B120" s="5" t="s">
        <v>270</v>
      </c>
      <c r="C120" s="5" t="s">
        <v>1</v>
      </c>
      <c r="D120" s="4">
        <f>F120/1.21</f>
        <v>223.14049586776861</v>
      </c>
      <c r="E120" s="4">
        <f>D120*10/100</f>
        <v>22.314049586776861</v>
      </c>
      <c r="F120" s="10">
        <v>270</v>
      </c>
      <c r="G120" s="7">
        <v>50</v>
      </c>
      <c r="H120" s="3">
        <f>F120-G120</f>
        <v>220</v>
      </c>
      <c r="I120" s="9" t="s">
        <v>269</v>
      </c>
      <c r="J120" s="63">
        <v>270</v>
      </c>
      <c r="K120" s="8"/>
      <c r="L120" s="1"/>
      <c r="M120" s="7"/>
      <c r="N120" s="7"/>
      <c r="O120" s="7"/>
    </row>
    <row r="121" spans="1:15" x14ac:dyDescent="0.3">
      <c r="A121" s="65">
        <v>45345</v>
      </c>
      <c r="B121" s="5" t="s">
        <v>268</v>
      </c>
      <c r="C121" s="5" t="s">
        <v>1</v>
      </c>
      <c r="D121" s="4">
        <f>F121/1.21</f>
        <v>148.7603305785124</v>
      </c>
      <c r="E121" s="4">
        <f>D121*10/100</f>
        <v>14.876033057851238</v>
      </c>
      <c r="F121" s="10">
        <v>180</v>
      </c>
      <c r="G121" s="7"/>
      <c r="H121" s="3">
        <f>F121-G121</f>
        <v>180</v>
      </c>
      <c r="I121" s="68" t="s">
        <v>174</v>
      </c>
      <c r="J121" s="63">
        <v>180</v>
      </c>
      <c r="K121" s="8"/>
      <c r="L121" s="1"/>
      <c r="M121" s="7"/>
      <c r="N121" s="7"/>
      <c r="O121" s="7"/>
    </row>
    <row r="122" spans="1:15" x14ac:dyDescent="0.3">
      <c r="A122" s="65">
        <v>45345</v>
      </c>
      <c r="B122" s="5" t="s">
        <v>267</v>
      </c>
      <c r="C122" s="5" t="s">
        <v>1</v>
      </c>
      <c r="D122" s="4">
        <f>F122/1.21</f>
        <v>140.49586776859505</v>
      </c>
      <c r="E122" s="4">
        <f>D122*10/100</f>
        <v>14.049586776859506</v>
      </c>
      <c r="F122" s="10">
        <v>170</v>
      </c>
      <c r="G122" s="7">
        <v>50</v>
      </c>
      <c r="H122" s="3">
        <f>F122-G122</f>
        <v>120</v>
      </c>
      <c r="I122" s="9" t="s">
        <v>266</v>
      </c>
      <c r="J122" s="63">
        <v>170</v>
      </c>
      <c r="K122" s="8"/>
      <c r="L122" s="1"/>
      <c r="M122" s="7"/>
      <c r="N122" s="7"/>
      <c r="O122" s="7"/>
    </row>
    <row r="123" spans="1:15" x14ac:dyDescent="0.3">
      <c r="A123" s="67">
        <v>45345</v>
      </c>
      <c r="B123" s="5" t="s">
        <v>265</v>
      </c>
      <c r="C123" s="5" t="s">
        <v>1</v>
      </c>
      <c r="D123" s="4">
        <f>F123/1.21</f>
        <v>140.49586776859505</v>
      </c>
      <c r="E123" s="4">
        <f>D123*10/100</f>
        <v>14.049586776859506</v>
      </c>
      <c r="F123" s="10">
        <v>170</v>
      </c>
      <c r="G123" s="7">
        <v>50</v>
      </c>
      <c r="H123" s="3">
        <f>F123-G123</f>
        <v>120</v>
      </c>
      <c r="I123" s="9" t="s">
        <v>264</v>
      </c>
      <c r="J123" s="63">
        <v>170</v>
      </c>
      <c r="K123" s="8"/>
      <c r="L123" s="1"/>
      <c r="M123" s="7"/>
      <c r="N123" s="7"/>
      <c r="O123" s="7"/>
    </row>
    <row r="124" spans="1:15" x14ac:dyDescent="0.3">
      <c r="A124" s="65">
        <v>45345</v>
      </c>
      <c r="B124" s="5" t="s">
        <v>263</v>
      </c>
      <c r="C124" s="5" t="s">
        <v>1</v>
      </c>
      <c r="D124" s="4">
        <f>F124/1.21</f>
        <v>157.02479338842977</v>
      </c>
      <c r="E124" s="4">
        <f>D124*10/100</f>
        <v>15.702479338842977</v>
      </c>
      <c r="F124" s="10">
        <v>190</v>
      </c>
      <c r="G124" s="7"/>
      <c r="H124" s="3">
        <f>F124-G124</f>
        <v>190</v>
      </c>
      <c r="I124" s="66" t="s">
        <v>262</v>
      </c>
      <c r="J124" s="63">
        <v>190</v>
      </c>
      <c r="K124" s="8"/>
      <c r="L124" s="1"/>
      <c r="M124" s="7"/>
      <c r="N124" s="7"/>
      <c r="O124" s="7"/>
    </row>
    <row r="125" spans="1:15" x14ac:dyDescent="0.3">
      <c r="A125" s="65">
        <v>45345</v>
      </c>
      <c r="B125" s="5" t="s">
        <v>261</v>
      </c>
      <c r="C125" s="5" t="s">
        <v>1</v>
      </c>
      <c r="D125" s="4">
        <f>F125/1.21</f>
        <v>157.02479338842977</v>
      </c>
      <c r="E125" s="4">
        <f>D125*10/100</f>
        <v>15.702479338842977</v>
      </c>
      <c r="F125" s="10">
        <v>190</v>
      </c>
      <c r="G125" s="7"/>
      <c r="H125" s="3">
        <f>F125-G125</f>
        <v>190</v>
      </c>
      <c r="I125" s="64" t="s">
        <v>260</v>
      </c>
      <c r="J125" s="63">
        <v>190</v>
      </c>
      <c r="K125" s="8"/>
      <c r="L125" s="1"/>
      <c r="M125" s="7"/>
      <c r="N125" s="7"/>
      <c r="O125" s="7"/>
    </row>
    <row r="126" spans="1:15" x14ac:dyDescent="0.3">
      <c r="A126" s="61">
        <v>45346</v>
      </c>
      <c r="B126" s="5" t="s">
        <v>259</v>
      </c>
      <c r="C126" s="5" t="s">
        <v>1</v>
      </c>
      <c r="D126" s="4">
        <f>F126/1.21</f>
        <v>181.81818181818181</v>
      </c>
      <c r="E126" s="4">
        <f>D126*10/100</f>
        <v>18.18181818181818</v>
      </c>
      <c r="F126" s="10">
        <v>220</v>
      </c>
      <c r="G126" s="7">
        <v>50</v>
      </c>
      <c r="H126" s="3">
        <f>F126-G126</f>
        <v>170</v>
      </c>
      <c r="I126" s="9" t="s">
        <v>258</v>
      </c>
      <c r="J126" s="63">
        <v>220</v>
      </c>
      <c r="K126" s="8"/>
      <c r="L126" s="1"/>
      <c r="M126" s="7"/>
      <c r="N126" s="7"/>
      <c r="O126" s="7"/>
    </row>
    <row r="127" spans="1:15" x14ac:dyDescent="0.3">
      <c r="A127" s="59">
        <v>45346</v>
      </c>
      <c r="B127" s="5" t="s">
        <v>257</v>
      </c>
      <c r="C127" s="5" t="s">
        <v>1</v>
      </c>
      <c r="D127" s="4">
        <f>F127/1.21</f>
        <v>219.00826446280993</v>
      </c>
      <c r="E127" s="4">
        <f>D127*10/100</f>
        <v>21.900826446280995</v>
      </c>
      <c r="F127" s="2">
        <v>265</v>
      </c>
      <c r="G127" s="2">
        <v>50</v>
      </c>
      <c r="H127" s="3">
        <f>F127-G127</f>
        <v>215</v>
      </c>
      <c r="I127" s="1" t="s">
        <v>256</v>
      </c>
      <c r="J127" s="58">
        <v>220</v>
      </c>
      <c r="K127" s="2">
        <v>45</v>
      </c>
      <c r="L127" s="1" t="s">
        <v>14</v>
      </c>
      <c r="M127" s="1"/>
      <c r="N127" s="1"/>
      <c r="O127" s="1"/>
    </row>
    <row r="128" spans="1:15" x14ac:dyDescent="0.3">
      <c r="A128" s="61">
        <v>45346</v>
      </c>
      <c r="B128" s="5" t="s">
        <v>255</v>
      </c>
      <c r="C128" s="5" t="s">
        <v>1</v>
      </c>
      <c r="D128" s="4">
        <f>F128/1.21</f>
        <v>214.87603305785126</v>
      </c>
      <c r="E128" s="4">
        <f>D128*10/100</f>
        <v>21.487603305785125</v>
      </c>
      <c r="F128" s="2">
        <v>260</v>
      </c>
      <c r="G128" s="2">
        <v>50</v>
      </c>
      <c r="H128" s="3">
        <f>F128-G128</f>
        <v>210</v>
      </c>
      <c r="I128" s="1" t="s">
        <v>254</v>
      </c>
      <c r="J128" s="58">
        <v>220</v>
      </c>
      <c r="K128" s="2">
        <v>40</v>
      </c>
      <c r="L128" s="1" t="s">
        <v>7</v>
      </c>
      <c r="M128" s="1"/>
      <c r="N128" s="1"/>
      <c r="O128" s="1"/>
    </row>
    <row r="129" spans="1:15" x14ac:dyDescent="0.3">
      <c r="A129" s="59">
        <v>45346</v>
      </c>
      <c r="B129" s="5" t="s">
        <v>253</v>
      </c>
      <c r="C129" s="5" t="s">
        <v>1</v>
      </c>
      <c r="D129" s="4">
        <f>F129/1.21</f>
        <v>181.81818181818181</v>
      </c>
      <c r="E129" s="4">
        <f>D129*10/100</f>
        <v>18.18181818181818</v>
      </c>
      <c r="F129" s="2">
        <v>220</v>
      </c>
      <c r="G129" s="2">
        <v>50</v>
      </c>
      <c r="H129" s="3">
        <f>F129-G129</f>
        <v>170</v>
      </c>
      <c r="I129" s="1" t="s">
        <v>252</v>
      </c>
      <c r="J129" s="58">
        <v>220</v>
      </c>
      <c r="K129" s="2"/>
      <c r="L129" s="1"/>
      <c r="M129" s="1"/>
      <c r="N129" s="1"/>
      <c r="O129" s="1"/>
    </row>
    <row r="130" spans="1:15" x14ac:dyDescent="0.3">
      <c r="A130" s="61">
        <v>45346</v>
      </c>
      <c r="B130" s="5" t="s">
        <v>251</v>
      </c>
      <c r="C130" s="5" t="s">
        <v>1</v>
      </c>
      <c r="D130" s="4">
        <f>F130/1.21</f>
        <v>326.44628099173553</v>
      </c>
      <c r="E130" s="4">
        <f>D130*10/100</f>
        <v>32.644628099173552</v>
      </c>
      <c r="F130" s="2">
        <v>395</v>
      </c>
      <c r="G130" s="2">
        <v>50</v>
      </c>
      <c r="H130" s="3">
        <f>F130-G130</f>
        <v>345</v>
      </c>
      <c r="I130" s="1" t="s">
        <v>250</v>
      </c>
      <c r="J130" s="58">
        <v>220</v>
      </c>
      <c r="K130" s="2">
        <v>175</v>
      </c>
      <c r="L130" s="1" t="s">
        <v>238</v>
      </c>
      <c r="M130" s="1"/>
      <c r="N130" s="1"/>
      <c r="O130" s="1"/>
    </row>
    <row r="131" spans="1:15" x14ac:dyDescent="0.3">
      <c r="A131" s="59">
        <v>45346</v>
      </c>
      <c r="B131" s="5" t="s">
        <v>249</v>
      </c>
      <c r="C131" s="5" t="s">
        <v>1</v>
      </c>
      <c r="D131" s="4">
        <f>F131/1.21</f>
        <v>181.81818181818181</v>
      </c>
      <c r="E131" s="4">
        <f>D131*10/100</f>
        <v>18.18181818181818</v>
      </c>
      <c r="F131" s="2">
        <v>220</v>
      </c>
      <c r="G131" s="2">
        <v>50</v>
      </c>
      <c r="H131" s="3">
        <f>F131-G131</f>
        <v>170</v>
      </c>
      <c r="I131" s="1" t="s">
        <v>248</v>
      </c>
      <c r="J131" s="60">
        <v>220</v>
      </c>
      <c r="K131" s="2"/>
      <c r="L131" s="1"/>
      <c r="M131" s="1"/>
      <c r="N131" s="1"/>
      <c r="O131" s="1"/>
    </row>
    <row r="132" spans="1:15" x14ac:dyDescent="0.3">
      <c r="A132" s="61">
        <v>45346</v>
      </c>
      <c r="B132" s="5" t="s">
        <v>247</v>
      </c>
      <c r="C132" s="5" t="s">
        <v>1</v>
      </c>
      <c r="D132" s="4">
        <f>F132/1.21</f>
        <v>99.173553719008268</v>
      </c>
      <c r="E132" s="4">
        <f>D132*10/100</f>
        <v>9.9173553719008272</v>
      </c>
      <c r="F132" s="2">
        <v>120</v>
      </c>
      <c r="G132" s="2"/>
      <c r="H132" s="3">
        <f>F132-G132</f>
        <v>120</v>
      </c>
      <c r="I132" s="1" t="s">
        <v>10</v>
      </c>
      <c r="J132" s="60">
        <v>120</v>
      </c>
      <c r="K132" s="2"/>
      <c r="L132" s="1"/>
      <c r="M132" s="1"/>
      <c r="N132" s="1"/>
      <c r="O132" s="1"/>
    </row>
    <row r="133" spans="1:15" x14ac:dyDescent="0.3">
      <c r="A133" s="59">
        <v>45346</v>
      </c>
      <c r="B133" s="5" t="s">
        <v>246</v>
      </c>
      <c r="C133" s="5" t="s">
        <v>1</v>
      </c>
      <c r="D133" s="4">
        <f>F133/1.21</f>
        <v>140.49586776859505</v>
      </c>
      <c r="E133" s="4">
        <f>D133*10/100</f>
        <v>14.049586776859506</v>
      </c>
      <c r="F133" s="2">
        <v>170</v>
      </c>
      <c r="G133" s="2">
        <v>50</v>
      </c>
      <c r="H133" s="3">
        <f>F133-G133</f>
        <v>120</v>
      </c>
      <c r="I133" s="1" t="s">
        <v>245</v>
      </c>
      <c r="J133" s="58">
        <v>170</v>
      </c>
      <c r="K133" s="2"/>
      <c r="L133" s="1"/>
      <c r="M133" s="1"/>
      <c r="N133" s="1"/>
      <c r="O133" s="1"/>
    </row>
    <row r="134" spans="1:15" x14ac:dyDescent="0.3">
      <c r="A134" s="61">
        <v>45346</v>
      </c>
      <c r="B134" s="5" t="s">
        <v>244</v>
      </c>
      <c r="C134" s="5" t="s">
        <v>1</v>
      </c>
      <c r="D134" s="4">
        <f>F134/1.21</f>
        <v>140.49586776859505</v>
      </c>
      <c r="E134" s="4">
        <f>D134*10/100</f>
        <v>14.049586776859506</v>
      </c>
      <c r="F134" s="2">
        <v>170</v>
      </c>
      <c r="G134" s="2">
        <v>50</v>
      </c>
      <c r="H134" s="3">
        <f>F134-G134</f>
        <v>120</v>
      </c>
      <c r="I134" s="1" t="s">
        <v>243</v>
      </c>
      <c r="J134" s="58">
        <v>170</v>
      </c>
      <c r="K134" s="2"/>
      <c r="L134" s="1"/>
      <c r="M134" s="1"/>
      <c r="N134" s="1"/>
      <c r="O134" s="1"/>
    </row>
    <row r="135" spans="1:15" x14ac:dyDescent="0.3">
      <c r="A135" s="59">
        <v>45346</v>
      </c>
      <c r="B135" s="5" t="s">
        <v>242</v>
      </c>
      <c r="C135" s="5" t="s">
        <v>1</v>
      </c>
      <c r="D135" s="4">
        <f>F135/1.21</f>
        <v>123.96694214876034</v>
      </c>
      <c r="E135" s="4">
        <f>D135*10/100</f>
        <v>12.396694214876034</v>
      </c>
      <c r="F135" s="2">
        <v>150</v>
      </c>
      <c r="G135" s="2"/>
      <c r="H135" s="3">
        <f>F135-G135</f>
        <v>150</v>
      </c>
      <c r="I135" s="62" t="s">
        <v>241</v>
      </c>
      <c r="J135" s="58">
        <v>150</v>
      </c>
      <c r="K135" s="2"/>
      <c r="L135" s="1"/>
      <c r="M135" s="1"/>
      <c r="N135" s="1"/>
      <c r="O135" s="1"/>
    </row>
    <row r="136" spans="1:15" x14ac:dyDescent="0.3">
      <c r="A136" s="61">
        <v>45346</v>
      </c>
      <c r="B136" s="5" t="s">
        <v>240</v>
      </c>
      <c r="C136" s="5" t="s">
        <v>1</v>
      </c>
      <c r="D136" s="4">
        <f>F136/1.21</f>
        <v>264.4628099173554</v>
      </c>
      <c r="E136" s="4">
        <f>D136*10/100</f>
        <v>26.446280991735538</v>
      </c>
      <c r="F136" s="2">
        <v>320</v>
      </c>
      <c r="G136" s="2">
        <v>100</v>
      </c>
      <c r="H136" s="3">
        <f>F136-G136</f>
        <v>220</v>
      </c>
      <c r="I136" s="1" t="s">
        <v>239</v>
      </c>
      <c r="J136" s="58">
        <v>170</v>
      </c>
      <c r="K136" s="2">
        <v>150</v>
      </c>
      <c r="L136" s="1" t="s">
        <v>238</v>
      </c>
      <c r="M136" s="1"/>
      <c r="N136" s="1"/>
      <c r="O136" s="1"/>
    </row>
    <row r="137" spans="1:15" x14ac:dyDescent="0.3">
      <c r="A137" s="59">
        <v>45346</v>
      </c>
      <c r="B137" s="5" t="s">
        <v>237</v>
      </c>
      <c r="C137" s="5" t="s">
        <v>1</v>
      </c>
      <c r="D137" s="4">
        <f>F137/1.21</f>
        <v>157.02479338842977</v>
      </c>
      <c r="E137" s="4">
        <f>D137*10/100</f>
        <v>15.702479338842977</v>
      </c>
      <c r="F137" s="2">
        <v>190</v>
      </c>
      <c r="G137" s="2">
        <v>50</v>
      </c>
      <c r="H137" s="3">
        <f>F137-G137</f>
        <v>140</v>
      </c>
      <c r="I137" s="1" t="s">
        <v>236</v>
      </c>
      <c r="J137" s="60">
        <v>190</v>
      </c>
      <c r="K137" s="2"/>
      <c r="L137" s="1"/>
      <c r="M137" s="1"/>
      <c r="N137" s="1"/>
      <c r="O137" s="1"/>
    </row>
    <row r="138" spans="1:15" x14ac:dyDescent="0.3">
      <c r="A138" s="61">
        <v>45346</v>
      </c>
      <c r="B138" s="5" t="s">
        <v>235</v>
      </c>
      <c r="C138" s="5" t="s">
        <v>1</v>
      </c>
      <c r="D138" s="4">
        <f>F138/1.21</f>
        <v>223.14049586776861</v>
      </c>
      <c r="E138" s="4">
        <f>D138*10/100</f>
        <v>22.314049586776861</v>
      </c>
      <c r="F138" s="2">
        <v>270</v>
      </c>
      <c r="G138" s="2">
        <v>50</v>
      </c>
      <c r="H138" s="3">
        <f>F138-G138</f>
        <v>220</v>
      </c>
      <c r="I138" s="1" t="s">
        <v>234</v>
      </c>
      <c r="J138" s="58">
        <v>220</v>
      </c>
      <c r="K138" s="2">
        <v>50</v>
      </c>
      <c r="L138" s="1" t="s">
        <v>7</v>
      </c>
      <c r="M138" s="1"/>
      <c r="N138" s="1"/>
      <c r="O138" s="1"/>
    </row>
    <row r="139" spans="1:15" x14ac:dyDescent="0.3">
      <c r="A139" s="59">
        <v>45346</v>
      </c>
      <c r="B139" s="5" t="s">
        <v>233</v>
      </c>
      <c r="C139" s="5" t="s">
        <v>1</v>
      </c>
      <c r="D139" s="4">
        <f>F139/1.21</f>
        <v>148.7603305785124</v>
      </c>
      <c r="E139" s="4">
        <f>D139*10/100</f>
        <v>14.876033057851238</v>
      </c>
      <c r="F139" s="2">
        <v>180</v>
      </c>
      <c r="G139" s="2"/>
      <c r="H139" s="3">
        <f>F139-G139</f>
        <v>180</v>
      </c>
      <c r="I139" s="57" t="s">
        <v>174</v>
      </c>
      <c r="J139" s="58">
        <v>180</v>
      </c>
      <c r="K139" s="2"/>
      <c r="L139" s="1"/>
      <c r="M139" s="1"/>
      <c r="N139" s="1"/>
      <c r="O139" s="1"/>
    </row>
    <row r="140" spans="1:15" x14ac:dyDescent="0.3">
      <c r="A140" s="61">
        <v>45346</v>
      </c>
      <c r="B140" s="5" t="s">
        <v>232</v>
      </c>
      <c r="C140" s="5" t="s">
        <v>1</v>
      </c>
      <c r="D140" s="4">
        <f>F140/1.21</f>
        <v>214.87603305785126</v>
      </c>
      <c r="E140" s="4">
        <f>D140*10/100</f>
        <v>21.487603305785125</v>
      </c>
      <c r="F140" s="2">
        <v>260</v>
      </c>
      <c r="G140" s="2">
        <v>50</v>
      </c>
      <c r="H140" s="3">
        <f>F140-G140</f>
        <v>210</v>
      </c>
      <c r="I140" s="1" t="s">
        <v>231</v>
      </c>
      <c r="J140" s="58">
        <v>220</v>
      </c>
      <c r="K140" s="2">
        <v>40</v>
      </c>
      <c r="L140" s="1" t="s">
        <v>7</v>
      </c>
      <c r="M140" s="1"/>
      <c r="N140" s="1"/>
      <c r="O140" s="1"/>
    </row>
    <row r="141" spans="1:15" x14ac:dyDescent="0.3">
      <c r="A141" s="59">
        <v>45346</v>
      </c>
      <c r="B141" s="5" t="s">
        <v>230</v>
      </c>
      <c r="C141" s="5" t="s">
        <v>1</v>
      </c>
      <c r="D141" s="4">
        <f>F141/1.21</f>
        <v>198.34710743801654</v>
      </c>
      <c r="E141" s="4">
        <f>D141*10/100</f>
        <v>19.834710743801654</v>
      </c>
      <c r="F141" s="2">
        <v>240</v>
      </c>
      <c r="G141" s="2">
        <v>50</v>
      </c>
      <c r="H141" s="3">
        <f>F141-G141</f>
        <v>190</v>
      </c>
      <c r="I141" s="1" t="s">
        <v>229</v>
      </c>
      <c r="J141" s="58">
        <v>220</v>
      </c>
      <c r="K141" s="2"/>
      <c r="L141" s="1">
        <v>20</v>
      </c>
      <c r="M141" s="1"/>
      <c r="N141" s="1"/>
      <c r="O141" s="1"/>
    </row>
    <row r="142" spans="1:15" x14ac:dyDescent="0.3">
      <c r="A142" s="61">
        <v>45346</v>
      </c>
      <c r="B142" s="5" t="s">
        <v>228</v>
      </c>
      <c r="C142" s="5" t="s">
        <v>1</v>
      </c>
      <c r="D142" s="4">
        <f>F142/1.21</f>
        <v>181.81818181818181</v>
      </c>
      <c r="E142" s="4">
        <f>D142*10/100</f>
        <v>18.18181818181818</v>
      </c>
      <c r="F142" s="2">
        <v>220</v>
      </c>
      <c r="G142" s="2">
        <v>50</v>
      </c>
      <c r="H142" s="3">
        <f>F142-G142</f>
        <v>170</v>
      </c>
      <c r="I142" s="1" t="s">
        <v>227</v>
      </c>
      <c r="J142" s="60">
        <v>220</v>
      </c>
      <c r="K142" s="2"/>
      <c r="L142" s="1"/>
      <c r="M142" s="1"/>
      <c r="N142" s="1"/>
      <c r="O142" s="1"/>
    </row>
    <row r="143" spans="1:15" x14ac:dyDescent="0.3">
      <c r="A143" s="59">
        <v>45346</v>
      </c>
      <c r="B143" s="5" t="s">
        <v>226</v>
      </c>
      <c r="C143" s="5" t="s">
        <v>1</v>
      </c>
      <c r="D143" s="4">
        <f>F143/1.21</f>
        <v>202.47933884297521</v>
      </c>
      <c r="E143" s="4">
        <f>D143*10/100</f>
        <v>20.247933884297524</v>
      </c>
      <c r="F143" s="2">
        <v>245</v>
      </c>
      <c r="G143" s="2">
        <v>50</v>
      </c>
      <c r="H143" s="3">
        <f>F143-G143</f>
        <v>195</v>
      </c>
      <c r="I143" s="1" t="s">
        <v>225</v>
      </c>
      <c r="J143" s="58">
        <v>170</v>
      </c>
      <c r="K143" s="2">
        <v>45</v>
      </c>
      <c r="L143" s="1" t="s">
        <v>14</v>
      </c>
      <c r="M143" s="2">
        <v>30</v>
      </c>
      <c r="N143" s="1" t="s">
        <v>7</v>
      </c>
      <c r="O143" s="1"/>
    </row>
    <row r="144" spans="1:15" x14ac:dyDescent="0.3">
      <c r="A144" s="6">
        <v>45346</v>
      </c>
      <c r="B144" s="5" t="s">
        <v>224</v>
      </c>
      <c r="C144" s="5" t="s">
        <v>1</v>
      </c>
      <c r="D144" s="4">
        <f>F144/1.21</f>
        <v>140.49586776859505</v>
      </c>
      <c r="E144" s="4">
        <f>D144*10/100</f>
        <v>14.049586776859506</v>
      </c>
      <c r="F144" s="2">
        <v>170</v>
      </c>
      <c r="G144" s="2">
        <v>50</v>
      </c>
      <c r="H144" s="3">
        <f>F144-G144</f>
        <v>120</v>
      </c>
      <c r="I144" s="1" t="s">
        <v>223</v>
      </c>
      <c r="J144" s="58">
        <v>170</v>
      </c>
      <c r="K144" s="2"/>
      <c r="L144" s="1"/>
      <c r="M144" s="2"/>
      <c r="N144" s="1"/>
      <c r="O144" s="1"/>
    </row>
    <row r="145" spans="1:15" x14ac:dyDescent="0.3">
      <c r="A145" s="6">
        <v>45346</v>
      </c>
      <c r="B145" s="5" t="s">
        <v>222</v>
      </c>
      <c r="C145" s="5" t="s">
        <v>1</v>
      </c>
      <c r="D145" s="4">
        <f>F145/1.21</f>
        <v>115.70247933884298</v>
      </c>
      <c r="E145" s="4">
        <f>D145*10/100</f>
        <v>11.570247933884298</v>
      </c>
      <c r="F145" s="2">
        <v>140</v>
      </c>
      <c r="G145" s="2"/>
      <c r="H145" s="3">
        <f>F145-G145</f>
        <v>140</v>
      </c>
      <c r="I145" s="57" t="s">
        <v>174</v>
      </c>
      <c r="J145" s="58">
        <v>140</v>
      </c>
      <c r="K145" s="1"/>
      <c r="L145" s="1"/>
      <c r="M145" s="2"/>
      <c r="N145" s="1"/>
      <c r="O145" s="1"/>
    </row>
    <row r="146" spans="1:15" x14ac:dyDescent="0.3">
      <c r="A146" s="6">
        <v>45346</v>
      </c>
      <c r="B146" s="5" t="s">
        <v>221</v>
      </c>
      <c r="C146" s="5" t="s">
        <v>1</v>
      </c>
      <c r="D146" s="4">
        <f>F146/1.21</f>
        <v>206.61157024793388</v>
      </c>
      <c r="E146" s="4">
        <f>D146*10/100</f>
        <v>20.661157024793386</v>
      </c>
      <c r="F146" s="2">
        <v>250</v>
      </c>
      <c r="G146" s="2">
        <v>50</v>
      </c>
      <c r="H146" s="3">
        <f>F146-G146</f>
        <v>200</v>
      </c>
      <c r="I146" s="1" t="s">
        <v>220</v>
      </c>
      <c r="J146" s="58">
        <v>220</v>
      </c>
      <c r="K146" s="2">
        <v>30</v>
      </c>
      <c r="L146" s="1" t="s">
        <v>7</v>
      </c>
      <c r="M146" s="2"/>
      <c r="N146" s="1"/>
      <c r="O146" s="1"/>
    </row>
    <row r="147" spans="1:15" x14ac:dyDescent="0.3">
      <c r="A147" s="6">
        <v>45346</v>
      </c>
      <c r="B147" s="5" t="s">
        <v>219</v>
      </c>
      <c r="C147" s="5" t="s">
        <v>1</v>
      </c>
      <c r="D147" s="4">
        <f>F147/1.21</f>
        <v>475.20661157024796</v>
      </c>
      <c r="E147" s="4">
        <f>D147*10/100</f>
        <v>47.520661157024797</v>
      </c>
      <c r="F147" s="2">
        <v>575</v>
      </c>
      <c r="G147" s="2">
        <v>50</v>
      </c>
      <c r="H147" s="3">
        <f>F147-G147</f>
        <v>525</v>
      </c>
      <c r="I147" s="1" t="s">
        <v>218</v>
      </c>
      <c r="J147" s="58">
        <v>575</v>
      </c>
      <c r="K147" s="1"/>
      <c r="L147" s="1"/>
      <c r="M147" s="2"/>
      <c r="N147" s="1"/>
      <c r="O147" s="1"/>
    </row>
    <row r="148" spans="1:15" x14ac:dyDescent="0.3">
      <c r="A148" s="6">
        <v>45346</v>
      </c>
      <c r="B148" s="5" t="s">
        <v>217</v>
      </c>
      <c r="C148" s="5" t="s">
        <v>1</v>
      </c>
      <c r="D148" s="4">
        <f>F148/1.21</f>
        <v>148.7603305785124</v>
      </c>
      <c r="E148" s="4">
        <f>D148*10/100</f>
        <v>14.876033057851238</v>
      </c>
      <c r="F148" s="2">
        <v>180</v>
      </c>
      <c r="G148" s="2">
        <v>50</v>
      </c>
      <c r="H148" s="3">
        <f>F148-G148</f>
        <v>130</v>
      </c>
      <c r="I148" s="1" t="s">
        <v>216</v>
      </c>
      <c r="J148" s="58">
        <v>180</v>
      </c>
      <c r="K148" s="1"/>
      <c r="L148" s="1"/>
      <c r="M148" s="2"/>
      <c r="N148" s="1"/>
      <c r="O148" s="1"/>
    </row>
    <row r="149" spans="1:15" x14ac:dyDescent="0.3">
      <c r="A149" s="6">
        <v>45346</v>
      </c>
      <c r="B149" s="5" t="s">
        <v>215</v>
      </c>
      <c r="C149" s="5" t="s">
        <v>1</v>
      </c>
      <c r="D149" s="4">
        <f>F149/1.21</f>
        <v>206.61157024793388</v>
      </c>
      <c r="E149" s="4">
        <f>D149*10/100</f>
        <v>20.661157024793386</v>
      </c>
      <c r="F149" s="2">
        <v>250</v>
      </c>
      <c r="G149" s="2">
        <v>50</v>
      </c>
      <c r="H149" s="3">
        <f>F149-G149</f>
        <v>200</v>
      </c>
      <c r="I149" s="1" t="s">
        <v>214</v>
      </c>
      <c r="J149" s="58">
        <v>220</v>
      </c>
      <c r="K149" s="2">
        <v>30</v>
      </c>
      <c r="L149" s="1" t="s">
        <v>7</v>
      </c>
      <c r="M149" s="2"/>
      <c r="N149" s="1"/>
      <c r="O149" s="1"/>
    </row>
    <row r="150" spans="1:15" x14ac:dyDescent="0.3">
      <c r="A150" s="6">
        <v>45346</v>
      </c>
      <c r="B150" s="5" t="s">
        <v>213</v>
      </c>
      <c r="C150" s="5" t="s">
        <v>1</v>
      </c>
      <c r="D150" s="4">
        <f>F150/1.21</f>
        <v>219.00826446280993</v>
      </c>
      <c r="E150" s="4">
        <f>D150*10/100</f>
        <v>21.900826446280995</v>
      </c>
      <c r="F150" s="2">
        <v>265</v>
      </c>
      <c r="G150" s="2">
        <v>50</v>
      </c>
      <c r="H150" s="3">
        <f>F150-G150</f>
        <v>215</v>
      </c>
      <c r="I150" s="1" t="s">
        <v>212</v>
      </c>
      <c r="J150" s="58">
        <v>220</v>
      </c>
      <c r="K150" s="2">
        <v>45</v>
      </c>
      <c r="L150" s="1" t="s">
        <v>14</v>
      </c>
      <c r="M150" s="2"/>
      <c r="N150" s="1"/>
      <c r="O150" s="1"/>
    </row>
    <row r="151" spans="1:15" x14ac:dyDescent="0.3">
      <c r="A151" s="6">
        <v>45347</v>
      </c>
      <c r="B151" s="5" t="s">
        <v>211</v>
      </c>
      <c r="C151" s="5" t="s">
        <v>1</v>
      </c>
      <c r="D151" s="4">
        <f>F151/1.21</f>
        <v>140.49586776859505</v>
      </c>
      <c r="E151" s="4">
        <f>D151*10/100</f>
        <v>14.049586776859506</v>
      </c>
      <c r="F151" s="2">
        <v>170</v>
      </c>
      <c r="G151" s="2">
        <v>50</v>
      </c>
      <c r="H151" s="3">
        <f>F151-G151</f>
        <v>120</v>
      </c>
      <c r="I151" s="1" t="s">
        <v>210</v>
      </c>
      <c r="J151" s="2">
        <v>170</v>
      </c>
      <c r="K151" s="1"/>
      <c r="L151" s="1"/>
      <c r="M151" s="2"/>
      <c r="N151" s="1"/>
      <c r="O151" s="1"/>
    </row>
    <row r="152" spans="1:15" x14ac:dyDescent="0.3">
      <c r="A152" s="6">
        <v>45347</v>
      </c>
      <c r="B152" s="5" t="s">
        <v>209</v>
      </c>
      <c r="C152" s="5" t="s">
        <v>1</v>
      </c>
      <c r="D152" s="4">
        <f>F152/1.21</f>
        <v>202.47933884297521</v>
      </c>
      <c r="E152" s="4">
        <f>D152*10/100</f>
        <v>20.247933884297524</v>
      </c>
      <c r="F152" s="2">
        <v>245</v>
      </c>
      <c r="G152" s="2">
        <v>50</v>
      </c>
      <c r="H152" s="3">
        <f>F152-G152</f>
        <v>195</v>
      </c>
      <c r="I152" s="1" t="s">
        <v>208</v>
      </c>
      <c r="J152" s="2">
        <v>170</v>
      </c>
      <c r="K152" s="2">
        <v>45</v>
      </c>
      <c r="L152" s="1" t="s">
        <v>14</v>
      </c>
      <c r="M152" s="2">
        <v>30</v>
      </c>
      <c r="N152" s="1" t="s">
        <v>7</v>
      </c>
      <c r="O152" s="1"/>
    </row>
    <row r="153" spans="1:15" x14ac:dyDescent="0.3">
      <c r="A153" s="6">
        <v>45347</v>
      </c>
      <c r="B153" s="5" t="s">
        <v>207</v>
      </c>
      <c r="C153" s="5" t="s">
        <v>1</v>
      </c>
      <c r="D153" s="4">
        <f>F153/1.21</f>
        <v>165.28925619834712</v>
      </c>
      <c r="E153" s="4">
        <f>D153*10/100</f>
        <v>16.528925619834713</v>
      </c>
      <c r="F153" s="2">
        <v>200</v>
      </c>
      <c r="G153" s="2"/>
      <c r="H153" s="3">
        <f>F153-G153</f>
        <v>200</v>
      </c>
      <c r="I153" s="57" t="s">
        <v>206</v>
      </c>
      <c r="J153" s="2">
        <v>200</v>
      </c>
      <c r="K153" s="1"/>
      <c r="L153" s="1"/>
      <c r="M153" s="1"/>
      <c r="N153" s="1"/>
      <c r="O153" s="1"/>
    </row>
    <row r="154" spans="1:15" x14ac:dyDescent="0.3">
      <c r="A154" s="6">
        <v>45347</v>
      </c>
      <c r="B154" s="5" t="s">
        <v>205</v>
      </c>
      <c r="C154" s="5" t="s">
        <v>1</v>
      </c>
      <c r="D154" s="4">
        <f>F154/1.21</f>
        <v>181.81818181818181</v>
      </c>
      <c r="E154" s="4">
        <f>D154*10/100</f>
        <v>18.18181818181818</v>
      </c>
      <c r="F154" s="2">
        <v>220</v>
      </c>
      <c r="G154" s="2">
        <v>50</v>
      </c>
      <c r="H154" s="3">
        <f>F154-G154</f>
        <v>170</v>
      </c>
      <c r="I154" s="1" t="s">
        <v>204</v>
      </c>
      <c r="J154" s="2">
        <v>270</v>
      </c>
      <c r="K154" s="1"/>
      <c r="L154" s="1"/>
      <c r="M154" s="1"/>
      <c r="N154" s="1"/>
      <c r="O154" s="1"/>
    </row>
    <row r="155" spans="1:15" x14ac:dyDescent="0.3">
      <c r="A155" s="6">
        <v>45348</v>
      </c>
      <c r="B155" s="5" t="s">
        <v>203</v>
      </c>
      <c r="C155" s="5" t="s">
        <v>1</v>
      </c>
      <c r="D155" s="4">
        <f>F155/1.21</f>
        <v>157.02479338842977</v>
      </c>
      <c r="E155" s="4">
        <f>D155*10/100</f>
        <v>15.702479338842977</v>
      </c>
      <c r="F155" s="2">
        <v>190</v>
      </c>
      <c r="G155" s="2"/>
      <c r="H155" s="3">
        <f>F155-G155</f>
        <v>190</v>
      </c>
      <c r="I155" s="1" t="s">
        <v>202</v>
      </c>
      <c r="J155" s="2">
        <v>190</v>
      </c>
      <c r="K155" s="1"/>
      <c r="L155" s="1"/>
      <c r="M155" s="1"/>
      <c r="N155" s="1"/>
      <c r="O155" s="1"/>
    </row>
    <row r="156" spans="1:15" x14ac:dyDescent="0.3">
      <c r="A156" s="6">
        <v>45351</v>
      </c>
      <c r="B156" s="5" t="s">
        <v>201</v>
      </c>
      <c r="C156" s="5" t="s">
        <v>1</v>
      </c>
      <c r="D156" s="4">
        <f>F156/1.21</f>
        <v>140.49586776859505</v>
      </c>
      <c r="E156" s="4">
        <f>D156*10/100</f>
        <v>14.049586776859506</v>
      </c>
      <c r="F156" s="2">
        <v>170</v>
      </c>
      <c r="G156" s="2">
        <v>50</v>
      </c>
      <c r="H156" s="3">
        <f>F156-G156</f>
        <v>120</v>
      </c>
      <c r="I156" s="1" t="s">
        <v>200</v>
      </c>
      <c r="J156" s="2">
        <v>170</v>
      </c>
      <c r="K156" s="1"/>
      <c r="L156" s="1"/>
      <c r="M156" s="1"/>
      <c r="N156" s="1"/>
      <c r="O156" s="1"/>
    </row>
    <row r="157" spans="1:15" x14ac:dyDescent="0.3">
      <c r="A157" s="6">
        <v>45351</v>
      </c>
      <c r="B157" s="5" t="s">
        <v>199</v>
      </c>
      <c r="C157" s="5" t="s">
        <v>1</v>
      </c>
      <c r="D157" s="4">
        <f>F157/1.21</f>
        <v>181.81818181818181</v>
      </c>
      <c r="E157" s="4">
        <f>D157*10/100</f>
        <v>18.18181818181818</v>
      </c>
      <c r="F157" s="2">
        <v>220</v>
      </c>
      <c r="G157" s="2">
        <v>50</v>
      </c>
      <c r="H157" s="3">
        <f>F157-G157</f>
        <v>170</v>
      </c>
      <c r="I157" s="1" t="s">
        <v>198</v>
      </c>
      <c r="J157" s="2">
        <v>190</v>
      </c>
      <c r="K157" s="1"/>
      <c r="L157" s="1"/>
      <c r="M157" s="1"/>
      <c r="N157" s="1"/>
      <c r="O157" s="1"/>
    </row>
    <row r="162" spans="4:4" x14ac:dyDescent="0.3">
      <c r="D162" s="56">
        <f>SUM(D3:D161)</f>
        <v>28651.239669421473</v>
      </c>
    </row>
  </sheetData>
  <mergeCells count="14">
    <mergeCell ref="F1:F2"/>
    <mergeCell ref="A1:A2"/>
    <mergeCell ref="B1:B2"/>
    <mergeCell ref="C1:C2"/>
    <mergeCell ref="D1:D2"/>
    <mergeCell ref="E1:E2"/>
    <mergeCell ref="N1:N2"/>
    <mergeCell ref="O1:O2"/>
    <mergeCell ref="G1:H1"/>
    <mergeCell ref="I1:I2"/>
    <mergeCell ref="J1:J2"/>
    <mergeCell ref="K1:K2"/>
    <mergeCell ref="L1:L2"/>
    <mergeCell ref="M1:M2"/>
  </mergeCells>
  <conditionalFormatting sqref="A3:A19 A100:A107 F100:F126 A109:A126">
    <cfRule type="expression" dxfId="98" priority="34" stopIfTrue="1">
      <formula>EXACT($C3,"HUMMER")</formula>
    </cfRule>
    <cfRule type="expression" dxfId="97" priority="35" stopIfTrue="1">
      <formula>EXACT($C3,"BLANCA")</formula>
    </cfRule>
    <cfRule type="expression" dxfId="96" priority="36" stopIfTrue="1">
      <formula>EXACT($C3,"ROSA")</formula>
    </cfRule>
  </conditionalFormatting>
  <conditionalFormatting sqref="A20:A23 A25:A28 A30:A34">
    <cfRule type="expression" dxfId="95" priority="40" stopIfTrue="1">
      <formula>EXACT($C21,"HUMMER")</formula>
    </cfRule>
    <cfRule type="expression" dxfId="94" priority="41" stopIfTrue="1">
      <formula>EXACT($C21,"BLANCA")</formula>
    </cfRule>
    <cfRule type="expression" dxfId="93" priority="42" stopIfTrue="1">
      <formula>EXACT($C21,"ROSA")</formula>
    </cfRule>
  </conditionalFormatting>
  <conditionalFormatting sqref="A24">
    <cfRule type="expression" dxfId="92" priority="28" stopIfTrue="1">
      <formula>EXACT($C24,"HUMMER")</formula>
    </cfRule>
    <cfRule type="expression" dxfId="91" priority="29" stopIfTrue="1">
      <formula>EXACT($C24,"BLANCA")</formula>
    </cfRule>
    <cfRule type="expression" dxfId="90" priority="30" stopIfTrue="1">
      <formula>EXACT($C24,"ROSA")</formula>
    </cfRule>
  </conditionalFormatting>
  <conditionalFormatting sqref="A29">
    <cfRule type="expression" dxfId="89" priority="25" stopIfTrue="1">
      <formula>EXACT($C29,"HUMMER")</formula>
    </cfRule>
    <cfRule type="expression" dxfId="88" priority="26" stopIfTrue="1">
      <formula>EXACT($C29,"BLANCA")</formula>
    </cfRule>
    <cfRule type="expression" dxfId="87" priority="27" stopIfTrue="1">
      <formula>EXACT($C29,"ROSA")</formula>
    </cfRule>
  </conditionalFormatting>
  <conditionalFormatting sqref="A35:A37">
    <cfRule type="expression" dxfId="86" priority="43" stopIfTrue="1">
      <formula>EXACT($C37,"HUMMER")</formula>
    </cfRule>
    <cfRule type="expression" dxfId="85" priority="44" stopIfTrue="1">
      <formula>EXACT($C37,"BLANCA")</formula>
    </cfRule>
    <cfRule type="expression" dxfId="84" priority="45" stopIfTrue="1">
      <formula>EXACT($C37,"ROSA")</formula>
    </cfRule>
  </conditionalFormatting>
  <conditionalFormatting sqref="A128">
    <cfRule type="expression" dxfId="83" priority="22" stopIfTrue="1">
      <formula>EXACT($C128,"HUMMER")</formula>
    </cfRule>
    <cfRule type="expression" dxfId="82" priority="23" stopIfTrue="1">
      <formula>EXACT($C128,"BLANCA")</formula>
    </cfRule>
    <cfRule type="expression" dxfId="81" priority="24" stopIfTrue="1">
      <formula>EXACT($C128,"ROSA")</formula>
    </cfRule>
  </conditionalFormatting>
  <conditionalFormatting sqref="A130">
    <cfRule type="expression" dxfId="80" priority="19" stopIfTrue="1">
      <formula>EXACT($C130,"HUMMER")</formula>
    </cfRule>
    <cfRule type="expression" dxfId="79" priority="20" stopIfTrue="1">
      <formula>EXACT($C130,"BLANCA")</formula>
    </cfRule>
    <cfRule type="expression" dxfId="78" priority="21" stopIfTrue="1">
      <formula>EXACT($C130,"ROSA")</formula>
    </cfRule>
  </conditionalFormatting>
  <conditionalFormatting sqref="A132">
    <cfRule type="expression" dxfId="77" priority="16" stopIfTrue="1">
      <formula>EXACT($C132,"HUMMER")</formula>
    </cfRule>
    <cfRule type="expression" dxfId="76" priority="17" stopIfTrue="1">
      <formula>EXACT($C132,"BLANCA")</formula>
    </cfRule>
    <cfRule type="expression" dxfId="75" priority="18" stopIfTrue="1">
      <formula>EXACT($C132,"ROSA")</formula>
    </cfRule>
  </conditionalFormatting>
  <conditionalFormatting sqref="A134">
    <cfRule type="expression" dxfId="74" priority="13" stopIfTrue="1">
      <formula>EXACT($C134,"HUMMER")</formula>
    </cfRule>
    <cfRule type="expression" dxfId="73" priority="14" stopIfTrue="1">
      <formula>EXACT($C134,"BLANCA")</formula>
    </cfRule>
    <cfRule type="expression" dxfId="72" priority="15" stopIfTrue="1">
      <formula>EXACT($C134,"ROSA")</formula>
    </cfRule>
  </conditionalFormatting>
  <conditionalFormatting sqref="A136">
    <cfRule type="expression" dxfId="71" priority="10" stopIfTrue="1">
      <formula>EXACT($C136,"HUMMER")</formula>
    </cfRule>
    <cfRule type="expression" dxfId="70" priority="11" stopIfTrue="1">
      <formula>EXACT($C136,"BLANCA")</formula>
    </cfRule>
    <cfRule type="expression" dxfId="69" priority="12" stopIfTrue="1">
      <formula>EXACT($C136,"ROSA")</formula>
    </cfRule>
  </conditionalFormatting>
  <conditionalFormatting sqref="A138">
    <cfRule type="expression" dxfId="68" priority="7" stopIfTrue="1">
      <formula>EXACT($C138,"HUMMER")</formula>
    </cfRule>
    <cfRule type="expression" dxfId="67" priority="8" stopIfTrue="1">
      <formula>EXACT($C138,"BLANCA")</formula>
    </cfRule>
    <cfRule type="expression" dxfId="66" priority="9" stopIfTrue="1">
      <formula>EXACT($C138,"ROSA")</formula>
    </cfRule>
  </conditionalFormatting>
  <conditionalFormatting sqref="A140">
    <cfRule type="expression" dxfId="65" priority="4" stopIfTrue="1">
      <formula>EXACT($C140,"HUMMER")</formula>
    </cfRule>
    <cfRule type="expression" dxfId="64" priority="5" stopIfTrue="1">
      <formula>EXACT($C140,"BLANCA")</formula>
    </cfRule>
    <cfRule type="expression" dxfId="63" priority="6" stopIfTrue="1">
      <formula>EXACT($C140,"ROSA")</formula>
    </cfRule>
  </conditionalFormatting>
  <conditionalFormatting sqref="A142">
    <cfRule type="expression" dxfId="62" priority="1" stopIfTrue="1">
      <formula>EXACT($C142,"HUMMER")</formula>
    </cfRule>
    <cfRule type="expression" dxfId="61" priority="2" stopIfTrue="1">
      <formula>EXACT($C142,"BLANCA")</formula>
    </cfRule>
    <cfRule type="expression" dxfId="60" priority="3" stopIfTrue="1">
      <formula>EXACT($C142,"ROSA")</formula>
    </cfRule>
  </conditionalFormatting>
  <conditionalFormatting sqref="F3:F8">
    <cfRule type="expression" dxfId="59" priority="31" stopIfTrue="1">
      <formula>EXACT($C3,"HUMMER")</formula>
    </cfRule>
    <cfRule type="expression" dxfId="58" priority="32" stopIfTrue="1">
      <formula>EXACT($C3,"BLANCA")</formula>
    </cfRule>
    <cfRule type="expression" dxfId="57" priority="33" stopIfTrue="1">
      <formula>EXACT($C3,"ROSA")</formula>
    </cfRule>
  </conditionalFormatting>
  <conditionalFormatting sqref="F26:F35 F37">
    <cfRule type="expression" dxfId="56" priority="37" stopIfTrue="1">
      <formula>EXACT($C26,"HUMMER")</formula>
    </cfRule>
    <cfRule type="expression" dxfId="55" priority="38" stopIfTrue="1">
      <formula>EXACT($C26,"BLANCA")</formula>
    </cfRule>
    <cfRule type="expression" dxfId="54" priority="39" stopIfTrue="1">
      <formula>EXACT($C26,"ROSA")</formula>
    </cfRule>
  </conditionalFormatting>
  <conditionalFormatting sqref="F36">
    <cfRule type="expression" dxfId="53" priority="46" stopIfTrue="1">
      <formula>EXACT($C39,"HUMMER")</formula>
    </cfRule>
    <cfRule type="expression" dxfId="52" priority="47" stopIfTrue="1">
      <formula>EXACT($C39,"BLANCA")</formula>
    </cfRule>
    <cfRule type="expression" dxfId="51" priority="48" stopIfTrue="1">
      <formula>EXACT($C39,"ROSA")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18360-4F65-4875-9BA1-F8E85BFA829A}">
  <dimension ref="A1:O193"/>
  <sheetViews>
    <sheetView topLeftCell="A157" workbookViewId="0">
      <selection activeCell="C118" sqref="C118"/>
    </sheetView>
  </sheetViews>
  <sheetFormatPr baseColWidth="10" defaultRowHeight="14.4" x14ac:dyDescent="0.3"/>
  <cols>
    <col min="1" max="1" width="18.88671875" customWidth="1"/>
    <col min="2" max="2" width="18.109375" customWidth="1"/>
    <col min="3" max="3" width="36.5546875" customWidth="1"/>
    <col min="4" max="4" width="18.109375" customWidth="1"/>
    <col min="5" max="5" width="17.88671875" customWidth="1"/>
    <col min="6" max="6" width="12" customWidth="1"/>
    <col min="9" max="9" width="24.6640625" customWidth="1"/>
    <col min="10" max="10" width="13" bestFit="1" customWidth="1"/>
    <col min="12" max="12" width="15" customWidth="1"/>
    <col min="14" max="14" width="22.33203125" customWidth="1"/>
  </cols>
  <sheetData>
    <row r="1" spans="1:15" x14ac:dyDescent="0.3">
      <c r="A1" s="51" t="s">
        <v>197</v>
      </c>
      <c r="B1" s="51" t="s">
        <v>196</v>
      </c>
      <c r="C1" s="51" t="s">
        <v>195</v>
      </c>
      <c r="D1" s="51" t="s">
        <v>194</v>
      </c>
      <c r="E1" s="51" t="s">
        <v>193</v>
      </c>
      <c r="F1" s="51" t="s">
        <v>192</v>
      </c>
      <c r="G1" s="51" t="s">
        <v>191</v>
      </c>
      <c r="H1" s="51"/>
      <c r="I1" s="51" t="s">
        <v>190</v>
      </c>
      <c r="J1" s="51" t="s">
        <v>189</v>
      </c>
      <c r="K1" s="51" t="s">
        <v>188</v>
      </c>
      <c r="L1" s="51" t="s">
        <v>186</v>
      </c>
      <c r="M1" s="51" t="s">
        <v>187</v>
      </c>
      <c r="N1" s="53" t="s">
        <v>186</v>
      </c>
      <c r="O1" s="51" t="s">
        <v>185</v>
      </c>
    </row>
    <row r="2" spans="1:15" x14ac:dyDescent="0.3">
      <c r="A2" s="53"/>
      <c r="B2" s="53"/>
      <c r="C2" s="53"/>
      <c r="D2" s="53"/>
      <c r="E2" s="53"/>
      <c r="F2" s="53"/>
      <c r="G2" s="55" t="s">
        <v>184</v>
      </c>
      <c r="H2" s="54" t="s">
        <v>183</v>
      </c>
      <c r="I2" s="53"/>
      <c r="J2" s="53"/>
      <c r="K2" s="53"/>
      <c r="L2" s="53"/>
      <c r="M2" s="51"/>
      <c r="N2" s="52"/>
      <c r="O2" s="51"/>
    </row>
    <row r="3" spans="1:15" x14ac:dyDescent="0.3">
      <c r="A3" s="43">
        <v>45352</v>
      </c>
      <c r="B3" s="5" t="s">
        <v>766</v>
      </c>
      <c r="C3" s="5" t="s">
        <v>1</v>
      </c>
      <c r="D3" s="4">
        <f>F3/1.21</f>
        <v>181.81818181818181</v>
      </c>
      <c r="E3" s="4">
        <f>D3*10/100</f>
        <v>18.18181818181818</v>
      </c>
      <c r="F3" s="49">
        <v>220</v>
      </c>
      <c r="G3" s="4"/>
      <c r="H3" s="3">
        <f>F3-G3</f>
        <v>220</v>
      </c>
      <c r="I3" s="95" t="s">
        <v>332</v>
      </c>
      <c r="J3" s="91">
        <v>220</v>
      </c>
      <c r="K3" s="91"/>
      <c r="L3" s="5"/>
      <c r="M3" s="90"/>
      <c r="N3" s="89"/>
      <c r="O3" s="89"/>
    </row>
    <row r="4" spans="1:15" x14ac:dyDescent="0.3">
      <c r="A4" s="43">
        <v>45352</v>
      </c>
      <c r="B4" s="5" t="s">
        <v>765</v>
      </c>
      <c r="C4" s="5" t="s">
        <v>1</v>
      </c>
      <c r="D4" s="4">
        <f>F4/1.21</f>
        <v>115.70247933884298</v>
      </c>
      <c r="E4" s="4">
        <f>D4*10/100</f>
        <v>11.570247933884298</v>
      </c>
      <c r="F4" s="42">
        <v>140</v>
      </c>
      <c r="G4" s="4"/>
      <c r="H4" s="3">
        <f>F4-G4</f>
        <v>140</v>
      </c>
      <c r="I4" s="95" t="s">
        <v>764</v>
      </c>
      <c r="J4" s="91">
        <v>140</v>
      </c>
      <c r="K4" s="91"/>
      <c r="L4" s="5"/>
      <c r="M4" s="90"/>
      <c r="N4" s="89"/>
      <c r="O4" s="89"/>
    </row>
    <row r="5" spans="1:15" x14ac:dyDescent="0.3">
      <c r="A5" s="43">
        <v>45352</v>
      </c>
      <c r="B5" s="5" t="s">
        <v>763</v>
      </c>
      <c r="C5" s="5" t="s">
        <v>1</v>
      </c>
      <c r="D5" s="4">
        <f>F5/1.21</f>
        <v>202.47933884297521</v>
      </c>
      <c r="E5" s="4">
        <f>D5*10/100</f>
        <v>20.247933884297524</v>
      </c>
      <c r="F5" s="100">
        <v>245</v>
      </c>
      <c r="G5" s="100">
        <v>50</v>
      </c>
      <c r="H5" s="3">
        <f>F5-G5</f>
        <v>195</v>
      </c>
      <c r="I5" s="95" t="s">
        <v>762</v>
      </c>
      <c r="J5" s="91">
        <v>170</v>
      </c>
      <c r="K5" s="91">
        <v>30</v>
      </c>
      <c r="L5" s="5" t="s">
        <v>7</v>
      </c>
      <c r="M5" s="90">
        <v>45</v>
      </c>
      <c r="N5" s="89" t="s">
        <v>14</v>
      </c>
      <c r="O5" s="89"/>
    </row>
    <row r="6" spans="1:15" x14ac:dyDescent="0.3">
      <c r="A6" s="43">
        <v>45352</v>
      </c>
      <c r="B6" s="5" t="s">
        <v>761</v>
      </c>
      <c r="C6" s="5" t="s">
        <v>1</v>
      </c>
      <c r="D6" s="4">
        <f>F6/1.21</f>
        <v>177.68595041322314</v>
      </c>
      <c r="E6" s="4">
        <f>D6*10/100</f>
        <v>17.768595041322314</v>
      </c>
      <c r="F6" s="42">
        <v>215</v>
      </c>
      <c r="G6" s="4">
        <v>50</v>
      </c>
      <c r="H6" s="3">
        <f>F6-G6</f>
        <v>165</v>
      </c>
      <c r="I6" s="95" t="s">
        <v>760</v>
      </c>
      <c r="J6" s="91">
        <v>170</v>
      </c>
      <c r="K6" s="91"/>
      <c r="L6" s="5"/>
      <c r="M6" s="90">
        <v>45</v>
      </c>
      <c r="N6" s="89" t="s">
        <v>14</v>
      </c>
      <c r="O6" s="89"/>
    </row>
    <row r="7" spans="1:15" x14ac:dyDescent="0.3">
      <c r="A7" s="43">
        <v>45352</v>
      </c>
      <c r="B7" s="5" t="s">
        <v>759</v>
      </c>
      <c r="C7" s="5" t="s">
        <v>1</v>
      </c>
      <c r="D7" s="4">
        <f>F7/1.21</f>
        <v>140.49586776859505</v>
      </c>
      <c r="E7" s="4">
        <f>D7*10/100</f>
        <v>14.049586776859506</v>
      </c>
      <c r="F7" s="42">
        <v>170</v>
      </c>
      <c r="G7" s="4">
        <v>50</v>
      </c>
      <c r="H7" s="3">
        <f>F7-G7</f>
        <v>120</v>
      </c>
      <c r="I7" s="95" t="s">
        <v>758</v>
      </c>
      <c r="J7" s="91">
        <v>170</v>
      </c>
      <c r="K7" s="91"/>
      <c r="L7" s="5"/>
      <c r="M7" s="90"/>
      <c r="N7" s="99"/>
      <c r="O7" s="89"/>
    </row>
    <row r="8" spans="1:15" x14ac:dyDescent="0.3">
      <c r="A8" s="43">
        <v>45352</v>
      </c>
      <c r="B8" s="5" t="s">
        <v>757</v>
      </c>
      <c r="C8" s="5" t="s">
        <v>1</v>
      </c>
      <c r="D8" s="4">
        <f>F8/1.21</f>
        <v>115.70247933884298</v>
      </c>
      <c r="E8" s="4">
        <f>D8*10/100</f>
        <v>11.570247933884298</v>
      </c>
      <c r="F8" s="42">
        <v>140</v>
      </c>
      <c r="G8" s="4"/>
      <c r="H8" s="3">
        <f>F8-G8</f>
        <v>140</v>
      </c>
      <c r="I8" s="95" t="s">
        <v>206</v>
      </c>
      <c r="J8" s="91">
        <v>140</v>
      </c>
      <c r="K8" s="91"/>
      <c r="L8" s="5"/>
      <c r="M8" s="90"/>
      <c r="N8" s="89"/>
      <c r="O8" s="89"/>
    </row>
    <row r="9" spans="1:15" x14ac:dyDescent="0.3">
      <c r="A9" s="43">
        <v>45352</v>
      </c>
      <c r="B9" s="5" t="s">
        <v>756</v>
      </c>
      <c r="C9" s="5" t="s">
        <v>1</v>
      </c>
      <c r="D9" s="4">
        <f>F9/1.21</f>
        <v>157.02479338842977</v>
      </c>
      <c r="E9" s="4">
        <f>D9*10/100</f>
        <v>15.702479338842977</v>
      </c>
      <c r="F9" s="23">
        <v>190</v>
      </c>
      <c r="G9" s="23"/>
      <c r="H9" s="3">
        <f>F9-G9</f>
        <v>190</v>
      </c>
      <c r="I9" s="22" t="s">
        <v>727</v>
      </c>
      <c r="J9" s="91">
        <v>190</v>
      </c>
      <c r="K9" s="91"/>
      <c r="L9" s="5"/>
      <c r="M9" s="90"/>
      <c r="N9" s="89"/>
      <c r="O9" s="89"/>
    </row>
    <row r="10" spans="1:15" x14ac:dyDescent="0.3">
      <c r="A10" s="43">
        <v>45352</v>
      </c>
      <c r="B10" s="5" t="s">
        <v>755</v>
      </c>
      <c r="C10" s="5" t="s">
        <v>1</v>
      </c>
      <c r="D10" s="4">
        <f>F10/1.21</f>
        <v>148.7603305785124</v>
      </c>
      <c r="E10" s="4">
        <f>D10*10/100</f>
        <v>14.876033057851238</v>
      </c>
      <c r="F10" s="23">
        <v>180</v>
      </c>
      <c r="G10" s="23"/>
      <c r="H10" s="3">
        <f>F10-G10</f>
        <v>180</v>
      </c>
      <c r="I10" s="22" t="s">
        <v>206</v>
      </c>
      <c r="J10" s="91">
        <v>180</v>
      </c>
      <c r="K10" s="91"/>
      <c r="L10" s="5"/>
      <c r="M10" s="90"/>
      <c r="N10" s="89"/>
      <c r="O10" s="89"/>
    </row>
    <row r="11" spans="1:15" x14ac:dyDescent="0.3">
      <c r="A11" s="43">
        <v>45352</v>
      </c>
      <c r="B11" s="5" t="s">
        <v>754</v>
      </c>
      <c r="C11" s="5" t="s">
        <v>1</v>
      </c>
      <c r="D11" s="4">
        <f>F11/1.21</f>
        <v>198.34710743801654</v>
      </c>
      <c r="E11" s="4">
        <f>D11*10/100</f>
        <v>19.834710743801654</v>
      </c>
      <c r="F11" s="23">
        <v>240</v>
      </c>
      <c r="G11" s="23"/>
      <c r="H11" s="3">
        <f>F11-G11</f>
        <v>240</v>
      </c>
      <c r="I11" s="22" t="s">
        <v>753</v>
      </c>
      <c r="J11" s="91">
        <v>220</v>
      </c>
      <c r="K11" s="91">
        <v>20</v>
      </c>
      <c r="L11" s="5" t="s">
        <v>7</v>
      </c>
      <c r="M11" s="90"/>
      <c r="N11" s="89"/>
      <c r="O11" s="89"/>
    </row>
    <row r="12" spans="1:15" x14ac:dyDescent="0.3">
      <c r="A12" s="43">
        <v>45352</v>
      </c>
      <c r="B12" s="5" t="s">
        <v>752</v>
      </c>
      <c r="C12" s="5" t="s">
        <v>1</v>
      </c>
      <c r="D12" s="4">
        <f>F12/1.21</f>
        <v>181.81818181818181</v>
      </c>
      <c r="E12" s="4">
        <f>D12*10/100</f>
        <v>18.18181818181818</v>
      </c>
      <c r="F12" s="23">
        <v>220</v>
      </c>
      <c r="G12" s="23">
        <v>50</v>
      </c>
      <c r="H12" s="3">
        <f>F12-G12</f>
        <v>170</v>
      </c>
      <c r="I12" s="22" t="s">
        <v>751</v>
      </c>
      <c r="J12" s="91">
        <v>220</v>
      </c>
      <c r="K12" s="91"/>
      <c r="L12" s="5"/>
      <c r="M12" s="90"/>
      <c r="N12" s="89"/>
      <c r="O12" s="89"/>
    </row>
    <row r="13" spans="1:15" x14ac:dyDescent="0.3">
      <c r="A13" s="43">
        <v>45353</v>
      </c>
      <c r="B13" s="5" t="s">
        <v>750</v>
      </c>
      <c r="C13" s="5" t="s">
        <v>1</v>
      </c>
      <c r="D13" s="4">
        <f>F13/1.21</f>
        <v>181.81818181818181</v>
      </c>
      <c r="E13" s="4">
        <f>D13*10/100</f>
        <v>18.18181818181818</v>
      </c>
      <c r="F13" s="23">
        <v>220</v>
      </c>
      <c r="G13" s="23">
        <v>50</v>
      </c>
      <c r="H13" s="3">
        <f>F13-G13</f>
        <v>170</v>
      </c>
      <c r="I13" s="22" t="s">
        <v>749</v>
      </c>
      <c r="J13" s="91">
        <v>220</v>
      </c>
      <c r="K13" s="91"/>
      <c r="L13" s="5"/>
      <c r="M13" s="90"/>
      <c r="N13" s="89"/>
      <c r="O13" s="89"/>
    </row>
    <row r="14" spans="1:15" x14ac:dyDescent="0.3">
      <c r="A14" s="43">
        <v>45353</v>
      </c>
      <c r="B14" s="5" t="s">
        <v>748</v>
      </c>
      <c r="C14" s="5" t="s">
        <v>1</v>
      </c>
      <c r="D14" s="4">
        <f>F14/1.21</f>
        <v>148.7603305785124</v>
      </c>
      <c r="E14" s="4">
        <f>D14*10/100</f>
        <v>14.876033057851238</v>
      </c>
      <c r="F14" s="23">
        <v>180</v>
      </c>
      <c r="G14" s="23"/>
      <c r="H14" s="3">
        <f>F14-G14</f>
        <v>180</v>
      </c>
      <c r="I14" s="22" t="s">
        <v>206</v>
      </c>
      <c r="J14" s="91">
        <v>180</v>
      </c>
      <c r="K14" s="91"/>
      <c r="L14" s="5"/>
      <c r="M14" s="90"/>
      <c r="N14" s="89"/>
      <c r="O14" s="89"/>
    </row>
    <row r="15" spans="1:15" x14ac:dyDescent="0.3">
      <c r="A15" s="43">
        <v>45353</v>
      </c>
      <c r="B15" s="5" t="s">
        <v>747</v>
      </c>
      <c r="C15" s="5" t="s">
        <v>1</v>
      </c>
      <c r="D15" s="4">
        <f>F15/1.21</f>
        <v>157.02479338842977</v>
      </c>
      <c r="E15" s="4">
        <f>D15*10/100</f>
        <v>15.702479338842977</v>
      </c>
      <c r="F15" s="23">
        <v>190</v>
      </c>
      <c r="G15" s="23"/>
      <c r="H15" s="3">
        <f>F15-G15</f>
        <v>190</v>
      </c>
      <c r="I15" s="22" t="s">
        <v>540</v>
      </c>
      <c r="J15" s="91">
        <v>190</v>
      </c>
      <c r="K15" s="91"/>
      <c r="L15" s="5"/>
      <c r="M15" s="90"/>
      <c r="N15" s="89"/>
      <c r="O15" s="89"/>
    </row>
    <row r="16" spans="1:15" x14ac:dyDescent="0.3">
      <c r="A16" s="43">
        <v>45353</v>
      </c>
      <c r="B16" s="5" t="s">
        <v>746</v>
      </c>
      <c r="C16" s="5" t="s">
        <v>1</v>
      </c>
      <c r="D16" s="4">
        <f>F16/1.21</f>
        <v>198.34710743801654</v>
      </c>
      <c r="E16" s="4">
        <f>D16*10/100</f>
        <v>19.834710743801654</v>
      </c>
      <c r="F16" s="23">
        <v>240</v>
      </c>
      <c r="G16" s="23">
        <v>50</v>
      </c>
      <c r="H16" s="3">
        <f>F16-G16</f>
        <v>190</v>
      </c>
      <c r="I16" s="22" t="s">
        <v>745</v>
      </c>
      <c r="J16" s="91">
        <v>220</v>
      </c>
      <c r="K16" s="91">
        <v>20</v>
      </c>
      <c r="L16" s="5" t="s">
        <v>7</v>
      </c>
      <c r="M16" s="98"/>
      <c r="N16" s="89"/>
      <c r="O16" s="89"/>
    </row>
    <row r="17" spans="1:15" x14ac:dyDescent="0.3">
      <c r="A17" s="43">
        <v>45353</v>
      </c>
      <c r="B17" s="5" t="s">
        <v>744</v>
      </c>
      <c r="C17" s="5" t="s">
        <v>1</v>
      </c>
      <c r="D17" s="4">
        <f>F17/1.21</f>
        <v>256.198347107438</v>
      </c>
      <c r="E17" s="4">
        <f>D17*10/100</f>
        <v>25.619834710743799</v>
      </c>
      <c r="F17" s="23">
        <v>310</v>
      </c>
      <c r="G17" s="23">
        <v>150</v>
      </c>
      <c r="H17" s="3">
        <f>F17-G17</f>
        <v>160</v>
      </c>
      <c r="I17" s="22" t="s">
        <v>743</v>
      </c>
      <c r="J17" s="91">
        <v>310</v>
      </c>
      <c r="K17" s="91"/>
      <c r="L17" s="5"/>
      <c r="M17" s="90"/>
      <c r="N17" s="89"/>
      <c r="O17" s="89"/>
    </row>
    <row r="18" spans="1:15" x14ac:dyDescent="0.3">
      <c r="A18" s="43">
        <v>45353</v>
      </c>
      <c r="B18" s="5" t="s">
        <v>742</v>
      </c>
      <c r="C18" s="5" t="s">
        <v>1</v>
      </c>
      <c r="D18" s="4">
        <f>F18/1.21</f>
        <v>214.87603305785126</v>
      </c>
      <c r="E18" s="4">
        <f>D18*10/100</f>
        <v>21.487603305785125</v>
      </c>
      <c r="F18" s="23">
        <v>260</v>
      </c>
      <c r="G18" s="23">
        <v>50</v>
      </c>
      <c r="H18" s="3">
        <f>F18-G18</f>
        <v>210</v>
      </c>
      <c r="I18" s="22" t="s">
        <v>741</v>
      </c>
      <c r="J18" s="91">
        <v>220</v>
      </c>
      <c r="K18" s="91">
        <v>40</v>
      </c>
      <c r="L18" s="5" t="s">
        <v>7</v>
      </c>
      <c r="M18" s="90"/>
      <c r="N18" s="89"/>
      <c r="O18" s="89"/>
    </row>
    <row r="19" spans="1:15" x14ac:dyDescent="0.3">
      <c r="A19" s="43">
        <v>45353</v>
      </c>
      <c r="B19" s="5" t="s">
        <v>740</v>
      </c>
      <c r="C19" s="5" t="s">
        <v>1</v>
      </c>
      <c r="D19" s="4">
        <f>F19/1.21</f>
        <v>173.55371900826447</v>
      </c>
      <c r="E19" s="4">
        <f>D19*10/100</f>
        <v>17.355371900826448</v>
      </c>
      <c r="F19" s="23">
        <v>210</v>
      </c>
      <c r="G19" s="23">
        <v>50</v>
      </c>
      <c r="H19" s="3">
        <f>F19-G19</f>
        <v>160</v>
      </c>
      <c r="I19" s="22" t="s">
        <v>739</v>
      </c>
      <c r="J19" s="91">
        <v>210</v>
      </c>
      <c r="K19" s="91"/>
      <c r="L19" s="5"/>
      <c r="M19" s="90"/>
      <c r="N19" s="89"/>
      <c r="O19" s="89"/>
    </row>
    <row r="20" spans="1:15" x14ac:dyDescent="0.3">
      <c r="A20" s="43">
        <v>45353</v>
      </c>
      <c r="B20" s="5" t="s">
        <v>738</v>
      </c>
      <c r="C20" s="5" t="s">
        <v>1</v>
      </c>
      <c r="D20" s="4">
        <f>F20/1.21</f>
        <v>181.81818181818181</v>
      </c>
      <c r="E20" s="4">
        <f>D20*10/100</f>
        <v>18.18181818181818</v>
      </c>
      <c r="F20" s="23">
        <v>220</v>
      </c>
      <c r="G20" s="23">
        <v>220</v>
      </c>
      <c r="H20" s="3">
        <f>F20-G20</f>
        <v>0</v>
      </c>
      <c r="I20" s="22" t="s">
        <v>737</v>
      </c>
      <c r="J20" s="91">
        <v>220</v>
      </c>
      <c r="K20" s="91"/>
      <c r="L20" s="5"/>
      <c r="M20" s="90"/>
      <c r="N20" s="89"/>
      <c r="O20" s="89"/>
    </row>
    <row r="21" spans="1:15" x14ac:dyDescent="0.3">
      <c r="A21" s="43">
        <v>45353</v>
      </c>
      <c r="B21" s="5" t="s">
        <v>736</v>
      </c>
      <c r="C21" s="5" t="s">
        <v>1</v>
      </c>
      <c r="D21" s="4">
        <f>F21/1.21</f>
        <v>223.14049586776861</v>
      </c>
      <c r="E21" s="4">
        <f>D21*10/100</f>
        <v>22.314049586776861</v>
      </c>
      <c r="F21" s="23">
        <v>270</v>
      </c>
      <c r="G21" s="27">
        <v>50</v>
      </c>
      <c r="H21" s="3">
        <f>F21-G21</f>
        <v>220</v>
      </c>
      <c r="I21" s="22" t="s">
        <v>735</v>
      </c>
      <c r="J21" s="91">
        <v>270</v>
      </c>
      <c r="K21" s="91"/>
      <c r="L21" s="5"/>
      <c r="M21" s="90"/>
      <c r="N21" s="89"/>
      <c r="O21" s="89"/>
    </row>
    <row r="22" spans="1:15" x14ac:dyDescent="0.3">
      <c r="A22" s="43">
        <v>45353</v>
      </c>
      <c r="B22" s="5" t="s">
        <v>734</v>
      </c>
      <c r="C22" s="5" t="s">
        <v>1</v>
      </c>
      <c r="D22" s="4">
        <f>F22/1.21</f>
        <v>115.70247933884298</v>
      </c>
      <c r="E22" s="4">
        <f>D22*10/100</f>
        <v>11.570247933884298</v>
      </c>
      <c r="F22" s="23">
        <v>140</v>
      </c>
      <c r="G22" s="4">
        <v>50</v>
      </c>
      <c r="H22" s="3">
        <f>F22-G22</f>
        <v>90</v>
      </c>
      <c r="I22" s="22" t="s">
        <v>733</v>
      </c>
      <c r="J22" s="91">
        <v>140</v>
      </c>
      <c r="K22" s="91"/>
      <c r="L22" s="5"/>
      <c r="M22" s="90"/>
      <c r="N22" s="89"/>
      <c r="O22" s="89"/>
    </row>
    <row r="23" spans="1:15" x14ac:dyDescent="0.3">
      <c r="A23" s="43">
        <v>45353</v>
      </c>
      <c r="B23" s="5" t="s">
        <v>732</v>
      </c>
      <c r="C23" s="5" t="s">
        <v>1</v>
      </c>
      <c r="D23" s="4">
        <f>F23/1.21</f>
        <v>140.49586776859505</v>
      </c>
      <c r="E23" s="4">
        <f>D23*10/100</f>
        <v>14.049586776859506</v>
      </c>
      <c r="F23" s="23">
        <v>170</v>
      </c>
      <c r="G23" s="4">
        <v>50</v>
      </c>
      <c r="H23" s="3">
        <f>F23-G23</f>
        <v>120</v>
      </c>
      <c r="I23" s="22" t="s">
        <v>731</v>
      </c>
      <c r="J23" s="91">
        <v>170</v>
      </c>
      <c r="K23" s="91"/>
      <c r="L23" s="5"/>
      <c r="M23" s="90"/>
      <c r="N23" s="89"/>
      <c r="O23" s="89"/>
    </row>
    <row r="24" spans="1:15" x14ac:dyDescent="0.3">
      <c r="A24" s="43">
        <v>45353</v>
      </c>
      <c r="B24" s="5" t="s">
        <v>730</v>
      </c>
      <c r="C24" s="5" t="s">
        <v>1</v>
      </c>
      <c r="D24" s="4">
        <f>F24/1.21</f>
        <v>157.02479338842977</v>
      </c>
      <c r="E24" s="4">
        <f>D24*10/100</f>
        <v>15.702479338842977</v>
      </c>
      <c r="F24" s="23">
        <v>190</v>
      </c>
      <c r="G24" s="4">
        <v>50</v>
      </c>
      <c r="H24" s="3">
        <f>F24-G24</f>
        <v>140</v>
      </c>
      <c r="I24" s="22" t="s">
        <v>729</v>
      </c>
      <c r="J24" s="91">
        <v>170</v>
      </c>
      <c r="K24" s="91">
        <v>20</v>
      </c>
      <c r="L24" s="5" t="s">
        <v>7</v>
      </c>
      <c r="M24" s="90"/>
      <c r="N24" s="89"/>
      <c r="O24" s="89"/>
    </row>
    <row r="25" spans="1:15" x14ac:dyDescent="0.3">
      <c r="A25" s="43">
        <v>45353</v>
      </c>
      <c r="B25" s="5" t="s">
        <v>728</v>
      </c>
      <c r="C25" s="5" t="s">
        <v>1</v>
      </c>
      <c r="D25" s="4">
        <f>F25/1.21</f>
        <v>173.55371900826447</v>
      </c>
      <c r="E25" s="4">
        <f>D25*10/100</f>
        <v>17.355371900826448</v>
      </c>
      <c r="F25" s="23">
        <v>210</v>
      </c>
      <c r="G25" s="4"/>
      <c r="H25" s="3">
        <f>F25-G25</f>
        <v>210</v>
      </c>
      <c r="I25" s="22" t="s">
        <v>727</v>
      </c>
      <c r="J25" s="91">
        <v>210</v>
      </c>
      <c r="K25" s="91"/>
      <c r="L25" s="5"/>
      <c r="M25" s="90"/>
      <c r="N25" s="89"/>
      <c r="O25" s="89"/>
    </row>
    <row r="26" spans="1:15" x14ac:dyDescent="0.3">
      <c r="A26" s="43">
        <v>45353</v>
      </c>
      <c r="B26" s="5" t="s">
        <v>726</v>
      </c>
      <c r="C26" s="5" t="s">
        <v>1</v>
      </c>
      <c r="D26" s="4">
        <f>F26/1.21</f>
        <v>165.28925619834712</v>
      </c>
      <c r="E26" s="4">
        <f>D26*10/100</f>
        <v>16.528925619834713</v>
      </c>
      <c r="F26" s="42">
        <v>200</v>
      </c>
      <c r="G26" s="4"/>
      <c r="H26" s="3">
        <f>F26-G26</f>
        <v>200</v>
      </c>
      <c r="I26" s="22" t="s">
        <v>725</v>
      </c>
      <c r="J26" s="91">
        <v>200</v>
      </c>
      <c r="K26" s="91"/>
      <c r="L26" s="5"/>
      <c r="M26" s="97"/>
      <c r="N26" s="92"/>
      <c r="O26" s="92"/>
    </row>
    <row r="27" spans="1:15" x14ac:dyDescent="0.3">
      <c r="A27" s="43">
        <v>45353</v>
      </c>
      <c r="B27" s="5" t="s">
        <v>724</v>
      </c>
      <c r="C27" s="5" t="s">
        <v>1</v>
      </c>
      <c r="D27" s="4">
        <f>F27/1.21</f>
        <v>181.81818181818181</v>
      </c>
      <c r="E27" s="4">
        <f>D27*10/100</f>
        <v>18.18181818181818</v>
      </c>
      <c r="F27" s="42">
        <v>220</v>
      </c>
      <c r="G27" s="4"/>
      <c r="H27" s="3">
        <f>F27-G27</f>
        <v>220</v>
      </c>
      <c r="I27" s="22" t="s">
        <v>515</v>
      </c>
      <c r="J27" s="91">
        <v>220</v>
      </c>
      <c r="K27" s="96"/>
      <c r="L27" s="45"/>
      <c r="M27" s="90"/>
      <c r="N27" s="89"/>
      <c r="O27" s="89"/>
    </row>
    <row r="28" spans="1:15" x14ac:dyDescent="0.3">
      <c r="A28" s="43">
        <v>45353</v>
      </c>
      <c r="B28" s="5" t="s">
        <v>723</v>
      </c>
      <c r="C28" s="5" t="s">
        <v>1</v>
      </c>
      <c r="D28" s="4">
        <f>F28/1.21</f>
        <v>181.81818181818181</v>
      </c>
      <c r="E28" s="4">
        <f>D28*10/100</f>
        <v>18.18181818181818</v>
      </c>
      <c r="F28" s="42">
        <v>220</v>
      </c>
      <c r="G28" s="4">
        <v>50</v>
      </c>
      <c r="H28" s="3">
        <f>F28-G28</f>
        <v>170</v>
      </c>
      <c r="I28" s="95" t="s">
        <v>722</v>
      </c>
      <c r="J28" s="91">
        <v>220</v>
      </c>
      <c r="K28" s="91"/>
      <c r="L28" s="45"/>
      <c r="M28" s="90"/>
      <c r="N28" s="89"/>
      <c r="O28" s="89"/>
    </row>
    <row r="29" spans="1:15" x14ac:dyDescent="0.3">
      <c r="A29" s="43">
        <v>45353</v>
      </c>
      <c r="B29" s="5" t="s">
        <v>721</v>
      </c>
      <c r="C29" s="5" t="s">
        <v>1</v>
      </c>
      <c r="D29" s="4">
        <f>F29/1.21</f>
        <v>157.02479338842977</v>
      </c>
      <c r="E29" s="4">
        <f>D29*10/100</f>
        <v>15.702479338842977</v>
      </c>
      <c r="F29" s="42">
        <v>190</v>
      </c>
      <c r="G29" s="4"/>
      <c r="H29" s="3">
        <f>F29-G29</f>
        <v>190</v>
      </c>
      <c r="I29" s="95" t="s">
        <v>720</v>
      </c>
      <c r="J29" s="91">
        <v>190</v>
      </c>
      <c r="K29" s="91"/>
      <c r="L29" s="5"/>
      <c r="M29" s="90"/>
      <c r="N29" s="89"/>
      <c r="O29" s="89"/>
    </row>
    <row r="30" spans="1:15" x14ac:dyDescent="0.3">
      <c r="A30" s="43">
        <v>45353</v>
      </c>
      <c r="B30" s="5" t="s">
        <v>719</v>
      </c>
      <c r="C30" s="5" t="s">
        <v>1</v>
      </c>
      <c r="D30" s="4">
        <f>F30/1.21</f>
        <v>107.43801652892563</v>
      </c>
      <c r="E30" s="4">
        <f>D30*10/100</f>
        <v>10.743801652892563</v>
      </c>
      <c r="F30" s="42">
        <v>130</v>
      </c>
      <c r="G30" s="4"/>
      <c r="H30" s="3">
        <f>F30-G30</f>
        <v>130</v>
      </c>
      <c r="I30" s="22" t="s">
        <v>332</v>
      </c>
      <c r="J30" s="91">
        <v>130</v>
      </c>
      <c r="K30" s="91"/>
      <c r="L30" s="5"/>
      <c r="M30" s="90"/>
      <c r="N30" s="89"/>
      <c r="O30" s="89"/>
    </row>
    <row r="31" spans="1:15" x14ac:dyDescent="0.3">
      <c r="A31" s="43">
        <v>45353</v>
      </c>
      <c r="B31" s="5" t="s">
        <v>718</v>
      </c>
      <c r="C31" s="5" t="s">
        <v>1</v>
      </c>
      <c r="D31" s="4">
        <f>F31/1.21</f>
        <v>132.2314049586777</v>
      </c>
      <c r="E31" s="4">
        <f>D31*10/100</f>
        <v>13.223140495867769</v>
      </c>
      <c r="F31" s="42">
        <v>160</v>
      </c>
      <c r="G31" s="4"/>
      <c r="H31" s="3">
        <f>F31-G31</f>
        <v>160</v>
      </c>
      <c r="I31" s="22" t="s">
        <v>206</v>
      </c>
      <c r="J31" s="91">
        <v>160</v>
      </c>
      <c r="K31" s="91"/>
      <c r="L31" s="5"/>
      <c r="M31" s="90"/>
      <c r="N31" s="89"/>
      <c r="O31" s="89"/>
    </row>
    <row r="32" spans="1:15" x14ac:dyDescent="0.3">
      <c r="A32" s="43">
        <v>45353</v>
      </c>
      <c r="B32" s="5" t="s">
        <v>717</v>
      </c>
      <c r="C32" s="5" t="s">
        <v>1</v>
      </c>
      <c r="D32" s="4">
        <f>F32/1.21</f>
        <v>140.49586776859505</v>
      </c>
      <c r="E32" s="4">
        <f>D32*10/100</f>
        <v>14.049586776859506</v>
      </c>
      <c r="F32" s="42">
        <v>170</v>
      </c>
      <c r="G32" s="4"/>
      <c r="H32" s="3">
        <f>F32-G32</f>
        <v>170</v>
      </c>
      <c r="I32" s="95" t="s">
        <v>206</v>
      </c>
      <c r="J32" s="91">
        <v>170</v>
      </c>
      <c r="K32" s="91"/>
      <c r="L32" s="5"/>
      <c r="M32" s="90"/>
      <c r="N32" s="89"/>
      <c r="O32" s="89"/>
    </row>
    <row r="33" spans="1:15" x14ac:dyDescent="0.3">
      <c r="A33" s="43">
        <v>45353</v>
      </c>
      <c r="B33" s="5" t="s">
        <v>716</v>
      </c>
      <c r="C33" s="5" t="s">
        <v>1</v>
      </c>
      <c r="D33" s="4">
        <f>F33/1.21</f>
        <v>140.49586776859505</v>
      </c>
      <c r="E33" s="4">
        <f>D33*10/100</f>
        <v>14.049586776859506</v>
      </c>
      <c r="F33" s="42">
        <v>170</v>
      </c>
      <c r="G33" s="4">
        <v>50</v>
      </c>
      <c r="H33" s="3">
        <f>F33-G33</f>
        <v>120</v>
      </c>
      <c r="I33" s="95" t="s">
        <v>715</v>
      </c>
      <c r="J33" s="91">
        <v>170</v>
      </c>
      <c r="K33" s="91"/>
      <c r="L33" s="5"/>
      <c r="M33" s="90"/>
      <c r="N33" s="89"/>
      <c r="O33" s="89"/>
    </row>
    <row r="34" spans="1:15" x14ac:dyDescent="0.3">
      <c r="A34" s="43">
        <v>45354</v>
      </c>
      <c r="B34" s="5" t="s">
        <v>714</v>
      </c>
      <c r="C34" s="5" t="s">
        <v>1</v>
      </c>
      <c r="D34" s="4">
        <f>F34/1.21</f>
        <v>219.00826446280993</v>
      </c>
      <c r="E34" s="4">
        <f>D34*10/100</f>
        <v>21.900826446280995</v>
      </c>
      <c r="F34" s="42">
        <v>265</v>
      </c>
      <c r="G34" s="4">
        <v>50</v>
      </c>
      <c r="H34" s="3">
        <f>F34-G34</f>
        <v>215</v>
      </c>
      <c r="I34" s="95" t="s">
        <v>713</v>
      </c>
      <c r="J34" s="91">
        <v>220</v>
      </c>
      <c r="K34" s="91"/>
      <c r="L34" s="5"/>
      <c r="M34" s="90">
        <v>45</v>
      </c>
      <c r="N34" s="89" t="s">
        <v>14</v>
      </c>
      <c r="O34" s="89"/>
    </row>
    <row r="35" spans="1:15" x14ac:dyDescent="0.3">
      <c r="A35" s="43">
        <v>45354</v>
      </c>
      <c r="B35" s="5" t="s">
        <v>712</v>
      </c>
      <c r="C35" s="5" t="s">
        <v>1</v>
      </c>
      <c r="D35" s="4">
        <f>F35/1.21</f>
        <v>140.49586776859505</v>
      </c>
      <c r="E35" s="4">
        <f>D35*10/100</f>
        <v>14.049586776859506</v>
      </c>
      <c r="F35" s="42">
        <v>170</v>
      </c>
      <c r="G35" s="4">
        <v>170</v>
      </c>
      <c r="H35" s="3">
        <f>F35-G35</f>
        <v>0</v>
      </c>
      <c r="I35" s="95" t="s">
        <v>711</v>
      </c>
      <c r="J35" s="91">
        <v>170</v>
      </c>
      <c r="K35" s="91"/>
      <c r="L35" s="5"/>
      <c r="M35" s="90"/>
      <c r="N35" s="89"/>
      <c r="O35" s="89"/>
    </row>
    <row r="36" spans="1:15" x14ac:dyDescent="0.3">
      <c r="A36" s="43">
        <v>45355</v>
      </c>
      <c r="B36" s="5" t="s">
        <v>710</v>
      </c>
      <c r="C36" s="5" t="s">
        <v>1</v>
      </c>
      <c r="D36" s="4">
        <f>F36/1.21</f>
        <v>214.87603305785126</v>
      </c>
      <c r="E36" s="4">
        <f>D36*10/100</f>
        <v>21.487603305785125</v>
      </c>
      <c r="F36" s="42">
        <v>260</v>
      </c>
      <c r="G36" s="4">
        <v>50</v>
      </c>
      <c r="H36" s="3">
        <f>F36-G36</f>
        <v>210</v>
      </c>
      <c r="I36" s="22" t="s">
        <v>709</v>
      </c>
      <c r="J36" s="91">
        <v>220</v>
      </c>
      <c r="K36" s="91">
        <v>40</v>
      </c>
      <c r="L36" s="5" t="s">
        <v>7</v>
      </c>
      <c r="M36" s="90"/>
      <c r="N36" s="89"/>
      <c r="O36" s="89"/>
    </row>
    <row r="37" spans="1:15" x14ac:dyDescent="0.3">
      <c r="A37" s="43">
        <v>45356</v>
      </c>
      <c r="B37" s="5" t="s">
        <v>708</v>
      </c>
      <c r="C37" s="5" t="s">
        <v>1</v>
      </c>
      <c r="D37" s="4">
        <f>F37/1.21</f>
        <v>140.49586776859505</v>
      </c>
      <c r="E37" s="4">
        <f>D37*10/100</f>
        <v>14.049586776859506</v>
      </c>
      <c r="F37" s="42">
        <v>170</v>
      </c>
      <c r="G37" s="4">
        <v>50</v>
      </c>
      <c r="H37" s="3">
        <f>F37-G37</f>
        <v>120</v>
      </c>
      <c r="I37" s="22" t="s">
        <v>707</v>
      </c>
      <c r="J37" s="91">
        <v>170</v>
      </c>
      <c r="K37" s="91"/>
      <c r="L37" s="5"/>
      <c r="M37" s="90"/>
      <c r="N37" s="89"/>
      <c r="O37" s="89"/>
    </row>
    <row r="38" spans="1:15" x14ac:dyDescent="0.3">
      <c r="A38" s="43">
        <v>45356</v>
      </c>
      <c r="B38" s="5" t="s">
        <v>706</v>
      </c>
      <c r="C38" s="5" t="s">
        <v>1</v>
      </c>
      <c r="D38" s="4">
        <f>F38/1.21</f>
        <v>115.70247933884298</v>
      </c>
      <c r="E38" s="4">
        <f>D38*10/100</f>
        <v>11.570247933884298</v>
      </c>
      <c r="F38" s="23">
        <v>140</v>
      </c>
      <c r="G38" s="23"/>
      <c r="H38" s="3">
        <f>F38-G38</f>
        <v>140</v>
      </c>
      <c r="I38" s="22" t="s">
        <v>206</v>
      </c>
      <c r="J38" s="91">
        <v>140</v>
      </c>
      <c r="K38" s="94"/>
      <c r="L38" s="5"/>
      <c r="M38" s="90"/>
      <c r="N38" s="89"/>
      <c r="O38" s="89"/>
    </row>
    <row r="39" spans="1:15" x14ac:dyDescent="0.3">
      <c r="A39" s="43">
        <v>45357</v>
      </c>
      <c r="B39" s="5" t="s">
        <v>705</v>
      </c>
      <c r="C39" s="5" t="s">
        <v>1</v>
      </c>
      <c r="D39" s="4">
        <f>F39/1.21</f>
        <v>148.7603305785124</v>
      </c>
      <c r="E39" s="4">
        <f>D39*10/100</f>
        <v>14.876033057851238</v>
      </c>
      <c r="F39" s="23">
        <v>180</v>
      </c>
      <c r="G39" s="23"/>
      <c r="H39" s="3">
        <f>F39-G39</f>
        <v>180</v>
      </c>
      <c r="I39" s="22" t="s">
        <v>206</v>
      </c>
      <c r="J39" s="91">
        <v>180</v>
      </c>
      <c r="K39" s="91"/>
      <c r="L39" s="5"/>
      <c r="M39" s="90"/>
      <c r="N39" s="89"/>
      <c r="O39" s="89"/>
    </row>
    <row r="40" spans="1:15" x14ac:dyDescent="0.3">
      <c r="A40" s="26">
        <v>45359</v>
      </c>
      <c r="B40" s="5" t="s">
        <v>704</v>
      </c>
      <c r="C40" s="5" t="s">
        <v>1</v>
      </c>
      <c r="D40" s="4">
        <f>F40/1.21</f>
        <v>140.49586776859505</v>
      </c>
      <c r="E40" s="4">
        <f>D40*10/100</f>
        <v>14.049586776859506</v>
      </c>
      <c r="F40" s="23">
        <v>170</v>
      </c>
      <c r="G40" s="23">
        <v>50</v>
      </c>
      <c r="H40" s="3">
        <f>F40-G40</f>
        <v>120</v>
      </c>
      <c r="I40" s="22" t="s">
        <v>703</v>
      </c>
      <c r="J40" s="91">
        <v>170</v>
      </c>
      <c r="K40" s="91"/>
      <c r="L40" s="5"/>
      <c r="M40" s="90"/>
      <c r="N40" s="89"/>
      <c r="O40" s="89"/>
    </row>
    <row r="41" spans="1:15" x14ac:dyDescent="0.3">
      <c r="A41" s="26">
        <v>45359</v>
      </c>
      <c r="B41" s="5" t="s">
        <v>702</v>
      </c>
      <c r="C41" s="5" t="s">
        <v>1</v>
      </c>
      <c r="D41" s="4">
        <f>F41/1.21</f>
        <v>115.70247933884298</v>
      </c>
      <c r="E41" s="4">
        <f>D41*10/100</f>
        <v>11.570247933884298</v>
      </c>
      <c r="F41" s="23">
        <v>140</v>
      </c>
      <c r="G41" s="23"/>
      <c r="H41" s="3">
        <f>F41-G41</f>
        <v>140</v>
      </c>
      <c r="I41" s="22" t="s">
        <v>206</v>
      </c>
      <c r="J41" s="91">
        <v>140</v>
      </c>
      <c r="K41" s="91"/>
      <c r="L41" s="5"/>
      <c r="M41" s="90"/>
      <c r="N41" s="89"/>
      <c r="O41" s="89"/>
    </row>
    <row r="42" spans="1:15" x14ac:dyDescent="0.3">
      <c r="A42" s="26">
        <v>45359</v>
      </c>
      <c r="B42" s="5" t="s">
        <v>701</v>
      </c>
      <c r="C42" s="5" t="s">
        <v>1</v>
      </c>
      <c r="D42" s="4">
        <f>F42/1.21</f>
        <v>115.70247933884298</v>
      </c>
      <c r="E42" s="4">
        <f>D42*10/100</f>
        <v>11.570247933884298</v>
      </c>
      <c r="F42" s="23">
        <v>140</v>
      </c>
      <c r="G42" s="23"/>
      <c r="H42" s="3">
        <f>F42-G42</f>
        <v>140</v>
      </c>
      <c r="I42" s="22" t="s">
        <v>206</v>
      </c>
      <c r="J42" s="91">
        <v>220</v>
      </c>
      <c r="K42" s="91"/>
      <c r="L42" s="5"/>
      <c r="M42" s="90"/>
      <c r="N42" s="89"/>
      <c r="O42" s="89"/>
    </row>
    <row r="43" spans="1:15" x14ac:dyDescent="0.3">
      <c r="A43" s="26">
        <v>45359</v>
      </c>
      <c r="B43" s="5" t="s">
        <v>700</v>
      </c>
      <c r="C43" s="5" t="s">
        <v>1</v>
      </c>
      <c r="D43" s="4">
        <f>F43/1.21</f>
        <v>181.81818181818181</v>
      </c>
      <c r="E43" s="4">
        <f>D43*10/100</f>
        <v>18.18181818181818</v>
      </c>
      <c r="F43" s="23">
        <v>220</v>
      </c>
      <c r="G43" s="23">
        <v>50</v>
      </c>
      <c r="H43" s="3">
        <f>F43-G43</f>
        <v>170</v>
      </c>
      <c r="I43" s="22" t="s">
        <v>699</v>
      </c>
      <c r="J43" s="91">
        <v>210</v>
      </c>
      <c r="K43" s="91"/>
      <c r="L43" s="5"/>
      <c r="M43" s="90"/>
      <c r="N43" s="89"/>
      <c r="O43" s="89"/>
    </row>
    <row r="44" spans="1:15" x14ac:dyDescent="0.3">
      <c r="A44" s="26">
        <v>45359</v>
      </c>
      <c r="B44" s="5" t="s">
        <v>698</v>
      </c>
      <c r="C44" s="5" t="s">
        <v>1</v>
      </c>
      <c r="D44" s="4">
        <f>F44/1.21</f>
        <v>173.55371900826447</v>
      </c>
      <c r="E44" s="4">
        <f>D44*10/100</f>
        <v>17.355371900826448</v>
      </c>
      <c r="F44" s="23">
        <v>210</v>
      </c>
      <c r="G44" s="23">
        <v>50</v>
      </c>
      <c r="H44" s="3">
        <f>F44-G44</f>
        <v>160</v>
      </c>
      <c r="I44" s="22" t="s">
        <v>697</v>
      </c>
      <c r="J44" s="91">
        <v>140</v>
      </c>
      <c r="K44" s="91"/>
      <c r="L44" s="5"/>
      <c r="M44" s="90"/>
      <c r="N44" s="89"/>
      <c r="O44" s="89"/>
    </row>
    <row r="45" spans="1:15" x14ac:dyDescent="0.3">
      <c r="A45" s="26">
        <v>45359</v>
      </c>
      <c r="B45" s="5" t="s">
        <v>696</v>
      </c>
      <c r="C45" s="5" t="s">
        <v>1</v>
      </c>
      <c r="D45" s="4">
        <f>F45/1.21</f>
        <v>239.6694214876033</v>
      </c>
      <c r="E45" s="4">
        <f>D45*10/100</f>
        <v>23.966942148760332</v>
      </c>
      <c r="F45" s="23">
        <v>290</v>
      </c>
      <c r="G45" s="23">
        <v>50</v>
      </c>
      <c r="H45" s="3">
        <f>F45-G45</f>
        <v>240</v>
      </c>
      <c r="I45" s="22" t="s">
        <v>695</v>
      </c>
      <c r="J45" s="91">
        <v>270</v>
      </c>
      <c r="K45" s="91">
        <v>20</v>
      </c>
      <c r="L45" s="5" t="s">
        <v>7</v>
      </c>
      <c r="M45" s="90"/>
      <c r="N45" s="89"/>
      <c r="O45" s="89"/>
    </row>
    <row r="46" spans="1:15" x14ac:dyDescent="0.3">
      <c r="A46" s="26">
        <v>45359</v>
      </c>
      <c r="B46" s="5" t="s">
        <v>694</v>
      </c>
      <c r="C46" s="5" t="s">
        <v>1</v>
      </c>
      <c r="D46" s="4">
        <f>F46/1.21</f>
        <v>181.81818181818181</v>
      </c>
      <c r="E46" s="4">
        <f>D46*10/100</f>
        <v>18.18181818181818</v>
      </c>
      <c r="F46" s="23">
        <v>220</v>
      </c>
      <c r="G46" s="23">
        <v>50</v>
      </c>
      <c r="H46" s="3">
        <f>F46-G46</f>
        <v>170</v>
      </c>
      <c r="I46" s="22" t="s">
        <v>693</v>
      </c>
      <c r="J46" s="91">
        <v>170</v>
      </c>
      <c r="K46" s="91"/>
      <c r="L46" s="5"/>
      <c r="M46" s="90"/>
      <c r="N46" s="89"/>
      <c r="O46" s="89"/>
    </row>
    <row r="47" spans="1:15" x14ac:dyDescent="0.3">
      <c r="A47" s="26">
        <v>45359</v>
      </c>
      <c r="B47" s="5" t="s">
        <v>692</v>
      </c>
      <c r="C47" s="5" t="s">
        <v>1</v>
      </c>
      <c r="D47" s="4">
        <f>F47/1.21</f>
        <v>181.81818181818181</v>
      </c>
      <c r="E47" s="4">
        <f>D47*10/100</f>
        <v>18.18181818181818</v>
      </c>
      <c r="F47" s="23">
        <v>220</v>
      </c>
      <c r="G47" s="23">
        <v>50</v>
      </c>
      <c r="H47" s="3">
        <f>F47-G47</f>
        <v>170</v>
      </c>
      <c r="I47" s="22" t="s">
        <v>691</v>
      </c>
      <c r="J47" s="91">
        <v>220</v>
      </c>
      <c r="K47" s="91"/>
      <c r="L47" s="5"/>
      <c r="M47" s="90"/>
      <c r="N47" s="89"/>
      <c r="O47" s="89"/>
    </row>
    <row r="48" spans="1:15" x14ac:dyDescent="0.3">
      <c r="A48" s="26">
        <v>45359</v>
      </c>
      <c r="B48" s="5" t="s">
        <v>690</v>
      </c>
      <c r="C48" s="5" t="s">
        <v>1</v>
      </c>
      <c r="D48" s="4">
        <f>F48/1.21</f>
        <v>206.61157024793388</v>
      </c>
      <c r="E48" s="4">
        <f>D48*10/100</f>
        <v>20.661157024793386</v>
      </c>
      <c r="F48" s="23">
        <v>250</v>
      </c>
      <c r="G48" s="23">
        <v>50</v>
      </c>
      <c r="H48" s="3">
        <f>F48-G48</f>
        <v>200</v>
      </c>
      <c r="I48" s="22" t="s">
        <v>689</v>
      </c>
      <c r="J48" s="91">
        <v>220</v>
      </c>
      <c r="K48" s="91">
        <v>30</v>
      </c>
      <c r="L48" s="5" t="s">
        <v>7</v>
      </c>
      <c r="M48" s="90"/>
      <c r="N48" s="89"/>
      <c r="O48" s="89"/>
    </row>
    <row r="49" spans="1:15" x14ac:dyDescent="0.3">
      <c r="A49" s="26">
        <v>45360</v>
      </c>
      <c r="B49" s="5" t="s">
        <v>688</v>
      </c>
      <c r="C49" s="5" t="s">
        <v>1</v>
      </c>
      <c r="D49" s="4">
        <f>F49/1.21</f>
        <v>256.198347107438</v>
      </c>
      <c r="E49" s="4">
        <f>D49*10/100</f>
        <v>25.619834710743799</v>
      </c>
      <c r="F49" s="23">
        <v>310</v>
      </c>
      <c r="G49" s="23">
        <v>310</v>
      </c>
      <c r="H49" s="3">
        <f>F49-G49</f>
        <v>0</v>
      </c>
      <c r="I49" s="22" t="s">
        <v>687</v>
      </c>
      <c r="J49" s="91">
        <v>310</v>
      </c>
      <c r="K49" s="91"/>
      <c r="L49" s="5"/>
      <c r="M49" s="90"/>
      <c r="N49" s="89"/>
      <c r="O49" s="89"/>
    </row>
    <row r="50" spans="1:15" x14ac:dyDescent="0.3">
      <c r="A50" s="26">
        <v>45360</v>
      </c>
      <c r="B50" s="5" t="s">
        <v>686</v>
      </c>
      <c r="C50" s="5" t="s">
        <v>1</v>
      </c>
      <c r="D50" s="4">
        <f>F50/1.21</f>
        <v>223.14049586776861</v>
      </c>
      <c r="E50" s="4">
        <f>D50*10/100</f>
        <v>22.314049586776861</v>
      </c>
      <c r="F50" s="23">
        <v>270</v>
      </c>
      <c r="G50" s="23">
        <v>50</v>
      </c>
      <c r="H50" s="3">
        <f>F50-G50</f>
        <v>220</v>
      </c>
      <c r="I50" s="22" t="s">
        <v>685</v>
      </c>
      <c r="J50" s="91">
        <v>270</v>
      </c>
      <c r="K50" s="91"/>
      <c r="L50" s="5"/>
      <c r="M50" s="90"/>
      <c r="N50" s="89"/>
      <c r="O50" s="89"/>
    </row>
    <row r="51" spans="1:15" x14ac:dyDescent="0.3">
      <c r="A51" s="26">
        <v>45360</v>
      </c>
      <c r="B51" s="5" t="s">
        <v>684</v>
      </c>
      <c r="C51" s="5" t="s">
        <v>1</v>
      </c>
      <c r="D51" s="4">
        <f>F51/1.21</f>
        <v>223.14049586776861</v>
      </c>
      <c r="E51" s="4">
        <f>D51*10/100</f>
        <v>22.314049586776861</v>
      </c>
      <c r="F51" s="23">
        <v>270</v>
      </c>
      <c r="G51" s="23">
        <v>270</v>
      </c>
      <c r="H51" s="3">
        <f>F51-G51</f>
        <v>0</v>
      </c>
      <c r="I51" s="22" t="s">
        <v>646</v>
      </c>
      <c r="J51" s="91">
        <v>270</v>
      </c>
      <c r="K51" s="91"/>
      <c r="L51" s="5"/>
      <c r="M51" s="90"/>
      <c r="N51" s="89"/>
      <c r="O51" s="89"/>
    </row>
    <row r="52" spans="1:15" x14ac:dyDescent="0.3">
      <c r="A52" s="40">
        <v>45360</v>
      </c>
      <c r="B52" s="5" t="s">
        <v>683</v>
      </c>
      <c r="C52" s="5" t="s">
        <v>1</v>
      </c>
      <c r="D52" s="4">
        <f>F52/1.21</f>
        <v>276.85950413223139</v>
      </c>
      <c r="E52" s="4">
        <f>D52*10/100</f>
        <v>27.685950413223139</v>
      </c>
      <c r="F52" s="23">
        <v>335</v>
      </c>
      <c r="G52" s="23">
        <v>50</v>
      </c>
      <c r="H52" s="3">
        <f>F52-G52</f>
        <v>285</v>
      </c>
      <c r="I52" s="93" t="s">
        <v>682</v>
      </c>
      <c r="J52" s="82">
        <v>270</v>
      </c>
      <c r="K52" s="82">
        <v>20</v>
      </c>
      <c r="L52" s="1" t="s">
        <v>7</v>
      </c>
      <c r="M52" s="90">
        <v>45</v>
      </c>
      <c r="N52" s="89" t="s">
        <v>14</v>
      </c>
      <c r="O52" s="92"/>
    </row>
    <row r="53" spans="1:15" x14ac:dyDescent="0.3">
      <c r="A53" s="26">
        <v>45360</v>
      </c>
      <c r="B53" s="5" t="s">
        <v>681</v>
      </c>
      <c r="C53" s="5" t="s">
        <v>1</v>
      </c>
      <c r="D53" s="4">
        <f>F53/1.21</f>
        <v>206.61157024793388</v>
      </c>
      <c r="E53" s="4">
        <f>D53*10/100</f>
        <v>20.661157024793386</v>
      </c>
      <c r="F53" s="23">
        <v>250</v>
      </c>
      <c r="G53" s="23">
        <v>50</v>
      </c>
      <c r="H53" s="3">
        <f>F53-G53</f>
        <v>200</v>
      </c>
      <c r="I53" s="22" t="s">
        <v>680</v>
      </c>
      <c r="J53" s="91">
        <v>220</v>
      </c>
      <c r="K53" s="91">
        <v>30</v>
      </c>
      <c r="L53" s="5" t="s">
        <v>7</v>
      </c>
      <c r="M53" s="90"/>
      <c r="N53" s="89"/>
      <c r="O53" s="89"/>
    </row>
    <row r="54" spans="1:15" x14ac:dyDescent="0.3">
      <c r="A54" s="26">
        <v>45360</v>
      </c>
      <c r="B54" s="5" t="s">
        <v>679</v>
      </c>
      <c r="C54" s="5" t="s">
        <v>1</v>
      </c>
      <c r="D54" s="4">
        <f>F54/1.21</f>
        <v>115.70247933884298</v>
      </c>
      <c r="E54" s="4">
        <f>D54*10/100</f>
        <v>11.570247933884298</v>
      </c>
      <c r="F54" s="23">
        <v>140</v>
      </c>
      <c r="G54" s="23"/>
      <c r="H54" s="3">
        <f>F54-G54</f>
        <v>140</v>
      </c>
      <c r="I54" s="22" t="s">
        <v>206</v>
      </c>
      <c r="J54" s="91">
        <v>140</v>
      </c>
      <c r="K54" s="91"/>
      <c r="L54" s="5"/>
      <c r="M54" s="90"/>
      <c r="N54" s="89"/>
      <c r="O54" s="89"/>
    </row>
    <row r="55" spans="1:15" x14ac:dyDescent="0.3">
      <c r="A55" s="26">
        <v>45360</v>
      </c>
      <c r="B55" s="5" t="s">
        <v>678</v>
      </c>
      <c r="C55" s="5" t="s">
        <v>1</v>
      </c>
      <c r="D55" s="4">
        <f>F55/1.21</f>
        <v>140.49586776859505</v>
      </c>
      <c r="E55" s="4">
        <f>D55*10/100</f>
        <v>14.049586776859506</v>
      </c>
      <c r="F55" s="23">
        <v>170</v>
      </c>
      <c r="G55" s="23">
        <v>50</v>
      </c>
      <c r="H55" s="3">
        <f>F55-G55</f>
        <v>120</v>
      </c>
      <c r="I55" s="22" t="s">
        <v>677</v>
      </c>
      <c r="J55" s="91">
        <v>170</v>
      </c>
      <c r="K55" s="91"/>
      <c r="L55" s="5"/>
      <c r="M55" s="90"/>
      <c r="N55" s="89"/>
      <c r="O55" s="89"/>
    </row>
    <row r="56" spans="1:15" x14ac:dyDescent="0.3">
      <c r="A56" s="26">
        <v>45360</v>
      </c>
      <c r="B56" s="5" t="s">
        <v>676</v>
      </c>
      <c r="C56" s="5" t="s">
        <v>1</v>
      </c>
      <c r="D56" s="4">
        <f>F56/1.21</f>
        <v>140.49586776859505</v>
      </c>
      <c r="E56" s="4">
        <f>D56*10/100</f>
        <v>14.049586776859506</v>
      </c>
      <c r="F56" s="23">
        <v>170</v>
      </c>
      <c r="G56" s="23">
        <v>50</v>
      </c>
      <c r="H56" s="3">
        <f>F56-G56</f>
        <v>120</v>
      </c>
      <c r="I56" s="22" t="s">
        <v>87</v>
      </c>
      <c r="J56" s="91">
        <v>170</v>
      </c>
      <c r="K56" s="91"/>
      <c r="L56" s="5"/>
      <c r="M56" s="90"/>
      <c r="N56" s="89"/>
      <c r="O56" s="89"/>
    </row>
    <row r="57" spans="1:15" x14ac:dyDescent="0.3">
      <c r="A57" s="26">
        <v>45360</v>
      </c>
      <c r="B57" s="5" t="s">
        <v>675</v>
      </c>
      <c r="C57" s="5" t="s">
        <v>1</v>
      </c>
      <c r="D57" s="4">
        <f>F57/1.21</f>
        <v>115.70247933884298</v>
      </c>
      <c r="E57" s="4">
        <f>D57*10/100</f>
        <v>11.570247933884298</v>
      </c>
      <c r="F57" s="23">
        <v>140</v>
      </c>
      <c r="G57" s="23"/>
      <c r="H57" s="3">
        <f>F57-G57</f>
        <v>140</v>
      </c>
      <c r="I57" s="22" t="s">
        <v>206</v>
      </c>
      <c r="J57" s="91">
        <v>140</v>
      </c>
      <c r="K57" s="91"/>
      <c r="L57" s="5"/>
      <c r="M57" s="90"/>
      <c r="N57" s="89"/>
      <c r="O57" s="89"/>
    </row>
    <row r="58" spans="1:15" x14ac:dyDescent="0.3">
      <c r="A58" s="40">
        <v>45360</v>
      </c>
      <c r="B58" s="5" t="s">
        <v>674</v>
      </c>
      <c r="C58" s="5" t="s">
        <v>1</v>
      </c>
      <c r="D58" s="4">
        <f>F58/1.21</f>
        <v>107.43801652892563</v>
      </c>
      <c r="E58" s="4">
        <f>D58*10/100</f>
        <v>10.743801652892563</v>
      </c>
      <c r="F58" s="23">
        <v>130</v>
      </c>
      <c r="G58" s="23"/>
      <c r="H58" s="3">
        <f>F58-G58</f>
        <v>130</v>
      </c>
      <c r="I58" s="22" t="s">
        <v>332</v>
      </c>
      <c r="J58" s="91">
        <v>130</v>
      </c>
      <c r="K58" s="91"/>
      <c r="L58" s="5"/>
      <c r="M58" s="90"/>
      <c r="N58" s="89"/>
      <c r="O58" s="89"/>
    </row>
    <row r="59" spans="1:15" x14ac:dyDescent="0.3">
      <c r="A59" s="26">
        <v>45360</v>
      </c>
      <c r="B59" s="5" t="s">
        <v>673</v>
      </c>
      <c r="C59" s="5" t="s">
        <v>1</v>
      </c>
      <c r="D59" s="4">
        <f>F59/1.21</f>
        <v>140.49586776859505</v>
      </c>
      <c r="E59" s="4">
        <f>D59*10/100</f>
        <v>14.049586776859506</v>
      </c>
      <c r="F59" s="23">
        <v>170</v>
      </c>
      <c r="G59" s="23">
        <v>50</v>
      </c>
      <c r="H59" s="3">
        <f>F59-G59</f>
        <v>120</v>
      </c>
      <c r="I59" s="22" t="s">
        <v>672</v>
      </c>
      <c r="J59" s="91">
        <v>170</v>
      </c>
      <c r="K59" s="91"/>
      <c r="L59" s="5"/>
      <c r="M59" s="90"/>
      <c r="N59" s="89"/>
      <c r="O59" s="89"/>
    </row>
    <row r="60" spans="1:15" x14ac:dyDescent="0.3">
      <c r="A60" s="26">
        <v>45360</v>
      </c>
      <c r="B60" s="5" t="s">
        <v>671</v>
      </c>
      <c r="C60" s="5" t="s">
        <v>1</v>
      </c>
      <c r="D60" s="4">
        <f>F60/1.21</f>
        <v>173.55371900826447</v>
      </c>
      <c r="E60" s="4">
        <f>D60*10/100</f>
        <v>17.355371900826448</v>
      </c>
      <c r="F60" s="23">
        <v>210</v>
      </c>
      <c r="G60" s="23">
        <v>50</v>
      </c>
      <c r="H60" s="3">
        <f>F60-G60</f>
        <v>160</v>
      </c>
      <c r="I60" s="22" t="s">
        <v>670</v>
      </c>
      <c r="J60" s="91">
        <v>170</v>
      </c>
      <c r="K60" s="91">
        <v>40</v>
      </c>
      <c r="L60" s="5" t="s">
        <v>7</v>
      </c>
      <c r="M60" s="90"/>
      <c r="N60" s="89"/>
      <c r="O60" s="89"/>
    </row>
    <row r="61" spans="1:15" x14ac:dyDescent="0.3">
      <c r="A61" s="26">
        <v>45360</v>
      </c>
      <c r="B61" s="5" t="s">
        <v>669</v>
      </c>
      <c r="C61" s="5" t="s">
        <v>1</v>
      </c>
      <c r="D61" s="4">
        <f>F61/1.21</f>
        <v>115.70247933884298</v>
      </c>
      <c r="E61" s="4">
        <f>D61*10/100</f>
        <v>11.570247933884298</v>
      </c>
      <c r="F61" s="23">
        <v>140</v>
      </c>
      <c r="G61" s="23"/>
      <c r="H61" s="3">
        <f>F61-G61</f>
        <v>140</v>
      </c>
      <c r="I61" s="22" t="s">
        <v>668</v>
      </c>
      <c r="J61" s="91">
        <v>140</v>
      </c>
      <c r="K61" s="91"/>
      <c r="L61" s="5"/>
      <c r="M61" s="90"/>
      <c r="N61" s="89"/>
      <c r="O61" s="89"/>
    </row>
    <row r="62" spans="1:15" x14ac:dyDescent="0.3">
      <c r="A62" s="26">
        <v>45360</v>
      </c>
      <c r="B62" s="5" t="s">
        <v>667</v>
      </c>
      <c r="C62" s="5" t="s">
        <v>1</v>
      </c>
      <c r="D62" s="4">
        <f>F62/1.21</f>
        <v>140.49586776859505</v>
      </c>
      <c r="E62" s="4">
        <f>D62*10/100</f>
        <v>14.049586776859506</v>
      </c>
      <c r="F62" s="23">
        <v>170</v>
      </c>
      <c r="G62" s="23">
        <v>50</v>
      </c>
      <c r="H62" s="3">
        <f>F62-G62</f>
        <v>120</v>
      </c>
      <c r="I62" s="22" t="s">
        <v>666</v>
      </c>
      <c r="J62" s="91">
        <v>170</v>
      </c>
      <c r="K62" s="91"/>
      <c r="L62" s="5"/>
      <c r="M62" s="90"/>
      <c r="N62" s="89"/>
      <c r="O62" s="89"/>
    </row>
    <row r="63" spans="1:15" x14ac:dyDescent="0.3">
      <c r="A63" s="26">
        <v>45360</v>
      </c>
      <c r="B63" s="5" t="s">
        <v>665</v>
      </c>
      <c r="C63" s="5" t="s">
        <v>1</v>
      </c>
      <c r="D63" s="4">
        <f>F63/1.21</f>
        <v>140.49586776859505</v>
      </c>
      <c r="E63" s="4">
        <f>D63*10/100</f>
        <v>14.049586776859506</v>
      </c>
      <c r="F63" s="23">
        <v>170</v>
      </c>
      <c r="G63" s="23">
        <v>50</v>
      </c>
      <c r="H63" s="3">
        <f>F63-G63</f>
        <v>120</v>
      </c>
      <c r="I63" s="22" t="s">
        <v>227</v>
      </c>
      <c r="J63" s="91">
        <v>170</v>
      </c>
      <c r="K63" s="91"/>
      <c r="L63" s="5"/>
      <c r="M63" s="90"/>
      <c r="N63" s="89"/>
      <c r="O63" s="89"/>
    </row>
    <row r="64" spans="1:15" x14ac:dyDescent="0.3">
      <c r="A64" s="40">
        <v>45360</v>
      </c>
      <c r="B64" s="5" t="s">
        <v>664</v>
      </c>
      <c r="C64" s="5" t="s">
        <v>1</v>
      </c>
      <c r="D64" s="4">
        <f>F64/1.21</f>
        <v>173.55371900826447</v>
      </c>
      <c r="E64" s="4">
        <f>D64*10/100</f>
        <v>17.355371900826448</v>
      </c>
      <c r="F64" s="23">
        <v>210</v>
      </c>
      <c r="G64" s="23">
        <v>50</v>
      </c>
      <c r="H64" s="3">
        <f>F64-G64</f>
        <v>160</v>
      </c>
      <c r="I64" s="22" t="s">
        <v>663</v>
      </c>
      <c r="J64" s="91">
        <v>170</v>
      </c>
      <c r="K64" s="91">
        <v>40</v>
      </c>
      <c r="L64" s="5" t="s">
        <v>7</v>
      </c>
      <c r="M64" s="90"/>
      <c r="N64" s="89"/>
      <c r="O64" s="89"/>
    </row>
    <row r="65" spans="1:15" x14ac:dyDescent="0.3">
      <c r="A65" s="26">
        <v>45360</v>
      </c>
      <c r="B65" s="5" t="s">
        <v>662</v>
      </c>
      <c r="C65" s="5" t="s">
        <v>1</v>
      </c>
      <c r="D65" s="4">
        <f>F65/1.21</f>
        <v>140.49586776859505</v>
      </c>
      <c r="E65" s="4">
        <f>D65*10/100</f>
        <v>14.049586776859506</v>
      </c>
      <c r="F65" s="23">
        <v>170</v>
      </c>
      <c r="G65" s="23"/>
      <c r="H65" s="3">
        <f>F65-G65</f>
        <v>170</v>
      </c>
      <c r="I65" s="22" t="s">
        <v>10</v>
      </c>
      <c r="J65" s="91">
        <v>170</v>
      </c>
      <c r="K65" s="91"/>
      <c r="L65" s="5"/>
      <c r="M65" s="90"/>
      <c r="N65" s="89"/>
      <c r="O65" s="89"/>
    </row>
    <row r="66" spans="1:15" x14ac:dyDescent="0.3">
      <c r="A66" s="26">
        <v>45360</v>
      </c>
      <c r="B66" s="5" t="s">
        <v>661</v>
      </c>
      <c r="C66" s="5" t="s">
        <v>1</v>
      </c>
      <c r="D66" s="4">
        <f>F66/1.21</f>
        <v>140.49586776859505</v>
      </c>
      <c r="E66" s="4">
        <f>D66*10/100</f>
        <v>14.049586776859506</v>
      </c>
      <c r="F66" s="23">
        <v>170</v>
      </c>
      <c r="G66" s="23">
        <v>50</v>
      </c>
      <c r="H66" s="3">
        <f>F66-G66</f>
        <v>120</v>
      </c>
      <c r="I66" s="22" t="s">
        <v>660</v>
      </c>
      <c r="J66" s="91">
        <v>170</v>
      </c>
      <c r="K66" s="91"/>
      <c r="L66" s="5"/>
      <c r="M66" s="90"/>
      <c r="N66" s="89"/>
      <c r="O66" s="89"/>
    </row>
    <row r="67" spans="1:15" x14ac:dyDescent="0.3">
      <c r="A67" s="26">
        <v>45360</v>
      </c>
      <c r="B67" s="5" t="s">
        <v>659</v>
      </c>
      <c r="C67" s="5" t="s">
        <v>1</v>
      </c>
      <c r="D67" s="4">
        <f>F67/1.21</f>
        <v>107.43801652892563</v>
      </c>
      <c r="E67" s="4">
        <f>D67*10/100</f>
        <v>10.743801652892563</v>
      </c>
      <c r="F67" s="23">
        <v>130</v>
      </c>
      <c r="G67" s="23"/>
      <c r="H67" s="3">
        <f>F67-G67</f>
        <v>130</v>
      </c>
      <c r="I67" s="22" t="s">
        <v>332</v>
      </c>
      <c r="J67" s="91">
        <v>130</v>
      </c>
      <c r="K67" s="91"/>
      <c r="L67" s="5"/>
      <c r="M67" s="90"/>
      <c r="N67" s="89"/>
      <c r="O67" s="89"/>
    </row>
    <row r="68" spans="1:15" x14ac:dyDescent="0.3">
      <c r="A68" s="26">
        <v>45360</v>
      </c>
      <c r="B68" s="5" t="s">
        <v>658</v>
      </c>
      <c r="C68" s="5" t="s">
        <v>1</v>
      </c>
      <c r="D68" s="4">
        <f>F68/1.21</f>
        <v>107.43801652892563</v>
      </c>
      <c r="E68" s="4">
        <f>D68*10/100</f>
        <v>10.743801652892563</v>
      </c>
      <c r="F68" s="23">
        <v>130</v>
      </c>
      <c r="G68" s="23"/>
      <c r="H68" s="3">
        <f>F68-G68</f>
        <v>130</v>
      </c>
      <c r="I68" s="22" t="s">
        <v>332</v>
      </c>
      <c r="J68" s="91">
        <v>130</v>
      </c>
      <c r="K68" s="91"/>
      <c r="L68" s="5"/>
      <c r="M68" s="90"/>
      <c r="N68" s="89"/>
      <c r="O68" s="89"/>
    </row>
    <row r="69" spans="1:15" x14ac:dyDescent="0.3">
      <c r="A69" s="40">
        <v>45360</v>
      </c>
      <c r="B69" s="5" t="s">
        <v>657</v>
      </c>
      <c r="C69" s="5" t="s">
        <v>1</v>
      </c>
      <c r="D69" s="4">
        <f>F69/1.21</f>
        <v>140.49586776859505</v>
      </c>
      <c r="E69" s="4">
        <f>D69*10/100</f>
        <v>14.049586776859506</v>
      </c>
      <c r="F69" s="23">
        <v>170</v>
      </c>
      <c r="G69" s="23">
        <v>50</v>
      </c>
      <c r="H69" s="3">
        <f>F69-G69</f>
        <v>120</v>
      </c>
      <c r="I69" s="22" t="s">
        <v>656</v>
      </c>
      <c r="J69" s="91">
        <v>170</v>
      </c>
      <c r="K69" s="91"/>
      <c r="L69" s="5"/>
      <c r="M69" s="90"/>
      <c r="N69" s="89"/>
      <c r="O69" s="89"/>
    </row>
    <row r="70" spans="1:15" x14ac:dyDescent="0.3">
      <c r="A70" s="26">
        <v>45360</v>
      </c>
      <c r="B70" s="5" t="s">
        <v>655</v>
      </c>
      <c r="C70" s="5" t="s">
        <v>1</v>
      </c>
      <c r="D70" s="4">
        <f>F70/1.21</f>
        <v>140.49586776859505</v>
      </c>
      <c r="E70" s="4">
        <f>D70*10/100</f>
        <v>14.049586776859506</v>
      </c>
      <c r="F70" s="23">
        <v>170</v>
      </c>
      <c r="G70" s="23">
        <v>50</v>
      </c>
      <c r="H70" s="3">
        <f>F70-G70</f>
        <v>120</v>
      </c>
      <c r="I70" s="22" t="s">
        <v>10</v>
      </c>
      <c r="J70" s="91">
        <v>170</v>
      </c>
      <c r="K70" s="91"/>
      <c r="L70" s="5"/>
      <c r="M70" s="90"/>
      <c r="N70" s="89"/>
      <c r="O70" s="89"/>
    </row>
    <row r="71" spans="1:15" x14ac:dyDescent="0.3">
      <c r="A71" s="26">
        <v>45360</v>
      </c>
      <c r="B71" s="5" t="s">
        <v>654</v>
      </c>
      <c r="C71" s="5" t="s">
        <v>1</v>
      </c>
      <c r="D71" s="4">
        <f>F71/1.21</f>
        <v>181.81818181818181</v>
      </c>
      <c r="E71" s="4">
        <f>D71*10/100</f>
        <v>18.18181818181818</v>
      </c>
      <c r="F71" s="23">
        <v>220</v>
      </c>
      <c r="G71" s="23">
        <v>50</v>
      </c>
      <c r="H71" s="3">
        <f>F71-G71</f>
        <v>170</v>
      </c>
      <c r="I71" s="22" t="s">
        <v>653</v>
      </c>
      <c r="J71" s="91">
        <v>220</v>
      </c>
      <c r="K71" s="91"/>
      <c r="L71" s="5"/>
      <c r="M71" s="90"/>
      <c r="N71" s="89"/>
      <c r="O71" s="89"/>
    </row>
    <row r="72" spans="1:15" x14ac:dyDescent="0.3">
      <c r="A72" s="26">
        <v>45360</v>
      </c>
      <c r="B72" s="5" t="s">
        <v>652</v>
      </c>
      <c r="C72" s="5" t="s">
        <v>1</v>
      </c>
      <c r="D72" s="4">
        <f>F72/1.21</f>
        <v>181.81818181818181</v>
      </c>
      <c r="E72" s="4">
        <f>D72*10/100</f>
        <v>18.18181818181818</v>
      </c>
      <c r="F72" s="23">
        <v>220</v>
      </c>
      <c r="G72" s="23">
        <v>220</v>
      </c>
      <c r="H72" s="3">
        <f>F72-G72</f>
        <v>0</v>
      </c>
      <c r="I72" s="22" t="s">
        <v>567</v>
      </c>
      <c r="J72" s="91">
        <v>220</v>
      </c>
      <c r="K72" s="91"/>
      <c r="L72" s="5"/>
      <c r="M72" s="90"/>
      <c r="N72" s="89"/>
      <c r="O72" s="89"/>
    </row>
    <row r="73" spans="1:15" x14ac:dyDescent="0.3">
      <c r="A73" s="26">
        <v>45360</v>
      </c>
      <c r="B73" s="5" t="s">
        <v>651</v>
      </c>
      <c r="C73" s="5" t="s">
        <v>1</v>
      </c>
      <c r="D73" s="4">
        <f>F73/1.21</f>
        <v>165.28925619834712</v>
      </c>
      <c r="E73" s="4">
        <f>D73*10/100</f>
        <v>16.528925619834713</v>
      </c>
      <c r="F73" s="23">
        <v>200</v>
      </c>
      <c r="G73" s="23">
        <v>50</v>
      </c>
      <c r="H73" s="3">
        <f>F73-G73</f>
        <v>150</v>
      </c>
      <c r="I73" s="22" t="s">
        <v>650</v>
      </c>
      <c r="J73" s="91">
        <v>220</v>
      </c>
      <c r="K73" s="91">
        <v>30</v>
      </c>
      <c r="L73" s="5" t="s">
        <v>7</v>
      </c>
      <c r="M73" s="90"/>
      <c r="N73" s="89"/>
      <c r="O73" s="89"/>
    </row>
    <row r="74" spans="1:15" x14ac:dyDescent="0.3">
      <c r="A74" s="26">
        <v>45360</v>
      </c>
      <c r="B74" s="5" t="s">
        <v>649</v>
      </c>
      <c r="C74" s="5" t="s">
        <v>1</v>
      </c>
      <c r="D74" s="4">
        <f>F74/1.21</f>
        <v>165.28925619834712</v>
      </c>
      <c r="E74" s="4">
        <f>D74*10/100</f>
        <v>16.528925619834713</v>
      </c>
      <c r="F74" s="23">
        <v>200</v>
      </c>
      <c r="G74" s="23"/>
      <c r="H74" s="3">
        <f>F74-G74</f>
        <v>200</v>
      </c>
      <c r="I74" s="22" t="s">
        <v>206</v>
      </c>
      <c r="J74" s="91">
        <v>200</v>
      </c>
      <c r="K74" s="91"/>
      <c r="L74" s="5"/>
      <c r="M74" s="90"/>
      <c r="N74" s="89"/>
      <c r="O74" s="89"/>
    </row>
    <row r="75" spans="1:15" x14ac:dyDescent="0.3">
      <c r="A75" s="40">
        <v>45360</v>
      </c>
      <c r="B75" s="5" t="s">
        <v>648</v>
      </c>
      <c r="C75" s="5" t="s">
        <v>1</v>
      </c>
      <c r="D75" s="4">
        <f>F75/1.21</f>
        <v>148.7603305785124</v>
      </c>
      <c r="E75" s="4">
        <f>D75*10/100</f>
        <v>14.876033057851238</v>
      </c>
      <c r="F75" s="23">
        <v>180</v>
      </c>
      <c r="G75" s="27"/>
      <c r="H75" s="3">
        <f>F75-G75</f>
        <v>180</v>
      </c>
      <c r="I75" s="22" t="s">
        <v>206</v>
      </c>
      <c r="J75" s="91">
        <v>180</v>
      </c>
      <c r="K75" s="91"/>
      <c r="L75" s="5"/>
      <c r="M75" s="90"/>
      <c r="N75" s="89"/>
      <c r="O75" s="89"/>
    </row>
    <row r="76" spans="1:15" x14ac:dyDescent="0.3">
      <c r="A76" s="26">
        <v>45360</v>
      </c>
      <c r="B76" s="5" t="s">
        <v>647</v>
      </c>
      <c r="C76" s="5" t="s">
        <v>1</v>
      </c>
      <c r="D76" s="4">
        <f>F76/1.21</f>
        <v>181.81818181818181</v>
      </c>
      <c r="E76" s="4">
        <f>D76*10/100</f>
        <v>18.18181818181818</v>
      </c>
      <c r="F76" s="23">
        <v>220</v>
      </c>
      <c r="G76" s="23">
        <v>220</v>
      </c>
      <c r="H76" s="3">
        <f>F76-G76</f>
        <v>0</v>
      </c>
      <c r="I76" s="22" t="s">
        <v>646</v>
      </c>
      <c r="J76" s="91">
        <v>220</v>
      </c>
      <c r="K76" s="91"/>
      <c r="L76" s="5"/>
      <c r="M76" s="90"/>
      <c r="N76" s="89"/>
      <c r="O76" s="89"/>
    </row>
    <row r="77" spans="1:15" x14ac:dyDescent="0.3">
      <c r="A77" s="26">
        <v>45360</v>
      </c>
      <c r="B77" s="5" t="s">
        <v>645</v>
      </c>
      <c r="C77" s="5" t="s">
        <v>1</v>
      </c>
      <c r="D77" s="4">
        <f>F77/1.21</f>
        <v>181.81818181818181</v>
      </c>
      <c r="E77" s="4">
        <f>D77*10/100</f>
        <v>18.18181818181818</v>
      </c>
      <c r="F77" s="23">
        <v>220</v>
      </c>
      <c r="G77" s="23"/>
      <c r="H77" s="3">
        <f>F77-G77</f>
        <v>220</v>
      </c>
      <c r="I77" s="22" t="s">
        <v>644</v>
      </c>
      <c r="J77" s="91">
        <v>220</v>
      </c>
      <c r="K77" s="36"/>
      <c r="L77" s="5"/>
      <c r="M77" s="90"/>
      <c r="N77" s="89"/>
      <c r="O77" s="89"/>
    </row>
    <row r="78" spans="1:15" x14ac:dyDescent="0.3">
      <c r="A78" s="26">
        <v>45361</v>
      </c>
      <c r="B78" s="5" t="s">
        <v>643</v>
      </c>
      <c r="C78" s="5" t="s">
        <v>1</v>
      </c>
      <c r="D78" s="4">
        <f>F78/1.21</f>
        <v>181.81818181818181</v>
      </c>
      <c r="E78" s="4">
        <f>D78*10/100</f>
        <v>18.18181818181818</v>
      </c>
      <c r="F78" s="33">
        <v>220</v>
      </c>
      <c r="G78" s="33">
        <v>50</v>
      </c>
      <c r="H78" s="3">
        <f>F78-G78</f>
        <v>170</v>
      </c>
      <c r="I78" s="22" t="s">
        <v>10</v>
      </c>
      <c r="J78" s="88">
        <v>220</v>
      </c>
      <c r="K78" s="31"/>
      <c r="L78" s="30"/>
      <c r="M78" s="87"/>
      <c r="N78" s="86"/>
      <c r="O78" s="86"/>
    </row>
    <row r="79" spans="1:15" x14ac:dyDescent="0.3">
      <c r="A79" s="26">
        <v>45361</v>
      </c>
      <c r="B79" s="5" t="s">
        <v>642</v>
      </c>
      <c r="C79" s="5" t="s">
        <v>1</v>
      </c>
      <c r="D79" s="4">
        <f>F79/1.21</f>
        <v>140.49586776859505</v>
      </c>
      <c r="E79" s="4">
        <f>D79*10/100</f>
        <v>14.049586776859506</v>
      </c>
      <c r="F79" s="24">
        <v>170</v>
      </c>
      <c r="G79" s="23">
        <v>50</v>
      </c>
      <c r="H79" s="3">
        <f>F79-G79</f>
        <v>120</v>
      </c>
      <c r="I79" s="22" t="s">
        <v>641</v>
      </c>
      <c r="J79" s="13">
        <v>170</v>
      </c>
      <c r="K79" s="8"/>
      <c r="L79" s="1"/>
      <c r="M79" s="13"/>
      <c r="N79" s="13"/>
      <c r="O79" s="13"/>
    </row>
    <row r="80" spans="1:15" x14ac:dyDescent="0.3">
      <c r="A80" s="26">
        <v>45363</v>
      </c>
      <c r="B80" s="5" t="s">
        <v>640</v>
      </c>
      <c r="C80" s="5" t="s">
        <v>1</v>
      </c>
      <c r="D80" s="4">
        <f>F80/1.21</f>
        <v>115.70247933884298</v>
      </c>
      <c r="E80" s="4">
        <f>D80*10/100</f>
        <v>11.570247933884298</v>
      </c>
      <c r="F80" s="24">
        <v>140</v>
      </c>
      <c r="G80" s="23"/>
      <c r="H80" s="3">
        <f>F80-G80</f>
        <v>140</v>
      </c>
      <c r="I80" s="22" t="s">
        <v>629</v>
      </c>
      <c r="J80" s="13">
        <v>140</v>
      </c>
      <c r="K80" s="8"/>
      <c r="L80" s="1"/>
      <c r="M80" s="13"/>
      <c r="N80" s="13"/>
      <c r="O80" s="13"/>
    </row>
    <row r="81" spans="1:15" x14ac:dyDescent="0.3">
      <c r="A81" s="26">
        <v>45363</v>
      </c>
      <c r="B81" s="5" t="s">
        <v>639</v>
      </c>
      <c r="C81" s="5" t="s">
        <v>1</v>
      </c>
      <c r="D81" s="4">
        <f>F81/1.21</f>
        <v>115.70247933884298</v>
      </c>
      <c r="E81" s="4">
        <f>D81*10/100</f>
        <v>11.570247933884298</v>
      </c>
      <c r="F81" s="24">
        <v>140</v>
      </c>
      <c r="G81" s="23"/>
      <c r="H81" s="3">
        <f>F81-G81</f>
        <v>140</v>
      </c>
      <c r="I81" s="22" t="s">
        <v>206</v>
      </c>
      <c r="J81" s="13">
        <v>140</v>
      </c>
      <c r="K81" s="8"/>
      <c r="L81" s="1"/>
      <c r="M81" s="13"/>
      <c r="N81" s="13"/>
      <c r="O81" s="13"/>
    </row>
    <row r="82" spans="1:15" x14ac:dyDescent="0.3">
      <c r="A82" s="26">
        <v>45365</v>
      </c>
      <c r="B82" s="5" t="s">
        <v>638</v>
      </c>
      <c r="C82" s="5" t="s">
        <v>1</v>
      </c>
      <c r="D82" s="4">
        <f>F82/1.21</f>
        <v>157.02479338842977</v>
      </c>
      <c r="E82" s="4">
        <f>D82*10/100</f>
        <v>15.702479338842977</v>
      </c>
      <c r="F82" s="24">
        <v>190</v>
      </c>
      <c r="G82" s="23"/>
      <c r="H82" s="3">
        <f>F82-G82</f>
        <v>190</v>
      </c>
      <c r="I82" s="22" t="s">
        <v>206</v>
      </c>
      <c r="J82" s="13">
        <v>190</v>
      </c>
      <c r="K82" s="8"/>
      <c r="L82" s="1"/>
      <c r="M82" s="13"/>
      <c r="N82" s="13"/>
      <c r="O82" s="13"/>
    </row>
    <row r="83" spans="1:15" x14ac:dyDescent="0.3">
      <c r="A83" s="26">
        <v>45366</v>
      </c>
      <c r="B83" s="5" t="s">
        <v>637</v>
      </c>
      <c r="C83" s="5" t="s">
        <v>1</v>
      </c>
      <c r="D83" s="4">
        <f>F83/1.21</f>
        <v>140.49586776859505</v>
      </c>
      <c r="E83" s="4">
        <f>D83*10/100</f>
        <v>14.049586776859506</v>
      </c>
      <c r="F83" s="24">
        <v>170</v>
      </c>
      <c r="G83" s="27">
        <v>50</v>
      </c>
      <c r="H83" s="3">
        <f>F83-G83</f>
        <v>120</v>
      </c>
      <c r="I83" s="22" t="s">
        <v>636</v>
      </c>
      <c r="J83" s="13">
        <v>170</v>
      </c>
      <c r="K83" s="8"/>
      <c r="L83" s="1"/>
      <c r="M83" s="13"/>
      <c r="N83" s="13"/>
      <c r="O83" s="13"/>
    </row>
    <row r="84" spans="1:15" x14ac:dyDescent="0.3">
      <c r="A84" s="26">
        <v>45366</v>
      </c>
      <c r="B84" s="5" t="s">
        <v>635</v>
      </c>
      <c r="C84" s="5" t="s">
        <v>1</v>
      </c>
      <c r="D84" s="4">
        <f>F84/1.21</f>
        <v>99.173553719008268</v>
      </c>
      <c r="E84" s="4">
        <f>D84*10/100</f>
        <v>9.9173553719008272</v>
      </c>
      <c r="F84" s="24">
        <v>120</v>
      </c>
      <c r="G84" s="23"/>
      <c r="H84" s="3">
        <f>F84-G84</f>
        <v>120</v>
      </c>
      <c r="I84" s="22" t="s">
        <v>206</v>
      </c>
      <c r="J84" s="13">
        <v>120</v>
      </c>
      <c r="K84" s="8"/>
      <c r="L84" s="1"/>
      <c r="M84" s="13"/>
      <c r="N84" s="13"/>
      <c r="O84" s="13"/>
    </row>
    <row r="85" spans="1:15" x14ac:dyDescent="0.3">
      <c r="A85" s="26">
        <v>45366</v>
      </c>
      <c r="B85" s="5" t="s">
        <v>634</v>
      </c>
      <c r="C85" s="5" t="s">
        <v>1</v>
      </c>
      <c r="D85" s="4">
        <f>F85/1.21</f>
        <v>214.87603305785126</v>
      </c>
      <c r="E85" s="4">
        <f>D85*10/100</f>
        <v>21.487603305785125</v>
      </c>
      <c r="F85" s="24">
        <v>260</v>
      </c>
      <c r="G85" s="23">
        <v>50</v>
      </c>
      <c r="H85" s="3">
        <f>F85-G85</f>
        <v>210</v>
      </c>
      <c r="I85" s="22" t="s">
        <v>633</v>
      </c>
      <c r="J85" s="13">
        <v>220</v>
      </c>
      <c r="K85" s="8">
        <v>40</v>
      </c>
      <c r="L85" s="1" t="s">
        <v>7</v>
      </c>
      <c r="M85" s="13"/>
      <c r="N85" s="13"/>
      <c r="O85" s="13"/>
    </row>
    <row r="86" spans="1:15" x14ac:dyDescent="0.3">
      <c r="A86" s="15">
        <v>45366</v>
      </c>
      <c r="B86" s="5" t="s">
        <v>632</v>
      </c>
      <c r="C86" s="5" t="s">
        <v>1</v>
      </c>
      <c r="D86" s="4">
        <f>F86/1.21</f>
        <v>256.198347107438</v>
      </c>
      <c r="E86" s="4">
        <f>D86*10/100</f>
        <v>25.619834710743799</v>
      </c>
      <c r="F86" s="24">
        <v>310</v>
      </c>
      <c r="G86" s="23">
        <v>50</v>
      </c>
      <c r="H86" s="3">
        <f>F86-G86</f>
        <v>260</v>
      </c>
      <c r="I86" s="22" t="s">
        <v>631</v>
      </c>
      <c r="J86" s="13">
        <v>270</v>
      </c>
      <c r="K86" s="8">
        <v>40</v>
      </c>
      <c r="L86" s="1" t="s">
        <v>7</v>
      </c>
      <c r="M86" s="13"/>
      <c r="N86" s="13"/>
      <c r="O86" s="13"/>
    </row>
    <row r="87" spans="1:15" x14ac:dyDescent="0.3">
      <c r="A87" s="15">
        <v>45366</v>
      </c>
      <c r="B87" s="5" t="s">
        <v>630</v>
      </c>
      <c r="C87" s="5" t="s">
        <v>1</v>
      </c>
      <c r="D87" s="4">
        <f>F87/1.21</f>
        <v>115.70247933884298</v>
      </c>
      <c r="E87" s="4">
        <f>D87*10/100</f>
        <v>11.570247933884298</v>
      </c>
      <c r="F87" s="24">
        <v>140</v>
      </c>
      <c r="G87" s="23"/>
      <c r="H87" s="3">
        <f>F87-G87</f>
        <v>140</v>
      </c>
      <c r="I87" s="22" t="s">
        <v>629</v>
      </c>
      <c r="J87" s="13">
        <v>140</v>
      </c>
      <c r="K87" s="8"/>
      <c r="L87" s="6"/>
      <c r="M87" s="13"/>
      <c r="N87" s="13"/>
      <c r="O87" s="13"/>
    </row>
    <row r="88" spans="1:15" x14ac:dyDescent="0.3">
      <c r="A88" s="15">
        <v>45366</v>
      </c>
      <c r="B88" s="5" t="s">
        <v>628</v>
      </c>
      <c r="C88" s="5" t="s">
        <v>1</v>
      </c>
      <c r="D88" s="4">
        <f>F88/1.21</f>
        <v>115.70247933884298</v>
      </c>
      <c r="E88" s="4">
        <f>D88*10/100</f>
        <v>11.570247933884298</v>
      </c>
      <c r="F88" s="24">
        <v>140</v>
      </c>
      <c r="G88" s="23"/>
      <c r="H88" s="3">
        <f>F88-G88</f>
        <v>140</v>
      </c>
      <c r="I88" s="22" t="s">
        <v>206</v>
      </c>
      <c r="J88" s="13">
        <v>140</v>
      </c>
      <c r="K88" s="8"/>
      <c r="L88" s="1"/>
      <c r="M88" s="85"/>
      <c r="N88" s="13"/>
      <c r="O88" s="13"/>
    </row>
    <row r="89" spans="1:15" x14ac:dyDescent="0.3">
      <c r="A89" s="15">
        <v>45366</v>
      </c>
      <c r="B89" s="5" t="s">
        <v>627</v>
      </c>
      <c r="C89" s="5" t="s">
        <v>1</v>
      </c>
      <c r="D89" s="4">
        <f>F89/1.21</f>
        <v>115.70247933884298</v>
      </c>
      <c r="E89" s="4">
        <f>D89*10/100</f>
        <v>11.570247933884298</v>
      </c>
      <c r="F89" s="24">
        <v>140</v>
      </c>
      <c r="G89" s="23"/>
      <c r="H89" s="3">
        <f>F89-G89</f>
        <v>140</v>
      </c>
      <c r="I89" s="22" t="s">
        <v>206</v>
      </c>
      <c r="J89" s="13">
        <v>140</v>
      </c>
      <c r="K89" s="8"/>
      <c r="L89" s="1"/>
      <c r="M89" s="13"/>
      <c r="N89" s="13"/>
      <c r="O89" s="13"/>
    </row>
    <row r="90" spans="1:15" x14ac:dyDescent="0.3">
      <c r="A90" s="15">
        <v>45366</v>
      </c>
      <c r="B90" s="5" t="s">
        <v>626</v>
      </c>
      <c r="C90" s="5" t="s">
        <v>1</v>
      </c>
      <c r="D90" s="4">
        <f>F90/1.21</f>
        <v>165.28925619834712</v>
      </c>
      <c r="E90" s="4">
        <f>D90*10/100</f>
        <v>16.528925619834713</v>
      </c>
      <c r="F90" s="24">
        <v>200</v>
      </c>
      <c r="G90" s="74">
        <v>50</v>
      </c>
      <c r="H90" s="3">
        <f>F90-G90</f>
        <v>150</v>
      </c>
      <c r="I90" s="22" t="s">
        <v>625</v>
      </c>
      <c r="J90" s="13">
        <v>200</v>
      </c>
      <c r="K90" s="8"/>
      <c r="L90" s="1"/>
      <c r="M90" s="13"/>
      <c r="N90" s="13"/>
      <c r="O90" s="13"/>
    </row>
    <row r="91" spans="1:15" x14ac:dyDescent="0.3">
      <c r="A91" s="15">
        <v>45366</v>
      </c>
      <c r="B91" s="5" t="s">
        <v>624</v>
      </c>
      <c r="C91" s="5" t="s">
        <v>1</v>
      </c>
      <c r="D91" s="4">
        <f>F91/1.21</f>
        <v>280.9917355371901</v>
      </c>
      <c r="E91" s="4">
        <f>D91*10/100</f>
        <v>28.099173553719012</v>
      </c>
      <c r="F91" s="24">
        <v>340</v>
      </c>
      <c r="G91" s="74"/>
      <c r="H91" s="3">
        <f>F91-G91</f>
        <v>340</v>
      </c>
      <c r="I91" s="22" t="s">
        <v>206</v>
      </c>
      <c r="J91" s="13">
        <v>220</v>
      </c>
      <c r="K91" s="8"/>
      <c r="L91" s="1"/>
      <c r="M91" s="13">
        <v>120</v>
      </c>
      <c r="N91" s="13" t="s">
        <v>623</v>
      </c>
      <c r="O91" s="13"/>
    </row>
    <row r="92" spans="1:15" x14ac:dyDescent="0.3">
      <c r="A92" s="15">
        <v>45367</v>
      </c>
      <c r="B92" s="5" t="s">
        <v>622</v>
      </c>
      <c r="C92" s="5" t="s">
        <v>1</v>
      </c>
      <c r="D92" s="4">
        <f>F92/1.21</f>
        <v>148.7603305785124</v>
      </c>
      <c r="E92" s="4">
        <f>D92*10/100</f>
        <v>14.876033057851238</v>
      </c>
      <c r="F92" s="24">
        <v>180</v>
      </c>
      <c r="G92" s="23"/>
      <c r="H92" s="3">
        <f>F92-G92</f>
        <v>180</v>
      </c>
      <c r="I92" s="22" t="s">
        <v>621</v>
      </c>
      <c r="J92" s="13">
        <v>180</v>
      </c>
      <c r="K92" s="8"/>
      <c r="L92" s="1"/>
      <c r="M92" s="13"/>
      <c r="N92" s="13"/>
      <c r="O92" s="13"/>
    </row>
    <row r="93" spans="1:15" x14ac:dyDescent="0.3">
      <c r="A93" s="15">
        <v>45367</v>
      </c>
      <c r="B93" s="5" t="s">
        <v>620</v>
      </c>
      <c r="C93" s="5" t="s">
        <v>1</v>
      </c>
      <c r="D93" s="4">
        <f>F93/1.21</f>
        <v>140.49586776859505</v>
      </c>
      <c r="E93" s="4">
        <f>D93*10/100</f>
        <v>14.049586776859506</v>
      </c>
      <c r="F93" s="24">
        <v>170</v>
      </c>
      <c r="G93" s="23">
        <v>50</v>
      </c>
      <c r="H93" s="3">
        <f>F93-G93</f>
        <v>120</v>
      </c>
      <c r="I93" s="22" t="s">
        <v>619</v>
      </c>
      <c r="J93" s="13">
        <v>170</v>
      </c>
      <c r="K93" s="8"/>
      <c r="L93" s="1"/>
      <c r="M93" s="13"/>
      <c r="N93" s="13"/>
      <c r="O93" s="13"/>
    </row>
    <row r="94" spans="1:15" x14ac:dyDescent="0.3">
      <c r="A94" s="15">
        <v>45367</v>
      </c>
      <c r="B94" s="5" t="s">
        <v>618</v>
      </c>
      <c r="C94" s="5" t="s">
        <v>1</v>
      </c>
      <c r="D94" s="4">
        <f>F94/1.21</f>
        <v>165.28925619834712</v>
      </c>
      <c r="E94" s="4">
        <f>D94*10/100</f>
        <v>16.528925619834713</v>
      </c>
      <c r="F94" s="24">
        <v>200</v>
      </c>
      <c r="G94" s="23">
        <v>50</v>
      </c>
      <c r="H94" s="3">
        <f>F94-G94</f>
        <v>150</v>
      </c>
      <c r="I94" s="22" t="s">
        <v>582</v>
      </c>
      <c r="J94" s="13">
        <v>170</v>
      </c>
      <c r="K94" s="8">
        <v>30</v>
      </c>
      <c r="L94" s="1" t="s">
        <v>7</v>
      </c>
      <c r="M94" s="13"/>
      <c r="N94" s="13"/>
      <c r="O94" s="13"/>
    </row>
    <row r="95" spans="1:15" x14ac:dyDescent="0.3">
      <c r="A95" s="15">
        <v>45367</v>
      </c>
      <c r="B95" s="5" t="s">
        <v>617</v>
      </c>
      <c r="C95" s="5" t="s">
        <v>1</v>
      </c>
      <c r="D95" s="4">
        <f>F95/1.21</f>
        <v>140.49586776859505</v>
      </c>
      <c r="E95" s="4">
        <f>D95*10/100</f>
        <v>14.049586776859506</v>
      </c>
      <c r="F95" s="24">
        <v>170</v>
      </c>
      <c r="G95" s="23">
        <v>50</v>
      </c>
      <c r="H95" s="3">
        <f>F95-G95</f>
        <v>120</v>
      </c>
      <c r="I95" s="22" t="s">
        <v>616</v>
      </c>
      <c r="J95" s="13">
        <v>170</v>
      </c>
      <c r="K95" s="8"/>
      <c r="L95" s="1"/>
      <c r="M95" s="13"/>
      <c r="N95" s="13"/>
      <c r="O95" s="13"/>
    </row>
    <row r="96" spans="1:15" x14ac:dyDescent="0.3">
      <c r="A96" s="15">
        <v>45367</v>
      </c>
      <c r="B96" s="5" t="s">
        <v>615</v>
      </c>
      <c r="C96" s="5" t="s">
        <v>1</v>
      </c>
      <c r="D96" s="4">
        <f>F96/1.21</f>
        <v>140.49586776859505</v>
      </c>
      <c r="E96" s="4">
        <f>D96*10/100</f>
        <v>14.049586776859506</v>
      </c>
      <c r="F96" s="24">
        <v>170</v>
      </c>
      <c r="G96" s="23">
        <v>50</v>
      </c>
      <c r="H96" s="3">
        <f>F96-G96</f>
        <v>120</v>
      </c>
      <c r="I96" s="22" t="s">
        <v>614</v>
      </c>
      <c r="J96" s="13">
        <v>170</v>
      </c>
      <c r="K96" s="8"/>
      <c r="L96" s="1"/>
      <c r="M96" s="13"/>
      <c r="N96" s="13"/>
      <c r="O96" s="13"/>
    </row>
    <row r="97" spans="1:15" x14ac:dyDescent="0.3">
      <c r="A97" s="15">
        <v>45367</v>
      </c>
      <c r="B97" s="5" t="s">
        <v>613</v>
      </c>
      <c r="C97" s="5" t="s">
        <v>1</v>
      </c>
      <c r="D97" s="4">
        <f>F97/1.21</f>
        <v>140.49586776859505</v>
      </c>
      <c r="E97" s="4">
        <f>D97*10/100</f>
        <v>14.049586776859506</v>
      </c>
      <c r="F97" s="21">
        <v>170</v>
      </c>
      <c r="G97" s="20">
        <v>50</v>
      </c>
      <c r="H97" s="3">
        <f>F97-G97</f>
        <v>120</v>
      </c>
      <c r="I97" s="19" t="s">
        <v>612</v>
      </c>
      <c r="J97" s="84">
        <v>170</v>
      </c>
      <c r="K97" s="18"/>
      <c r="L97" s="17"/>
      <c r="M97" s="84"/>
      <c r="N97" s="84"/>
      <c r="O97" s="84"/>
    </row>
    <row r="98" spans="1:15" x14ac:dyDescent="0.3">
      <c r="A98" s="15">
        <v>45367</v>
      </c>
      <c r="B98" s="5" t="s">
        <v>611</v>
      </c>
      <c r="C98" s="5" t="s">
        <v>1</v>
      </c>
      <c r="D98" s="4">
        <f>F98/1.21</f>
        <v>181.81818181818181</v>
      </c>
      <c r="E98" s="4">
        <f>D98*10/100</f>
        <v>18.18181818181818</v>
      </c>
      <c r="F98" s="2">
        <v>220</v>
      </c>
      <c r="G98" s="2">
        <v>50</v>
      </c>
      <c r="H98" s="3">
        <f>F98-G98</f>
        <v>170</v>
      </c>
      <c r="I98" s="9" t="s">
        <v>610</v>
      </c>
      <c r="J98" s="13">
        <v>220</v>
      </c>
      <c r="K98" s="8"/>
      <c r="L98" s="1"/>
      <c r="M98" s="13"/>
      <c r="N98" s="13"/>
      <c r="O98" s="13"/>
    </row>
    <row r="99" spans="1:15" x14ac:dyDescent="0.3">
      <c r="A99" s="15">
        <v>45367</v>
      </c>
      <c r="B99" s="5" t="s">
        <v>609</v>
      </c>
      <c r="C99" s="5" t="s">
        <v>1</v>
      </c>
      <c r="D99" s="4">
        <f>F99/1.21</f>
        <v>223.14049586776861</v>
      </c>
      <c r="E99" s="4">
        <f>D99*10/100</f>
        <v>22.314049586776861</v>
      </c>
      <c r="F99" s="2">
        <v>270</v>
      </c>
      <c r="G99" s="2">
        <v>50</v>
      </c>
      <c r="H99" s="3">
        <f>F99-G99</f>
        <v>220</v>
      </c>
      <c r="I99" s="9" t="s">
        <v>608</v>
      </c>
      <c r="J99" s="13">
        <v>270</v>
      </c>
      <c r="K99" s="8"/>
      <c r="L99" s="1"/>
      <c r="M99" s="13"/>
      <c r="N99" s="13"/>
      <c r="O99" s="13"/>
    </row>
    <row r="100" spans="1:15" x14ac:dyDescent="0.3">
      <c r="A100" s="15">
        <v>45367</v>
      </c>
      <c r="B100" s="5" t="s">
        <v>607</v>
      </c>
      <c r="C100" s="5" t="s">
        <v>1</v>
      </c>
      <c r="D100" s="4">
        <f>F100/1.21</f>
        <v>148.7603305785124</v>
      </c>
      <c r="E100" s="4">
        <f>D100*10/100</f>
        <v>14.876033057851238</v>
      </c>
      <c r="F100" s="10">
        <v>180</v>
      </c>
      <c r="G100" s="7"/>
      <c r="H100" s="3">
        <f>F100-G100</f>
        <v>180</v>
      </c>
      <c r="I100" s="9" t="s">
        <v>206</v>
      </c>
      <c r="J100" s="13">
        <v>180</v>
      </c>
      <c r="K100" s="8"/>
      <c r="L100" s="1"/>
      <c r="M100" s="13"/>
      <c r="N100" s="13"/>
      <c r="O100" s="13"/>
    </row>
    <row r="101" spans="1:15" x14ac:dyDescent="0.3">
      <c r="A101" s="15">
        <v>45367</v>
      </c>
      <c r="B101" s="5" t="s">
        <v>606</v>
      </c>
      <c r="C101" s="5" t="s">
        <v>1</v>
      </c>
      <c r="D101" s="4">
        <f>F101/1.21</f>
        <v>140.49586776859505</v>
      </c>
      <c r="E101" s="4">
        <f>D101*10/100</f>
        <v>14.049586776859506</v>
      </c>
      <c r="F101" s="10">
        <v>170</v>
      </c>
      <c r="G101" s="7">
        <v>50</v>
      </c>
      <c r="H101" s="3">
        <f>F101-G101</f>
        <v>120</v>
      </c>
      <c r="I101" s="9" t="s">
        <v>605</v>
      </c>
      <c r="J101" s="13">
        <v>170</v>
      </c>
      <c r="K101" s="8"/>
      <c r="L101" s="1"/>
      <c r="M101" s="13"/>
      <c r="N101" s="13"/>
      <c r="O101" s="13"/>
    </row>
    <row r="102" spans="1:15" x14ac:dyDescent="0.3">
      <c r="A102" s="15">
        <v>45367</v>
      </c>
      <c r="B102" s="5" t="s">
        <v>604</v>
      </c>
      <c r="C102" s="5" t="s">
        <v>1</v>
      </c>
      <c r="D102" s="4">
        <f>F102/1.21</f>
        <v>140.49586776859505</v>
      </c>
      <c r="E102" s="4">
        <f>D102*10/100</f>
        <v>14.049586776859506</v>
      </c>
      <c r="F102" s="10">
        <v>170</v>
      </c>
      <c r="G102" s="7">
        <v>50</v>
      </c>
      <c r="H102" s="3">
        <f>F102-G102</f>
        <v>120</v>
      </c>
      <c r="I102" s="9" t="s">
        <v>10</v>
      </c>
      <c r="J102" s="13">
        <v>220</v>
      </c>
      <c r="K102" s="8"/>
      <c r="L102" s="1"/>
      <c r="M102" s="13"/>
      <c r="N102" s="13"/>
      <c r="O102" s="13"/>
    </row>
    <row r="103" spans="1:15" x14ac:dyDescent="0.3">
      <c r="A103" s="15">
        <v>45367</v>
      </c>
      <c r="B103" s="5" t="s">
        <v>603</v>
      </c>
      <c r="C103" s="5" t="s">
        <v>1</v>
      </c>
      <c r="D103" s="4">
        <f>F103/1.21</f>
        <v>173.55371900826447</v>
      </c>
      <c r="E103" s="4">
        <f>D103*10/100</f>
        <v>17.355371900826448</v>
      </c>
      <c r="F103" s="10">
        <v>210</v>
      </c>
      <c r="G103" s="7"/>
      <c r="H103" s="3">
        <f>F103-G103</f>
        <v>210</v>
      </c>
      <c r="I103" s="9" t="s">
        <v>602</v>
      </c>
      <c r="J103" s="13">
        <v>210</v>
      </c>
      <c r="K103" s="8"/>
      <c r="L103" s="1"/>
      <c r="M103" s="13"/>
      <c r="N103" s="13"/>
      <c r="O103" s="13"/>
    </row>
    <row r="104" spans="1:15" x14ac:dyDescent="0.3">
      <c r="A104" s="15">
        <v>45367</v>
      </c>
      <c r="B104" s="5" t="s">
        <v>601</v>
      </c>
      <c r="C104" s="5" t="s">
        <v>1</v>
      </c>
      <c r="D104" s="4">
        <f>F104/1.21</f>
        <v>219.00826446280993</v>
      </c>
      <c r="E104" s="4">
        <f>D104*10/100</f>
        <v>21.900826446280995</v>
      </c>
      <c r="F104" s="10">
        <v>265</v>
      </c>
      <c r="G104" s="7">
        <v>50</v>
      </c>
      <c r="H104" s="3">
        <f>F104-G104</f>
        <v>215</v>
      </c>
      <c r="I104" s="9" t="s">
        <v>600</v>
      </c>
      <c r="J104" s="13">
        <v>220</v>
      </c>
      <c r="K104" s="8"/>
      <c r="L104" s="1"/>
      <c r="M104" s="13">
        <v>45</v>
      </c>
      <c r="N104" s="13" t="s">
        <v>14</v>
      </c>
      <c r="O104" s="13"/>
    </row>
    <row r="105" spans="1:15" x14ac:dyDescent="0.3">
      <c r="A105" s="15">
        <v>45367</v>
      </c>
      <c r="B105" s="5" t="s">
        <v>599</v>
      </c>
      <c r="C105" s="5" t="s">
        <v>1</v>
      </c>
      <c r="D105" s="4">
        <f>F105/1.21</f>
        <v>157.02479338842977</v>
      </c>
      <c r="E105" s="4">
        <f>D105*10/100</f>
        <v>15.702479338842977</v>
      </c>
      <c r="F105" s="10">
        <v>190</v>
      </c>
      <c r="G105" s="7"/>
      <c r="H105" s="3">
        <f>F105-G105</f>
        <v>190</v>
      </c>
      <c r="I105" s="9" t="s">
        <v>515</v>
      </c>
      <c r="J105" s="13">
        <v>190</v>
      </c>
      <c r="K105" s="8"/>
      <c r="L105" s="1"/>
      <c r="M105" s="13"/>
      <c r="N105" s="13"/>
      <c r="O105" s="13"/>
    </row>
    <row r="106" spans="1:15" x14ac:dyDescent="0.3">
      <c r="A106" s="15">
        <v>45367</v>
      </c>
      <c r="B106" s="5" t="s">
        <v>598</v>
      </c>
      <c r="C106" s="5" t="s">
        <v>1</v>
      </c>
      <c r="D106" s="4">
        <f>F106/1.21</f>
        <v>223.14049586776861</v>
      </c>
      <c r="E106" s="4">
        <f>D106*10/100</f>
        <v>22.314049586776861</v>
      </c>
      <c r="F106" s="10">
        <v>270</v>
      </c>
      <c r="G106" s="7">
        <v>50</v>
      </c>
      <c r="H106" s="3">
        <f>F106-G106</f>
        <v>220</v>
      </c>
      <c r="I106" s="9" t="s">
        <v>597</v>
      </c>
      <c r="J106" s="13">
        <v>270</v>
      </c>
      <c r="K106" s="8"/>
      <c r="L106" s="1"/>
      <c r="M106" s="13"/>
      <c r="N106" s="13"/>
      <c r="O106" s="13"/>
    </row>
    <row r="107" spans="1:15" x14ac:dyDescent="0.3">
      <c r="A107" s="15">
        <v>45367</v>
      </c>
      <c r="B107" s="5" t="s">
        <v>596</v>
      </c>
      <c r="C107" s="5" t="s">
        <v>1</v>
      </c>
      <c r="D107" s="4">
        <f>F107/1.21</f>
        <v>396.69421487603307</v>
      </c>
      <c r="E107" s="4">
        <f>D107*10/100</f>
        <v>39.669421487603309</v>
      </c>
      <c r="F107" s="10">
        <v>480</v>
      </c>
      <c r="G107" s="7">
        <v>50</v>
      </c>
      <c r="H107" s="3">
        <f>F107-G107</f>
        <v>430</v>
      </c>
      <c r="I107" s="9" t="s">
        <v>595</v>
      </c>
      <c r="J107" s="13">
        <v>485</v>
      </c>
      <c r="K107" s="8"/>
      <c r="L107" s="1"/>
      <c r="M107" s="13"/>
      <c r="N107" s="13"/>
      <c r="O107" s="13"/>
    </row>
    <row r="108" spans="1:15" x14ac:dyDescent="0.3">
      <c r="A108" s="15">
        <v>45367</v>
      </c>
      <c r="B108" s="5" t="s">
        <v>594</v>
      </c>
      <c r="C108" s="5" t="s">
        <v>1</v>
      </c>
      <c r="D108" s="4">
        <f>F108/1.21</f>
        <v>223.14049586776861</v>
      </c>
      <c r="E108" s="4">
        <f>D108*10/100</f>
        <v>22.314049586776861</v>
      </c>
      <c r="F108" s="10">
        <v>270</v>
      </c>
      <c r="G108" s="7">
        <v>50</v>
      </c>
      <c r="H108" s="3">
        <f>F108-G108</f>
        <v>220</v>
      </c>
      <c r="I108" s="9" t="s">
        <v>593</v>
      </c>
      <c r="J108" s="13">
        <v>270</v>
      </c>
      <c r="K108" s="8"/>
      <c r="L108" s="1"/>
      <c r="M108" s="13"/>
      <c r="N108" s="13"/>
      <c r="O108" s="13"/>
    </row>
    <row r="109" spans="1:15" x14ac:dyDescent="0.3">
      <c r="A109" s="15">
        <v>45367</v>
      </c>
      <c r="B109" s="5" t="s">
        <v>592</v>
      </c>
      <c r="C109" s="5" t="s">
        <v>1</v>
      </c>
      <c r="D109" s="4">
        <f>F109/1.21</f>
        <v>295.86776859504135</v>
      </c>
      <c r="E109" s="4">
        <f>D109*10/100</f>
        <v>29.586776859504134</v>
      </c>
      <c r="F109" s="10">
        <v>358</v>
      </c>
      <c r="G109" s="7">
        <v>50</v>
      </c>
      <c r="H109" s="3">
        <f>F109-G109</f>
        <v>308</v>
      </c>
      <c r="I109" s="9" t="s">
        <v>591</v>
      </c>
      <c r="J109" s="13">
        <v>270</v>
      </c>
      <c r="K109" s="8">
        <v>30</v>
      </c>
      <c r="L109" s="1" t="s">
        <v>7</v>
      </c>
      <c r="M109" s="13">
        <v>58</v>
      </c>
      <c r="N109" s="13" t="s">
        <v>409</v>
      </c>
      <c r="O109" s="13"/>
    </row>
    <row r="110" spans="1:15" x14ac:dyDescent="0.3">
      <c r="A110" s="15">
        <v>45367</v>
      </c>
      <c r="B110" s="5" t="s">
        <v>590</v>
      </c>
      <c r="C110" s="5" t="s">
        <v>1</v>
      </c>
      <c r="D110" s="4">
        <f>F110/1.21</f>
        <v>198.34710743801654</v>
      </c>
      <c r="E110" s="4">
        <f>D110*10/100</f>
        <v>19.834710743801654</v>
      </c>
      <c r="F110" s="10">
        <v>240</v>
      </c>
      <c r="G110" s="7">
        <v>50</v>
      </c>
      <c r="H110" s="3">
        <f>F110-G110</f>
        <v>190</v>
      </c>
      <c r="I110" s="9" t="s">
        <v>589</v>
      </c>
      <c r="J110" s="13">
        <v>240</v>
      </c>
      <c r="K110" s="8"/>
      <c r="L110" s="1"/>
      <c r="M110" s="13"/>
      <c r="N110" s="13"/>
      <c r="O110" s="13"/>
    </row>
    <row r="111" spans="1:15" x14ac:dyDescent="0.3">
      <c r="A111" s="15">
        <v>45367</v>
      </c>
      <c r="B111" s="5" t="s">
        <v>588</v>
      </c>
      <c r="C111" s="5" t="s">
        <v>1</v>
      </c>
      <c r="D111" s="4">
        <f>F111/1.21</f>
        <v>206.61157024793388</v>
      </c>
      <c r="E111" s="4">
        <f>D111*10/100</f>
        <v>20.661157024793386</v>
      </c>
      <c r="F111" s="10">
        <v>250</v>
      </c>
      <c r="G111" s="7"/>
      <c r="H111" s="3">
        <f>F111-G111</f>
        <v>250</v>
      </c>
      <c r="I111" s="9" t="s">
        <v>332</v>
      </c>
      <c r="J111" s="13">
        <v>250</v>
      </c>
      <c r="K111" s="8"/>
      <c r="L111" s="1"/>
      <c r="M111" s="13"/>
      <c r="N111" s="13"/>
      <c r="O111" s="13"/>
    </row>
    <row r="112" spans="1:15" x14ac:dyDescent="0.3">
      <c r="A112" s="15">
        <v>45367</v>
      </c>
      <c r="B112" s="5" t="s">
        <v>587</v>
      </c>
      <c r="C112" s="5" t="s">
        <v>1</v>
      </c>
      <c r="D112" s="4">
        <f>F112/1.21</f>
        <v>260.3305785123967</v>
      </c>
      <c r="E112" s="4">
        <f>D112*10/100</f>
        <v>26.033057851239668</v>
      </c>
      <c r="F112" s="10">
        <v>315</v>
      </c>
      <c r="G112" s="7">
        <v>50</v>
      </c>
      <c r="H112" s="3">
        <f>F112-G112</f>
        <v>265</v>
      </c>
      <c r="I112" s="9" t="s">
        <v>586</v>
      </c>
      <c r="J112" s="13">
        <v>270</v>
      </c>
      <c r="K112" s="8"/>
      <c r="L112" s="1"/>
      <c r="M112" s="13">
        <v>45</v>
      </c>
      <c r="N112" s="13" t="s">
        <v>14</v>
      </c>
      <c r="O112" s="13"/>
    </row>
    <row r="113" spans="1:15" x14ac:dyDescent="0.3">
      <c r="A113" s="15">
        <v>45367</v>
      </c>
      <c r="B113" s="5" t="s">
        <v>585</v>
      </c>
      <c r="C113" s="5" t="s">
        <v>1</v>
      </c>
      <c r="D113" s="4">
        <f>F113/1.21</f>
        <v>206.61157024793388</v>
      </c>
      <c r="E113" s="4">
        <f>D113*10/100</f>
        <v>20.661157024793386</v>
      </c>
      <c r="F113" s="10">
        <v>250</v>
      </c>
      <c r="G113" s="7">
        <v>50</v>
      </c>
      <c r="H113" s="3">
        <f>F113-G113</f>
        <v>200</v>
      </c>
      <c r="I113" s="9" t="s">
        <v>584</v>
      </c>
      <c r="J113" s="13">
        <v>220</v>
      </c>
      <c r="K113" s="8">
        <v>30</v>
      </c>
      <c r="L113" s="1" t="s">
        <v>7</v>
      </c>
      <c r="M113" s="13"/>
      <c r="N113" s="13"/>
      <c r="O113" s="13"/>
    </row>
    <row r="114" spans="1:15" x14ac:dyDescent="0.3">
      <c r="A114" s="15">
        <v>45367</v>
      </c>
      <c r="B114" s="5" t="s">
        <v>583</v>
      </c>
      <c r="C114" s="5" t="s">
        <v>1</v>
      </c>
      <c r="D114" s="4">
        <f>F114/1.21</f>
        <v>330.57851239669424</v>
      </c>
      <c r="E114" s="4">
        <f>D114*10/100</f>
        <v>33.057851239669425</v>
      </c>
      <c r="F114" s="10">
        <v>400</v>
      </c>
      <c r="G114" s="7">
        <v>50</v>
      </c>
      <c r="H114" s="3">
        <f>F114-G114</f>
        <v>350</v>
      </c>
      <c r="I114" s="9" t="s">
        <v>582</v>
      </c>
      <c r="J114" s="13">
        <v>400</v>
      </c>
      <c r="K114" s="8"/>
      <c r="L114" s="1"/>
      <c r="M114" s="13"/>
      <c r="N114" s="13"/>
      <c r="O114" s="13"/>
    </row>
    <row r="115" spans="1:15" x14ac:dyDescent="0.3">
      <c r="A115" s="15">
        <v>45367</v>
      </c>
      <c r="B115" s="5" t="s">
        <v>581</v>
      </c>
      <c r="C115" s="5" t="s">
        <v>1</v>
      </c>
      <c r="D115" s="4">
        <f>F115/1.21</f>
        <v>190.08264462809919</v>
      </c>
      <c r="E115" s="4">
        <f>D115*10/100</f>
        <v>19.008264462809919</v>
      </c>
      <c r="F115" s="10">
        <v>230</v>
      </c>
      <c r="G115" s="7">
        <v>50</v>
      </c>
      <c r="H115" s="3">
        <f>F115-G115</f>
        <v>180</v>
      </c>
      <c r="I115" s="9" t="s">
        <v>580</v>
      </c>
      <c r="J115" s="13">
        <v>170</v>
      </c>
      <c r="K115" s="8">
        <v>60</v>
      </c>
      <c r="L115" s="1" t="s">
        <v>7</v>
      </c>
      <c r="M115" s="13"/>
      <c r="N115" s="13"/>
      <c r="O115" s="13"/>
    </row>
    <row r="116" spans="1:15" x14ac:dyDescent="0.3">
      <c r="A116" s="15">
        <v>45367</v>
      </c>
      <c r="B116" s="5" t="s">
        <v>579</v>
      </c>
      <c r="C116" s="5" t="s">
        <v>1</v>
      </c>
      <c r="D116" s="4">
        <f>F116/1.21</f>
        <v>214.87603305785126</v>
      </c>
      <c r="E116" s="4">
        <f>D116*10/100</f>
        <v>21.487603305785125</v>
      </c>
      <c r="F116" s="10">
        <v>260</v>
      </c>
      <c r="G116" s="7"/>
      <c r="H116" s="3">
        <f>F116-G116</f>
        <v>260</v>
      </c>
      <c r="I116" s="9" t="s">
        <v>332</v>
      </c>
      <c r="J116" s="13">
        <v>260</v>
      </c>
      <c r="K116" s="8"/>
      <c r="L116" s="1"/>
      <c r="M116" s="13"/>
      <c r="N116" s="13"/>
      <c r="O116" s="13"/>
    </row>
    <row r="117" spans="1:15" x14ac:dyDescent="0.3">
      <c r="A117" s="15">
        <v>45367</v>
      </c>
      <c r="B117" s="5" t="s">
        <v>578</v>
      </c>
      <c r="C117" s="5" t="s">
        <v>1</v>
      </c>
      <c r="D117" s="4">
        <f>F117/1.21</f>
        <v>140.49586776859505</v>
      </c>
      <c r="E117" s="4">
        <f>D117*10/100</f>
        <v>14.049586776859506</v>
      </c>
      <c r="F117" s="10">
        <v>170</v>
      </c>
      <c r="G117" s="7">
        <v>50</v>
      </c>
      <c r="H117" s="3">
        <f>F117-G117</f>
        <v>120</v>
      </c>
      <c r="I117" s="9" t="s">
        <v>577</v>
      </c>
      <c r="J117" s="13">
        <v>170</v>
      </c>
      <c r="K117" s="8"/>
      <c r="L117" s="1"/>
      <c r="M117" s="13"/>
      <c r="N117" s="13"/>
      <c r="O117" s="13"/>
    </row>
    <row r="118" spans="1:15" x14ac:dyDescent="0.3">
      <c r="A118" s="15">
        <v>45367</v>
      </c>
      <c r="B118" s="5" t="s">
        <v>576</v>
      </c>
      <c r="C118" s="5" t="s">
        <v>1</v>
      </c>
      <c r="D118" s="4">
        <f>F118/1.21</f>
        <v>140.49586776859505</v>
      </c>
      <c r="E118" s="4">
        <f>D118*10/100</f>
        <v>14.049586776859506</v>
      </c>
      <c r="F118" s="10">
        <v>170</v>
      </c>
      <c r="G118" s="7">
        <v>50</v>
      </c>
      <c r="H118" s="3">
        <f>F118-G118</f>
        <v>120</v>
      </c>
      <c r="I118" s="9" t="s">
        <v>575</v>
      </c>
      <c r="J118" s="13">
        <v>170</v>
      </c>
      <c r="K118" s="8"/>
      <c r="L118" s="1"/>
      <c r="M118" s="13"/>
      <c r="N118" s="13"/>
      <c r="O118" s="13"/>
    </row>
    <row r="119" spans="1:15" x14ac:dyDescent="0.3">
      <c r="A119" s="15">
        <v>45367</v>
      </c>
      <c r="B119" s="5" t="s">
        <v>574</v>
      </c>
      <c r="C119" s="5" t="s">
        <v>1</v>
      </c>
      <c r="D119" s="4">
        <f>F119/1.21</f>
        <v>140.49586776859505</v>
      </c>
      <c r="E119" s="4">
        <f>D119*10/100</f>
        <v>14.049586776859506</v>
      </c>
      <c r="F119" s="10">
        <v>170</v>
      </c>
      <c r="G119" s="7">
        <v>50</v>
      </c>
      <c r="H119" s="3">
        <f>F119-G119</f>
        <v>120</v>
      </c>
      <c r="I119" s="9" t="s">
        <v>573</v>
      </c>
      <c r="J119" s="13">
        <v>170</v>
      </c>
      <c r="K119" s="8"/>
      <c r="L119" s="1"/>
      <c r="M119" s="13"/>
      <c r="N119" s="13"/>
      <c r="O119" s="13"/>
    </row>
    <row r="120" spans="1:15" x14ac:dyDescent="0.3">
      <c r="A120" s="15">
        <v>45367</v>
      </c>
      <c r="B120" s="5" t="s">
        <v>572</v>
      </c>
      <c r="C120" s="5" t="s">
        <v>1</v>
      </c>
      <c r="D120" s="4">
        <f>F120/1.21</f>
        <v>140.49586776859505</v>
      </c>
      <c r="E120" s="4">
        <f>D120*10/100</f>
        <v>14.049586776859506</v>
      </c>
      <c r="F120" s="10">
        <v>170</v>
      </c>
      <c r="G120" s="7">
        <v>50</v>
      </c>
      <c r="H120" s="3">
        <f>F120-G120</f>
        <v>120</v>
      </c>
      <c r="I120" s="9" t="s">
        <v>571</v>
      </c>
      <c r="J120" s="13">
        <v>170</v>
      </c>
      <c r="K120" s="8"/>
      <c r="L120" s="1"/>
      <c r="M120" s="13"/>
      <c r="N120" s="13"/>
      <c r="O120" s="13"/>
    </row>
    <row r="121" spans="1:15" x14ac:dyDescent="0.3">
      <c r="A121" s="83">
        <v>45368</v>
      </c>
      <c r="B121" s="5" t="s">
        <v>570</v>
      </c>
      <c r="C121" s="5" t="s">
        <v>1</v>
      </c>
      <c r="D121" s="4">
        <f>F121/1.21</f>
        <v>140.49586776859505</v>
      </c>
      <c r="E121" s="4">
        <f>D121*10/100</f>
        <v>14.049586776859506</v>
      </c>
      <c r="F121" s="10">
        <v>170</v>
      </c>
      <c r="G121" s="7">
        <v>50</v>
      </c>
      <c r="H121" s="3">
        <f>F121-G121</f>
        <v>120</v>
      </c>
      <c r="I121" s="9" t="s">
        <v>569</v>
      </c>
      <c r="J121" s="13">
        <v>170</v>
      </c>
      <c r="K121" s="8"/>
      <c r="L121" s="1"/>
      <c r="M121" s="13"/>
      <c r="N121" s="13"/>
      <c r="O121" s="13"/>
    </row>
    <row r="122" spans="1:15" x14ac:dyDescent="0.3">
      <c r="A122" s="83">
        <v>45368</v>
      </c>
      <c r="B122" s="5" t="s">
        <v>568</v>
      </c>
      <c r="C122" s="5" t="s">
        <v>1</v>
      </c>
      <c r="D122" s="4">
        <f>F122/1.21</f>
        <v>338.84297520661158</v>
      </c>
      <c r="E122" s="4">
        <f>D122*10/100</f>
        <v>33.884297520661157</v>
      </c>
      <c r="F122" s="10">
        <v>410</v>
      </c>
      <c r="G122" s="7">
        <v>50</v>
      </c>
      <c r="H122" s="3">
        <f>F122-G122</f>
        <v>360</v>
      </c>
      <c r="I122" s="9" t="s">
        <v>567</v>
      </c>
      <c r="J122" s="13">
        <v>410</v>
      </c>
      <c r="K122" s="8"/>
      <c r="L122" s="1"/>
      <c r="M122" s="13"/>
      <c r="N122" s="13"/>
      <c r="O122" s="13"/>
    </row>
    <row r="123" spans="1:15" x14ac:dyDescent="0.3">
      <c r="A123" s="40">
        <v>45368</v>
      </c>
      <c r="B123" s="5" t="s">
        <v>566</v>
      </c>
      <c r="C123" s="5" t="s">
        <v>1</v>
      </c>
      <c r="D123" s="4">
        <f>F123/1.21</f>
        <v>181.81818181818181</v>
      </c>
      <c r="E123" s="4">
        <f>D123*10/100</f>
        <v>18.18181818181818</v>
      </c>
      <c r="F123" s="10">
        <v>220</v>
      </c>
      <c r="G123" s="7">
        <v>50</v>
      </c>
      <c r="H123" s="3">
        <f>F123-G123</f>
        <v>170</v>
      </c>
      <c r="I123" s="9" t="s">
        <v>565</v>
      </c>
      <c r="J123" s="13">
        <v>220</v>
      </c>
      <c r="K123" s="8"/>
      <c r="L123" s="1"/>
      <c r="M123" s="13"/>
      <c r="N123" s="13"/>
      <c r="O123" s="13"/>
    </row>
    <row r="124" spans="1:15" x14ac:dyDescent="0.3">
      <c r="A124" s="83">
        <v>45368</v>
      </c>
      <c r="B124" s="5" t="s">
        <v>564</v>
      </c>
      <c r="C124" s="5" t="s">
        <v>1</v>
      </c>
      <c r="D124" s="4">
        <f>F124/1.21</f>
        <v>140.49586776859505</v>
      </c>
      <c r="E124" s="4">
        <f>D124*10/100</f>
        <v>14.049586776859506</v>
      </c>
      <c r="F124" s="10">
        <v>170</v>
      </c>
      <c r="G124" s="7">
        <v>50</v>
      </c>
      <c r="H124" s="3">
        <f>F124-G124</f>
        <v>120</v>
      </c>
      <c r="I124" s="9" t="s">
        <v>563</v>
      </c>
      <c r="J124" s="13">
        <v>170</v>
      </c>
      <c r="K124" s="8"/>
      <c r="L124" s="1"/>
      <c r="M124" s="13"/>
      <c r="N124" s="13"/>
      <c r="O124" s="13"/>
    </row>
    <row r="125" spans="1:15" x14ac:dyDescent="0.3">
      <c r="A125" s="83">
        <v>45368</v>
      </c>
      <c r="B125" s="5" t="s">
        <v>562</v>
      </c>
      <c r="C125" s="5" t="s">
        <v>1</v>
      </c>
      <c r="D125" s="4">
        <f>F125/1.21</f>
        <v>140.49586776859505</v>
      </c>
      <c r="E125" s="4">
        <f>D125*10/100</f>
        <v>14.049586776859506</v>
      </c>
      <c r="F125" s="10">
        <v>170</v>
      </c>
      <c r="G125" s="7">
        <v>50</v>
      </c>
      <c r="H125" s="3">
        <f>F125-G125</f>
        <v>120</v>
      </c>
      <c r="I125" s="9" t="s">
        <v>10</v>
      </c>
      <c r="J125" s="13">
        <v>170</v>
      </c>
      <c r="K125" s="8"/>
      <c r="L125" s="1"/>
      <c r="M125" s="13"/>
      <c r="N125" s="13"/>
      <c r="O125" s="13"/>
    </row>
    <row r="126" spans="1:15" x14ac:dyDescent="0.3">
      <c r="A126" s="11">
        <v>45370</v>
      </c>
      <c r="B126" s="5" t="s">
        <v>561</v>
      </c>
      <c r="C126" s="5" t="s">
        <v>1</v>
      </c>
      <c r="D126" s="4">
        <f>F126/1.21</f>
        <v>140.49586776859505</v>
      </c>
      <c r="E126" s="4">
        <f>D126*10/100</f>
        <v>14.049586776859506</v>
      </c>
      <c r="F126" s="10">
        <v>170</v>
      </c>
      <c r="G126" s="7">
        <v>50</v>
      </c>
      <c r="H126" s="3">
        <f>F126-G126</f>
        <v>120</v>
      </c>
      <c r="I126" s="9" t="s">
        <v>560</v>
      </c>
      <c r="J126" s="13">
        <v>170</v>
      </c>
      <c r="K126" s="8"/>
      <c r="L126" s="1"/>
      <c r="M126" s="13"/>
      <c r="N126" s="13"/>
      <c r="O126" s="13"/>
    </row>
    <row r="127" spans="1:15" x14ac:dyDescent="0.3">
      <c r="A127" s="81">
        <v>45370</v>
      </c>
      <c r="B127" s="5" t="s">
        <v>559</v>
      </c>
      <c r="C127" s="5" t="s">
        <v>1</v>
      </c>
      <c r="D127" s="4">
        <f>F127/1.21</f>
        <v>243.801652892562</v>
      </c>
      <c r="E127" s="4">
        <f>D127*10/100</f>
        <v>24.380165289256201</v>
      </c>
      <c r="F127" s="2">
        <v>295</v>
      </c>
      <c r="G127" s="2">
        <v>50</v>
      </c>
      <c r="H127" s="3">
        <f>F127-G127</f>
        <v>245</v>
      </c>
      <c r="I127" s="1" t="s">
        <v>558</v>
      </c>
      <c r="J127" s="82">
        <v>270</v>
      </c>
      <c r="K127" s="82">
        <v>25</v>
      </c>
      <c r="L127" s="1" t="s">
        <v>7</v>
      </c>
      <c r="M127" s="1"/>
      <c r="N127" s="1"/>
      <c r="O127" s="1"/>
    </row>
    <row r="128" spans="1:15" x14ac:dyDescent="0.3">
      <c r="A128" s="11">
        <v>45370</v>
      </c>
      <c r="B128" s="5" t="s">
        <v>557</v>
      </c>
      <c r="C128" s="5" t="s">
        <v>1</v>
      </c>
      <c r="D128" s="4">
        <f>F128/1.21</f>
        <v>173.55371900826447</v>
      </c>
      <c r="E128" s="4">
        <f>D128*10/100</f>
        <v>17.355371900826448</v>
      </c>
      <c r="F128" s="2">
        <v>210</v>
      </c>
      <c r="G128" s="2"/>
      <c r="H128" s="3">
        <f>F128-G128</f>
        <v>210</v>
      </c>
      <c r="I128" s="1" t="s">
        <v>206</v>
      </c>
      <c r="J128" s="82">
        <v>210</v>
      </c>
      <c r="K128" s="82"/>
      <c r="L128" s="1"/>
      <c r="M128" s="1"/>
      <c r="N128" s="1"/>
      <c r="O128" s="1"/>
    </row>
    <row r="129" spans="1:15" x14ac:dyDescent="0.3">
      <c r="A129" s="81">
        <v>45372</v>
      </c>
      <c r="B129" s="5" t="s">
        <v>556</v>
      </c>
      <c r="C129" s="5" t="s">
        <v>1</v>
      </c>
      <c r="D129" s="4">
        <f>F129/1.21</f>
        <v>82.644628099173559</v>
      </c>
      <c r="E129" s="4">
        <f>D129*10/100</f>
        <v>8.2644628099173563</v>
      </c>
      <c r="F129" s="2">
        <v>100</v>
      </c>
      <c r="G129" s="2"/>
      <c r="H129" s="3">
        <f>F129-G129</f>
        <v>100</v>
      </c>
      <c r="I129" s="1" t="s">
        <v>206</v>
      </c>
      <c r="J129" s="82">
        <v>100</v>
      </c>
      <c r="K129" s="82"/>
      <c r="L129" s="1"/>
      <c r="M129" s="1"/>
      <c r="N129" s="1"/>
      <c r="O129" s="1"/>
    </row>
    <row r="130" spans="1:15" x14ac:dyDescent="0.3">
      <c r="A130" s="11">
        <v>45372</v>
      </c>
      <c r="B130" s="5" t="s">
        <v>555</v>
      </c>
      <c r="C130" s="5" t="s">
        <v>1</v>
      </c>
      <c r="D130" s="4">
        <f>F130/1.21</f>
        <v>173.55371900826447</v>
      </c>
      <c r="E130" s="4">
        <f>D130*10/100</f>
        <v>17.355371900826448</v>
      </c>
      <c r="F130" s="2">
        <v>210</v>
      </c>
      <c r="G130" s="2"/>
      <c r="H130" s="3">
        <f>F130-G130</f>
        <v>210</v>
      </c>
      <c r="I130" s="1" t="s">
        <v>554</v>
      </c>
      <c r="J130" s="82">
        <v>210</v>
      </c>
      <c r="K130" s="82"/>
      <c r="L130" s="1"/>
      <c r="M130" s="1"/>
      <c r="N130" s="1"/>
      <c r="O130" s="1"/>
    </row>
    <row r="131" spans="1:15" x14ac:dyDescent="0.3">
      <c r="A131" s="81">
        <v>45372</v>
      </c>
      <c r="B131" s="5" t="s">
        <v>553</v>
      </c>
      <c r="C131" s="5" t="s">
        <v>1</v>
      </c>
      <c r="D131" s="4">
        <f>F131/1.21</f>
        <v>173.55371900826447</v>
      </c>
      <c r="E131" s="4">
        <f>D131*10/100</f>
        <v>17.355371900826448</v>
      </c>
      <c r="F131" s="2">
        <v>210</v>
      </c>
      <c r="G131" s="2"/>
      <c r="H131" s="3">
        <f>F131-G131</f>
        <v>210</v>
      </c>
      <c r="I131" s="1" t="s">
        <v>206</v>
      </c>
      <c r="J131" s="82">
        <v>210</v>
      </c>
      <c r="K131" s="82"/>
      <c r="L131" s="1"/>
      <c r="M131" s="1"/>
      <c r="N131" s="1"/>
      <c r="O131" s="1"/>
    </row>
    <row r="132" spans="1:15" x14ac:dyDescent="0.3">
      <c r="A132" s="11">
        <v>45373</v>
      </c>
      <c r="B132" s="5" t="s">
        <v>552</v>
      </c>
      <c r="C132" s="5" t="s">
        <v>1</v>
      </c>
      <c r="D132" s="4">
        <f>F132/1.21</f>
        <v>140.49586776859505</v>
      </c>
      <c r="E132" s="4">
        <f>D132*10/100</f>
        <v>14.049586776859506</v>
      </c>
      <c r="F132" s="2">
        <v>170</v>
      </c>
      <c r="G132" s="2">
        <v>50</v>
      </c>
      <c r="H132" s="3">
        <f>F132-G132</f>
        <v>120</v>
      </c>
      <c r="I132" s="1" t="s">
        <v>551</v>
      </c>
      <c r="J132" s="82">
        <v>170</v>
      </c>
      <c r="K132" s="82"/>
      <c r="L132" s="1"/>
      <c r="M132" s="1"/>
      <c r="N132" s="1"/>
      <c r="O132" s="1"/>
    </row>
    <row r="133" spans="1:15" x14ac:dyDescent="0.3">
      <c r="A133" s="81">
        <v>45373</v>
      </c>
      <c r="B133" s="5" t="s">
        <v>550</v>
      </c>
      <c r="C133" s="5" t="s">
        <v>1</v>
      </c>
      <c r="D133" s="4">
        <f>F133/1.21</f>
        <v>115.70247933884298</v>
      </c>
      <c r="E133" s="4">
        <f>D133*10/100</f>
        <v>11.570247933884298</v>
      </c>
      <c r="F133" s="2">
        <v>140</v>
      </c>
      <c r="G133" s="2">
        <v>50</v>
      </c>
      <c r="H133" s="3">
        <f>F133-G133</f>
        <v>90</v>
      </c>
      <c r="I133" s="1" t="s">
        <v>10</v>
      </c>
      <c r="J133" s="82">
        <v>140</v>
      </c>
      <c r="K133" s="82"/>
      <c r="L133" s="1"/>
      <c r="M133" s="1"/>
      <c r="N133" s="1"/>
      <c r="O133" s="1"/>
    </row>
    <row r="134" spans="1:15" x14ac:dyDescent="0.3">
      <c r="A134" s="11">
        <v>45373</v>
      </c>
      <c r="B134" s="5" t="s">
        <v>549</v>
      </c>
      <c r="C134" s="5" t="s">
        <v>1</v>
      </c>
      <c r="D134" s="4">
        <f>F134/1.21</f>
        <v>181.81818181818181</v>
      </c>
      <c r="E134" s="4">
        <f>D134*10/100</f>
        <v>18.18181818181818</v>
      </c>
      <c r="F134" s="2">
        <v>220</v>
      </c>
      <c r="G134" s="2">
        <v>50</v>
      </c>
      <c r="H134" s="3">
        <f>F134-G134</f>
        <v>170</v>
      </c>
      <c r="I134" s="1" t="s">
        <v>548</v>
      </c>
      <c r="J134" s="82">
        <v>220</v>
      </c>
      <c r="K134" s="82"/>
      <c r="L134" s="1"/>
      <c r="M134" s="1"/>
      <c r="N134" s="1"/>
      <c r="O134" s="1"/>
    </row>
    <row r="135" spans="1:15" x14ac:dyDescent="0.3">
      <c r="A135" s="81">
        <v>45373</v>
      </c>
      <c r="B135" s="5" t="s">
        <v>547</v>
      </c>
      <c r="C135" s="5" t="s">
        <v>1</v>
      </c>
      <c r="D135" s="4">
        <f>F135/1.21</f>
        <v>256.198347107438</v>
      </c>
      <c r="E135" s="4">
        <f>D135*10/100</f>
        <v>25.619834710743799</v>
      </c>
      <c r="F135" s="2">
        <v>310</v>
      </c>
      <c r="G135" s="2">
        <v>50</v>
      </c>
      <c r="H135" s="3">
        <f>F135-G135</f>
        <v>260</v>
      </c>
      <c r="I135" s="1" t="s">
        <v>546</v>
      </c>
      <c r="J135" s="82">
        <v>310</v>
      </c>
      <c r="K135" s="82"/>
      <c r="L135" s="1"/>
      <c r="M135" s="1"/>
      <c r="N135" s="1"/>
      <c r="O135" s="1"/>
    </row>
    <row r="136" spans="1:15" x14ac:dyDescent="0.3">
      <c r="A136" s="11">
        <v>45373</v>
      </c>
      <c r="B136" s="5" t="s">
        <v>545</v>
      </c>
      <c r="C136" s="5" t="s">
        <v>1</v>
      </c>
      <c r="D136" s="4">
        <f>F136/1.21</f>
        <v>148.7603305785124</v>
      </c>
      <c r="E136" s="4">
        <f>D136*10/100</f>
        <v>14.876033057851238</v>
      </c>
      <c r="F136" s="2">
        <v>180</v>
      </c>
      <c r="G136" s="2"/>
      <c r="H136" s="3">
        <f>F136-G136</f>
        <v>180</v>
      </c>
      <c r="I136" s="1" t="s">
        <v>206</v>
      </c>
      <c r="J136" s="82">
        <v>180</v>
      </c>
      <c r="K136" s="82"/>
      <c r="L136" s="1"/>
      <c r="M136" s="1"/>
      <c r="N136" s="1"/>
      <c r="O136" s="1"/>
    </row>
    <row r="137" spans="1:15" x14ac:dyDescent="0.3">
      <c r="A137" s="81">
        <v>45373</v>
      </c>
      <c r="B137" s="5" t="s">
        <v>544</v>
      </c>
      <c r="C137" s="5" t="s">
        <v>1</v>
      </c>
      <c r="D137" s="4">
        <f>F137/1.21</f>
        <v>148.7603305785124</v>
      </c>
      <c r="E137" s="4">
        <f>D137*10/100</f>
        <v>14.876033057851238</v>
      </c>
      <c r="F137" s="2">
        <v>180</v>
      </c>
      <c r="G137" s="2"/>
      <c r="H137" s="3">
        <f>F137-G137</f>
        <v>180</v>
      </c>
      <c r="I137" s="1" t="s">
        <v>206</v>
      </c>
      <c r="J137" s="82">
        <v>180</v>
      </c>
      <c r="K137" s="82"/>
      <c r="L137" s="1"/>
      <c r="M137" s="1"/>
      <c r="N137" s="1"/>
      <c r="O137" s="1"/>
    </row>
    <row r="138" spans="1:15" x14ac:dyDescent="0.3">
      <c r="A138" s="11">
        <v>45374</v>
      </c>
      <c r="B138" s="5" t="s">
        <v>543</v>
      </c>
      <c r="C138" s="5" t="s">
        <v>1</v>
      </c>
      <c r="D138" s="4">
        <f>F138/1.21</f>
        <v>115.70247933884298</v>
      </c>
      <c r="E138" s="4">
        <f>D138*10/100</f>
        <v>11.570247933884298</v>
      </c>
      <c r="F138" s="2">
        <v>140</v>
      </c>
      <c r="G138" s="2">
        <v>50</v>
      </c>
      <c r="H138" s="3">
        <f>F138-G138</f>
        <v>90</v>
      </c>
      <c r="I138" s="1" t="s">
        <v>542</v>
      </c>
      <c r="J138" s="82">
        <v>140</v>
      </c>
      <c r="K138" s="82"/>
      <c r="L138" s="1"/>
      <c r="M138" s="1"/>
      <c r="N138" s="1"/>
      <c r="O138" s="1"/>
    </row>
    <row r="139" spans="1:15" x14ac:dyDescent="0.3">
      <c r="A139" s="81">
        <v>45374</v>
      </c>
      <c r="B139" s="5" t="s">
        <v>541</v>
      </c>
      <c r="C139" s="5" t="s">
        <v>1</v>
      </c>
      <c r="D139" s="4">
        <f>F139/1.21</f>
        <v>148.7603305785124</v>
      </c>
      <c r="E139" s="4">
        <f>D139*10/100</f>
        <v>14.876033057851238</v>
      </c>
      <c r="F139" s="2">
        <v>180</v>
      </c>
      <c r="G139" s="2"/>
      <c r="H139" s="3">
        <f>F139-G139</f>
        <v>180</v>
      </c>
      <c r="I139" s="1" t="s">
        <v>540</v>
      </c>
      <c r="J139" s="82">
        <v>180</v>
      </c>
      <c r="K139" s="82"/>
      <c r="L139" s="1"/>
      <c r="M139" s="1"/>
      <c r="N139" s="1"/>
      <c r="O139" s="1"/>
    </row>
    <row r="140" spans="1:15" x14ac:dyDescent="0.3">
      <c r="A140" s="11">
        <v>45374</v>
      </c>
      <c r="B140" s="5" t="s">
        <v>539</v>
      </c>
      <c r="C140" s="5" t="s">
        <v>1</v>
      </c>
      <c r="D140" s="4">
        <f>F140/1.21</f>
        <v>177.68595041322314</v>
      </c>
      <c r="E140" s="4">
        <f>D140*10/100</f>
        <v>17.768595041322314</v>
      </c>
      <c r="F140" s="2">
        <v>215</v>
      </c>
      <c r="G140" s="2">
        <v>50</v>
      </c>
      <c r="H140" s="3">
        <f>F140-G140</f>
        <v>165</v>
      </c>
      <c r="I140" s="1" t="s">
        <v>538</v>
      </c>
      <c r="J140" s="82">
        <v>170</v>
      </c>
      <c r="K140" s="82"/>
      <c r="L140" s="1"/>
      <c r="M140" s="2">
        <v>45</v>
      </c>
      <c r="N140" s="1" t="s">
        <v>14</v>
      </c>
      <c r="O140" s="1"/>
    </row>
    <row r="141" spans="1:15" x14ac:dyDescent="0.3">
      <c r="A141" s="81">
        <v>45374</v>
      </c>
      <c r="B141" s="5" t="s">
        <v>537</v>
      </c>
      <c r="C141" s="5" t="s">
        <v>1</v>
      </c>
      <c r="D141" s="4">
        <f>F141/1.21</f>
        <v>115.70247933884298</v>
      </c>
      <c r="E141" s="4">
        <f>D141*10/100</f>
        <v>11.570247933884298</v>
      </c>
      <c r="F141" s="2">
        <v>140</v>
      </c>
      <c r="G141" s="2"/>
      <c r="H141" s="3">
        <f>F141-G141</f>
        <v>140</v>
      </c>
      <c r="I141" s="1" t="s">
        <v>536</v>
      </c>
      <c r="J141" s="82">
        <v>140</v>
      </c>
      <c r="K141" s="82"/>
      <c r="L141" s="1"/>
      <c r="M141" s="1"/>
      <c r="N141" s="1"/>
      <c r="O141" s="1"/>
    </row>
    <row r="142" spans="1:15" x14ac:dyDescent="0.3">
      <c r="A142" s="11">
        <v>45374</v>
      </c>
      <c r="B142" s="5" t="s">
        <v>535</v>
      </c>
      <c r="C142" s="5" t="s">
        <v>1</v>
      </c>
      <c r="D142" s="4">
        <f>F142/1.21</f>
        <v>165.28925619834712</v>
      </c>
      <c r="E142" s="4">
        <f>D142*10/100</f>
        <v>16.528925619834713</v>
      </c>
      <c r="F142" s="2">
        <v>200</v>
      </c>
      <c r="G142" s="2">
        <v>50</v>
      </c>
      <c r="H142" s="3">
        <f>F142-G142</f>
        <v>150</v>
      </c>
      <c r="I142" s="1" t="s">
        <v>534</v>
      </c>
      <c r="J142" s="82">
        <v>170</v>
      </c>
      <c r="K142" s="82">
        <v>30</v>
      </c>
      <c r="L142" s="1" t="s">
        <v>7</v>
      </c>
      <c r="M142" s="1"/>
      <c r="N142" s="1"/>
      <c r="O142" s="1"/>
    </row>
    <row r="143" spans="1:15" x14ac:dyDescent="0.3">
      <c r="A143" s="81">
        <v>45374</v>
      </c>
      <c r="B143" s="5" t="s">
        <v>533</v>
      </c>
      <c r="C143" s="5" t="s">
        <v>1</v>
      </c>
      <c r="D143" s="4">
        <f>F143/1.21</f>
        <v>157.02479338842977</v>
      </c>
      <c r="E143" s="4">
        <f>D143*10/100</f>
        <v>15.702479338842977</v>
      </c>
      <c r="F143" s="2">
        <v>190</v>
      </c>
      <c r="G143" s="2">
        <v>50</v>
      </c>
      <c r="H143" s="3">
        <f>F143-G143</f>
        <v>140</v>
      </c>
      <c r="I143" s="1" t="s">
        <v>532</v>
      </c>
      <c r="J143" s="82">
        <v>170</v>
      </c>
      <c r="K143" s="82">
        <v>20</v>
      </c>
      <c r="L143" s="1" t="s">
        <v>7</v>
      </c>
      <c r="M143" s="82"/>
      <c r="N143" s="1"/>
      <c r="O143" s="1"/>
    </row>
    <row r="144" spans="1:15" x14ac:dyDescent="0.3">
      <c r="A144" s="81">
        <v>45374</v>
      </c>
      <c r="B144" s="5" t="s">
        <v>531</v>
      </c>
      <c r="C144" s="5" t="s">
        <v>1</v>
      </c>
      <c r="D144" s="4">
        <f>F144/1.21</f>
        <v>260.3305785123967</v>
      </c>
      <c r="E144" s="4">
        <f>D144*10/100</f>
        <v>26.033057851239668</v>
      </c>
      <c r="F144" s="2">
        <v>315</v>
      </c>
      <c r="G144" s="2">
        <v>50</v>
      </c>
      <c r="H144" s="3">
        <f>F144-G144</f>
        <v>265</v>
      </c>
      <c r="I144" s="1" t="s">
        <v>530</v>
      </c>
      <c r="J144" s="82">
        <v>270</v>
      </c>
      <c r="K144" s="82"/>
      <c r="L144" s="1"/>
      <c r="M144" s="82">
        <v>45</v>
      </c>
      <c r="N144" s="1" t="s">
        <v>14</v>
      </c>
      <c r="O144" s="1"/>
    </row>
    <row r="145" spans="1:15" x14ac:dyDescent="0.3">
      <c r="A145" s="81">
        <v>45374</v>
      </c>
      <c r="B145" s="5" t="s">
        <v>529</v>
      </c>
      <c r="C145" s="5" t="s">
        <v>1</v>
      </c>
      <c r="D145" s="4">
        <f>F145/1.21</f>
        <v>115.70247933884298</v>
      </c>
      <c r="E145" s="4">
        <f>D145*10/100</f>
        <v>11.570247933884298</v>
      </c>
      <c r="F145" s="2">
        <v>140</v>
      </c>
      <c r="G145" s="2"/>
      <c r="H145" s="3">
        <f>F145-G145</f>
        <v>140</v>
      </c>
      <c r="I145" s="1" t="s">
        <v>528</v>
      </c>
      <c r="J145" s="82">
        <v>140</v>
      </c>
      <c r="K145" s="1"/>
      <c r="L145" s="1"/>
      <c r="M145" s="82"/>
      <c r="N145" s="1"/>
      <c r="O145" s="1"/>
    </row>
    <row r="146" spans="1:15" x14ac:dyDescent="0.3">
      <c r="A146" s="81">
        <v>45374</v>
      </c>
      <c r="B146" s="5" t="s">
        <v>527</v>
      </c>
      <c r="C146" s="5" t="s">
        <v>1</v>
      </c>
      <c r="D146" s="4">
        <f>F146/1.21</f>
        <v>107.43801652892563</v>
      </c>
      <c r="E146" s="4">
        <f>D146*10/100</f>
        <v>10.743801652892563</v>
      </c>
      <c r="F146" s="2">
        <v>130</v>
      </c>
      <c r="G146" s="2"/>
      <c r="H146" s="3">
        <f>F146-G146</f>
        <v>130</v>
      </c>
      <c r="I146" s="1" t="s">
        <v>526</v>
      </c>
      <c r="J146" s="82">
        <v>130</v>
      </c>
      <c r="K146" s="82"/>
      <c r="L146" s="1"/>
      <c r="M146" s="82"/>
      <c r="N146" s="1"/>
      <c r="O146" s="1"/>
    </row>
    <row r="147" spans="1:15" x14ac:dyDescent="0.3">
      <c r="A147" s="11">
        <v>45374</v>
      </c>
      <c r="B147" s="5" t="s">
        <v>525</v>
      </c>
      <c r="C147" s="5" t="s">
        <v>1</v>
      </c>
      <c r="D147" s="4">
        <f>F147/1.21</f>
        <v>280.9917355371901</v>
      </c>
      <c r="E147" s="4">
        <f>D147*10/100</f>
        <v>28.099173553719012</v>
      </c>
      <c r="F147" s="2">
        <v>340</v>
      </c>
      <c r="G147" s="2">
        <v>50</v>
      </c>
      <c r="H147" s="3">
        <f>F147-G147</f>
        <v>290</v>
      </c>
      <c r="I147" s="1" t="s">
        <v>524</v>
      </c>
      <c r="J147" s="82">
        <v>340</v>
      </c>
      <c r="K147" s="1"/>
      <c r="L147" s="1"/>
      <c r="M147" s="82"/>
      <c r="N147" s="1"/>
      <c r="O147" s="1"/>
    </row>
    <row r="148" spans="1:15" x14ac:dyDescent="0.3">
      <c r="A148" s="81">
        <v>45374</v>
      </c>
      <c r="B148" s="5" t="s">
        <v>523</v>
      </c>
      <c r="C148" s="5" t="s">
        <v>1</v>
      </c>
      <c r="D148" s="4">
        <f>F148/1.21</f>
        <v>148.7603305785124</v>
      </c>
      <c r="E148" s="4">
        <f>D148*10/100</f>
        <v>14.876033057851238</v>
      </c>
      <c r="F148" s="2">
        <v>180</v>
      </c>
      <c r="G148" s="2"/>
      <c r="H148" s="3">
        <f>F148-G148</f>
        <v>180</v>
      </c>
      <c r="I148" s="1" t="s">
        <v>206</v>
      </c>
      <c r="J148" s="82">
        <v>180</v>
      </c>
      <c r="K148" s="1"/>
      <c r="L148" s="1"/>
      <c r="M148" s="82"/>
      <c r="N148" s="1"/>
      <c r="O148" s="1"/>
    </row>
    <row r="149" spans="1:15" x14ac:dyDescent="0.3">
      <c r="A149" s="11">
        <v>45374</v>
      </c>
      <c r="B149" s="5" t="s">
        <v>522</v>
      </c>
      <c r="C149" s="5" t="s">
        <v>1</v>
      </c>
      <c r="D149" s="4">
        <f>F149/1.21</f>
        <v>206.61157024793388</v>
      </c>
      <c r="E149" s="4">
        <f>D149*10/100</f>
        <v>20.661157024793386</v>
      </c>
      <c r="F149" s="2">
        <v>250</v>
      </c>
      <c r="G149" s="2">
        <v>50</v>
      </c>
      <c r="H149" s="3">
        <f>F149-G149</f>
        <v>200</v>
      </c>
      <c r="I149" s="1" t="s">
        <v>10</v>
      </c>
      <c r="J149" s="82">
        <v>220</v>
      </c>
      <c r="K149" s="82">
        <v>30</v>
      </c>
      <c r="L149" s="1" t="s">
        <v>7</v>
      </c>
      <c r="M149" s="82"/>
      <c r="N149" s="1"/>
      <c r="O149" s="1"/>
    </row>
    <row r="150" spans="1:15" x14ac:dyDescent="0.3">
      <c r="A150" s="81">
        <v>45374</v>
      </c>
      <c r="B150" s="5" t="s">
        <v>521</v>
      </c>
      <c r="C150" s="5" t="s">
        <v>1</v>
      </c>
      <c r="D150" s="4">
        <f>F150/1.21</f>
        <v>206.61157024793388</v>
      </c>
      <c r="E150" s="4">
        <f>D150*10/100</f>
        <v>20.661157024793386</v>
      </c>
      <c r="F150" s="2">
        <v>250</v>
      </c>
      <c r="G150" s="2">
        <v>50</v>
      </c>
      <c r="H150" s="3">
        <f>F150-G150</f>
        <v>200</v>
      </c>
      <c r="I150" s="1" t="s">
        <v>520</v>
      </c>
      <c r="J150" s="82">
        <v>220</v>
      </c>
      <c r="K150" s="82">
        <v>30</v>
      </c>
      <c r="L150" s="1" t="s">
        <v>7</v>
      </c>
      <c r="M150" s="82"/>
      <c r="N150" s="1"/>
      <c r="O150" s="1"/>
    </row>
    <row r="151" spans="1:15" x14ac:dyDescent="0.3">
      <c r="A151" s="81">
        <v>45374</v>
      </c>
      <c r="B151" s="5" t="s">
        <v>519</v>
      </c>
      <c r="C151" s="5" t="s">
        <v>1</v>
      </c>
      <c r="D151" s="4">
        <f>F151/1.21</f>
        <v>181.81818181818181</v>
      </c>
      <c r="E151" s="4">
        <f>D151*10/100</f>
        <v>18.18181818181818</v>
      </c>
      <c r="F151" s="2">
        <v>220</v>
      </c>
      <c r="G151" s="2">
        <v>220</v>
      </c>
      <c r="H151" s="3">
        <f>F151-G151</f>
        <v>0</v>
      </c>
      <c r="I151" s="1" t="s">
        <v>518</v>
      </c>
      <c r="J151" s="82">
        <v>220</v>
      </c>
      <c r="K151" s="1"/>
      <c r="L151" s="1"/>
      <c r="M151" s="82"/>
      <c r="N151" s="1"/>
      <c r="O151" s="1"/>
    </row>
    <row r="152" spans="1:15" x14ac:dyDescent="0.3">
      <c r="A152" s="81">
        <v>45374</v>
      </c>
      <c r="B152" s="5" t="s">
        <v>517</v>
      </c>
      <c r="C152" s="5" t="s">
        <v>1</v>
      </c>
      <c r="D152" s="4">
        <f>F152/1.21</f>
        <v>107.43801652892563</v>
      </c>
      <c r="E152" s="4">
        <f>D152*10/100</f>
        <v>10.743801652892563</v>
      </c>
      <c r="F152" s="2">
        <v>130</v>
      </c>
      <c r="G152" s="2"/>
      <c r="H152" s="3">
        <f>F152-G152</f>
        <v>130</v>
      </c>
      <c r="I152" s="1" t="s">
        <v>332</v>
      </c>
      <c r="J152" s="82">
        <v>130</v>
      </c>
      <c r="K152" s="82"/>
      <c r="L152" s="1"/>
      <c r="M152" s="82"/>
      <c r="N152" s="1"/>
      <c r="O152" s="1"/>
    </row>
    <row r="153" spans="1:15" x14ac:dyDescent="0.3">
      <c r="A153" s="81">
        <v>45374</v>
      </c>
      <c r="B153" s="5" t="s">
        <v>516</v>
      </c>
      <c r="C153" s="5" t="s">
        <v>1</v>
      </c>
      <c r="D153" s="4">
        <f>F153/1.21</f>
        <v>115.70247933884298</v>
      </c>
      <c r="E153" s="4">
        <f>D153*10/100</f>
        <v>11.570247933884298</v>
      </c>
      <c r="F153" s="2">
        <v>140</v>
      </c>
      <c r="G153" s="2"/>
      <c r="H153" s="3">
        <f>F153-G153</f>
        <v>140</v>
      </c>
      <c r="I153" s="1" t="s">
        <v>515</v>
      </c>
      <c r="J153" s="82">
        <v>140</v>
      </c>
      <c r="K153" s="1"/>
      <c r="L153" s="1"/>
      <c r="M153" s="1"/>
      <c r="N153" s="1"/>
      <c r="O153" s="1"/>
    </row>
    <row r="154" spans="1:15" x14ac:dyDescent="0.3">
      <c r="A154" s="11">
        <v>45374</v>
      </c>
      <c r="B154" s="5" t="s">
        <v>514</v>
      </c>
      <c r="C154" s="5" t="s">
        <v>1</v>
      </c>
      <c r="D154" s="4">
        <f>F154/1.21</f>
        <v>107.43801652892563</v>
      </c>
      <c r="E154" s="4">
        <f>D154*10/100</f>
        <v>10.743801652892563</v>
      </c>
      <c r="F154" s="2">
        <v>130</v>
      </c>
      <c r="G154" s="2"/>
      <c r="H154" s="3">
        <f>F154-G154</f>
        <v>130</v>
      </c>
      <c r="I154" s="1" t="s">
        <v>332</v>
      </c>
      <c r="J154" s="82">
        <v>130</v>
      </c>
      <c r="K154" s="1"/>
      <c r="L154" s="1"/>
      <c r="M154" s="1"/>
      <c r="N154" s="1"/>
      <c r="O154" s="1"/>
    </row>
    <row r="155" spans="1:15" x14ac:dyDescent="0.3">
      <c r="A155" s="81">
        <v>45374</v>
      </c>
      <c r="B155" s="5" t="s">
        <v>513</v>
      </c>
      <c r="C155" s="5" t="s">
        <v>1</v>
      </c>
      <c r="D155" s="4">
        <f>F155/1.21</f>
        <v>99.173553719008268</v>
      </c>
      <c r="E155" s="4">
        <f>D155*10/100</f>
        <v>9.9173553719008272</v>
      </c>
      <c r="F155" s="2">
        <v>120</v>
      </c>
      <c r="G155" s="2"/>
      <c r="H155" s="3">
        <f>F155-G155</f>
        <v>120</v>
      </c>
      <c r="I155" s="1" t="s">
        <v>10</v>
      </c>
      <c r="J155" s="82">
        <v>170</v>
      </c>
      <c r="K155" s="1"/>
      <c r="L155" s="1"/>
      <c r="M155" s="1"/>
      <c r="N155" s="1"/>
      <c r="O155" s="1"/>
    </row>
    <row r="156" spans="1:15" x14ac:dyDescent="0.3">
      <c r="A156" s="11">
        <v>45374</v>
      </c>
      <c r="B156" s="5" t="s">
        <v>512</v>
      </c>
      <c r="C156" s="5" t="s">
        <v>1</v>
      </c>
      <c r="D156" s="4">
        <f>F156/1.21</f>
        <v>256.198347107438</v>
      </c>
      <c r="E156" s="4">
        <f>D156*10/100</f>
        <v>25.619834710743799</v>
      </c>
      <c r="F156" s="2">
        <v>310</v>
      </c>
      <c r="G156" s="2"/>
      <c r="H156" s="3">
        <f>F156-G156</f>
        <v>310</v>
      </c>
      <c r="I156" s="1" t="s">
        <v>206</v>
      </c>
      <c r="J156" s="82">
        <v>310</v>
      </c>
      <c r="K156" s="1"/>
      <c r="L156" s="1"/>
      <c r="M156" s="1"/>
      <c r="N156" s="1"/>
      <c r="O156" s="1"/>
    </row>
    <row r="157" spans="1:15" x14ac:dyDescent="0.3">
      <c r="A157" s="81">
        <v>45374</v>
      </c>
      <c r="B157" s="5" t="s">
        <v>511</v>
      </c>
      <c r="C157" s="5" t="s">
        <v>1</v>
      </c>
      <c r="D157" s="4">
        <f>F157/1.21</f>
        <v>214.87603305785126</v>
      </c>
      <c r="E157" s="4">
        <f>D157*10/100</f>
        <v>21.487603305785125</v>
      </c>
      <c r="F157" s="2">
        <v>260</v>
      </c>
      <c r="G157" s="2">
        <v>50</v>
      </c>
      <c r="H157" s="3">
        <f>F157-G157</f>
        <v>210</v>
      </c>
      <c r="I157" s="1" t="s">
        <v>510</v>
      </c>
      <c r="J157" s="82">
        <v>220</v>
      </c>
      <c r="K157" s="2">
        <v>40</v>
      </c>
      <c r="L157" s="1" t="s">
        <v>7</v>
      </c>
      <c r="M157" s="1"/>
      <c r="N157" s="1"/>
      <c r="O157" s="1"/>
    </row>
    <row r="158" spans="1:15" x14ac:dyDescent="0.3">
      <c r="A158" s="81">
        <v>45375</v>
      </c>
      <c r="B158" s="5" t="s">
        <v>509</v>
      </c>
      <c r="C158" s="5" t="s">
        <v>1</v>
      </c>
      <c r="D158" s="2">
        <f>F158/1.21</f>
        <v>115.70247933884298</v>
      </c>
      <c r="E158" s="2">
        <f>D158*10/100</f>
        <v>11.570247933884298</v>
      </c>
      <c r="F158" s="2">
        <v>140</v>
      </c>
      <c r="G158" s="2"/>
      <c r="H158" s="3">
        <f>F158-G158</f>
        <v>140</v>
      </c>
      <c r="I158" s="1" t="s">
        <v>206</v>
      </c>
      <c r="J158" s="2">
        <v>140</v>
      </c>
      <c r="K158" s="2"/>
      <c r="L158" s="1"/>
      <c r="M158" s="1"/>
      <c r="N158" s="1"/>
      <c r="O158" s="1"/>
    </row>
    <row r="159" spans="1:15" x14ac:dyDescent="0.3">
      <c r="A159" s="81">
        <v>45375</v>
      </c>
      <c r="B159" s="5" t="s">
        <v>508</v>
      </c>
      <c r="C159" s="5" t="s">
        <v>1</v>
      </c>
      <c r="D159" s="2">
        <f>F159/1.21</f>
        <v>181.81818181818181</v>
      </c>
      <c r="E159" s="2">
        <f>D159*10/100</f>
        <v>18.18181818181818</v>
      </c>
      <c r="F159" s="2">
        <v>220</v>
      </c>
      <c r="G159" s="2"/>
      <c r="H159" s="3">
        <f>F159-G159</f>
        <v>220</v>
      </c>
      <c r="I159" s="1" t="s">
        <v>332</v>
      </c>
      <c r="J159" s="2">
        <v>220</v>
      </c>
      <c r="K159" s="2"/>
      <c r="L159" s="1"/>
      <c r="M159" s="1"/>
      <c r="N159" s="1"/>
      <c r="O159" s="1"/>
    </row>
    <row r="160" spans="1:15" x14ac:dyDescent="0.3">
      <c r="A160" s="81">
        <v>45375</v>
      </c>
      <c r="B160" s="5" t="s">
        <v>507</v>
      </c>
      <c r="C160" s="5" t="s">
        <v>1</v>
      </c>
      <c r="D160" s="2">
        <f>F160/1.21</f>
        <v>214.87603305785126</v>
      </c>
      <c r="E160" s="2">
        <f>D160*10/100</f>
        <v>21.487603305785125</v>
      </c>
      <c r="F160" s="2">
        <v>260</v>
      </c>
      <c r="G160" s="2"/>
      <c r="H160" s="3">
        <f>F160-G160</f>
        <v>260</v>
      </c>
      <c r="I160" s="1" t="s">
        <v>10</v>
      </c>
      <c r="J160" s="2">
        <v>160</v>
      </c>
      <c r="K160" s="2"/>
      <c r="L160" s="1"/>
      <c r="M160" s="1"/>
      <c r="N160" s="1"/>
      <c r="O160" s="1"/>
    </row>
    <row r="161" spans="1:15" x14ac:dyDescent="0.3">
      <c r="A161" s="81">
        <v>45375</v>
      </c>
      <c r="B161" s="5" t="s">
        <v>506</v>
      </c>
      <c r="C161" s="5" t="s">
        <v>1</v>
      </c>
      <c r="D161" s="2">
        <f>F161/1.21</f>
        <v>157.02479338842977</v>
      </c>
      <c r="E161" s="2">
        <f>D161*10/100</f>
        <v>15.702479338842977</v>
      </c>
      <c r="F161" s="2">
        <v>190</v>
      </c>
      <c r="G161" s="2"/>
      <c r="H161" s="3">
        <f>F161-G161</f>
        <v>190</v>
      </c>
      <c r="I161" s="1" t="s">
        <v>505</v>
      </c>
      <c r="J161" s="2">
        <v>190</v>
      </c>
      <c r="K161" s="2"/>
      <c r="L161" s="1"/>
      <c r="M161" s="1"/>
      <c r="N161" s="1"/>
      <c r="O161" s="1"/>
    </row>
    <row r="162" spans="1:15" x14ac:dyDescent="0.3">
      <c r="A162" s="81">
        <v>45375</v>
      </c>
      <c r="B162" s="5" t="s">
        <v>504</v>
      </c>
      <c r="C162" s="5" t="s">
        <v>1</v>
      </c>
      <c r="D162" s="2">
        <f>F162/1.21</f>
        <v>190.08264462809919</v>
      </c>
      <c r="E162" s="2">
        <f>D162*10/100</f>
        <v>19.008264462809919</v>
      </c>
      <c r="F162" s="2">
        <v>230</v>
      </c>
      <c r="G162" s="2"/>
      <c r="H162" s="3">
        <f>F162-G162</f>
        <v>230</v>
      </c>
      <c r="I162" s="1" t="s">
        <v>503</v>
      </c>
      <c r="J162" s="2">
        <v>230</v>
      </c>
      <c r="K162" s="2"/>
      <c r="L162" s="1"/>
      <c r="M162" s="1"/>
      <c r="N162" s="1"/>
      <c r="O162" s="1"/>
    </row>
    <row r="163" spans="1:15" x14ac:dyDescent="0.3">
      <c r="A163" s="81">
        <v>45375</v>
      </c>
      <c r="B163" s="5" t="s">
        <v>502</v>
      </c>
      <c r="C163" s="5" t="s">
        <v>1</v>
      </c>
      <c r="D163" s="2">
        <f>F163/1.21</f>
        <v>223.14049586776861</v>
      </c>
      <c r="E163" s="2">
        <f>D163*10/100</f>
        <v>22.314049586776861</v>
      </c>
      <c r="F163" s="2">
        <v>270</v>
      </c>
      <c r="G163" s="2">
        <v>50</v>
      </c>
      <c r="H163" s="3">
        <f>F163-G163</f>
        <v>220</v>
      </c>
      <c r="I163" s="1" t="s">
        <v>501</v>
      </c>
      <c r="J163" s="2">
        <v>270</v>
      </c>
      <c r="K163" s="2"/>
      <c r="L163" s="1"/>
      <c r="M163" s="1"/>
      <c r="N163" s="1"/>
      <c r="O163" s="1"/>
    </row>
    <row r="164" spans="1:15" x14ac:dyDescent="0.3">
      <c r="A164" s="81">
        <v>45375</v>
      </c>
      <c r="B164" s="5" t="s">
        <v>500</v>
      </c>
      <c r="C164" s="5" t="s">
        <v>1</v>
      </c>
      <c r="D164" s="2">
        <f>F164/1.21</f>
        <v>223.14049586776861</v>
      </c>
      <c r="E164" s="2">
        <f>D164*10/100</f>
        <v>22.314049586776861</v>
      </c>
      <c r="F164" s="2">
        <v>270</v>
      </c>
      <c r="G164" s="2">
        <v>50</v>
      </c>
      <c r="H164" s="3">
        <f>F164-G164</f>
        <v>220</v>
      </c>
      <c r="I164" s="1" t="s">
        <v>499</v>
      </c>
      <c r="J164" s="2">
        <v>270</v>
      </c>
      <c r="K164" s="2"/>
      <c r="L164" s="1"/>
      <c r="M164" s="1"/>
      <c r="N164" s="1"/>
      <c r="O164" s="1"/>
    </row>
    <row r="165" spans="1:15" x14ac:dyDescent="0.3">
      <c r="A165" s="81">
        <v>45376</v>
      </c>
      <c r="B165" s="5" t="s">
        <v>498</v>
      </c>
      <c r="C165" s="5" t="s">
        <v>1</v>
      </c>
      <c r="D165" s="2">
        <f>F165/1.21</f>
        <v>181.81818181818181</v>
      </c>
      <c r="E165" s="2">
        <f>D165*10/100</f>
        <v>18.18181818181818</v>
      </c>
      <c r="F165" s="2">
        <v>220</v>
      </c>
      <c r="G165" s="2"/>
      <c r="H165" s="3">
        <f>F165-G165</f>
        <v>220</v>
      </c>
      <c r="I165" s="1" t="s">
        <v>206</v>
      </c>
      <c r="J165" s="2">
        <v>220</v>
      </c>
      <c r="K165" s="2"/>
      <c r="L165" s="1"/>
      <c r="M165" s="1"/>
      <c r="N165" s="1"/>
      <c r="O165" s="1"/>
    </row>
    <row r="166" spans="1:15" x14ac:dyDescent="0.3">
      <c r="A166" s="81">
        <v>45377</v>
      </c>
      <c r="B166" s="5" t="s">
        <v>497</v>
      </c>
      <c r="C166" s="5" t="s">
        <v>1</v>
      </c>
      <c r="D166" s="2">
        <f>F166/1.21</f>
        <v>272.72727272727275</v>
      </c>
      <c r="E166" s="2">
        <f>D166*10/100</f>
        <v>27.272727272727273</v>
      </c>
      <c r="F166" s="2">
        <v>330</v>
      </c>
      <c r="G166" s="2">
        <v>50</v>
      </c>
      <c r="H166" s="3">
        <f>F166-G166</f>
        <v>280</v>
      </c>
      <c r="I166" s="1" t="s">
        <v>496</v>
      </c>
      <c r="J166" s="2">
        <v>270</v>
      </c>
      <c r="K166" s="2">
        <v>40</v>
      </c>
      <c r="L166" s="1" t="s">
        <v>7</v>
      </c>
      <c r="M166" s="1"/>
      <c r="N166" s="1"/>
      <c r="O166" s="1"/>
    </row>
    <row r="167" spans="1:15" x14ac:dyDescent="0.3">
      <c r="A167" s="81">
        <v>45378</v>
      </c>
      <c r="B167" s="5" t="s">
        <v>495</v>
      </c>
      <c r="C167" s="5" t="s">
        <v>1</v>
      </c>
      <c r="D167" s="2">
        <f>F167/1.21</f>
        <v>148.7603305785124</v>
      </c>
      <c r="E167" s="2">
        <f>D167*10/100</f>
        <v>14.876033057851238</v>
      </c>
      <c r="F167" s="2">
        <v>180</v>
      </c>
      <c r="G167" s="2"/>
      <c r="H167" s="3">
        <f>F167-G167</f>
        <v>180</v>
      </c>
      <c r="I167" s="1" t="s">
        <v>206</v>
      </c>
      <c r="J167" s="2">
        <v>180</v>
      </c>
      <c r="K167" s="2"/>
      <c r="L167" s="1"/>
      <c r="M167" s="1"/>
      <c r="N167" s="1"/>
      <c r="O167" s="1"/>
    </row>
    <row r="168" spans="1:15" x14ac:dyDescent="0.3">
      <c r="A168" s="81">
        <v>45378</v>
      </c>
      <c r="B168" s="5" t="s">
        <v>494</v>
      </c>
      <c r="C168" s="5" t="s">
        <v>1</v>
      </c>
      <c r="D168" s="2">
        <f>F168/1.21</f>
        <v>181.81818181818181</v>
      </c>
      <c r="E168" s="2">
        <f>D168*10/100</f>
        <v>18.18181818181818</v>
      </c>
      <c r="F168" s="2">
        <v>220</v>
      </c>
      <c r="G168" s="2">
        <v>50</v>
      </c>
      <c r="H168" s="3">
        <f>F168-G168</f>
        <v>170</v>
      </c>
      <c r="I168" s="1" t="s">
        <v>493</v>
      </c>
      <c r="J168" s="2">
        <v>220</v>
      </c>
      <c r="K168" s="2"/>
      <c r="L168" s="1"/>
      <c r="M168" s="1"/>
      <c r="N168" s="1"/>
      <c r="O168" s="1"/>
    </row>
    <row r="169" spans="1:15" x14ac:dyDescent="0.3">
      <c r="A169" s="81">
        <v>45378</v>
      </c>
      <c r="B169" s="5" t="s">
        <v>492</v>
      </c>
      <c r="C169" s="5" t="s">
        <v>1</v>
      </c>
      <c r="D169" s="2">
        <f>F169/1.21</f>
        <v>148.7603305785124</v>
      </c>
      <c r="E169" s="2">
        <f>D169*10/100</f>
        <v>14.876033057851238</v>
      </c>
      <c r="F169" s="2">
        <v>180</v>
      </c>
      <c r="G169" s="2"/>
      <c r="H169" s="3">
        <f>F169-G169</f>
        <v>180</v>
      </c>
      <c r="I169" s="1" t="s">
        <v>206</v>
      </c>
      <c r="J169" s="2">
        <v>180</v>
      </c>
      <c r="K169" s="2"/>
      <c r="L169" s="1"/>
      <c r="M169" s="1"/>
      <c r="N169" s="1"/>
      <c r="O169" s="1"/>
    </row>
    <row r="170" spans="1:15" x14ac:dyDescent="0.3">
      <c r="A170" s="81">
        <v>45379</v>
      </c>
      <c r="B170" s="5" t="s">
        <v>491</v>
      </c>
      <c r="C170" s="5" t="s">
        <v>1</v>
      </c>
      <c r="D170" s="2">
        <f>F170/1.21</f>
        <v>338.84297520661158</v>
      </c>
      <c r="E170" s="2">
        <f>D170*10/100</f>
        <v>33.884297520661157</v>
      </c>
      <c r="F170" s="2">
        <v>410</v>
      </c>
      <c r="G170" s="2">
        <v>50</v>
      </c>
      <c r="H170" s="3">
        <f>F170-G170</f>
        <v>360</v>
      </c>
      <c r="I170" s="1" t="s">
        <v>490</v>
      </c>
      <c r="J170" s="2">
        <v>410</v>
      </c>
      <c r="K170" s="2"/>
      <c r="L170" s="1"/>
      <c r="M170" s="1"/>
      <c r="N170" s="1"/>
      <c r="O170" s="1"/>
    </row>
    <row r="171" spans="1:15" x14ac:dyDescent="0.3">
      <c r="A171" s="81">
        <v>45379</v>
      </c>
      <c r="B171" s="5" t="s">
        <v>489</v>
      </c>
      <c r="C171" s="5" t="s">
        <v>1</v>
      </c>
      <c r="D171" s="2">
        <f>F171/1.21</f>
        <v>256.198347107438</v>
      </c>
      <c r="E171" s="2">
        <f>D171*10/100</f>
        <v>25.619834710743799</v>
      </c>
      <c r="F171" s="2">
        <v>310</v>
      </c>
      <c r="G171" s="2">
        <v>50</v>
      </c>
      <c r="H171" s="3">
        <f>F171-G171</f>
        <v>260</v>
      </c>
      <c r="I171" s="1" t="s">
        <v>488</v>
      </c>
      <c r="J171" s="2">
        <v>270</v>
      </c>
      <c r="K171" s="2">
        <v>40</v>
      </c>
      <c r="L171" s="1" t="s">
        <v>7</v>
      </c>
      <c r="M171" s="1"/>
      <c r="N171" s="1"/>
      <c r="O171" s="1"/>
    </row>
    <row r="172" spans="1:15" x14ac:dyDescent="0.3">
      <c r="A172" s="81">
        <v>45380</v>
      </c>
      <c r="B172" s="5" t="s">
        <v>487</v>
      </c>
      <c r="C172" s="5" t="s">
        <v>1</v>
      </c>
      <c r="D172" s="2">
        <f>F172/1.21</f>
        <v>181.81818181818181</v>
      </c>
      <c r="E172" s="2">
        <f>D172*10/100</f>
        <v>18.18181818181818</v>
      </c>
      <c r="F172" s="2">
        <v>220</v>
      </c>
      <c r="G172" s="2">
        <v>50</v>
      </c>
      <c r="H172" s="3">
        <f>F172-G172</f>
        <v>170</v>
      </c>
      <c r="I172" s="1" t="s">
        <v>10</v>
      </c>
      <c r="J172" s="2">
        <v>220</v>
      </c>
      <c r="K172" s="2"/>
      <c r="L172" s="1"/>
      <c r="M172" s="1"/>
      <c r="N172" s="1"/>
      <c r="O172" s="1"/>
    </row>
    <row r="173" spans="1:15" x14ac:dyDescent="0.3">
      <c r="A173" s="81">
        <v>45381</v>
      </c>
      <c r="B173" s="5" t="s">
        <v>486</v>
      </c>
      <c r="C173" s="5" t="s">
        <v>1</v>
      </c>
      <c r="D173" s="2">
        <f>F173/1.21</f>
        <v>239.6694214876033</v>
      </c>
      <c r="E173" s="2">
        <f>D173*10/100</f>
        <v>23.966942148760332</v>
      </c>
      <c r="F173" s="2">
        <v>290</v>
      </c>
      <c r="G173" s="2">
        <v>50</v>
      </c>
      <c r="H173" s="3">
        <f>F173-G173</f>
        <v>240</v>
      </c>
      <c r="I173" s="1" t="s">
        <v>485</v>
      </c>
      <c r="J173" s="2">
        <v>270</v>
      </c>
      <c r="K173" s="2">
        <v>20</v>
      </c>
      <c r="L173" s="1" t="s">
        <v>7</v>
      </c>
      <c r="M173" s="1"/>
      <c r="N173" s="1"/>
      <c r="O173" s="1"/>
    </row>
    <row r="174" spans="1:15" x14ac:dyDescent="0.3">
      <c r="A174" s="81">
        <v>45381</v>
      </c>
      <c r="B174" s="5" t="s">
        <v>484</v>
      </c>
      <c r="C174" s="5" t="s">
        <v>1</v>
      </c>
      <c r="D174" s="2">
        <f>F174/1.21</f>
        <v>165.28925619834712</v>
      </c>
      <c r="E174" s="2">
        <f>D174*10/100</f>
        <v>16.528925619834713</v>
      </c>
      <c r="F174" s="2">
        <v>200</v>
      </c>
      <c r="G174" s="2"/>
      <c r="H174" s="3">
        <f>F174-G174</f>
        <v>200</v>
      </c>
      <c r="I174" s="1" t="s">
        <v>206</v>
      </c>
      <c r="J174" s="2">
        <v>200</v>
      </c>
      <c r="K174" s="2"/>
      <c r="L174" s="1"/>
      <c r="M174" s="1"/>
      <c r="N174" s="1"/>
      <c r="O174" s="1"/>
    </row>
    <row r="175" spans="1:15" x14ac:dyDescent="0.3">
      <c r="A175" s="81">
        <v>45381</v>
      </c>
      <c r="B175" s="5" t="s">
        <v>483</v>
      </c>
      <c r="C175" s="5" t="s">
        <v>1</v>
      </c>
      <c r="D175" s="2">
        <f>F175/1.21</f>
        <v>148.7603305785124</v>
      </c>
      <c r="E175" s="2">
        <f>D175*10/100</f>
        <v>14.876033057851238</v>
      </c>
      <c r="F175" s="2">
        <v>180</v>
      </c>
      <c r="G175" s="2"/>
      <c r="H175" s="3">
        <f>F175-G175</f>
        <v>180</v>
      </c>
      <c r="I175" s="1" t="s">
        <v>206</v>
      </c>
      <c r="J175" s="2">
        <v>180</v>
      </c>
      <c r="K175" s="2"/>
      <c r="L175" s="1"/>
      <c r="M175" s="1"/>
      <c r="N175" s="1"/>
      <c r="O175" s="1"/>
    </row>
    <row r="176" spans="1:15" x14ac:dyDescent="0.3">
      <c r="A176" s="81">
        <v>45381</v>
      </c>
      <c r="B176" s="5" t="s">
        <v>482</v>
      </c>
      <c r="C176" s="5" t="s">
        <v>1</v>
      </c>
      <c r="D176" s="2">
        <f>F176/1.21</f>
        <v>223.14049586776861</v>
      </c>
      <c r="E176" s="2">
        <f>D176*10/100</f>
        <v>22.314049586776861</v>
      </c>
      <c r="F176" s="2">
        <v>270</v>
      </c>
      <c r="G176" s="2">
        <v>50</v>
      </c>
      <c r="H176" s="3">
        <f>F176-G176</f>
        <v>220</v>
      </c>
      <c r="I176" s="1" t="s">
        <v>10</v>
      </c>
      <c r="J176" s="2">
        <v>270</v>
      </c>
      <c r="K176" s="2"/>
      <c r="L176" s="1"/>
      <c r="M176" s="1"/>
      <c r="N176" s="1"/>
      <c r="O176" s="1"/>
    </row>
    <row r="177" spans="1:15" x14ac:dyDescent="0.3">
      <c r="A177" s="81">
        <v>45381</v>
      </c>
      <c r="B177" s="5" t="s">
        <v>481</v>
      </c>
      <c r="C177" s="5" t="s">
        <v>1</v>
      </c>
      <c r="D177" s="2">
        <f>F177/1.21</f>
        <v>223.14049586776861</v>
      </c>
      <c r="E177" s="2">
        <f>D177*10/100</f>
        <v>22.314049586776861</v>
      </c>
      <c r="F177" s="2">
        <v>270</v>
      </c>
      <c r="G177" s="2">
        <v>50</v>
      </c>
      <c r="H177" s="3">
        <f>F177-G177</f>
        <v>220</v>
      </c>
      <c r="I177" s="1" t="s">
        <v>480</v>
      </c>
      <c r="J177" s="2">
        <v>270</v>
      </c>
      <c r="K177" s="2"/>
      <c r="L177" s="1"/>
      <c r="M177" s="1"/>
      <c r="N177" s="1"/>
      <c r="O177" s="1"/>
    </row>
    <row r="178" spans="1:15" x14ac:dyDescent="0.3">
      <c r="A178" s="81">
        <v>45381</v>
      </c>
      <c r="B178" s="5" t="s">
        <v>479</v>
      </c>
      <c r="C178" s="5" t="s">
        <v>1</v>
      </c>
      <c r="D178" s="2">
        <f>F178/1.21</f>
        <v>181.81818181818181</v>
      </c>
      <c r="E178" s="2">
        <f>D178*10/100</f>
        <v>18.18181818181818</v>
      </c>
      <c r="F178" s="2">
        <v>220</v>
      </c>
      <c r="G178" s="2"/>
      <c r="H178" s="3">
        <f>F178-G178</f>
        <v>220</v>
      </c>
      <c r="I178" s="1" t="s">
        <v>206</v>
      </c>
      <c r="J178" s="2">
        <v>220</v>
      </c>
      <c r="K178" s="2"/>
      <c r="L178" s="1"/>
      <c r="M178" s="1"/>
      <c r="N178" s="1"/>
      <c r="O178" s="1"/>
    </row>
    <row r="179" spans="1:15" x14ac:dyDescent="0.3">
      <c r="A179" s="81">
        <v>45381</v>
      </c>
      <c r="B179" s="5" t="s">
        <v>478</v>
      </c>
      <c r="C179" s="5" t="s">
        <v>1</v>
      </c>
      <c r="D179" s="2">
        <f>F179/1.21</f>
        <v>115.70247933884298</v>
      </c>
      <c r="E179" s="2">
        <f>D179*10/100</f>
        <v>11.570247933884298</v>
      </c>
      <c r="F179" s="2">
        <v>140</v>
      </c>
      <c r="G179" s="2"/>
      <c r="H179" s="3">
        <f>F179-G179</f>
        <v>140</v>
      </c>
      <c r="I179" s="1" t="s">
        <v>477</v>
      </c>
      <c r="J179" s="2">
        <v>140</v>
      </c>
      <c r="K179" s="2"/>
      <c r="L179" s="1"/>
      <c r="M179" s="1"/>
      <c r="N179" s="1"/>
      <c r="O179" s="1"/>
    </row>
    <row r="180" spans="1:15" x14ac:dyDescent="0.3">
      <c r="A180" s="81">
        <v>45381</v>
      </c>
      <c r="B180" s="5" t="s">
        <v>476</v>
      </c>
      <c r="C180" s="5" t="s">
        <v>1</v>
      </c>
      <c r="D180" s="2">
        <f>F180/1.21</f>
        <v>115.70247933884298</v>
      </c>
      <c r="E180" s="2">
        <f>D180*10/100</f>
        <v>11.570247933884298</v>
      </c>
      <c r="F180" s="2">
        <v>140</v>
      </c>
      <c r="G180" s="2"/>
      <c r="H180" s="3">
        <f>F180-G180</f>
        <v>140</v>
      </c>
      <c r="I180" s="1" t="s">
        <v>206</v>
      </c>
      <c r="J180" s="2">
        <v>140</v>
      </c>
      <c r="K180" s="2"/>
      <c r="L180" s="1"/>
      <c r="M180" s="1"/>
      <c r="N180" s="1"/>
      <c r="O180" s="1"/>
    </row>
    <row r="181" spans="1:15" x14ac:dyDescent="0.3">
      <c r="A181" s="81">
        <v>45381</v>
      </c>
      <c r="B181" s="5" t="s">
        <v>475</v>
      </c>
      <c r="C181" s="5" t="s">
        <v>1</v>
      </c>
      <c r="D181" s="2">
        <f>F181/1.21</f>
        <v>140.49586776859505</v>
      </c>
      <c r="E181" s="2">
        <f>D181*10/100</f>
        <v>14.049586776859506</v>
      </c>
      <c r="F181" s="2">
        <v>170</v>
      </c>
      <c r="G181" s="2">
        <v>50</v>
      </c>
      <c r="H181" s="3">
        <f>F181-G181</f>
        <v>120</v>
      </c>
      <c r="I181" s="1" t="s">
        <v>474</v>
      </c>
      <c r="J181" s="2">
        <v>170</v>
      </c>
      <c r="K181" s="2"/>
      <c r="L181" s="1"/>
      <c r="M181" s="1"/>
      <c r="N181" s="1"/>
      <c r="O181" s="1"/>
    </row>
    <row r="182" spans="1:15" x14ac:dyDescent="0.3">
      <c r="A182" s="81">
        <v>45381</v>
      </c>
      <c r="B182" s="5" t="s">
        <v>473</v>
      </c>
      <c r="C182" s="5" t="s">
        <v>1</v>
      </c>
      <c r="D182" s="2">
        <f>F182/1.21</f>
        <v>140.49586776859505</v>
      </c>
      <c r="E182" s="2">
        <f>D182*10/100</f>
        <v>14.049586776859506</v>
      </c>
      <c r="F182" s="2">
        <v>170</v>
      </c>
      <c r="G182" s="2">
        <v>50</v>
      </c>
      <c r="H182" s="3">
        <f>F182-G182</f>
        <v>120</v>
      </c>
      <c r="I182" s="1" t="s">
        <v>472</v>
      </c>
      <c r="J182" s="2">
        <v>170</v>
      </c>
      <c r="K182" s="2"/>
      <c r="L182" s="1"/>
      <c r="M182" s="1"/>
      <c r="N182" s="1"/>
      <c r="O182" s="1"/>
    </row>
    <row r="183" spans="1:15" x14ac:dyDescent="0.3">
      <c r="A183" s="81">
        <v>45381</v>
      </c>
      <c r="B183" s="5" t="s">
        <v>471</v>
      </c>
      <c r="C183" s="5" t="s">
        <v>1</v>
      </c>
      <c r="D183" s="2">
        <f>F183/1.21</f>
        <v>140.49586776859505</v>
      </c>
      <c r="E183" s="2">
        <f>D183*10/100</f>
        <v>14.049586776859506</v>
      </c>
      <c r="F183" s="2">
        <v>170</v>
      </c>
      <c r="G183" s="2"/>
      <c r="H183" s="3">
        <f>F183-G183</f>
        <v>170</v>
      </c>
      <c r="I183" s="1" t="s">
        <v>206</v>
      </c>
      <c r="J183" s="2">
        <v>170</v>
      </c>
      <c r="K183" s="2"/>
      <c r="L183" s="1"/>
      <c r="M183" s="1"/>
      <c r="N183" s="1"/>
      <c r="O183" s="1"/>
    </row>
    <row r="184" spans="1:15" x14ac:dyDescent="0.3">
      <c r="A184" s="81">
        <v>45381</v>
      </c>
      <c r="B184" s="5" t="s">
        <v>470</v>
      </c>
      <c r="C184" s="5" t="s">
        <v>1</v>
      </c>
      <c r="D184" s="2">
        <f>F184/1.21</f>
        <v>140.49586776859505</v>
      </c>
      <c r="E184" s="2">
        <f>D184*10/100</f>
        <v>14.049586776859506</v>
      </c>
      <c r="F184" s="2">
        <v>170</v>
      </c>
      <c r="G184" s="2">
        <v>50</v>
      </c>
      <c r="H184" s="3">
        <f>F184-G184</f>
        <v>120</v>
      </c>
      <c r="I184" s="1" t="s">
        <v>469</v>
      </c>
      <c r="J184" s="2">
        <v>170</v>
      </c>
      <c r="K184" s="2"/>
      <c r="L184" s="1"/>
      <c r="M184" s="1"/>
      <c r="N184" s="1"/>
      <c r="O184" s="1"/>
    </row>
    <row r="185" spans="1:15" x14ac:dyDescent="0.3">
      <c r="A185" s="81">
        <v>45382</v>
      </c>
      <c r="B185" s="5" t="s">
        <v>468</v>
      </c>
      <c r="C185" s="5" t="s">
        <v>1</v>
      </c>
      <c r="D185" s="2">
        <f>F185/1.21</f>
        <v>256.198347107438</v>
      </c>
      <c r="E185" s="2">
        <f>D185*10/100</f>
        <v>25.619834710743799</v>
      </c>
      <c r="F185" s="2">
        <v>310</v>
      </c>
      <c r="G185" s="2">
        <v>50</v>
      </c>
      <c r="H185" s="3">
        <f>F185-G185</f>
        <v>260</v>
      </c>
      <c r="I185" s="1" t="s">
        <v>10</v>
      </c>
      <c r="J185" s="2">
        <v>270</v>
      </c>
      <c r="K185" s="2">
        <v>30</v>
      </c>
      <c r="L185" s="1" t="s">
        <v>7</v>
      </c>
      <c r="M185" s="1"/>
      <c r="N185" s="1"/>
      <c r="O185" s="1"/>
    </row>
    <row r="188" spans="1:15" x14ac:dyDescent="0.3">
      <c r="D188" s="56">
        <f>SUM(D3:D187)</f>
        <v>31580.991735537187</v>
      </c>
    </row>
    <row r="193" spans="4:4" x14ac:dyDescent="0.3">
      <c r="D193" s="56">
        <f>D188+'FACTURAS SIMPLIFICAS FEBRERO 24'!D162+'FACTURAS SIMPLIFICADAS ENERO 24'!D114</f>
        <v>79850.413223140466</v>
      </c>
    </row>
  </sheetData>
  <mergeCells count="14">
    <mergeCell ref="N1:N2"/>
    <mergeCell ref="O1:O2"/>
    <mergeCell ref="G1:H1"/>
    <mergeCell ref="I1:I2"/>
    <mergeCell ref="J1:J2"/>
    <mergeCell ref="K1:K2"/>
    <mergeCell ref="L1:L2"/>
    <mergeCell ref="M1:M2"/>
    <mergeCell ref="F1:F2"/>
    <mergeCell ref="A1:A2"/>
    <mergeCell ref="B1:B2"/>
    <mergeCell ref="C1:C2"/>
    <mergeCell ref="D1:D2"/>
    <mergeCell ref="E1:E2"/>
  </mergeCells>
  <conditionalFormatting sqref="A3:A39">
    <cfRule type="expression" dxfId="50" priority="13" stopIfTrue="1">
      <formula>EXACT($C3,"HUMMER")</formula>
    </cfRule>
    <cfRule type="expression" dxfId="49" priority="14" stopIfTrue="1">
      <formula>EXACT($C3,"BLANCA")</formula>
    </cfRule>
    <cfRule type="expression" dxfId="48" priority="15" stopIfTrue="1">
      <formula>EXACT($C3,"ROSA")</formula>
    </cfRule>
  </conditionalFormatting>
  <conditionalFormatting sqref="A128">
    <cfRule type="expression" dxfId="47" priority="37" stopIfTrue="1">
      <formula>EXACT($C128,"HUMMER")</formula>
    </cfRule>
    <cfRule type="expression" dxfId="46" priority="38" stopIfTrue="1">
      <formula>EXACT($C128,"BLANCA")</formula>
    </cfRule>
    <cfRule type="expression" dxfId="45" priority="39" stopIfTrue="1">
      <formula>EXACT($C128,"ROSA")</formula>
    </cfRule>
  </conditionalFormatting>
  <conditionalFormatting sqref="A130">
    <cfRule type="expression" dxfId="44" priority="34" stopIfTrue="1">
      <formula>EXACT($C130,"HUMMER")</formula>
    </cfRule>
    <cfRule type="expression" dxfId="43" priority="35" stopIfTrue="1">
      <formula>EXACT($C130,"BLANCA")</formula>
    </cfRule>
    <cfRule type="expression" dxfId="42" priority="36" stopIfTrue="1">
      <formula>EXACT($C130,"ROSA")</formula>
    </cfRule>
  </conditionalFormatting>
  <conditionalFormatting sqref="A132">
    <cfRule type="expression" dxfId="41" priority="31" stopIfTrue="1">
      <formula>EXACT($C132,"HUMMER")</formula>
    </cfRule>
    <cfRule type="expression" dxfId="40" priority="32" stopIfTrue="1">
      <formula>EXACT($C132,"BLANCA")</formula>
    </cfRule>
    <cfRule type="expression" dxfId="39" priority="33" stopIfTrue="1">
      <formula>EXACT($C132,"ROSA")</formula>
    </cfRule>
  </conditionalFormatting>
  <conditionalFormatting sqref="A134">
    <cfRule type="expression" dxfId="38" priority="28" stopIfTrue="1">
      <formula>EXACT($C134,"HUMMER")</formula>
    </cfRule>
    <cfRule type="expression" dxfId="37" priority="29" stopIfTrue="1">
      <formula>EXACT($C134,"BLANCA")</formula>
    </cfRule>
    <cfRule type="expression" dxfId="36" priority="30" stopIfTrue="1">
      <formula>EXACT($C134,"ROSA")</formula>
    </cfRule>
  </conditionalFormatting>
  <conditionalFormatting sqref="A136">
    <cfRule type="expression" dxfId="35" priority="25" stopIfTrue="1">
      <formula>EXACT($C136,"HUMMER")</formula>
    </cfRule>
    <cfRule type="expression" dxfId="34" priority="26" stopIfTrue="1">
      <formula>EXACT($C136,"BLANCA")</formula>
    </cfRule>
    <cfRule type="expression" dxfId="33" priority="27" stopIfTrue="1">
      <formula>EXACT($C136,"ROSA")</formula>
    </cfRule>
  </conditionalFormatting>
  <conditionalFormatting sqref="A138">
    <cfRule type="expression" dxfId="32" priority="22" stopIfTrue="1">
      <formula>EXACT($C138,"HUMMER")</formula>
    </cfRule>
    <cfRule type="expression" dxfId="31" priority="23" stopIfTrue="1">
      <formula>EXACT($C138,"BLANCA")</formula>
    </cfRule>
    <cfRule type="expression" dxfId="30" priority="24" stopIfTrue="1">
      <formula>EXACT($C138,"ROSA")</formula>
    </cfRule>
  </conditionalFormatting>
  <conditionalFormatting sqref="A140">
    <cfRule type="expression" dxfId="29" priority="19" stopIfTrue="1">
      <formula>EXACT($C140,"HUMMER")</formula>
    </cfRule>
    <cfRule type="expression" dxfId="28" priority="20" stopIfTrue="1">
      <formula>EXACT($C140,"BLANCA")</formula>
    </cfRule>
    <cfRule type="expression" dxfId="27" priority="21" stopIfTrue="1">
      <formula>EXACT($C140,"ROSA")</formula>
    </cfRule>
  </conditionalFormatting>
  <conditionalFormatting sqref="A142">
    <cfRule type="expression" dxfId="26" priority="16" stopIfTrue="1">
      <formula>EXACT($C142,"HUMMER")</formula>
    </cfRule>
    <cfRule type="expression" dxfId="25" priority="17" stopIfTrue="1">
      <formula>EXACT($C142,"BLANCA")</formula>
    </cfRule>
    <cfRule type="expression" dxfId="24" priority="18" stopIfTrue="1">
      <formula>EXACT($C142,"ROSA")</formula>
    </cfRule>
  </conditionalFormatting>
  <conditionalFormatting sqref="A147">
    <cfRule type="expression" dxfId="23" priority="10" stopIfTrue="1">
      <formula>EXACT($C147,"HUMMER")</formula>
    </cfRule>
    <cfRule type="expression" dxfId="22" priority="11" stopIfTrue="1">
      <formula>EXACT($C147,"BLANCA")</formula>
    </cfRule>
    <cfRule type="expression" dxfId="21" priority="12" stopIfTrue="1">
      <formula>EXACT($C147,"ROSA")</formula>
    </cfRule>
  </conditionalFormatting>
  <conditionalFormatting sqref="A149">
    <cfRule type="expression" dxfId="20" priority="7" stopIfTrue="1">
      <formula>EXACT($C149,"HUMMER")</formula>
    </cfRule>
    <cfRule type="expression" dxfId="19" priority="8" stopIfTrue="1">
      <formula>EXACT($C149,"BLANCA")</formula>
    </cfRule>
    <cfRule type="expression" dxfId="18" priority="9" stopIfTrue="1">
      <formula>EXACT($C149,"ROSA")</formula>
    </cfRule>
  </conditionalFormatting>
  <conditionalFormatting sqref="A154">
    <cfRule type="expression" dxfId="17" priority="4" stopIfTrue="1">
      <formula>EXACT($C154,"HUMMER")</formula>
    </cfRule>
    <cfRule type="expression" dxfId="16" priority="5" stopIfTrue="1">
      <formula>EXACT($C154,"BLANCA")</formula>
    </cfRule>
    <cfRule type="expression" dxfId="15" priority="6" stopIfTrue="1">
      <formula>EXACT($C154,"ROSA")</formula>
    </cfRule>
  </conditionalFormatting>
  <conditionalFormatting sqref="A156">
    <cfRule type="expression" dxfId="14" priority="1" stopIfTrue="1">
      <formula>EXACT($C156,"HUMMER")</formula>
    </cfRule>
    <cfRule type="expression" dxfId="13" priority="2" stopIfTrue="1">
      <formula>EXACT($C156,"BLANCA")</formula>
    </cfRule>
    <cfRule type="expression" dxfId="12" priority="3" stopIfTrue="1">
      <formula>EXACT($C156,"ROSA")</formula>
    </cfRule>
  </conditionalFormatting>
  <conditionalFormatting sqref="F3:F4 F100:F126 A121:A126">
    <cfRule type="expression" dxfId="11" priority="40" stopIfTrue="1">
      <formula>EXACT($C3,"HUMMER")</formula>
    </cfRule>
    <cfRule type="expression" dxfId="10" priority="41" stopIfTrue="1">
      <formula>EXACT($C3,"BLANCA")</formula>
    </cfRule>
    <cfRule type="expression" dxfId="9" priority="42" stopIfTrue="1">
      <formula>EXACT($C3,"ROSA")</formula>
    </cfRule>
  </conditionalFormatting>
  <conditionalFormatting sqref="F6:F8">
    <cfRule type="expression" dxfId="8" priority="49" stopIfTrue="1">
      <formula>EXACT($C5,"HUMMER")</formula>
    </cfRule>
    <cfRule type="expression" dxfId="7" priority="50" stopIfTrue="1">
      <formula>EXACT($C5,"BLANCA")</formula>
    </cfRule>
    <cfRule type="expression" dxfId="6" priority="51" stopIfTrue="1">
      <formula>EXACT($C5,"ROSA")</formula>
    </cfRule>
  </conditionalFormatting>
  <conditionalFormatting sqref="F26:F35 F37">
    <cfRule type="expression" dxfId="5" priority="43" stopIfTrue="1">
      <formula>EXACT($C26,"HUMMER")</formula>
    </cfRule>
    <cfRule type="expression" dxfId="4" priority="44" stopIfTrue="1">
      <formula>EXACT($C26,"BLANCA")</formula>
    </cfRule>
    <cfRule type="expression" dxfId="3" priority="45" stopIfTrue="1">
      <formula>EXACT($C26,"ROSA")</formula>
    </cfRule>
  </conditionalFormatting>
  <conditionalFormatting sqref="F36">
    <cfRule type="expression" dxfId="2" priority="46" stopIfTrue="1">
      <formula>EXACT($C39,"HUMMER")</formula>
    </cfRule>
    <cfRule type="expression" dxfId="1" priority="47" stopIfTrue="1">
      <formula>EXACT($C39,"BLANCA")</formula>
    </cfRule>
    <cfRule type="expression" dxfId="0" priority="48" stopIfTrue="1">
      <formula>EXACT($C39,"ROSA")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FACTURAS SIMPLIFICADAS ENERO 24</vt:lpstr>
      <vt:lpstr>FACTURAS SIMPLIFICAS FEBRERO 24</vt:lpstr>
      <vt:lpstr>FACTURAS SIMPLIFICADAS MARZO 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Iosu Buenetxea Personal</dc:creator>
  <cp:lastModifiedBy>Iosu Buenetxea Personal</cp:lastModifiedBy>
  <dcterms:created xsi:type="dcterms:W3CDTF">2026-01-26T01:53:40Z</dcterms:created>
  <dcterms:modified xsi:type="dcterms:W3CDTF">2026-01-26T01:55:41Z</dcterms:modified>
</cp:coreProperties>
</file>