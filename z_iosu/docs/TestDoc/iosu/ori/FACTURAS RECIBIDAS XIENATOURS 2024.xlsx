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6.62.10\Datos\GESTION\Dpto.CONTA\JOSE LUIS\XIENA TOURS\2024\4T\"/>
    </mc:Choice>
  </mc:AlternateContent>
  <xr:revisionPtr revIDLastSave="0" documentId="13_ncr:1_{D633D5CB-762D-485A-B149-4493B820CDA6}" xr6:coauthVersionLast="47" xr6:coauthVersionMax="47" xr10:uidLastSave="{00000000-0000-0000-0000-000000000000}"/>
  <bookViews>
    <workbookView xWindow="-120" yWindow="-120" windowWidth="20730" windowHeight="11160" firstSheet="19" activeTab="19" xr2:uid="{C43062EA-7FE7-4881-A187-D5D62E6D834A}"/>
  </bookViews>
  <sheets>
    <sheet name="ENERO 2024" sheetId="1" r:id="rId1"/>
    <sheet name="FACTURAS SIMPLIFICADAS ENERO 24" sheetId="2" r:id="rId2"/>
    <sheet name="FEBRERO 2024" sheetId="4" r:id="rId3"/>
    <sheet name="FACTURAS SIMPLIFICAS FEBRERO 24" sheetId="5" r:id="rId4"/>
    <sheet name="MARZO 2024" sheetId="7" r:id="rId5"/>
    <sheet name="FACTURAS SIMPLIFICADAS MARZO 24" sheetId="8" r:id="rId6"/>
    <sheet name="ABRIL 2024" sheetId="10" r:id="rId7"/>
    <sheet name="FACTURAS SIMPLIFICADAS ABRIL 24" sheetId="11" r:id="rId8"/>
    <sheet name="MAYO 2024" sheetId="13" r:id="rId9"/>
    <sheet name="FACTURAS SIMPLIFICADAS MAYO 24" sheetId="14" r:id="rId10"/>
    <sheet name="JUNIO 2024" sheetId="16" r:id="rId11"/>
    <sheet name="FACTURASSIMPLIFICADASJUNIO 2024" sheetId="17" r:id="rId12"/>
    <sheet name="JULIO 2024" sheetId="18" r:id="rId13"/>
    <sheet name="FACTURAS SIMPLIFICADASJULIO2024" sheetId="20" r:id="rId14"/>
    <sheet name="AGOSTO 2024" sheetId="21" r:id="rId15"/>
    <sheet name="FACTURASSIMPLIFICADASAGOSTO2024" sheetId="23" r:id="rId16"/>
    <sheet name="SEPTIEMBRE 2024" sheetId="24" r:id="rId17"/>
    <sheet name="FACTURAS SIMPLIFICADASSEPT2024" sheetId="25" r:id="rId18"/>
    <sheet name="OCTUBRE 2024" sheetId="26" r:id="rId19"/>
    <sheet name="FACTURAS SIMPLIFICADAS OCT.2024" sheetId="27" r:id="rId20"/>
    <sheet name="NOVIEMBRE 2024" sheetId="28" r:id="rId21"/>
    <sheet name="FACTURAS SIMPLIFICADAS NOV.2024" sheetId="29" r:id="rId22"/>
    <sheet name="DICIEMBRE" sheetId="30" r:id="rId23"/>
    <sheet name="FACTURAS SIMPLIFICADAS DIC.2024" sheetId="31" r:id="rId24"/>
  </sheets>
  <definedNames>
    <definedName name="_xlnm._FilterDatabase" localSheetId="2" hidden="1">'FEBRERO 2024'!$E$1:$E$151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9" i="27" l="1"/>
  <c r="G161" i="29"/>
  <c r="G161" i="31"/>
  <c r="O101" i="30"/>
  <c r="I101" i="30"/>
  <c r="K101" i="30" s="1"/>
  <c r="I99" i="30"/>
  <c r="K99" i="30" s="1"/>
  <c r="I100" i="30"/>
  <c r="K100" i="30" s="1"/>
  <c r="G101" i="30"/>
  <c r="G98" i="30"/>
  <c r="I98" i="30" s="1"/>
  <c r="I92" i="30"/>
  <c r="K92" i="30" s="1"/>
  <c r="G86" i="30"/>
  <c r="I86" i="30" s="1"/>
  <c r="K86" i="30" s="1"/>
  <c r="G87" i="30"/>
  <c r="I87" i="30" s="1"/>
  <c r="K87" i="30" s="1"/>
  <c r="I88" i="30"/>
  <c r="K88" i="30" s="1"/>
  <c r="G89" i="30"/>
  <c r="I89" i="30" s="1"/>
  <c r="K89" i="30" s="1"/>
  <c r="G90" i="30"/>
  <c r="I90" i="30" s="1"/>
  <c r="K90" i="30" s="1"/>
  <c r="I91" i="30"/>
  <c r="K91" i="30" s="1"/>
  <c r="I93" i="30"/>
  <c r="K93" i="30" s="1"/>
  <c r="I94" i="30"/>
  <c r="K94" i="30" s="1"/>
  <c r="G95" i="30"/>
  <c r="I95" i="30" s="1"/>
  <c r="K95" i="30" s="1"/>
  <c r="G96" i="30"/>
  <c r="I96" i="30" s="1"/>
  <c r="K96" i="30" s="1"/>
  <c r="G97" i="30"/>
  <c r="I97" i="30" s="1"/>
  <c r="K97" i="30" s="1"/>
  <c r="I102" i="30"/>
  <c r="K102" i="30" s="1"/>
  <c r="I103" i="30"/>
  <c r="K103" i="30" s="1"/>
  <c r="G83" i="30" l="1"/>
  <c r="G84" i="30"/>
  <c r="G82" i="30"/>
  <c r="H79" i="30"/>
  <c r="H78" i="30"/>
  <c r="K102" i="26"/>
  <c r="K101" i="26"/>
  <c r="I101" i="26"/>
  <c r="G104" i="26"/>
  <c r="I94" i="26"/>
  <c r="K94" i="26" s="1"/>
  <c r="I64" i="30"/>
  <c r="K64" i="30" s="1"/>
  <c r="G73" i="28"/>
  <c r="G60" i="30" l="1"/>
  <c r="G71" i="28"/>
  <c r="G92" i="26"/>
  <c r="I53" i="30" l="1"/>
  <c r="K53" i="30" s="1"/>
  <c r="I47" i="30"/>
  <c r="K47" i="30" s="1"/>
  <c r="H97" i="31"/>
  <c r="K13" i="30"/>
  <c r="I13" i="30"/>
  <c r="H110" i="30"/>
  <c r="I110" i="30" s="1"/>
  <c r="K110" i="30" s="1"/>
  <c r="H112" i="30"/>
  <c r="H113" i="30"/>
  <c r="I113" i="30" s="1"/>
  <c r="K113" i="30" s="1"/>
  <c r="H114" i="30"/>
  <c r="H115" i="30"/>
  <c r="H116" i="30"/>
  <c r="H117" i="30"/>
  <c r="H118" i="30"/>
  <c r="H119" i="30"/>
  <c r="H109" i="30"/>
  <c r="G111" i="30"/>
  <c r="I111" i="30" s="1"/>
  <c r="K111" i="30" s="1"/>
  <c r="G112" i="30"/>
  <c r="G113" i="30"/>
  <c r="G114" i="30"/>
  <c r="I114" i="30" s="1"/>
  <c r="K114" i="30" s="1"/>
  <c r="G115" i="30"/>
  <c r="G116" i="30"/>
  <c r="I5" i="30"/>
  <c r="K5" i="30" s="1"/>
  <c r="I6" i="30"/>
  <c r="K6" i="30" s="1"/>
  <c r="I7" i="30"/>
  <c r="K7" i="30" s="1"/>
  <c r="I8" i="30"/>
  <c r="K8" i="30" s="1"/>
  <c r="I9" i="30"/>
  <c r="K9" i="30" s="1"/>
  <c r="I10" i="30"/>
  <c r="K10" i="30" s="1"/>
  <c r="I11" i="30"/>
  <c r="K11" i="30" s="1"/>
  <c r="I12" i="30"/>
  <c r="K12" i="30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K22" i="30" s="1"/>
  <c r="I23" i="30"/>
  <c r="K23" i="30" s="1"/>
  <c r="I24" i="30"/>
  <c r="K24" i="30" s="1"/>
  <c r="I25" i="30"/>
  <c r="K25" i="30" s="1"/>
  <c r="I26" i="30"/>
  <c r="K26" i="30" s="1"/>
  <c r="I27" i="30"/>
  <c r="K27" i="30" s="1"/>
  <c r="I28" i="30"/>
  <c r="K28" i="30" s="1"/>
  <c r="I29" i="30"/>
  <c r="K29" i="30" s="1"/>
  <c r="I30" i="30"/>
  <c r="K30" i="30" s="1"/>
  <c r="I31" i="30"/>
  <c r="K31" i="30" s="1"/>
  <c r="I32" i="30"/>
  <c r="K32" i="30" s="1"/>
  <c r="I33" i="30"/>
  <c r="K33" i="30" s="1"/>
  <c r="I34" i="30"/>
  <c r="K34" i="30" s="1"/>
  <c r="I35" i="30"/>
  <c r="K35" i="30" s="1"/>
  <c r="I36" i="30"/>
  <c r="K36" i="30" s="1"/>
  <c r="I37" i="30"/>
  <c r="K37" i="30" s="1"/>
  <c r="I38" i="30"/>
  <c r="K38" i="30" s="1"/>
  <c r="I39" i="30"/>
  <c r="K39" i="30" s="1"/>
  <c r="I40" i="30"/>
  <c r="K40" i="30" s="1"/>
  <c r="I41" i="30"/>
  <c r="K41" i="30" s="1"/>
  <c r="I42" i="30"/>
  <c r="K42" i="30" s="1"/>
  <c r="I43" i="30"/>
  <c r="K43" i="30" s="1"/>
  <c r="I44" i="30"/>
  <c r="K44" i="30" s="1"/>
  <c r="I45" i="30"/>
  <c r="K45" i="30" s="1"/>
  <c r="I46" i="30"/>
  <c r="K46" i="30" s="1"/>
  <c r="I51" i="30"/>
  <c r="K51" i="30" s="1"/>
  <c r="I52" i="30"/>
  <c r="K52" i="30" s="1"/>
  <c r="I55" i="30"/>
  <c r="K55" i="30" s="1"/>
  <c r="I56" i="30"/>
  <c r="K56" i="30" s="1"/>
  <c r="I57" i="30"/>
  <c r="K57" i="30" s="1"/>
  <c r="I58" i="30"/>
  <c r="K58" i="30" s="1"/>
  <c r="I59" i="30"/>
  <c r="K59" i="30" s="1"/>
  <c r="I60" i="30"/>
  <c r="K60" i="30" s="1"/>
  <c r="I61" i="30"/>
  <c r="K61" i="30" s="1"/>
  <c r="I62" i="30"/>
  <c r="K62" i="30" s="1"/>
  <c r="I63" i="30"/>
  <c r="K63" i="30" s="1"/>
  <c r="I66" i="30"/>
  <c r="K66" i="30" s="1"/>
  <c r="I67" i="30"/>
  <c r="K67" i="30" s="1"/>
  <c r="I68" i="30"/>
  <c r="K68" i="30" s="1"/>
  <c r="I69" i="30"/>
  <c r="K69" i="30" s="1"/>
  <c r="I70" i="30"/>
  <c r="K70" i="30" s="1"/>
  <c r="I71" i="30"/>
  <c r="K71" i="30" s="1"/>
  <c r="I72" i="30"/>
  <c r="K72" i="30" s="1"/>
  <c r="I73" i="30"/>
  <c r="K73" i="30" s="1"/>
  <c r="I74" i="30"/>
  <c r="K74" i="30" s="1"/>
  <c r="I75" i="30"/>
  <c r="K75" i="30" s="1"/>
  <c r="I76" i="30"/>
  <c r="K76" i="30" s="1"/>
  <c r="I77" i="30"/>
  <c r="K77" i="30" s="1"/>
  <c r="I78" i="30"/>
  <c r="K78" i="30" s="1"/>
  <c r="I79" i="30"/>
  <c r="K79" i="30" s="1"/>
  <c r="I80" i="30"/>
  <c r="K80" i="30" s="1"/>
  <c r="I81" i="30"/>
  <c r="K81" i="30" s="1"/>
  <c r="I82" i="30"/>
  <c r="K82" i="30" s="1"/>
  <c r="I83" i="30"/>
  <c r="K83" i="30" s="1"/>
  <c r="I84" i="30"/>
  <c r="K84" i="30" s="1"/>
  <c r="I85" i="30"/>
  <c r="K85" i="30" s="1"/>
  <c r="I104" i="30"/>
  <c r="K104" i="30" s="1"/>
  <c r="J120" i="30"/>
  <c r="F120" i="30"/>
  <c r="G119" i="30"/>
  <c r="G118" i="30"/>
  <c r="G117" i="30"/>
  <c r="I112" i="30"/>
  <c r="K112" i="30" s="1"/>
  <c r="I109" i="30"/>
  <c r="K109" i="30" s="1"/>
  <c r="G108" i="30"/>
  <c r="I4" i="30"/>
  <c r="K4" i="30" s="1"/>
  <c r="H160" i="31"/>
  <c r="D160" i="31"/>
  <c r="E160" i="31" s="1"/>
  <c r="H159" i="31"/>
  <c r="D159" i="31"/>
  <c r="E159" i="31" s="1"/>
  <c r="H158" i="31"/>
  <c r="D158" i="31"/>
  <c r="E158" i="31" s="1"/>
  <c r="H157" i="31"/>
  <c r="D157" i="31"/>
  <c r="E157" i="31" s="1"/>
  <c r="H156" i="31"/>
  <c r="D156" i="31"/>
  <c r="E156" i="31" s="1"/>
  <c r="H155" i="31"/>
  <c r="D155" i="31"/>
  <c r="E155" i="31" s="1"/>
  <c r="H154" i="31"/>
  <c r="E154" i="31"/>
  <c r="D154" i="31"/>
  <c r="H153" i="31"/>
  <c r="D153" i="31"/>
  <c r="E153" i="31" s="1"/>
  <c r="H152" i="31"/>
  <c r="D152" i="31"/>
  <c r="E152" i="31" s="1"/>
  <c r="H151" i="31"/>
  <c r="D151" i="31"/>
  <c r="E151" i="31" s="1"/>
  <c r="H150" i="31"/>
  <c r="D150" i="31"/>
  <c r="E150" i="31" s="1"/>
  <c r="H149" i="31"/>
  <c r="D149" i="31"/>
  <c r="E149" i="31" s="1"/>
  <c r="H148" i="31"/>
  <c r="D148" i="31"/>
  <c r="E148" i="31" s="1"/>
  <c r="H147" i="31"/>
  <c r="D147" i="31"/>
  <c r="E147" i="31" s="1"/>
  <c r="H146" i="31"/>
  <c r="D146" i="31"/>
  <c r="E146" i="31" s="1"/>
  <c r="H145" i="31"/>
  <c r="D145" i="31"/>
  <c r="E145" i="31" s="1"/>
  <c r="H144" i="31"/>
  <c r="D144" i="31"/>
  <c r="E144" i="31" s="1"/>
  <c r="H143" i="31"/>
  <c r="D143" i="31"/>
  <c r="E143" i="31" s="1"/>
  <c r="H142" i="31"/>
  <c r="D142" i="31"/>
  <c r="E142" i="31" s="1"/>
  <c r="H141" i="31"/>
  <c r="D141" i="31"/>
  <c r="E141" i="31" s="1"/>
  <c r="H140" i="31"/>
  <c r="D140" i="31"/>
  <c r="E140" i="31" s="1"/>
  <c r="H139" i="31"/>
  <c r="D139" i="31"/>
  <c r="E139" i="31" s="1"/>
  <c r="H138" i="31"/>
  <c r="D138" i="31"/>
  <c r="E138" i="31" s="1"/>
  <c r="H137" i="31"/>
  <c r="D137" i="31"/>
  <c r="E137" i="31" s="1"/>
  <c r="H136" i="31"/>
  <c r="D136" i="31"/>
  <c r="E136" i="31" s="1"/>
  <c r="H135" i="31"/>
  <c r="D135" i="31"/>
  <c r="E135" i="31" s="1"/>
  <c r="H134" i="31"/>
  <c r="D134" i="31"/>
  <c r="E134" i="31" s="1"/>
  <c r="H133" i="31"/>
  <c r="D133" i="31"/>
  <c r="E133" i="31" s="1"/>
  <c r="H132" i="31"/>
  <c r="D132" i="31"/>
  <c r="E132" i="31" s="1"/>
  <c r="H131" i="31"/>
  <c r="D131" i="31"/>
  <c r="E131" i="31" s="1"/>
  <c r="H130" i="31"/>
  <c r="D130" i="31"/>
  <c r="E130" i="31" s="1"/>
  <c r="H129" i="31"/>
  <c r="D129" i="31"/>
  <c r="E129" i="31" s="1"/>
  <c r="H128" i="31"/>
  <c r="D128" i="31"/>
  <c r="E128" i="31" s="1"/>
  <c r="H127" i="31"/>
  <c r="D127" i="31"/>
  <c r="E127" i="31" s="1"/>
  <c r="H126" i="31"/>
  <c r="D126" i="31"/>
  <c r="E126" i="31" s="1"/>
  <c r="H125" i="31"/>
  <c r="D125" i="31"/>
  <c r="E125" i="31" s="1"/>
  <c r="H124" i="31"/>
  <c r="D124" i="31"/>
  <c r="E124" i="31" s="1"/>
  <c r="H123" i="31"/>
  <c r="D123" i="31"/>
  <c r="E123" i="31" s="1"/>
  <c r="H122" i="31"/>
  <c r="D122" i="31"/>
  <c r="E122" i="31" s="1"/>
  <c r="H121" i="31"/>
  <c r="D121" i="31"/>
  <c r="E121" i="31" s="1"/>
  <c r="H120" i="31"/>
  <c r="D120" i="31"/>
  <c r="E120" i="31" s="1"/>
  <c r="H119" i="31"/>
  <c r="D119" i="31"/>
  <c r="E119" i="31" s="1"/>
  <c r="H118" i="31"/>
  <c r="D118" i="31"/>
  <c r="E118" i="31" s="1"/>
  <c r="H117" i="31"/>
  <c r="D117" i="31"/>
  <c r="E117" i="31" s="1"/>
  <c r="H116" i="31"/>
  <c r="D116" i="31"/>
  <c r="E116" i="31" s="1"/>
  <c r="H115" i="31"/>
  <c r="D115" i="31"/>
  <c r="E115" i="31" s="1"/>
  <c r="H114" i="31"/>
  <c r="D114" i="31"/>
  <c r="E114" i="31" s="1"/>
  <c r="H113" i="31"/>
  <c r="D113" i="31"/>
  <c r="E113" i="31" s="1"/>
  <c r="H112" i="31"/>
  <c r="D112" i="31"/>
  <c r="E112" i="31" s="1"/>
  <c r="H111" i="31"/>
  <c r="D111" i="31"/>
  <c r="E111" i="31" s="1"/>
  <c r="H110" i="31"/>
  <c r="D110" i="31"/>
  <c r="E110" i="31" s="1"/>
  <c r="H109" i="31"/>
  <c r="D109" i="31"/>
  <c r="E109" i="31" s="1"/>
  <c r="H108" i="31"/>
  <c r="D108" i="31"/>
  <c r="E108" i="31" s="1"/>
  <c r="H107" i="31"/>
  <c r="D107" i="31"/>
  <c r="E107" i="31" s="1"/>
  <c r="H106" i="31"/>
  <c r="D106" i="31"/>
  <c r="E106" i="31" s="1"/>
  <c r="H105" i="31"/>
  <c r="D105" i="31"/>
  <c r="E105" i="31" s="1"/>
  <c r="H104" i="31"/>
  <c r="D104" i="31"/>
  <c r="E104" i="31" s="1"/>
  <c r="H103" i="31"/>
  <c r="D103" i="31"/>
  <c r="E103" i="31" s="1"/>
  <c r="H102" i="31"/>
  <c r="D102" i="31"/>
  <c r="E102" i="31" s="1"/>
  <c r="H101" i="31"/>
  <c r="D101" i="31"/>
  <c r="E101" i="31" s="1"/>
  <c r="H100" i="31"/>
  <c r="D100" i="31"/>
  <c r="E100" i="31" s="1"/>
  <c r="H99" i="31"/>
  <c r="D99" i="31"/>
  <c r="E99" i="31" s="1"/>
  <c r="H98" i="31"/>
  <c r="D98" i="31"/>
  <c r="E98" i="31" s="1"/>
  <c r="D97" i="31"/>
  <c r="E97" i="31" s="1"/>
  <c r="H96" i="31"/>
  <c r="D96" i="31"/>
  <c r="E96" i="31" s="1"/>
  <c r="H95" i="31"/>
  <c r="D95" i="31"/>
  <c r="E95" i="31" s="1"/>
  <c r="H94" i="31"/>
  <c r="D94" i="31"/>
  <c r="E94" i="31" s="1"/>
  <c r="H93" i="31"/>
  <c r="D93" i="31"/>
  <c r="E93" i="31" s="1"/>
  <c r="H92" i="31"/>
  <c r="D92" i="31"/>
  <c r="E92" i="31" s="1"/>
  <c r="H91" i="31"/>
  <c r="D91" i="31"/>
  <c r="E91" i="31" s="1"/>
  <c r="H90" i="31"/>
  <c r="D90" i="31"/>
  <c r="E90" i="31" s="1"/>
  <c r="H89" i="31"/>
  <c r="D89" i="31"/>
  <c r="E89" i="31" s="1"/>
  <c r="H88" i="31"/>
  <c r="D88" i="31"/>
  <c r="E88" i="31" s="1"/>
  <c r="H87" i="31"/>
  <c r="D87" i="31"/>
  <c r="E87" i="31" s="1"/>
  <c r="H86" i="31"/>
  <c r="D86" i="31"/>
  <c r="E86" i="31" s="1"/>
  <c r="H85" i="31"/>
  <c r="D85" i="31"/>
  <c r="E85" i="31" s="1"/>
  <c r="H84" i="31"/>
  <c r="D84" i="31"/>
  <c r="E84" i="31" s="1"/>
  <c r="H83" i="31"/>
  <c r="D83" i="31"/>
  <c r="E83" i="31" s="1"/>
  <c r="H82" i="31"/>
  <c r="D82" i="31"/>
  <c r="E82" i="31" s="1"/>
  <c r="H81" i="31"/>
  <c r="D81" i="31"/>
  <c r="E81" i="31" s="1"/>
  <c r="H80" i="31"/>
  <c r="D80" i="31"/>
  <c r="E80" i="31" s="1"/>
  <c r="H79" i="31"/>
  <c r="D79" i="31"/>
  <c r="E79" i="31" s="1"/>
  <c r="H78" i="31"/>
  <c r="D78" i="31"/>
  <c r="E78" i="31" s="1"/>
  <c r="H77" i="31"/>
  <c r="D77" i="31"/>
  <c r="E77" i="31" s="1"/>
  <c r="H76" i="31"/>
  <c r="D76" i="31"/>
  <c r="E76" i="31" s="1"/>
  <c r="H75" i="31"/>
  <c r="D75" i="31"/>
  <c r="E75" i="31" s="1"/>
  <c r="H74" i="31"/>
  <c r="D74" i="31"/>
  <c r="E74" i="31" s="1"/>
  <c r="H73" i="31"/>
  <c r="D73" i="31"/>
  <c r="E73" i="31" s="1"/>
  <c r="H72" i="31"/>
  <c r="D72" i="31"/>
  <c r="E72" i="31" s="1"/>
  <c r="H71" i="31"/>
  <c r="D71" i="31"/>
  <c r="E71" i="31" s="1"/>
  <c r="H70" i="31"/>
  <c r="D70" i="31"/>
  <c r="E70" i="31" s="1"/>
  <c r="H69" i="31"/>
  <c r="D69" i="31"/>
  <c r="E69" i="31" s="1"/>
  <c r="H68" i="31"/>
  <c r="D68" i="31"/>
  <c r="E68" i="31" s="1"/>
  <c r="H67" i="31"/>
  <c r="D67" i="31"/>
  <c r="E67" i="31" s="1"/>
  <c r="H66" i="31"/>
  <c r="D66" i="31"/>
  <c r="E66" i="31" s="1"/>
  <c r="H65" i="31"/>
  <c r="D65" i="31"/>
  <c r="E65" i="31" s="1"/>
  <c r="H64" i="31"/>
  <c r="D64" i="31"/>
  <c r="E64" i="31" s="1"/>
  <c r="H63" i="31"/>
  <c r="D63" i="31"/>
  <c r="E63" i="31" s="1"/>
  <c r="H62" i="31"/>
  <c r="D62" i="31"/>
  <c r="E62" i="31" s="1"/>
  <c r="H61" i="31"/>
  <c r="D61" i="31"/>
  <c r="E61" i="31" s="1"/>
  <c r="H60" i="31"/>
  <c r="D60" i="31"/>
  <c r="E60" i="31" s="1"/>
  <c r="H59" i="31"/>
  <c r="D59" i="31"/>
  <c r="E59" i="31" s="1"/>
  <c r="H58" i="31"/>
  <c r="D58" i="31"/>
  <c r="E58" i="31" s="1"/>
  <c r="H57" i="31"/>
  <c r="D57" i="31"/>
  <c r="E57" i="31" s="1"/>
  <c r="H56" i="31"/>
  <c r="D56" i="31"/>
  <c r="E56" i="31" s="1"/>
  <c r="H55" i="31"/>
  <c r="D55" i="31"/>
  <c r="E55" i="31" s="1"/>
  <c r="H54" i="31"/>
  <c r="D54" i="31"/>
  <c r="E54" i="31" s="1"/>
  <c r="H53" i="31"/>
  <c r="D53" i="31"/>
  <c r="E53" i="31" s="1"/>
  <c r="H52" i="31"/>
  <c r="D52" i="31"/>
  <c r="E52" i="31" s="1"/>
  <c r="H51" i="31"/>
  <c r="D51" i="31"/>
  <c r="E51" i="31" s="1"/>
  <c r="H50" i="31"/>
  <c r="D50" i="31"/>
  <c r="E50" i="31" s="1"/>
  <c r="H49" i="31"/>
  <c r="D49" i="31"/>
  <c r="E49" i="31" s="1"/>
  <c r="H48" i="31"/>
  <c r="D48" i="31"/>
  <c r="E48" i="31" s="1"/>
  <c r="H47" i="31"/>
  <c r="D47" i="31"/>
  <c r="E47" i="31" s="1"/>
  <c r="H46" i="31"/>
  <c r="D46" i="31"/>
  <c r="E46" i="31" s="1"/>
  <c r="H45" i="31"/>
  <c r="D45" i="31"/>
  <c r="E45" i="31" s="1"/>
  <c r="H44" i="31"/>
  <c r="D44" i="31"/>
  <c r="E44" i="31" s="1"/>
  <c r="H43" i="31"/>
  <c r="E43" i="31"/>
  <c r="D43" i="31"/>
  <c r="H42" i="31"/>
  <c r="D42" i="31"/>
  <c r="E42" i="31" s="1"/>
  <c r="H41" i="31"/>
  <c r="D41" i="31"/>
  <c r="E41" i="31" s="1"/>
  <c r="H40" i="31"/>
  <c r="D40" i="31"/>
  <c r="E40" i="31" s="1"/>
  <c r="H39" i="31"/>
  <c r="D39" i="31"/>
  <c r="E39" i="31" s="1"/>
  <c r="H38" i="31"/>
  <c r="D38" i="31"/>
  <c r="E38" i="31" s="1"/>
  <c r="H37" i="31"/>
  <c r="D37" i="31"/>
  <c r="E37" i="31" s="1"/>
  <c r="H36" i="31"/>
  <c r="D36" i="31"/>
  <c r="E36" i="31" s="1"/>
  <c r="H35" i="31"/>
  <c r="D35" i="31"/>
  <c r="E35" i="31" s="1"/>
  <c r="H34" i="31"/>
  <c r="D34" i="31"/>
  <c r="E34" i="31" s="1"/>
  <c r="H33" i="31"/>
  <c r="D33" i="31"/>
  <c r="E33" i="31" s="1"/>
  <c r="H32" i="31"/>
  <c r="D32" i="31"/>
  <c r="E32" i="31" s="1"/>
  <c r="H31" i="31"/>
  <c r="D31" i="31"/>
  <c r="E31" i="31" s="1"/>
  <c r="H30" i="31"/>
  <c r="D30" i="31"/>
  <c r="E30" i="31" s="1"/>
  <c r="H29" i="31"/>
  <c r="D29" i="31"/>
  <c r="E29" i="31" s="1"/>
  <c r="H28" i="31"/>
  <c r="D28" i="31"/>
  <c r="E28" i="31" s="1"/>
  <c r="H27" i="31"/>
  <c r="D27" i="31"/>
  <c r="E27" i="31" s="1"/>
  <c r="H26" i="31"/>
  <c r="D26" i="31"/>
  <c r="E26" i="31" s="1"/>
  <c r="H25" i="31"/>
  <c r="D25" i="31"/>
  <c r="E25" i="31" s="1"/>
  <c r="H24" i="31"/>
  <c r="D24" i="31"/>
  <c r="E24" i="31" s="1"/>
  <c r="H23" i="31"/>
  <c r="D23" i="31"/>
  <c r="E23" i="31" s="1"/>
  <c r="H22" i="31"/>
  <c r="D22" i="31"/>
  <c r="E22" i="31" s="1"/>
  <c r="H21" i="31"/>
  <c r="D21" i="31"/>
  <c r="E21" i="31" s="1"/>
  <c r="H20" i="31"/>
  <c r="D20" i="31"/>
  <c r="E20" i="31" s="1"/>
  <c r="H19" i="31"/>
  <c r="D19" i="31"/>
  <c r="E19" i="31" s="1"/>
  <c r="H18" i="31"/>
  <c r="D18" i="31"/>
  <c r="E18" i="31" s="1"/>
  <c r="H17" i="31"/>
  <c r="D17" i="31"/>
  <c r="E17" i="31" s="1"/>
  <c r="H16" i="31"/>
  <c r="D16" i="31"/>
  <c r="E16" i="31" s="1"/>
  <c r="H15" i="31"/>
  <c r="D15" i="31"/>
  <c r="E15" i="31" s="1"/>
  <c r="H14" i="31"/>
  <c r="D14" i="31"/>
  <c r="E14" i="31" s="1"/>
  <c r="H13" i="31"/>
  <c r="D13" i="31"/>
  <c r="E13" i="31" s="1"/>
  <c r="H12" i="31"/>
  <c r="D12" i="31"/>
  <c r="E12" i="31" s="1"/>
  <c r="H11" i="31"/>
  <c r="D11" i="31"/>
  <c r="E11" i="31" s="1"/>
  <c r="H10" i="31"/>
  <c r="E10" i="31"/>
  <c r="D10" i="31"/>
  <c r="H9" i="31"/>
  <c r="D9" i="31"/>
  <c r="E9" i="31" s="1"/>
  <c r="H8" i="31"/>
  <c r="D8" i="31"/>
  <c r="E8" i="31" s="1"/>
  <c r="H7" i="31"/>
  <c r="D7" i="31"/>
  <c r="E7" i="31" s="1"/>
  <c r="H6" i="31"/>
  <c r="D6" i="31"/>
  <c r="E6" i="31" s="1"/>
  <c r="H5" i="31"/>
  <c r="D5" i="31"/>
  <c r="E5" i="31" s="1"/>
  <c r="H4" i="31"/>
  <c r="D4" i="31"/>
  <c r="E4" i="31" s="1"/>
  <c r="H3" i="31"/>
  <c r="D3" i="31"/>
  <c r="E3" i="31" s="1"/>
  <c r="H160" i="29"/>
  <c r="H159" i="29"/>
  <c r="D160" i="29"/>
  <c r="E160" i="29" s="1"/>
  <c r="D159" i="29"/>
  <c r="E159" i="29" s="1"/>
  <c r="H158" i="29"/>
  <c r="H157" i="29"/>
  <c r="H156" i="29"/>
  <c r="H155" i="29"/>
  <c r="D158" i="29"/>
  <c r="E158" i="29" s="1"/>
  <c r="D157" i="29"/>
  <c r="E157" i="29" s="1"/>
  <c r="D156" i="29"/>
  <c r="E156" i="29" s="1"/>
  <c r="D155" i="29"/>
  <c r="E155" i="29"/>
  <c r="D154" i="29"/>
  <c r="E154" i="29" s="1"/>
  <c r="H154" i="29"/>
  <c r="D153" i="29"/>
  <c r="E153" i="29" s="1"/>
  <c r="H153" i="29"/>
  <c r="D152" i="29"/>
  <c r="E152" i="29" s="1"/>
  <c r="H152" i="29"/>
  <c r="D151" i="29"/>
  <c r="E151" i="29" s="1"/>
  <c r="H151" i="29"/>
  <c r="D150" i="29"/>
  <c r="E150" i="29" s="1"/>
  <c r="H150" i="29"/>
  <c r="D149" i="29"/>
  <c r="E149" i="29" s="1"/>
  <c r="H149" i="29"/>
  <c r="I115" i="30" l="1"/>
  <c r="K115" i="30" s="1"/>
  <c r="G120" i="30"/>
  <c r="I108" i="30"/>
  <c r="K108" i="30" s="1"/>
  <c r="I117" i="30"/>
  <c r="K117" i="30" s="1"/>
  <c r="K120" i="30" l="1"/>
  <c r="I120" i="30"/>
  <c r="H92" i="28"/>
  <c r="H93" i="28"/>
  <c r="H94" i="28"/>
  <c r="H95" i="28"/>
  <c r="H96" i="28"/>
  <c r="H97" i="28"/>
  <c r="H98" i="28"/>
  <c r="H99" i="28"/>
  <c r="H100" i="28"/>
  <c r="H101" i="28"/>
  <c r="H91" i="28"/>
  <c r="G96" i="28"/>
  <c r="G97" i="28"/>
  <c r="G98" i="28"/>
  <c r="G99" i="28"/>
  <c r="G100" i="28"/>
  <c r="G101" i="28"/>
  <c r="G90" i="28"/>
  <c r="I42" i="28"/>
  <c r="K42" i="28" s="1"/>
  <c r="I38" i="28"/>
  <c r="K38" i="28" s="1"/>
  <c r="K33" i="28"/>
  <c r="I33" i="28"/>
  <c r="I26" i="28"/>
  <c r="K26" i="28" s="1"/>
  <c r="I23" i="28"/>
  <c r="K23" i="28" s="1"/>
  <c r="I15" i="28" l="1"/>
  <c r="K15" i="28" s="1"/>
  <c r="I5" i="28"/>
  <c r="K5" i="28" s="1"/>
  <c r="I4" i="28"/>
  <c r="K4" i="28" s="1"/>
  <c r="J102" i="28"/>
  <c r="F102" i="28"/>
  <c r="I99" i="28"/>
  <c r="K99" i="28" s="1"/>
  <c r="I97" i="28"/>
  <c r="K97" i="28" s="1"/>
  <c r="I96" i="28"/>
  <c r="K96" i="28" s="1"/>
  <c r="I95" i="28"/>
  <c r="K95" i="28" s="1"/>
  <c r="I94" i="28"/>
  <c r="K94" i="28" s="1"/>
  <c r="I93" i="28"/>
  <c r="K93" i="28" s="1"/>
  <c r="I92" i="28"/>
  <c r="K92" i="28" s="1"/>
  <c r="I91" i="28"/>
  <c r="I90" i="28"/>
  <c r="K90" i="28" s="1"/>
  <c r="G85" i="28"/>
  <c r="I85" i="28" s="1"/>
  <c r="F85" i="28"/>
  <c r="I84" i="28"/>
  <c r="K84" i="28" s="1"/>
  <c r="I83" i="28"/>
  <c r="K83" i="28" s="1"/>
  <c r="I82" i="28"/>
  <c r="K82" i="28" s="1"/>
  <c r="I81" i="28"/>
  <c r="K81" i="28" s="1"/>
  <c r="I80" i="28"/>
  <c r="K80" i="28" s="1"/>
  <c r="I79" i="28"/>
  <c r="K79" i="28" s="1"/>
  <c r="I78" i="28"/>
  <c r="K78" i="28" s="1"/>
  <c r="I77" i="28"/>
  <c r="K77" i="28" s="1"/>
  <c r="I76" i="28"/>
  <c r="K76" i="28" s="1"/>
  <c r="I75" i="28"/>
  <c r="K75" i="28" s="1"/>
  <c r="I74" i="28"/>
  <c r="K74" i="28" s="1"/>
  <c r="I73" i="28"/>
  <c r="K73" i="28" s="1"/>
  <c r="I72" i="28"/>
  <c r="K72" i="28" s="1"/>
  <c r="I71" i="28"/>
  <c r="K71" i="28" s="1"/>
  <c r="I70" i="28"/>
  <c r="K70" i="28" s="1"/>
  <c r="I69" i="28"/>
  <c r="K69" i="28" s="1"/>
  <c r="I68" i="28"/>
  <c r="K68" i="28" s="1"/>
  <c r="I67" i="28"/>
  <c r="K67" i="28" s="1"/>
  <c r="I66" i="28"/>
  <c r="K66" i="28" s="1"/>
  <c r="I65" i="28"/>
  <c r="K65" i="28" s="1"/>
  <c r="I64" i="28"/>
  <c r="K64" i="28" s="1"/>
  <c r="I63" i="28"/>
  <c r="K63" i="28" s="1"/>
  <c r="I62" i="28"/>
  <c r="K62" i="28" s="1"/>
  <c r="I61" i="28"/>
  <c r="K61" i="28" s="1"/>
  <c r="I60" i="28"/>
  <c r="K60" i="28" s="1"/>
  <c r="I59" i="28"/>
  <c r="K59" i="28" s="1"/>
  <c r="I58" i="28"/>
  <c r="K58" i="28" s="1"/>
  <c r="I57" i="28"/>
  <c r="K57" i="28" s="1"/>
  <c r="I56" i="28"/>
  <c r="K56" i="28" s="1"/>
  <c r="I55" i="28"/>
  <c r="K55" i="28" s="1"/>
  <c r="I54" i="28"/>
  <c r="K54" i="28" s="1"/>
  <c r="I53" i="28"/>
  <c r="K53" i="28" s="1"/>
  <c r="I52" i="28"/>
  <c r="K52" i="28" s="1"/>
  <c r="I51" i="28"/>
  <c r="K51" i="28" s="1"/>
  <c r="I50" i="28"/>
  <c r="K50" i="28" s="1"/>
  <c r="I49" i="28"/>
  <c r="K49" i="28" s="1"/>
  <c r="I48" i="28"/>
  <c r="K48" i="28" s="1"/>
  <c r="I47" i="28"/>
  <c r="K47" i="28" s="1"/>
  <c r="I46" i="28"/>
  <c r="K46" i="28" s="1"/>
  <c r="I45" i="28"/>
  <c r="K45" i="28" s="1"/>
  <c r="I44" i="28"/>
  <c r="K44" i="28" s="1"/>
  <c r="I37" i="28"/>
  <c r="K37" i="28" s="1"/>
  <c r="I36" i="28"/>
  <c r="K36" i="28" s="1"/>
  <c r="I32" i="28"/>
  <c r="K32" i="28" s="1"/>
  <c r="I31" i="28"/>
  <c r="K31" i="28" s="1"/>
  <c r="I30" i="28"/>
  <c r="K30" i="28" s="1"/>
  <c r="I29" i="28"/>
  <c r="K29" i="28" s="1"/>
  <c r="I22" i="28"/>
  <c r="K22" i="28" s="1"/>
  <c r="I21" i="28"/>
  <c r="K21" i="28" s="1"/>
  <c r="I20" i="28"/>
  <c r="K20" i="28" s="1"/>
  <c r="I19" i="28"/>
  <c r="K19" i="28" s="1"/>
  <c r="I18" i="28"/>
  <c r="K18" i="28" s="1"/>
  <c r="I14" i="28"/>
  <c r="K14" i="28" s="1"/>
  <c r="I13" i="28"/>
  <c r="K13" i="28" s="1"/>
  <c r="I12" i="28"/>
  <c r="K12" i="28" s="1"/>
  <c r="I11" i="28"/>
  <c r="K11" i="28" s="1"/>
  <c r="I10" i="28"/>
  <c r="K10" i="28" s="1"/>
  <c r="I9" i="28"/>
  <c r="K9" i="28" s="1"/>
  <c r="I69" i="26"/>
  <c r="K69" i="26" s="1"/>
  <c r="H148" i="29"/>
  <c r="D148" i="29"/>
  <c r="E148" i="29" s="1"/>
  <c r="H147" i="29"/>
  <c r="D147" i="29"/>
  <c r="E147" i="29" s="1"/>
  <c r="H146" i="29"/>
  <c r="D146" i="29"/>
  <c r="E146" i="29" s="1"/>
  <c r="H145" i="29"/>
  <c r="D145" i="29"/>
  <c r="E145" i="29" s="1"/>
  <c r="H144" i="29"/>
  <c r="D144" i="29"/>
  <c r="E144" i="29" s="1"/>
  <c r="H143" i="29"/>
  <c r="D143" i="29"/>
  <c r="E143" i="29" s="1"/>
  <c r="H142" i="29"/>
  <c r="D142" i="29"/>
  <c r="E142" i="29" s="1"/>
  <c r="H141" i="29"/>
  <c r="D141" i="29"/>
  <c r="E141" i="29" s="1"/>
  <c r="H140" i="29"/>
  <c r="D140" i="29"/>
  <c r="E140" i="29" s="1"/>
  <c r="H139" i="29"/>
  <c r="E139" i="29"/>
  <c r="D139" i="29"/>
  <c r="H138" i="29"/>
  <c r="D138" i="29"/>
  <c r="E138" i="29" s="1"/>
  <c r="H137" i="29"/>
  <c r="D137" i="29"/>
  <c r="E137" i="29" s="1"/>
  <c r="H136" i="29"/>
  <c r="D136" i="29"/>
  <c r="E136" i="29" s="1"/>
  <c r="H135" i="29"/>
  <c r="D135" i="29"/>
  <c r="E135" i="29" s="1"/>
  <c r="H134" i="29"/>
  <c r="D134" i="29"/>
  <c r="E134" i="29" s="1"/>
  <c r="H133" i="29"/>
  <c r="D133" i="29"/>
  <c r="E133" i="29" s="1"/>
  <c r="H132" i="29"/>
  <c r="D132" i="29"/>
  <c r="E132" i="29" s="1"/>
  <c r="H131" i="29"/>
  <c r="D131" i="29"/>
  <c r="E131" i="29" s="1"/>
  <c r="H130" i="29"/>
  <c r="D130" i="29"/>
  <c r="E130" i="29" s="1"/>
  <c r="H129" i="29"/>
  <c r="D129" i="29"/>
  <c r="E129" i="29" s="1"/>
  <c r="H128" i="29"/>
  <c r="D128" i="29"/>
  <c r="E128" i="29" s="1"/>
  <c r="H127" i="29"/>
  <c r="D127" i="29"/>
  <c r="E127" i="29" s="1"/>
  <c r="H126" i="29"/>
  <c r="D126" i="29"/>
  <c r="E126" i="29" s="1"/>
  <c r="H125" i="29"/>
  <c r="D125" i="29"/>
  <c r="E125" i="29" s="1"/>
  <c r="H124" i="29"/>
  <c r="D124" i="29"/>
  <c r="E124" i="29" s="1"/>
  <c r="H123" i="29"/>
  <c r="E123" i="29"/>
  <c r="D123" i="29"/>
  <c r="H122" i="29"/>
  <c r="D122" i="29"/>
  <c r="E122" i="29" s="1"/>
  <c r="H121" i="29"/>
  <c r="D121" i="29"/>
  <c r="E121" i="29" s="1"/>
  <c r="H120" i="29"/>
  <c r="E120" i="29"/>
  <c r="D120" i="29"/>
  <c r="H119" i="29"/>
  <c r="D119" i="29"/>
  <c r="E119" i="29" s="1"/>
  <c r="H118" i="29"/>
  <c r="D118" i="29"/>
  <c r="E118" i="29" s="1"/>
  <c r="H117" i="29"/>
  <c r="D117" i="29"/>
  <c r="E117" i="29" s="1"/>
  <c r="H116" i="29"/>
  <c r="D116" i="29"/>
  <c r="E116" i="29" s="1"/>
  <c r="H115" i="29"/>
  <c r="D115" i="29"/>
  <c r="E115" i="29" s="1"/>
  <c r="H114" i="29"/>
  <c r="D114" i="29"/>
  <c r="E114" i="29" s="1"/>
  <c r="H113" i="29"/>
  <c r="D113" i="29"/>
  <c r="E113" i="29" s="1"/>
  <c r="H112" i="29"/>
  <c r="D112" i="29"/>
  <c r="E112" i="29" s="1"/>
  <c r="H111" i="29"/>
  <c r="D111" i="29"/>
  <c r="E111" i="29" s="1"/>
  <c r="H110" i="29"/>
  <c r="D110" i="29"/>
  <c r="E110" i="29" s="1"/>
  <c r="H109" i="29"/>
  <c r="D109" i="29"/>
  <c r="E109" i="29" s="1"/>
  <c r="H108" i="29"/>
  <c r="E108" i="29"/>
  <c r="D108" i="29"/>
  <c r="H107" i="29"/>
  <c r="D107" i="29"/>
  <c r="E107" i="29" s="1"/>
  <c r="H106" i="29"/>
  <c r="D106" i="29"/>
  <c r="E106" i="29" s="1"/>
  <c r="H105" i="29"/>
  <c r="D105" i="29"/>
  <c r="E105" i="29" s="1"/>
  <c r="H104" i="29"/>
  <c r="D104" i="29"/>
  <c r="E104" i="29" s="1"/>
  <c r="H103" i="29"/>
  <c r="D103" i="29"/>
  <c r="E103" i="29" s="1"/>
  <c r="H102" i="29"/>
  <c r="D102" i="29"/>
  <c r="E102" i="29" s="1"/>
  <c r="H101" i="29"/>
  <c r="D101" i="29"/>
  <c r="E101" i="29" s="1"/>
  <c r="H100" i="29"/>
  <c r="D100" i="29"/>
  <c r="E100" i="29" s="1"/>
  <c r="H99" i="29"/>
  <c r="D99" i="29"/>
  <c r="E99" i="29" s="1"/>
  <c r="H98" i="29"/>
  <c r="D98" i="29"/>
  <c r="E98" i="29" s="1"/>
  <c r="H97" i="29"/>
  <c r="D97" i="29"/>
  <c r="E97" i="29" s="1"/>
  <c r="H96" i="29"/>
  <c r="D96" i="29"/>
  <c r="E96" i="29" s="1"/>
  <c r="H95" i="29"/>
  <c r="D95" i="29"/>
  <c r="E95" i="29" s="1"/>
  <c r="H94" i="29"/>
  <c r="D94" i="29"/>
  <c r="E94" i="29" s="1"/>
  <c r="H93" i="29"/>
  <c r="D93" i="29"/>
  <c r="E93" i="29" s="1"/>
  <c r="H92" i="29"/>
  <c r="D92" i="29"/>
  <c r="E92" i="29" s="1"/>
  <c r="H91" i="29"/>
  <c r="D91" i="29"/>
  <c r="E91" i="29" s="1"/>
  <c r="H90" i="29"/>
  <c r="D90" i="29"/>
  <c r="E90" i="29" s="1"/>
  <c r="H89" i="29"/>
  <c r="D89" i="29"/>
  <c r="E89" i="29" s="1"/>
  <c r="H88" i="29"/>
  <c r="D88" i="29"/>
  <c r="E88" i="29" s="1"/>
  <c r="H87" i="29"/>
  <c r="D87" i="29"/>
  <c r="E87" i="29" s="1"/>
  <c r="H86" i="29"/>
  <c r="D86" i="29"/>
  <c r="E86" i="29" s="1"/>
  <c r="H85" i="29"/>
  <c r="D85" i="29"/>
  <c r="E85" i="29" s="1"/>
  <c r="H84" i="29"/>
  <c r="D84" i="29"/>
  <c r="E84" i="29" s="1"/>
  <c r="H83" i="29"/>
  <c r="D83" i="29"/>
  <c r="E83" i="29" s="1"/>
  <c r="H82" i="29"/>
  <c r="D82" i="29"/>
  <c r="E82" i="29" s="1"/>
  <c r="H81" i="29"/>
  <c r="D81" i="29"/>
  <c r="E81" i="29" s="1"/>
  <c r="H80" i="29"/>
  <c r="D80" i="29"/>
  <c r="E80" i="29" s="1"/>
  <c r="H79" i="29"/>
  <c r="E79" i="29"/>
  <c r="D79" i="29"/>
  <c r="H78" i="29"/>
  <c r="D78" i="29"/>
  <c r="E78" i="29" s="1"/>
  <c r="H77" i="29"/>
  <c r="D77" i="29"/>
  <c r="E77" i="29" s="1"/>
  <c r="H76" i="29"/>
  <c r="D76" i="29"/>
  <c r="E76" i="29" s="1"/>
  <c r="H75" i="29"/>
  <c r="D75" i="29"/>
  <c r="E75" i="29" s="1"/>
  <c r="H74" i="29"/>
  <c r="D74" i="29"/>
  <c r="E74" i="29" s="1"/>
  <c r="H73" i="29"/>
  <c r="D73" i="29"/>
  <c r="E73" i="29" s="1"/>
  <c r="H72" i="29"/>
  <c r="D72" i="29"/>
  <c r="E72" i="29" s="1"/>
  <c r="H71" i="29"/>
  <c r="D71" i="29"/>
  <c r="E71" i="29" s="1"/>
  <c r="H70" i="29"/>
  <c r="D70" i="29"/>
  <c r="E70" i="29" s="1"/>
  <c r="H69" i="29"/>
  <c r="D69" i="29"/>
  <c r="E69" i="29" s="1"/>
  <c r="H68" i="29"/>
  <c r="D68" i="29"/>
  <c r="E68" i="29" s="1"/>
  <c r="H67" i="29"/>
  <c r="D67" i="29"/>
  <c r="E67" i="29" s="1"/>
  <c r="H66" i="29"/>
  <c r="D66" i="29"/>
  <c r="E66" i="29" s="1"/>
  <c r="H65" i="29"/>
  <c r="D65" i="29"/>
  <c r="E65" i="29" s="1"/>
  <c r="H64" i="29"/>
  <c r="D64" i="29"/>
  <c r="E64" i="29" s="1"/>
  <c r="H63" i="29"/>
  <c r="D63" i="29"/>
  <c r="E63" i="29" s="1"/>
  <c r="H62" i="29"/>
  <c r="D62" i="29"/>
  <c r="E62" i="29" s="1"/>
  <c r="H61" i="29"/>
  <c r="D61" i="29"/>
  <c r="E61" i="29" s="1"/>
  <c r="H60" i="29"/>
  <c r="D60" i="29"/>
  <c r="E60" i="29" s="1"/>
  <c r="H59" i="29"/>
  <c r="D59" i="29"/>
  <c r="E59" i="29" s="1"/>
  <c r="H58" i="29"/>
  <c r="D58" i="29"/>
  <c r="E58" i="29" s="1"/>
  <c r="H57" i="29"/>
  <c r="D57" i="29"/>
  <c r="E57" i="29" s="1"/>
  <c r="H56" i="29"/>
  <c r="D56" i="29"/>
  <c r="E56" i="29" s="1"/>
  <c r="H55" i="29"/>
  <c r="D55" i="29"/>
  <c r="E55" i="29" s="1"/>
  <c r="H54" i="29"/>
  <c r="D54" i="29"/>
  <c r="E54" i="29" s="1"/>
  <c r="H53" i="29"/>
  <c r="D53" i="29"/>
  <c r="E53" i="29" s="1"/>
  <c r="H52" i="29"/>
  <c r="D52" i="29"/>
  <c r="E52" i="29" s="1"/>
  <c r="H51" i="29"/>
  <c r="D51" i="29"/>
  <c r="E51" i="29" s="1"/>
  <c r="H50" i="29"/>
  <c r="D50" i="29"/>
  <c r="E50" i="29" s="1"/>
  <c r="H49" i="29"/>
  <c r="D49" i="29"/>
  <c r="E49" i="29" s="1"/>
  <c r="H48" i="29"/>
  <c r="D48" i="29"/>
  <c r="E48" i="29" s="1"/>
  <c r="H47" i="29"/>
  <c r="D47" i="29"/>
  <c r="E47" i="29" s="1"/>
  <c r="H46" i="29"/>
  <c r="E46" i="29"/>
  <c r="D46" i="29"/>
  <c r="H45" i="29"/>
  <c r="D45" i="29"/>
  <c r="E45" i="29" s="1"/>
  <c r="H44" i="29"/>
  <c r="D44" i="29"/>
  <c r="E44" i="29" s="1"/>
  <c r="H43" i="29"/>
  <c r="D43" i="29"/>
  <c r="E43" i="29" s="1"/>
  <c r="H42" i="29"/>
  <c r="D42" i="29"/>
  <c r="E42" i="29" s="1"/>
  <c r="H41" i="29"/>
  <c r="D41" i="29"/>
  <c r="E41" i="29" s="1"/>
  <c r="H40" i="29"/>
  <c r="D40" i="29"/>
  <c r="E40" i="29" s="1"/>
  <c r="H39" i="29"/>
  <c r="D39" i="29"/>
  <c r="E39" i="29" s="1"/>
  <c r="H38" i="29"/>
  <c r="D38" i="29"/>
  <c r="E38" i="29" s="1"/>
  <c r="H37" i="29"/>
  <c r="D37" i="29"/>
  <c r="E37" i="29" s="1"/>
  <c r="H36" i="29"/>
  <c r="D36" i="29"/>
  <c r="E36" i="29" s="1"/>
  <c r="H35" i="29"/>
  <c r="D35" i="29"/>
  <c r="E35" i="29" s="1"/>
  <c r="H34" i="29"/>
  <c r="D34" i="29"/>
  <c r="E34" i="29" s="1"/>
  <c r="H33" i="29"/>
  <c r="D33" i="29"/>
  <c r="E33" i="29" s="1"/>
  <c r="H32" i="29"/>
  <c r="D32" i="29"/>
  <c r="E32" i="29" s="1"/>
  <c r="H31" i="29"/>
  <c r="D31" i="29"/>
  <c r="E31" i="29" s="1"/>
  <c r="H30" i="29"/>
  <c r="D30" i="29"/>
  <c r="E30" i="29" s="1"/>
  <c r="H29" i="29"/>
  <c r="D29" i="29"/>
  <c r="E29" i="29" s="1"/>
  <c r="H28" i="29"/>
  <c r="D28" i="29"/>
  <c r="E28" i="29" s="1"/>
  <c r="H27" i="29"/>
  <c r="D27" i="29"/>
  <c r="E27" i="29" s="1"/>
  <c r="H26" i="29"/>
  <c r="D26" i="29"/>
  <c r="E26" i="29" s="1"/>
  <c r="H25" i="29"/>
  <c r="D25" i="29"/>
  <c r="E25" i="29" s="1"/>
  <c r="H24" i="29"/>
  <c r="D24" i="29"/>
  <c r="E24" i="29" s="1"/>
  <c r="H23" i="29"/>
  <c r="D23" i="29"/>
  <c r="E23" i="29" s="1"/>
  <c r="H22" i="29"/>
  <c r="D22" i="29"/>
  <c r="E22" i="29" s="1"/>
  <c r="H21" i="29"/>
  <c r="D21" i="29"/>
  <c r="E21" i="29" s="1"/>
  <c r="H20" i="29"/>
  <c r="D20" i="29"/>
  <c r="E20" i="29" s="1"/>
  <c r="H19" i="29"/>
  <c r="D19" i="29"/>
  <c r="E19" i="29" s="1"/>
  <c r="H18" i="29"/>
  <c r="D18" i="29"/>
  <c r="E18" i="29" s="1"/>
  <c r="H17" i="29"/>
  <c r="D17" i="29"/>
  <c r="E17" i="29" s="1"/>
  <c r="H16" i="29"/>
  <c r="D16" i="29"/>
  <c r="E16" i="29" s="1"/>
  <c r="H15" i="29"/>
  <c r="D15" i="29"/>
  <c r="E15" i="29" s="1"/>
  <c r="H14" i="29"/>
  <c r="D14" i="29"/>
  <c r="E14" i="29" s="1"/>
  <c r="H13" i="29"/>
  <c r="D13" i="29"/>
  <c r="E13" i="29" s="1"/>
  <c r="H12" i="29"/>
  <c r="D12" i="29"/>
  <c r="E12" i="29" s="1"/>
  <c r="H11" i="29"/>
  <c r="D11" i="29"/>
  <c r="E11" i="29" s="1"/>
  <c r="H10" i="29"/>
  <c r="D10" i="29"/>
  <c r="E10" i="29" s="1"/>
  <c r="H9" i="29"/>
  <c r="D9" i="29"/>
  <c r="E9" i="29" s="1"/>
  <c r="H8" i="29"/>
  <c r="D8" i="29"/>
  <c r="E8" i="29" s="1"/>
  <c r="H7" i="29"/>
  <c r="D7" i="29"/>
  <c r="E7" i="29" s="1"/>
  <c r="H6" i="29"/>
  <c r="D6" i="29"/>
  <c r="E6" i="29" s="1"/>
  <c r="H5" i="29"/>
  <c r="D5" i="29"/>
  <c r="E5" i="29" s="1"/>
  <c r="H4" i="29"/>
  <c r="D4" i="29"/>
  <c r="E4" i="29" s="1"/>
  <c r="H3" i="29"/>
  <c r="D3" i="29"/>
  <c r="E3" i="29" s="1"/>
  <c r="H112" i="26"/>
  <c r="H113" i="26"/>
  <c r="K85" i="28" l="1"/>
  <c r="K91" i="28"/>
  <c r="K102" i="28" s="1"/>
  <c r="I102" i="28"/>
  <c r="G102" i="28"/>
  <c r="G111" i="26" l="1"/>
  <c r="I36" i="26" l="1"/>
  <c r="K36" i="26" s="1"/>
  <c r="G103" i="24"/>
  <c r="G109" i="24" s="1"/>
  <c r="I103" i="24" l="1"/>
  <c r="G114" i="26"/>
  <c r="G115" i="26"/>
  <c r="G116" i="26"/>
  <c r="G117" i="26"/>
  <c r="G118" i="26"/>
  <c r="G110" i="26"/>
  <c r="G75" i="21"/>
  <c r="I74" i="21"/>
  <c r="K74" i="21" s="1"/>
  <c r="F75" i="21"/>
  <c r="I83" i="18"/>
  <c r="K83" i="18" s="1"/>
  <c r="C131" i="18" l="1"/>
  <c r="C132" i="18" s="1"/>
  <c r="H115" i="18"/>
  <c r="G127" i="18"/>
  <c r="C92" i="21"/>
  <c r="H75" i="21"/>
  <c r="G87" i="21"/>
  <c r="H95" i="24"/>
  <c r="G95" i="24"/>
  <c r="I122" i="18"/>
  <c r="I89" i="24"/>
  <c r="I71" i="21"/>
  <c r="K71" i="21" s="1"/>
  <c r="I82" i="18"/>
  <c r="K82" i="18" s="1"/>
  <c r="K81" i="18"/>
  <c r="I80" i="18"/>
  <c r="K80" i="18" s="1"/>
  <c r="I81" i="18"/>
  <c r="I79" i="18"/>
  <c r="K79" i="18" s="1"/>
  <c r="I4" i="26" l="1"/>
  <c r="K4" i="26" s="1"/>
  <c r="H148" i="27"/>
  <c r="D148" i="27"/>
  <c r="E148" i="27" s="1"/>
  <c r="H147" i="27"/>
  <c r="D147" i="27"/>
  <c r="E147" i="27" s="1"/>
  <c r="H146" i="27"/>
  <c r="D146" i="27"/>
  <c r="E146" i="27" s="1"/>
  <c r="H145" i="27"/>
  <c r="D145" i="27"/>
  <c r="E145" i="27" s="1"/>
  <c r="H144" i="27"/>
  <c r="D144" i="27"/>
  <c r="E144" i="27" s="1"/>
  <c r="H143" i="27"/>
  <c r="D143" i="27"/>
  <c r="E143" i="27" s="1"/>
  <c r="H142" i="27"/>
  <c r="D142" i="27"/>
  <c r="E142" i="27" s="1"/>
  <c r="H141" i="27"/>
  <c r="D141" i="27"/>
  <c r="E141" i="27" s="1"/>
  <c r="H140" i="27"/>
  <c r="D140" i="27"/>
  <c r="E140" i="27" s="1"/>
  <c r="H139" i="27"/>
  <c r="D139" i="27"/>
  <c r="E139" i="27" s="1"/>
  <c r="H138" i="27"/>
  <c r="D138" i="27"/>
  <c r="E138" i="27" s="1"/>
  <c r="H137" i="27"/>
  <c r="D137" i="27"/>
  <c r="E137" i="27" s="1"/>
  <c r="H136" i="27"/>
  <c r="D136" i="27"/>
  <c r="E136" i="27" s="1"/>
  <c r="H135" i="27"/>
  <c r="D135" i="27"/>
  <c r="E135" i="27" s="1"/>
  <c r="H134" i="27"/>
  <c r="D134" i="27"/>
  <c r="E134" i="27" s="1"/>
  <c r="H133" i="27"/>
  <c r="D133" i="27"/>
  <c r="E133" i="27" s="1"/>
  <c r="H132" i="27"/>
  <c r="D132" i="27"/>
  <c r="E132" i="27" s="1"/>
  <c r="H131" i="27"/>
  <c r="D131" i="27"/>
  <c r="E131" i="27" s="1"/>
  <c r="H130" i="27"/>
  <c r="D130" i="27"/>
  <c r="E130" i="27" s="1"/>
  <c r="H129" i="27"/>
  <c r="D129" i="27"/>
  <c r="E129" i="27" s="1"/>
  <c r="H128" i="27"/>
  <c r="D128" i="27"/>
  <c r="E128" i="27" s="1"/>
  <c r="H127" i="27"/>
  <c r="D127" i="27"/>
  <c r="E127" i="27" s="1"/>
  <c r="H126" i="27"/>
  <c r="D126" i="27"/>
  <c r="E126" i="27" s="1"/>
  <c r="H125" i="27"/>
  <c r="D125" i="27"/>
  <c r="E125" i="27" s="1"/>
  <c r="H124" i="27"/>
  <c r="D124" i="27"/>
  <c r="E124" i="27" s="1"/>
  <c r="H123" i="27"/>
  <c r="D123" i="27"/>
  <c r="E123" i="27" s="1"/>
  <c r="H122" i="27"/>
  <c r="D122" i="27"/>
  <c r="E122" i="27" s="1"/>
  <c r="H121" i="27"/>
  <c r="D121" i="27"/>
  <c r="E121" i="27" s="1"/>
  <c r="H120" i="27"/>
  <c r="D120" i="27"/>
  <c r="E120" i="27" s="1"/>
  <c r="H119" i="27"/>
  <c r="D119" i="27"/>
  <c r="E119" i="27" s="1"/>
  <c r="H118" i="27"/>
  <c r="D118" i="27"/>
  <c r="E118" i="27" s="1"/>
  <c r="H117" i="27"/>
  <c r="D117" i="27"/>
  <c r="E117" i="27" s="1"/>
  <c r="H116" i="27"/>
  <c r="D116" i="27"/>
  <c r="E116" i="27" s="1"/>
  <c r="H115" i="27"/>
  <c r="D115" i="27"/>
  <c r="E115" i="27" s="1"/>
  <c r="H114" i="27"/>
  <c r="D114" i="27"/>
  <c r="E114" i="27" s="1"/>
  <c r="H113" i="27"/>
  <c r="D113" i="27"/>
  <c r="E113" i="27" s="1"/>
  <c r="H112" i="27"/>
  <c r="D112" i="27"/>
  <c r="E112" i="27" s="1"/>
  <c r="H111" i="27"/>
  <c r="D111" i="27"/>
  <c r="E111" i="27" s="1"/>
  <c r="H110" i="27"/>
  <c r="D110" i="27"/>
  <c r="E110" i="27" s="1"/>
  <c r="H109" i="27"/>
  <c r="D109" i="27"/>
  <c r="E109" i="27" s="1"/>
  <c r="H108" i="27"/>
  <c r="D108" i="27"/>
  <c r="E108" i="27" s="1"/>
  <c r="H107" i="27"/>
  <c r="D107" i="27"/>
  <c r="E107" i="27" s="1"/>
  <c r="H106" i="27"/>
  <c r="D106" i="27"/>
  <c r="E106" i="27" s="1"/>
  <c r="H105" i="27"/>
  <c r="D105" i="27"/>
  <c r="E105" i="27" s="1"/>
  <c r="H104" i="27"/>
  <c r="D104" i="27"/>
  <c r="E104" i="27" s="1"/>
  <c r="H103" i="27"/>
  <c r="D103" i="27"/>
  <c r="E103" i="27" s="1"/>
  <c r="H102" i="27"/>
  <c r="D102" i="27"/>
  <c r="E102" i="27" s="1"/>
  <c r="H101" i="27"/>
  <c r="D101" i="27"/>
  <c r="E101" i="27" s="1"/>
  <c r="H100" i="27"/>
  <c r="D100" i="27"/>
  <c r="E100" i="27" s="1"/>
  <c r="H99" i="27"/>
  <c r="D99" i="27"/>
  <c r="E99" i="27" s="1"/>
  <c r="H98" i="27"/>
  <c r="D98" i="27"/>
  <c r="E98" i="27" s="1"/>
  <c r="H97" i="27"/>
  <c r="D97" i="27"/>
  <c r="E97" i="27" s="1"/>
  <c r="H96" i="27"/>
  <c r="D96" i="27"/>
  <c r="E96" i="27" s="1"/>
  <c r="H95" i="27"/>
  <c r="D95" i="27"/>
  <c r="E95" i="27" s="1"/>
  <c r="H94" i="27"/>
  <c r="D94" i="27"/>
  <c r="E94" i="27" s="1"/>
  <c r="H93" i="27"/>
  <c r="D93" i="27"/>
  <c r="E93" i="27" s="1"/>
  <c r="H92" i="27"/>
  <c r="D92" i="27"/>
  <c r="E92" i="27" s="1"/>
  <c r="H91" i="27"/>
  <c r="D91" i="27"/>
  <c r="E91" i="27" s="1"/>
  <c r="H90" i="27"/>
  <c r="D90" i="27"/>
  <c r="E90" i="27" s="1"/>
  <c r="H89" i="27"/>
  <c r="D89" i="27"/>
  <c r="E89" i="27" s="1"/>
  <c r="H88" i="27"/>
  <c r="D88" i="27"/>
  <c r="E88" i="27" s="1"/>
  <c r="H87" i="27"/>
  <c r="D87" i="27"/>
  <c r="E87" i="27" s="1"/>
  <c r="H86" i="27"/>
  <c r="D86" i="27"/>
  <c r="E86" i="27" s="1"/>
  <c r="H85" i="27"/>
  <c r="D85" i="27"/>
  <c r="E85" i="27" s="1"/>
  <c r="H84" i="27"/>
  <c r="D84" i="27"/>
  <c r="E84" i="27" s="1"/>
  <c r="H83" i="27"/>
  <c r="D83" i="27"/>
  <c r="E83" i="27" s="1"/>
  <c r="H82" i="27"/>
  <c r="D82" i="27"/>
  <c r="E82" i="27" s="1"/>
  <c r="H81" i="27"/>
  <c r="D81" i="27"/>
  <c r="E81" i="27" s="1"/>
  <c r="H80" i="27"/>
  <c r="D80" i="27"/>
  <c r="E80" i="27" s="1"/>
  <c r="H79" i="27"/>
  <c r="D79" i="27"/>
  <c r="E79" i="27" s="1"/>
  <c r="H78" i="27"/>
  <c r="D78" i="27"/>
  <c r="E78" i="27" s="1"/>
  <c r="H77" i="27"/>
  <c r="D77" i="27"/>
  <c r="E77" i="27" s="1"/>
  <c r="H76" i="27"/>
  <c r="D76" i="27"/>
  <c r="E76" i="27" s="1"/>
  <c r="H75" i="27"/>
  <c r="D75" i="27"/>
  <c r="E75" i="27" s="1"/>
  <c r="H74" i="27"/>
  <c r="D74" i="27"/>
  <c r="E74" i="27" s="1"/>
  <c r="H73" i="27"/>
  <c r="D73" i="27"/>
  <c r="E73" i="27" s="1"/>
  <c r="H72" i="27"/>
  <c r="D72" i="27"/>
  <c r="E72" i="27" s="1"/>
  <c r="H71" i="27"/>
  <c r="D71" i="27"/>
  <c r="E71" i="27" s="1"/>
  <c r="H70" i="27"/>
  <c r="D70" i="27"/>
  <c r="E70" i="27" s="1"/>
  <c r="H69" i="27"/>
  <c r="D69" i="27"/>
  <c r="E69" i="27" s="1"/>
  <c r="H68" i="27"/>
  <c r="D68" i="27"/>
  <c r="E68" i="27" s="1"/>
  <c r="H67" i="27"/>
  <c r="D67" i="27"/>
  <c r="E67" i="27" s="1"/>
  <c r="H66" i="27"/>
  <c r="D66" i="27"/>
  <c r="E66" i="27" s="1"/>
  <c r="H65" i="27"/>
  <c r="D65" i="27"/>
  <c r="E65" i="27" s="1"/>
  <c r="H64" i="27"/>
  <c r="D64" i="27"/>
  <c r="E64" i="27" s="1"/>
  <c r="H63" i="27"/>
  <c r="D63" i="27"/>
  <c r="E63" i="27" s="1"/>
  <c r="H62" i="27"/>
  <c r="D62" i="27"/>
  <c r="E62" i="27" s="1"/>
  <c r="H61" i="27"/>
  <c r="D61" i="27"/>
  <c r="E61" i="27" s="1"/>
  <c r="H60" i="27"/>
  <c r="D60" i="27"/>
  <c r="E60" i="27" s="1"/>
  <c r="H59" i="27"/>
  <c r="D59" i="27"/>
  <c r="E59" i="27" s="1"/>
  <c r="H58" i="27"/>
  <c r="D58" i="27"/>
  <c r="E58" i="27" s="1"/>
  <c r="H57" i="27"/>
  <c r="D57" i="27"/>
  <c r="E57" i="27" s="1"/>
  <c r="H56" i="27"/>
  <c r="D56" i="27"/>
  <c r="E56" i="27" s="1"/>
  <c r="H55" i="27"/>
  <c r="D55" i="27"/>
  <c r="E55" i="27" s="1"/>
  <c r="H54" i="27"/>
  <c r="D54" i="27"/>
  <c r="E54" i="27" s="1"/>
  <c r="H53" i="27"/>
  <c r="D53" i="27"/>
  <c r="E53" i="27" s="1"/>
  <c r="H52" i="27"/>
  <c r="D52" i="27"/>
  <c r="E52" i="27" s="1"/>
  <c r="H51" i="27"/>
  <c r="D51" i="27"/>
  <c r="E51" i="27" s="1"/>
  <c r="H50" i="27"/>
  <c r="D50" i="27"/>
  <c r="E50" i="27" s="1"/>
  <c r="H49" i="27"/>
  <c r="D49" i="27"/>
  <c r="E49" i="27" s="1"/>
  <c r="H48" i="27"/>
  <c r="D48" i="27"/>
  <c r="E48" i="27" s="1"/>
  <c r="H47" i="27"/>
  <c r="D47" i="27"/>
  <c r="E47" i="27" s="1"/>
  <c r="H46" i="27"/>
  <c r="D46" i="27"/>
  <c r="E46" i="27" s="1"/>
  <c r="H45" i="27"/>
  <c r="D45" i="27"/>
  <c r="E45" i="27" s="1"/>
  <c r="H44" i="27"/>
  <c r="D44" i="27"/>
  <c r="E44" i="27" s="1"/>
  <c r="H43" i="27"/>
  <c r="D43" i="27"/>
  <c r="E43" i="27" s="1"/>
  <c r="H42" i="27"/>
  <c r="D42" i="27"/>
  <c r="E42" i="27" s="1"/>
  <c r="H41" i="27"/>
  <c r="D41" i="27"/>
  <c r="E41" i="27" s="1"/>
  <c r="H40" i="27"/>
  <c r="D40" i="27"/>
  <c r="E40" i="27" s="1"/>
  <c r="H39" i="27"/>
  <c r="D39" i="27"/>
  <c r="E39" i="27" s="1"/>
  <c r="H38" i="27"/>
  <c r="D38" i="27"/>
  <c r="E38" i="27" s="1"/>
  <c r="H37" i="27"/>
  <c r="D37" i="27"/>
  <c r="E37" i="27" s="1"/>
  <c r="H36" i="27"/>
  <c r="D36" i="27"/>
  <c r="E36" i="27" s="1"/>
  <c r="H35" i="27"/>
  <c r="D35" i="27"/>
  <c r="E35" i="27" s="1"/>
  <c r="H34" i="27"/>
  <c r="D34" i="27"/>
  <c r="E34" i="27" s="1"/>
  <c r="H33" i="27"/>
  <c r="D33" i="27"/>
  <c r="E33" i="27" s="1"/>
  <c r="H32" i="27"/>
  <c r="D32" i="27"/>
  <c r="E32" i="27" s="1"/>
  <c r="H31" i="27"/>
  <c r="D31" i="27"/>
  <c r="E31" i="27" s="1"/>
  <c r="H30" i="27"/>
  <c r="D30" i="27"/>
  <c r="E30" i="27" s="1"/>
  <c r="H29" i="27"/>
  <c r="D29" i="27"/>
  <c r="E29" i="27" s="1"/>
  <c r="H28" i="27"/>
  <c r="D28" i="27"/>
  <c r="E28" i="27" s="1"/>
  <c r="H27" i="27"/>
  <c r="D27" i="27"/>
  <c r="E27" i="27" s="1"/>
  <c r="H26" i="27"/>
  <c r="D26" i="27"/>
  <c r="E26" i="27" s="1"/>
  <c r="H25" i="27"/>
  <c r="D25" i="27"/>
  <c r="E25" i="27" s="1"/>
  <c r="H24" i="27"/>
  <c r="D24" i="27"/>
  <c r="E24" i="27" s="1"/>
  <c r="H23" i="27"/>
  <c r="D23" i="27"/>
  <c r="E23" i="27" s="1"/>
  <c r="H22" i="27"/>
  <c r="D22" i="27"/>
  <c r="E22" i="27" s="1"/>
  <c r="H21" i="27"/>
  <c r="D21" i="27"/>
  <c r="E21" i="27" s="1"/>
  <c r="H20" i="27"/>
  <c r="D20" i="27"/>
  <c r="E20" i="27" s="1"/>
  <c r="H19" i="27"/>
  <c r="D19" i="27"/>
  <c r="E19" i="27" s="1"/>
  <c r="H18" i="27"/>
  <c r="D18" i="27"/>
  <c r="E18" i="27" s="1"/>
  <c r="H17" i="27"/>
  <c r="D17" i="27"/>
  <c r="E17" i="27" s="1"/>
  <c r="H16" i="27"/>
  <c r="D16" i="27"/>
  <c r="E16" i="27" s="1"/>
  <c r="H15" i="27"/>
  <c r="D15" i="27"/>
  <c r="E15" i="27" s="1"/>
  <c r="H14" i="27"/>
  <c r="D14" i="27"/>
  <c r="E14" i="27" s="1"/>
  <c r="H13" i="27"/>
  <c r="D13" i="27"/>
  <c r="E13" i="27" s="1"/>
  <c r="H12" i="27"/>
  <c r="D12" i="27"/>
  <c r="E12" i="27" s="1"/>
  <c r="H11" i="27"/>
  <c r="D11" i="27"/>
  <c r="E11" i="27" s="1"/>
  <c r="H10" i="27"/>
  <c r="D10" i="27"/>
  <c r="E10" i="27" s="1"/>
  <c r="H9" i="27"/>
  <c r="D9" i="27"/>
  <c r="E9" i="27" s="1"/>
  <c r="H8" i="27"/>
  <c r="D8" i="27"/>
  <c r="E8" i="27" s="1"/>
  <c r="H7" i="27"/>
  <c r="D7" i="27"/>
  <c r="E7" i="27" s="1"/>
  <c r="H6" i="27"/>
  <c r="D6" i="27"/>
  <c r="E6" i="27" s="1"/>
  <c r="H5" i="27"/>
  <c r="D5" i="27"/>
  <c r="E5" i="27" s="1"/>
  <c r="H4" i="27"/>
  <c r="D4" i="27"/>
  <c r="E4" i="27" s="1"/>
  <c r="H3" i="27"/>
  <c r="D3" i="27"/>
  <c r="E3" i="27" s="1"/>
  <c r="I6" i="26"/>
  <c r="K6" i="26" s="1"/>
  <c r="I7" i="26"/>
  <c r="K7" i="26" s="1"/>
  <c r="I8" i="26"/>
  <c r="K8" i="26" s="1"/>
  <c r="I9" i="26"/>
  <c r="K9" i="26" s="1"/>
  <c r="I10" i="26"/>
  <c r="K10" i="26" s="1"/>
  <c r="I11" i="26"/>
  <c r="K11" i="26" s="1"/>
  <c r="I12" i="26"/>
  <c r="K12" i="26" s="1"/>
  <c r="I13" i="26"/>
  <c r="K13" i="26" s="1"/>
  <c r="I14" i="26"/>
  <c r="K14" i="26" s="1"/>
  <c r="I15" i="26"/>
  <c r="K15" i="26" s="1"/>
  <c r="I16" i="26"/>
  <c r="K16" i="26" s="1"/>
  <c r="I17" i="26"/>
  <c r="K17" i="26" s="1"/>
  <c r="I18" i="26"/>
  <c r="K18" i="26" s="1"/>
  <c r="I19" i="26"/>
  <c r="K19" i="26" s="1"/>
  <c r="I20" i="26"/>
  <c r="K20" i="26" s="1"/>
  <c r="I21" i="26"/>
  <c r="K21" i="26" s="1"/>
  <c r="I22" i="26"/>
  <c r="K22" i="26" s="1"/>
  <c r="I23" i="26"/>
  <c r="K23" i="26" s="1"/>
  <c r="I24" i="26"/>
  <c r="K24" i="26" s="1"/>
  <c r="I25" i="26"/>
  <c r="K25" i="26" s="1"/>
  <c r="I26" i="26"/>
  <c r="K26" i="26" s="1"/>
  <c r="I27" i="26"/>
  <c r="K27" i="26" s="1"/>
  <c r="I28" i="26"/>
  <c r="K28" i="26" s="1"/>
  <c r="I29" i="26"/>
  <c r="K29" i="26" s="1"/>
  <c r="I30" i="26"/>
  <c r="K30" i="26" s="1"/>
  <c r="I31" i="26"/>
  <c r="K31" i="26" s="1"/>
  <c r="I32" i="26"/>
  <c r="K32" i="26" s="1"/>
  <c r="I33" i="26"/>
  <c r="K33" i="26" s="1"/>
  <c r="I34" i="26"/>
  <c r="K34" i="26" s="1"/>
  <c r="I35" i="26"/>
  <c r="K35" i="26" s="1"/>
  <c r="I40" i="26"/>
  <c r="K40" i="26" s="1"/>
  <c r="I41" i="26"/>
  <c r="K41" i="26" s="1"/>
  <c r="I42" i="26"/>
  <c r="K42" i="26" s="1"/>
  <c r="I43" i="26"/>
  <c r="K43" i="26" s="1"/>
  <c r="I44" i="26"/>
  <c r="K44" i="26" s="1"/>
  <c r="I45" i="26"/>
  <c r="K45" i="26" s="1"/>
  <c r="I46" i="26"/>
  <c r="K46" i="26" s="1"/>
  <c r="I47" i="26"/>
  <c r="K47" i="26" s="1"/>
  <c r="I48" i="26"/>
  <c r="K48" i="26" s="1"/>
  <c r="I49" i="26"/>
  <c r="K49" i="26" s="1"/>
  <c r="I50" i="26"/>
  <c r="K50" i="26" s="1"/>
  <c r="I51" i="26"/>
  <c r="K51" i="26" s="1"/>
  <c r="I52" i="26"/>
  <c r="K52" i="26" s="1"/>
  <c r="I53" i="26"/>
  <c r="K53" i="26" s="1"/>
  <c r="I54" i="26"/>
  <c r="K54" i="26" s="1"/>
  <c r="I55" i="26"/>
  <c r="K55" i="26" s="1"/>
  <c r="I56" i="26"/>
  <c r="K56" i="26" s="1"/>
  <c r="I57" i="26"/>
  <c r="K57" i="26" s="1"/>
  <c r="I58" i="26"/>
  <c r="K58" i="26" s="1"/>
  <c r="I59" i="26"/>
  <c r="K59" i="26" s="1"/>
  <c r="I60" i="26"/>
  <c r="K60" i="26" s="1"/>
  <c r="I61" i="26"/>
  <c r="K61" i="26" s="1"/>
  <c r="I62" i="26"/>
  <c r="K62" i="26" s="1"/>
  <c r="I63" i="26"/>
  <c r="K63" i="26" s="1"/>
  <c r="I64" i="26"/>
  <c r="K64" i="26" s="1"/>
  <c r="I65" i="26"/>
  <c r="K65" i="26" s="1"/>
  <c r="I66" i="26"/>
  <c r="K66" i="26" s="1"/>
  <c r="I67" i="26"/>
  <c r="K67" i="26" s="1"/>
  <c r="I68" i="26"/>
  <c r="K68" i="26" s="1"/>
  <c r="I71" i="26"/>
  <c r="K71" i="26" s="1"/>
  <c r="I72" i="26"/>
  <c r="K72" i="26" s="1"/>
  <c r="I73" i="26"/>
  <c r="K73" i="26" s="1"/>
  <c r="I74" i="26"/>
  <c r="K74" i="26" s="1"/>
  <c r="I75" i="26"/>
  <c r="K75" i="26" s="1"/>
  <c r="I76" i="26"/>
  <c r="K76" i="26" s="1"/>
  <c r="I77" i="26"/>
  <c r="K77" i="26" s="1"/>
  <c r="I78" i="26"/>
  <c r="K78" i="26" s="1"/>
  <c r="I79" i="26"/>
  <c r="K79" i="26" s="1"/>
  <c r="I80" i="26"/>
  <c r="K80" i="26" s="1"/>
  <c r="I81" i="26"/>
  <c r="K81" i="26" s="1"/>
  <c r="I82" i="26"/>
  <c r="K82" i="26" s="1"/>
  <c r="I83" i="26"/>
  <c r="K83" i="26" s="1"/>
  <c r="I84" i="26"/>
  <c r="K84" i="26" s="1"/>
  <c r="I85" i="26"/>
  <c r="K85" i="26" s="1"/>
  <c r="I86" i="26"/>
  <c r="K86" i="26" s="1"/>
  <c r="I87" i="26"/>
  <c r="K87" i="26" s="1"/>
  <c r="I88" i="26"/>
  <c r="K88" i="26" s="1"/>
  <c r="I89" i="26"/>
  <c r="K89" i="26" s="1"/>
  <c r="I90" i="26"/>
  <c r="K90" i="26" s="1"/>
  <c r="I91" i="26"/>
  <c r="K91" i="26" s="1"/>
  <c r="I92" i="26"/>
  <c r="K92" i="26" s="1"/>
  <c r="I93" i="26"/>
  <c r="K93" i="26" s="1"/>
  <c r="J120" i="26"/>
  <c r="G120" i="26"/>
  <c r="F120" i="26"/>
  <c r="I117" i="26"/>
  <c r="K117" i="26" s="1"/>
  <c r="I115" i="26"/>
  <c r="K115" i="26" s="1"/>
  <c r="I114" i="26"/>
  <c r="K114" i="26" s="1"/>
  <c r="I113" i="26"/>
  <c r="K113" i="26" s="1"/>
  <c r="I112" i="26"/>
  <c r="K112" i="26" s="1"/>
  <c r="I111" i="26"/>
  <c r="K111" i="26" s="1"/>
  <c r="I110" i="26"/>
  <c r="K110" i="26" s="1"/>
  <c r="I109" i="26"/>
  <c r="K109" i="26" s="1"/>
  <c r="I104" i="26"/>
  <c r="F104" i="26"/>
  <c r="I5" i="26"/>
  <c r="K5" i="26" s="1"/>
  <c r="K104" i="26" l="1"/>
  <c r="K120" i="26"/>
  <c r="I120" i="26"/>
  <c r="I57" i="24" l="1"/>
  <c r="K57" i="24" s="1"/>
  <c r="I53" i="24"/>
  <c r="K53" i="24" s="1"/>
  <c r="I41" i="24"/>
  <c r="K41" i="24" s="1"/>
  <c r="K89" i="24" l="1"/>
  <c r="I86" i="18" l="1"/>
  <c r="K86" i="18" s="1"/>
  <c r="I87" i="18"/>
  <c r="K87" i="18" s="1"/>
  <c r="I93" i="18"/>
  <c r="K93" i="18" s="1"/>
  <c r="K91" i="18"/>
  <c r="I89" i="18"/>
  <c r="K89" i="18" s="1"/>
  <c r="I95" i="18"/>
  <c r="K95" i="18" s="1"/>
  <c r="I106" i="18" l="1"/>
  <c r="K106" i="18" s="1"/>
  <c r="K104" i="18"/>
  <c r="I65" i="21"/>
  <c r="K65" i="21" s="1"/>
  <c r="I61" i="21" l="1"/>
  <c r="K61" i="21" s="1"/>
  <c r="I20" i="24" l="1"/>
  <c r="K20" i="24" s="1"/>
  <c r="I16" i="24"/>
  <c r="K16" i="24" s="1"/>
  <c r="I9" i="24"/>
  <c r="K9" i="24" s="1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E29" i="25"/>
  <c r="E44" i="25"/>
  <c r="E45" i="25"/>
  <c r="E77" i="25"/>
  <c r="E80" i="25"/>
  <c r="E81" i="25"/>
  <c r="E127" i="25"/>
  <c r="E132" i="25"/>
  <c r="E145" i="25"/>
  <c r="D4" i="25"/>
  <c r="E4" i="25" s="1"/>
  <c r="D6" i="25"/>
  <c r="E6" i="25" s="1"/>
  <c r="D7" i="25"/>
  <c r="E7" i="25" s="1"/>
  <c r="D8" i="25"/>
  <c r="E8" i="25" s="1"/>
  <c r="D9" i="25"/>
  <c r="E9" i="25" s="1"/>
  <c r="D10" i="25"/>
  <c r="E10" i="25" s="1"/>
  <c r="D11" i="25"/>
  <c r="E11" i="25" s="1"/>
  <c r="D12" i="25"/>
  <c r="E12" i="25" s="1"/>
  <c r="D13" i="25"/>
  <c r="E13" i="25" s="1"/>
  <c r="D14" i="25"/>
  <c r="E14" i="25" s="1"/>
  <c r="D15" i="25"/>
  <c r="E15" i="25" s="1"/>
  <c r="D16" i="25"/>
  <c r="E16" i="25" s="1"/>
  <c r="D17" i="25"/>
  <c r="E17" i="25" s="1"/>
  <c r="D18" i="25"/>
  <c r="E18" i="25" s="1"/>
  <c r="D19" i="25"/>
  <c r="E19" i="25" s="1"/>
  <c r="D20" i="25"/>
  <c r="E20" i="25" s="1"/>
  <c r="D21" i="25"/>
  <c r="E21" i="25" s="1"/>
  <c r="D22" i="25"/>
  <c r="E22" i="25" s="1"/>
  <c r="D23" i="25"/>
  <c r="E23" i="25" s="1"/>
  <c r="D24" i="25"/>
  <c r="E24" i="25" s="1"/>
  <c r="D25" i="25"/>
  <c r="E25" i="25" s="1"/>
  <c r="D26" i="25"/>
  <c r="E26" i="25" s="1"/>
  <c r="D27" i="25"/>
  <c r="E27" i="25" s="1"/>
  <c r="D28" i="25"/>
  <c r="E28" i="25" s="1"/>
  <c r="D29" i="25"/>
  <c r="D30" i="25"/>
  <c r="E30" i="25" s="1"/>
  <c r="D31" i="25"/>
  <c r="E31" i="25" s="1"/>
  <c r="D32" i="25"/>
  <c r="E32" i="25" s="1"/>
  <c r="D33" i="25"/>
  <c r="E33" i="25" s="1"/>
  <c r="D34" i="25"/>
  <c r="E34" i="25" s="1"/>
  <c r="D35" i="25"/>
  <c r="E35" i="25" s="1"/>
  <c r="D36" i="25"/>
  <c r="E36" i="25" s="1"/>
  <c r="D37" i="25"/>
  <c r="E37" i="25" s="1"/>
  <c r="D38" i="25"/>
  <c r="E38" i="25" s="1"/>
  <c r="D39" i="25"/>
  <c r="E39" i="25" s="1"/>
  <c r="D40" i="25"/>
  <c r="E40" i="25" s="1"/>
  <c r="D41" i="25"/>
  <c r="E41" i="25" s="1"/>
  <c r="D42" i="25"/>
  <c r="E42" i="25" s="1"/>
  <c r="D43" i="25"/>
  <c r="E43" i="25" s="1"/>
  <c r="D44" i="25"/>
  <c r="D45" i="25"/>
  <c r="D46" i="25"/>
  <c r="E46" i="25" s="1"/>
  <c r="D47" i="25"/>
  <c r="E47" i="25" s="1"/>
  <c r="D48" i="25"/>
  <c r="E48" i="25" s="1"/>
  <c r="D49" i="25"/>
  <c r="E49" i="25" s="1"/>
  <c r="D50" i="25"/>
  <c r="E50" i="25" s="1"/>
  <c r="D51" i="25"/>
  <c r="E51" i="25" s="1"/>
  <c r="D52" i="25"/>
  <c r="E52" i="25" s="1"/>
  <c r="D53" i="25"/>
  <c r="E53" i="25" s="1"/>
  <c r="D54" i="25"/>
  <c r="E54" i="25" s="1"/>
  <c r="D55" i="25"/>
  <c r="E55" i="25" s="1"/>
  <c r="D56" i="25"/>
  <c r="E56" i="25" s="1"/>
  <c r="D57" i="25"/>
  <c r="E57" i="25" s="1"/>
  <c r="D58" i="25"/>
  <c r="E58" i="25" s="1"/>
  <c r="D59" i="25"/>
  <c r="E59" i="25" s="1"/>
  <c r="D60" i="25"/>
  <c r="E60" i="25" s="1"/>
  <c r="D61" i="25"/>
  <c r="E61" i="25" s="1"/>
  <c r="D62" i="25"/>
  <c r="E62" i="25" s="1"/>
  <c r="D63" i="25"/>
  <c r="E63" i="25" s="1"/>
  <c r="D64" i="25"/>
  <c r="E64" i="25" s="1"/>
  <c r="D65" i="25"/>
  <c r="E65" i="25" s="1"/>
  <c r="D66" i="25"/>
  <c r="E66" i="25" s="1"/>
  <c r="D67" i="25"/>
  <c r="E67" i="25" s="1"/>
  <c r="D68" i="25"/>
  <c r="E68" i="25" s="1"/>
  <c r="D69" i="25"/>
  <c r="E69" i="25" s="1"/>
  <c r="D70" i="25"/>
  <c r="E70" i="25" s="1"/>
  <c r="D71" i="25"/>
  <c r="E71" i="25" s="1"/>
  <c r="D72" i="25"/>
  <c r="E72" i="25" s="1"/>
  <c r="D73" i="25"/>
  <c r="E73" i="25" s="1"/>
  <c r="D74" i="25"/>
  <c r="E74" i="25" s="1"/>
  <c r="D75" i="25"/>
  <c r="E75" i="25" s="1"/>
  <c r="D76" i="25"/>
  <c r="E76" i="25" s="1"/>
  <c r="D77" i="25"/>
  <c r="D78" i="25"/>
  <c r="E78" i="25" s="1"/>
  <c r="D79" i="25"/>
  <c r="E79" i="25" s="1"/>
  <c r="D80" i="25"/>
  <c r="D81" i="25"/>
  <c r="D82" i="25"/>
  <c r="E82" i="25" s="1"/>
  <c r="D83" i="25"/>
  <c r="E83" i="25" s="1"/>
  <c r="D84" i="25"/>
  <c r="E84" i="25" s="1"/>
  <c r="D85" i="25"/>
  <c r="E85" i="25" s="1"/>
  <c r="D86" i="25"/>
  <c r="E86" i="25" s="1"/>
  <c r="D87" i="25"/>
  <c r="E87" i="25" s="1"/>
  <c r="D88" i="25"/>
  <c r="E88" i="25" s="1"/>
  <c r="D89" i="25"/>
  <c r="E89" i="25" s="1"/>
  <c r="D90" i="25"/>
  <c r="E90" i="25" s="1"/>
  <c r="D91" i="25"/>
  <c r="E91" i="25" s="1"/>
  <c r="D92" i="25"/>
  <c r="E92" i="25" s="1"/>
  <c r="D93" i="25"/>
  <c r="E93" i="25" s="1"/>
  <c r="D94" i="25"/>
  <c r="E94" i="25" s="1"/>
  <c r="D95" i="25"/>
  <c r="E95" i="25" s="1"/>
  <c r="D96" i="25"/>
  <c r="E96" i="25" s="1"/>
  <c r="D97" i="25"/>
  <c r="E97" i="25" s="1"/>
  <c r="D98" i="25"/>
  <c r="E98" i="25" s="1"/>
  <c r="D99" i="25"/>
  <c r="E99" i="25" s="1"/>
  <c r="D100" i="25"/>
  <c r="E100" i="25" s="1"/>
  <c r="D101" i="25"/>
  <c r="E101" i="25" s="1"/>
  <c r="D102" i="25"/>
  <c r="E102" i="25" s="1"/>
  <c r="D103" i="25"/>
  <c r="E103" i="25" s="1"/>
  <c r="D104" i="25"/>
  <c r="E104" i="25" s="1"/>
  <c r="D105" i="25"/>
  <c r="E105" i="25" s="1"/>
  <c r="D106" i="25"/>
  <c r="E106" i="25" s="1"/>
  <c r="D107" i="25"/>
  <c r="E107" i="25" s="1"/>
  <c r="D108" i="25"/>
  <c r="E108" i="25" s="1"/>
  <c r="D109" i="25"/>
  <c r="E109" i="25" s="1"/>
  <c r="D110" i="25"/>
  <c r="E110" i="25" s="1"/>
  <c r="D111" i="25"/>
  <c r="E111" i="25" s="1"/>
  <c r="D112" i="25"/>
  <c r="E112" i="25" s="1"/>
  <c r="D113" i="25"/>
  <c r="E113" i="25" s="1"/>
  <c r="D114" i="25"/>
  <c r="E114" i="25" s="1"/>
  <c r="D115" i="25"/>
  <c r="E115" i="25" s="1"/>
  <c r="D116" i="25"/>
  <c r="E116" i="25" s="1"/>
  <c r="D117" i="25"/>
  <c r="E117" i="25" s="1"/>
  <c r="D118" i="25"/>
  <c r="E118" i="25" s="1"/>
  <c r="D119" i="25"/>
  <c r="E119" i="25" s="1"/>
  <c r="D120" i="25"/>
  <c r="E120" i="25" s="1"/>
  <c r="D121" i="25"/>
  <c r="E121" i="25" s="1"/>
  <c r="D122" i="25"/>
  <c r="E122" i="25" s="1"/>
  <c r="D123" i="25"/>
  <c r="E123" i="25" s="1"/>
  <c r="D124" i="25"/>
  <c r="E124" i="25" s="1"/>
  <c r="D125" i="25"/>
  <c r="E125" i="25" s="1"/>
  <c r="D126" i="25"/>
  <c r="E126" i="25" s="1"/>
  <c r="D127" i="25"/>
  <c r="D128" i="25"/>
  <c r="E128" i="25" s="1"/>
  <c r="D129" i="25"/>
  <c r="E129" i="25" s="1"/>
  <c r="D130" i="25"/>
  <c r="E130" i="25" s="1"/>
  <c r="D131" i="25"/>
  <c r="E131" i="25" s="1"/>
  <c r="D132" i="25"/>
  <c r="D133" i="25"/>
  <c r="E133" i="25" s="1"/>
  <c r="D134" i="25"/>
  <c r="E134" i="25" s="1"/>
  <c r="D135" i="25"/>
  <c r="E135" i="25" s="1"/>
  <c r="D136" i="25"/>
  <c r="E136" i="25" s="1"/>
  <c r="D137" i="25"/>
  <c r="E137" i="25" s="1"/>
  <c r="D138" i="25"/>
  <c r="E138" i="25" s="1"/>
  <c r="D139" i="25"/>
  <c r="E139" i="25" s="1"/>
  <c r="D140" i="25"/>
  <c r="E140" i="25" s="1"/>
  <c r="D141" i="25"/>
  <c r="E141" i="25" s="1"/>
  <c r="D142" i="25"/>
  <c r="E142" i="25" s="1"/>
  <c r="D143" i="25"/>
  <c r="E143" i="25" s="1"/>
  <c r="D144" i="25"/>
  <c r="E144" i="25" s="1"/>
  <c r="D145" i="25"/>
  <c r="D146" i="25"/>
  <c r="E146" i="25" s="1"/>
  <c r="D147" i="25"/>
  <c r="E147" i="25" s="1"/>
  <c r="D148" i="25"/>
  <c r="E148" i="25" s="1"/>
  <c r="D149" i="25"/>
  <c r="E149" i="25" s="1"/>
  <c r="D150" i="25"/>
  <c r="E150" i="25" s="1"/>
  <c r="D151" i="25"/>
  <c r="E151" i="25" s="1"/>
  <c r="D152" i="25"/>
  <c r="E152" i="25" s="1"/>
  <c r="D153" i="25"/>
  <c r="E153" i="25" s="1"/>
  <c r="H3" i="25"/>
  <c r="D3" i="25"/>
  <c r="E3" i="25" s="1"/>
  <c r="G154" i="25"/>
  <c r="F154" i="25"/>
  <c r="K27" i="24"/>
  <c r="K32" i="24"/>
  <c r="I7" i="24"/>
  <c r="K7" i="24" s="1"/>
  <c r="I8" i="24"/>
  <c r="K8" i="24" s="1"/>
  <c r="I11" i="24"/>
  <c r="K11" i="24" s="1"/>
  <c r="I12" i="24"/>
  <c r="K12" i="24" s="1"/>
  <c r="I13" i="24"/>
  <c r="K13" i="24" s="1"/>
  <c r="I14" i="24"/>
  <c r="K14" i="24" s="1"/>
  <c r="I15" i="24"/>
  <c r="K15" i="24" s="1"/>
  <c r="I22" i="24"/>
  <c r="K22" i="24" s="1"/>
  <c r="I23" i="24"/>
  <c r="K23" i="24" s="1"/>
  <c r="I24" i="24"/>
  <c r="K24" i="24" s="1"/>
  <c r="I25" i="24"/>
  <c r="K25" i="24" s="1"/>
  <c r="I26" i="24"/>
  <c r="K26" i="24" s="1"/>
  <c r="I27" i="24"/>
  <c r="I28" i="24"/>
  <c r="K28" i="24" s="1"/>
  <c r="I29" i="24"/>
  <c r="K29" i="24" s="1"/>
  <c r="I30" i="24"/>
  <c r="K30" i="24" s="1"/>
  <c r="I31" i="24"/>
  <c r="K31" i="24" s="1"/>
  <c r="I32" i="24"/>
  <c r="I33" i="24"/>
  <c r="K33" i="24" s="1"/>
  <c r="I34" i="24"/>
  <c r="K34" i="24" s="1"/>
  <c r="I35" i="24"/>
  <c r="K35" i="24" s="1"/>
  <c r="I36" i="24"/>
  <c r="K36" i="24" s="1"/>
  <c r="I37" i="24"/>
  <c r="K37" i="24" s="1"/>
  <c r="I38" i="24"/>
  <c r="K38" i="24" s="1"/>
  <c r="I39" i="24"/>
  <c r="K39" i="24" s="1"/>
  <c r="I40" i="24"/>
  <c r="K40" i="24" s="1"/>
  <c r="I43" i="24"/>
  <c r="K43" i="24" s="1"/>
  <c r="I44" i="24"/>
  <c r="K44" i="24" s="1"/>
  <c r="I45" i="24"/>
  <c r="K45" i="24" s="1"/>
  <c r="I46" i="24"/>
  <c r="K46" i="24" s="1"/>
  <c r="I47" i="24"/>
  <c r="K47" i="24" s="1"/>
  <c r="I48" i="24"/>
  <c r="K48" i="24" s="1"/>
  <c r="I49" i="24"/>
  <c r="K49" i="24" s="1"/>
  <c r="I50" i="24"/>
  <c r="K50" i="24" s="1"/>
  <c r="I51" i="24"/>
  <c r="K51" i="24" s="1"/>
  <c r="I52" i="24"/>
  <c r="K52" i="24" s="1"/>
  <c r="I55" i="24"/>
  <c r="K55" i="24" s="1"/>
  <c r="I56" i="24"/>
  <c r="K56" i="24" s="1"/>
  <c r="I59" i="24"/>
  <c r="K59" i="24" s="1"/>
  <c r="I60" i="24"/>
  <c r="K60" i="24" s="1"/>
  <c r="I61" i="24"/>
  <c r="K61" i="24" s="1"/>
  <c r="I62" i="24"/>
  <c r="K62" i="24" s="1"/>
  <c r="I63" i="24"/>
  <c r="K63" i="24" s="1"/>
  <c r="I64" i="24"/>
  <c r="K64" i="24" s="1"/>
  <c r="I65" i="24"/>
  <c r="K65" i="24" s="1"/>
  <c r="I66" i="24"/>
  <c r="I67" i="24"/>
  <c r="K67" i="24" s="1"/>
  <c r="I68" i="24"/>
  <c r="K68" i="24" s="1"/>
  <c r="I69" i="24"/>
  <c r="K69" i="24" s="1"/>
  <c r="I70" i="24"/>
  <c r="K70" i="24" s="1"/>
  <c r="I71" i="24"/>
  <c r="K71" i="24" s="1"/>
  <c r="I72" i="24"/>
  <c r="K72" i="24" s="1"/>
  <c r="I73" i="24"/>
  <c r="K73" i="24" s="1"/>
  <c r="I74" i="24"/>
  <c r="K74" i="24" s="1"/>
  <c r="I75" i="24"/>
  <c r="K75" i="24" s="1"/>
  <c r="I76" i="24"/>
  <c r="K76" i="24" s="1"/>
  <c r="I77" i="24"/>
  <c r="K77" i="24" s="1"/>
  <c r="I78" i="24"/>
  <c r="K78" i="24" s="1"/>
  <c r="I79" i="24"/>
  <c r="K79" i="24" s="1"/>
  <c r="I80" i="24"/>
  <c r="K80" i="24" s="1"/>
  <c r="I81" i="24"/>
  <c r="K81" i="24" s="1"/>
  <c r="I82" i="24"/>
  <c r="K82" i="24" s="1"/>
  <c r="I83" i="24"/>
  <c r="K83" i="24" s="1"/>
  <c r="I84" i="24"/>
  <c r="K84" i="24" s="1"/>
  <c r="I85" i="24"/>
  <c r="K85" i="24" s="1"/>
  <c r="I86" i="24"/>
  <c r="K86" i="24" s="1"/>
  <c r="I87" i="24"/>
  <c r="K87" i="24" s="1"/>
  <c r="I88" i="24"/>
  <c r="K88" i="24" s="1"/>
  <c r="I90" i="24"/>
  <c r="K90" i="24" s="1"/>
  <c r="I91" i="24"/>
  <c r="K91" i="24" s="1"/>
  <c r="I92" i="24"/>
  <c r="K92" i="24" s="1"/>
  <c r="I93" i="24"/>
  <c r="K93" i="24" s="1"/>
  <c r="I94" i="24"/>
  <c r="K94" i="24" s="1"/>
  <c r="I6" i="24"/>
  <c r="K6" i="24" s="1"/>
  <c r="J109" i="24"/>
  <c r="C115" i="24"/>
  <c r="C117" i="24" s="1"/>
  <c r="F109" i="24"/>
  <c r="I107" i="24"/>
  <c r="K107" i="24" s="1"/>
  <c r="I106" i="24"/>
  <c r="K106" i="24" s="1"/>
  <c r="I105" i="24"/>
  <c r="K105" i="24" s="1"/>
  <c r="I104" i="24"/>
  <c r="K104" i="24" s="1"/>
  <c r="K102" i="24"/>
  <c r="I102" i="24"/>
  <c r="I101" i="24"/>
  <c r="K101" i="24" s="1"/>
  <c r="I100" i="24"/>
  <c r="K100" i="24" s="1"/>
  <c r="I95" i="24"/>
  <c r="C118" i="24" s="1"/>
  <c r="F95" i="24"/>
  <c r="I5" i="24"/>
  <c r="K5" i="24" s="1"/>
  <c r="K50" i="21"/>
  <c r="I50" i="21"/>
  <c r="I30" i="21"/>
  <c r="K30" i="21" s="1"/>
  <c r="H48" i="23"/>
  <c r="C120" i="24" l="1"/>
  <c r="D154" i="25"/>
  <c r="E154" i="25"/>
  <c r="I109" i="24"/>
  <c r="K109" i="24"/>
  <c r="H154" i="25"/>
  <c r="K95" i="24"/>
  <c r="K14" i="21"/>
  <c r="I77" i="18" l="1"/>
  <c r="K77" i="18" s="1"/>
  <c r="G97" i="23"/>
  <c r="F97" i="23"/>
  <c r="H96" i="23"/>
  <c r="D96" i="23"/>
  <c r="E96" i="23" s="1"/>
  <c r="H95" i="23"/>
  <c r="D95" i="23"/>
  <c r="E95" i="23" s="1"/>
  <c r="H94" i="23"/>
  <c r="D94" i="23"/>
  <c r="E94" i="23" s="1"/>
  <c r="H93" i="23"/>
  <c r="D93" i="23"/>
  <c r="E93" i="23" s="1"/>
  <c r="H92" i="23"/>
  <c r="D92" i="23"/>
  <c r="E92" i="23" s="1"/>
  <c r="H91" i="23"/>
  <c r="D91" i="23"/>
  <c r="E91" i="23" s="1"/>
  <c r="H90" i="23"/>
  <c r="D90" i="23"/>
  <c r="E90" i="23" s="1"/>
  <c r="H89" i="23"/>
  <c r="D89" i="23"/>
  <c r="E89" i="23" s="1"/>
  <c r="H88" i="23"/>
  <c r="D88" i="23"/>
  <c r="E88" i="23" s="1"/>
  <c r="H87" i="23"/>
  <c r="D87" i="23"/>
  <c r="E87" i="23" s="1"/>
  <c r="H86" i="23"/>
  <c r="D86" i="23"/>
  <c r="E86" i="23" s="1"/>
  <c r="H85" i="23"/>
  <c r="D85" i="23"/>
  <c r="E85" i="23" s="1"/>
  <c r="H84" i="23"/>
  <c r="D84" i="23"/>
  <c r="E84" i="23" s="1"/>
  <c r="H83" i="23"/>
  <c r="D83" i="23"/>
  <c r="E83" i="23" s="1"/>
  <c r="H82" i="23"/>
  <c r="D82" i="23"/>
  <c r="E82" i="23" s="1"/>
  <c r="H81" i="23"/>
  <c r="D81" i="23"/>
  <c r="E81" i="23" s="1"/>
  <c r="H80" i="23"/>
  <c r="D80" i="23"/>
  <c r="E80" i="23" s="1"/>
  <c r="H79" i="23"/>
  <c r="D79" i="23"/>
  <c r="E79" i="23" s="1"/>
  <c r="H78" i="23"/>
  <c r="D78" i="23"/>
  <c r="E78" i="23" s="1"/>
  <c r="H77" i="23"/>
  <c r="D77" i="23"/>
  <c r="E77" i="23" s="1"/>
  <c r="H76" i="23"/>
  <c r="D76" i="23"/>
  <c r="E76" i="23" s="1"/>
  <c r="H75" i="23"/>
  <c r="D75" i="23"/>
  <c r="E75" i="23" s="1"/>
  <c r="H74" i="23"/>
  <c r="D74" i="23"/>
  <c r="E74" i="23" s="1"/>
  <c r="H73" i="23"/>
  <c r="D73" i="23"/>
  <c r="E73" i="23" s="1"/>
  <c r="H72" i="23"/>
  <c r="D72" i="23"/>
  <c r="E72" i="23" s="1"/>
  <c r="H71" i="23"/>
  <c r="D71" i="23"/>
  <c r="E71" i="23" s="1"/>
  <c r="H70" i="23"/>
  <c r="D70" i="23"/>
  <c r="E70" i="23" s="1"/>
  <c r="H69" i="23"/>
  <c r="D69" i="23"/>
  <c r="E69" i="23" s="1"/>
  <c r="H68" i="23"/>
  <c r="D68" i="23"/>
  <c r="E68" i="23" s="1"/>
  <c r="H67" i="23"/>
  <c r="D67" i="23"/>
  <c r="E67" i="23" s="1"/>
  <c r="H66" i="23"/>
  <c r="D66" i="23"/>
  <c r="E66" i="23" s="1"/>
  <c r="H65" i="23"/>
  <c r="D65" i="23"/>
  <c r="E65" i="23" s="1"/>
  <c r="H64" i="23"/>
  <c r="D64" i="23"/>
  <c r="E64" i="23" s="1"/>
  <c r="H63" i="23"/>
  <c r="D63" i="23"/>
  <c r="E63" i="23" s="1"/>
  <c r="H62" i="23"/>
  <c r="D62" i="23"/>
  <c r="E62" i="23" s="1"/>
  <c r="H61" i="23"/>
  <c r="D61" i="23"/>
  <c r="E61" i="23" s="1"/>
  <c r="H60" i="23"/>
  <c r="D60" i="23"/>
  <c r="E60" i="23" s="1"/>
  <c r="H59" i="23"/>
  <c r="D59" i="23"/>
  <c r="E59" i="23" s="1"/>
  <c r="H58" i="23"/>
  <c r="D58" i="23"/>
  <c r="E58" i="23" s="1"/>
  <c r="H57" i="23"/>
  <c r="D57" i="23"/>
  <c r="E57" i="23" s="1"/>
  <c r="H56" i="23"/>
  <c r="D56" i="23"/>
  <c r="E56" i="23" s="1"/>
  <c r="H55" i="23"/>
  <c r="D55" i="23"/>
  <c r="E55" i="23" s="1"/>
  <c r="H54" i="23"/>
  <c r="D54" i="23"/>
  <c r="E54" i="23" s="1"/>
  <c r="H53" i="23"/>
  <c r="D53" i="23"/>
  <c r="E53" i="23" s="1"/>
  <c r="H52" i="23"/>
  <c r="D52" i="23"/>
  <c r="E52" i="23" s="1"/>
  <c r="H51" i="23"/>
  <c r="D51" i="23"/>
  <c r="E51" i="23" s="1"/>
  <c r="H50" i="23"/>
  <c r="D50" i="23"/>
  <c r="E50" i="23" s="1"/>
  <c r="H49" i="23"/>
  <c r="D49" i="23"/>
  <c r="E49" i="23" s="1"/>
  <c r="D48" i="23"/>
  <c r="E48" i="23" s="1"/>
  <c r="H47" i="23"/>
  <c r="D47" i="23"/>
  <c r="E47" i="23" s="1"/>
  <c r="H46" i="23"/>
  <c r="D46" i="23"/>
  <c r="E46" i="23" s="1"/>
  <c r="H45" i="23"/>
  <c r="D45" i="23"/>
  <c r="E45" i="23" s="1"/>
  <c r="H44" i="23"/>
  <c r="D44" i="23"/>
  <c r="E44" i="23" s="1"/>
  <c r="H43" i="23"/>
  <c r="D43" i="23"/>
  <c r="E43" i="23" s="1"/>
  <c r="H42" i="23"/>
  <c r="D42" i="23"/>
  <c r="E42" i="23" s="1"/>
  <c r="H41" i="23"/>
  <c r="D41" i="23"/>
  <c r="E41" i="23" s="1"/>
  <c r="H40" i="23"/>
  <c r="D40" i="23"/>
  <c r="E40" i="23" s="1"/>
  <c r="H39" i="23"/>
  <c r="D39" i="23"/>
  <c r="E39" i="23" s="1"/>
  <c r="H38" i="23"/>
  <c r="D38" i="23"/>
  <c r="E38" i="23" s="1"/>
  <c r="H37" i="23"/>
  <c r="D37" i="23"/>
  <c r="E37" i="23" s="1"/>
  <c r="H36" i="23"/>
  <c r="D36" i="23"/>
  <c r="E36" i="23" s="1"/>
  <c r="H35" i="23"/>
  <c r="D35" i="23"/>
  <c r="E35" i="23" s="1"/>
  <c r="H34" i="23"/>
  <c r="D34" i="23"/>
  <c r="E34" i="23" s="1"/>
  <c r="H33" i="23"/>
  <c r="D33" i="23"/>
  <c r="E33" i="23" s="1"/>
  <c r="H32" i="23"/>
  <c r="D32" i="23"/>
  <c r="E32" i="23" s="1"/>
  <c r="H31" i="23"/>
  <c r="D31" i="23"/>
  <c r="E31" i="23" s="1"/>
  <c r="H30" i="23"/>
  <c r="E30" i="23"/>
  <c r="D30" i="23"/>
  <c r="H29" i="23"/>
  <c r="D29" i="23"/>
  <c r="E29" i="23" s="1"/>
  <c r="H28" i="23"/>
  <c r="D28" i="23"/>
  <c r="E28" i="23" s="1"/>
  <c r="H27" i="23"/>
  <c r="D27" i="23"/>
  <c r="E27" i="23" s="1"/>
  <c r="H26" i="23"/>
  <c r="D26" i="23"/>
  <c r="E26" i="23" s="1"/>
  <c r="H25" i="23"/>
  <c r="D25" i="23"/>
  <c r="E25" i="23" s="1"/>
  <c r="H24" i="23"/>
  <c r="D24" i="23"/>
  <c r="E24" i="23" s="1"/>
  <c r="H23" i="23"/>
  <c r="D23" i="23"/>
  <c r="E23" i="23" s="1"/>
  <c r="H22" i="23"/>
  <c r="D22" i="23"/>
  <c r="E22" i="23" s="1"/>
  <c r="H21" i="23"/>
  <c r="D21" i="23"/>
  <c r="E21" i="23" s="1"/>
  <c r="H20" i="23"/>
  <c r="D20" i="23"/>
  <c r="E20" i="23" s="1"/>
  <c r="H19" i="23"/>
  <c r="D19" i="23"/>
  <c r="E19" i="23" s="1"/>
  <c r="H18" i="23"/>
  <c r="D18" i="23"/>
  <c r="E18" i="23" s="1"/>
  <c r="H17" i="23"/>
  <c r="D17" i="23"/>
  <c r="E17" i="23" s="1"/>
  <c r="H16" i="23"/>
  <c r="D16" i="23"/>
  <c r="E16" i="23" s="1"/>
  <c r="H15" i="23"/>
  <c r="D15" i="23"/>
  <c r="E15" i="23" s="1"/>
  <c r="H14" i="23"/>
  <c r="D14" i="23"/>
  <c r="E14" i="23" s="1"/>
  <c r="H13" i="23"/>
  <c r="D13" i="23"/>
  <c r="E13" i="23" s="1"/>
  <c r="H12" i="23"/>
  <c r="D12" i="23"/>
  <c r="E12" i="23" s="1"/>
  <c r="H11" i="23"/>
  <c r="D11" i="23"/>
  <c r="E11" i="23" s="1"/>
  <c r="H10" i="23"/>
  <c r="D10" i="23"/>
  <c r="E10" i="23" s="1"/>
  <c r="H9" i="23"/>
  <c r="D9" i="23"/>
  <c r="E9" i="23" s="1"/>
  <c r="H8" i="23"/>
  <c r="D8" i="23"/>
  <c r="E8" i="23" s="1"/>
  <c r="H7" i="23"/>
  <c r="D7" i="23"/>
  <c r="E7" i="23" s="1"/>
  <c r="H6" i="23"/>
  <c r="D6" i="23"/>
  <c r="E6" i="23" s="1"/>
  <c r="H5" i="23"/>
  <c r="D5" i="23"/>
  <c r="E5" i="23" s="1"/>
  <c r="H4" i="23"/>
  <c r="D4" i="23"/>
  <c r="E4" i="23" s="1"/>
  <c r="H3" i="23"/>
  <c r="D3" i="23"/>
  <c r="E3" i="23" s="1"/>
  <c r="E97" i="23" l="1"/>
  <c r="H97" i="23"/>
  <c r="D97" i="23"/>
  <c r="F87" i="21"/>
  <c r="J87" i="21"/>
  <c r="I85" i="21"/>
  <c r="K85" i="21" s="1"/>
  <c r="I84" i="21"/>
  <c r="K84" i="21" s="1"/>
  <c r="I83" i="21"/>
  <c r="K83" i="21" s="1"/>
  <c r="I82" i="21"/>
  <c r="K82" i="21" s="1"/>
  <c r="I81" i="21"/>
  <c r="K81" i="21" s="1"/>
  <c r="I80" i="21"/>
  <c r="K80" i="21" s="1"/>
  <c r="I75" i="21"/>
  <c r="C93" i="21" s="1"/>
  <c r="C95" i="21" s="1"/>
  <c r="I73" i="21"/>
  <c r="K73" i="21" s="1"/>
  <c r="I72" i="21"/>
  <c r="K72" i="21" s="1"/>
  <c r="I70" i="21"/>
  <c r="K70" i="21" s="1"/>
  <c r="I69" i="21"/>
  <c r="K69" i="21" s="1"/>
  <c r="I68" i="21"/>
  <c r="K68" i="21" s="1"/>
  <c r="I67" i="21"/>
  <c r="K67" i="21" s="1"/>
  <c r="I64" i="21"/>
  <c r="K64" i="21" s="1"/>
  <c r="I63" i="21"/>
  <c r="K63" i="21" s="1"/>
  <c r="I60" i="21"/>
  <c r="K60" i="21" s="1"/>
  <c r="I59" i="21"/>
  <c r="K59" i="21" s="1"/>
  <c r="I58" i="21"/>
  <c r="K58" i="21" s="1"/>
  <c r="I57" i="21"/>
  <c r="K57" i="21" s="1"/>
  <c r="I56" i="21"/>
  <c r="K56" i="21" s="1"/>
  <c r="I55" i="21"/>
  <c r="K55" i="21" s="1"/>
  <c r="I54" i="21"/>
  <c r="K54" i="21" s="1"/>
  <c r="I49" i="21"/>
  <c r="K49" i="21" s="1"/>
  <c r="I48" i="21"/>
  <c r="K48" i="21" s="1"/>
  <c r="I47" i="21"/>
  <c r="K47" i="21" s="1"/>
  <c r="I46" i="21"/>
  <c r="K46" i="21" s="1"/>
  <c r="I45" i="21"/>
  <c r="K45" i="21" s="1"/>
  <c r="I44" i="21"/>
  <c r="K44" i="21" s="1"/>
  <c r="I43" i="21"/>
  <c r="K43" i="21" s="1"/>
  <c r="I42" i="21"/>
  <c r="K42" i="21" s="1"/>
  <c r="I41" i="21"/>
  <c r="K41" i="21" s="1"/>
  <c r="I40" i="21"/>
  <c r="K40" i="21" s="1"/>
  <c r="I39" i="21"/>
  <c r="K39" i="21" s="1"/>
  <c r="I38" i="21"/>
  <c r="K38" i="21" s="1"/>
  <c r="I37" i="21"/>
  <c r="K37" i="21" s="1"/>
  <c r="I36" i="21"/>
  <c r="K36" i="21" s="1"/>
  <c r="I35" i="21"/>
  <c r="K35" i="21" s="1"/>
  <c r="I34" i="21"/>
  <c r="K34" i="21" s="1"/>
  <c r="I33" i="21"/>
  <c r="K33" i="21" s="1"/>
  <c r="I32" i="21"/>
  <c r="K32" i="21" s="1"/>
  <c r="I29" i="21"/>
  <c r="K29" i="21" s="1"/>
  <c r="I28" i="21"/>
  <c r="K28" i="21" s="1"/>
  <c r="I27" i="21"/>
  <c r="K27" i="21" s="1"/>
  <c r="I26" i="21"/>
  <c r="K26" i="21" s="1"/>
  <c r="I25" i="21"/>
  <c r="K25" i="21" s="1"/>
  <c r="I24" i="21"/>
  <c r="K24" i="21" s="1"/>
  <c r="I23" i="21"/>
  <c r="K23" i="21" s="1"/>
  <c r="I22" i="21"/>
  <c r="K22" i="21" s="1"/>
  <c r="I21" i="21"/>
  <c r="K21" i="21" s="1"/>
  <c r="I20" i="21"/>
  <c r="K20" i="21" s="1"/>
  <c r="I19" i="21"/>
  <c r="K19" i="21" s="1"/>
  <c r="I18" i="21"/>
  <c r="K18" i="21" s="1"/>
  <c r="I17" i="21"/>
  <c r="K17" i="21" s="1"/>
  <c r="I16" i="21"/>
  <c r="K16" i="21" s="1"/>
  <c r="I15" i="21"/>
  <c r="K15" i="21" s="1"/>
  <c r="I14" i="21"/>
  <c r="I13" i="21"/>
  <c r="K13" i="21" s="1"/>
  <c r="K12" i="21"/>
  <c r="I12" i="21"/>
  <c r="I11" i="21"/>
  <c r="K11" i="21" s="1"/>
  <c r="I10" i="21"/>
  <c r="K10" i="21" s="1"/>
  <c r="I9" i="21"/>
  <c r="K9" i="21" s="1"/>
  <c r="I8" i="21"/>
  <c r="K8" i="21" s="1"/>
  <c r="I7" i="21"/>
  <c r="K7" i="21" s="1"/>
  <c r="I6" i="21"/>
  <c r="K6" i="21" s="1"/>
  <c r="I5" i="21"/>
  <c r="K5" i="21" s="1"/>
  <c r="I65" i="18"/>
  <c r="K65" i="18" s="1"/>
  <c r="I66" i="18"/>
  <c r="K66" i="18" s="1"/>
  <c r="I67" i="18"/>
  <c r="K67" i="18" s="1"/>
  <c r="I68" i="18"/>
  <c r="K68" i="18" s="1"/>
  <c r="I69" i="18"/>
  <c r="K69" i="18" s="1"/>
  <c r="I70" i="18"/>
  <c r="K70" i="18" s="1"/>
  <c r="I71" i="18"/>
  <c r="K71" i="18" s="1"/>
  <c r="I72" i="18"/>
  <c r="K72" i="18" s="1"/>
  <c r="I73" i="18"/>
  <c r="K73" i="18" s="1"/>
  <c r="I74" i="18"/>
  <c r="K74" i="18" s="1"/>
  <c r="G108" i="18"/>
  <c r="G115" i="18" s="1"/>
  <c r="I61" i="18"/>
  <c r="K61" i="18" s="1"/>
  <c r="I62" i="18"/>
  <c r="K62" i="18" s="1"/>
  <c r="I63" i="18"/>
  <c r="K63" i="18" s="1"/>
  <c r="I64" i="18"/>
  <c r="K64" i="18" s="1"/>
  <c r="I78" i="18"/>
  <c r="K78" i="18" s="1"/>
  <c r="I99" i="18"/>
  <c r="K99" i="18" s="1"/>
  <c r="I100" i="18"/>
  <c r="K100" i="18" s="1"/>
  <c r="I102" i="18"/>
  <c r="K102" i="18" s="1"/>
  <c r="I40" i="18"/>
  <c r="K40" i="18" s="1"/>
  <c r="I41" i="18"/>
  <c r="K41" i="18" s="1"/>
  <c r="I42" i="18"/>
  <c r="K42" i="18" s="1"/>
  <c r="I43" i="18"/>
  <c r="K43" i="18" s="1"/>
  <c r="I44" i="18"/>
  <c r="K44" i="18" s="1"/>
  <c r="I45" i="18"/>
  <c r="K45" i="18" s="1"/>
  <c r="I46" i="18"/>
  <c r="K46" i="18" s="1"/>
  <c r="I47" i="18"/>
  <c r="K47" i="18" s="1"/>
  <c r="I48" i="18"/>
  <c r="K48" i="18" s="1"/>
  <c r="I49" i="18"/>
  <c r="K49" i="18" s="1"/>
  <c r="I50" i="18"/>
  <c r="K50" i="18" s="1"/>
  <c r="E230" i="17"/>
  <c r="F230" i="17" s="1"/>
  <c r="K12" i="18"/>
  <c r="K75" i="21" l="1"/>
  <c r="K87" i="21"/>
  <c r="I87" i="21"/>
  <c r="G145" i="20"/>
  <c r="F145" i="20"/>
  <c r="H144" i="20"/>
  <c r="D144" i="20"/>
  <c r="E144" i="20" s="1"/>
  <c r="H143" i="20"/>
  <c r="D143" i="20"/>
  <c r="E143" i="20" s="1"/>
  <c r="H142" i="20"/>
  <c r="D142" i="20"/>
  <c r="E142" i="20" s="1"/>
  <c r="H141" i="20"/>
  <c r="D141" i="20"/>
  <c r="E141" i="20" s="1"/>
  <c r="H140" i="20"/>
  <c r="D140" i="20"/>
  <c r="E140" i="20" s="1"/>
  <c r="H139" i="20"/>
  <c r="D139" i="20"/>
  <c r="E139" i="20" s="1"/>
  <c r="H138" i="20"/>
  <c r="D138" i="20"/>
  <c r="E138" i="20" s="1"/>
  <c r="H137" i="20"/>
  <c r="D137" i="20"/>
  <c r="E137" i="20" s="1"/>
  <c r="H136" i="20"/>
  <c r="D136" i="20"/>
  <c r="E136" i="20" s="1"/>
  <c r="H135" i="20"/>
  <c r="D135" i="20"/>
  <c r="E135" i="20" s="1"/>
  <c r="H134" i="20"/>
  <c r="D134" i="20"/>
  <c r="E134" i="20" s="1"/>
  <c r="H133" i="20"/>
  <c r="D133" i="20"/>
  <c r="E133" i="20" s="1"/>
  <c r="H132" i="20"/>
  <c r="D132" i="20"/>
  <c r="E132" i="20" s="1"/>
  <c r="H131" i="20"/>
  <c r="D131" i="20"/>
  <c r="E131" i="20" s="1"/>
  <c r="H130" i="20"/>
  <c r="D130" i="20"/>
  <c r="E130" i="20" s="1"/>
  <c r="H129" i="20"/>
  <c r="D129" i="20"/>
  <c r="E129" i="20" s="1"/>
  <c r="H128" i="20"/>
  <c r="D128" i="20"/>
  <c r="E128" i="20" s="1"/>
  <c r="H127" i="20"/>
  <c r="D127" i="20"/>
  <c r="E127" i="20" s="1"/>
  <c r="H126" i="20"/>
  <c r="D126" i="20"/>
  <c r="E126" i="20" s="1"/>
  <c r="H125" i="20"/>
  <c r="D125" i="20"/>
  <c r="E125" i="20" s="1"/>
  <c r="H124" i="20"/>
  <c r="D124" i="20"/>
  <c r="E124" i="20" s="1"/>
  <c r="H123" i="20"/>
  <c r="D123" i="20"/>
  <c r="E123" i="20" s="1"/>
  <c r="H122" i="20"/>
  <c r="D122" i="20"/>
  <c r="E122" i="20" s="1"/>
  <c r="H121" i="20"/>
  <c r="D121" i="20"/>
  <c r="E121" i="20" s="1"/>
  <c r="H120" i="20"/>
  <c r="D120" i="20"/>
  <c r="E120" i="20" s="1"/>
  <c r="H119" i="20"/>
  <c r="D119" i="20"/>
  <c r="E119" i="20" s="1"/>
  <c r="H118" i="20"/>
  <c r="D118" i="20"/>
  <c r="E118" i="20" s="1"/>
  <c r="H117" i="20"/>
  <c r="D117" i="20"/>
  <c r="E117" i="20" s="1"/>
  <c r="H116" i="20"/>
  <c r="D116" i="20"/>
  <c r="E116" i="20" s="1"/>
  <c r="H115" i="20"/>
  <c r="D115" i="20"/>
  <c r="E115" i="20" s="1"/>
  <c r="H114" i="20"/>
  <c r="D114" i="20"/>
  <c r="E114" i="20" s="1"/>
  <c r="H113" i="20"/>
  <c r="D113" i="20"/>
  <c r="E113" i="20" s="1"/>
  <c r="H112" i="20"/>
  <c r="D112" i="20"/>
  <c r="E112" i="20" s="1"/>
  <c r="H111" i="20"/>
  <c r="D111" i="20"/>
  <c r="E111" i="20" s="1"/>
  <c r="H110" i="20"/>
  <c r="D110" i="20"/>
  <c r="E110" i="20" s="1"/>
  <c r="H109" i="20"/>
  <c r="D109" i="20"/>
  <c r="E109" i="20" s="1"/>
  <c r="H108" i="20"/>
  <c r="D108" i="20"/>
  <c r="E108" i="20" s="1"/>
  <c r="H107" i="20"/>
  <c r="D107" i="20"/>
  <c r="E107" i="20" s="1"/>
  <c r="H106" i="20"/>
  <c r="D106" i="20"/>
  <c r="E106" i="20" s="1"/>
  <c r="H105" i="20"/>
  <c r="D105" i="20"/>
  <c r="E105" i="20" s="1"/>
  <c r="H104" i="20"/>
  <c r="D104" i="20"/>
  <c r="E104" i="20" s="1"/>
  <c r="H103" i="20"/>
  <c r="D103" i="20"/>
  <c r="E103" i="20" s="1"/>
  <c r="H102" i="20"/>
  <c r="D102" i="20"/>
  <c r="E102" i="20" s="1"/>
  <c r="H101" i="20"/>
  <c r="D101" i="20"/>
  <c r="E101" i="20" s="1"/>
  <c r="H100" i="20"/>
  <c r="D100" i="20"/>
  <c r="E100" i="20" s="1"/>
  <c r="H99" i="20"/>
  <c r="D99" i="20"/>
  <c r="E99" i="20" s="1"/>
  <c r="H98" i="20"/>
  <c r="D98" i="20"/>
  <c r="E98" i="20" s="1"/>
  <c r="H97" i="20"/>
  <c r="D97" i="20"/>
  <c r="E97" i="20" s="1"/>
  <c r="H96" i="20"/>
  <c r="D96" i="20"/>
  <c r="E96" i="20" s="1"/>
  <c r="H95" i="20"/>
  <c r="D95" i="20"/>
  <c r="E95" i="20" s="1"/>
  <c r="H94" i="20"/>
  <c r="D94" i="20"/>
  <c r="E94" i="20" s="1"/>
  <c r="H93" i="20"/>
  <c r="D93" i="20"/>
  <c r="E93" i="20" s="1"/>
  <c r="H92" i="20"/>
  <c r="D92" i="20"/>
  <c r="E92" i="20" s="1"/>
  <c r="H91" i="20"/>
  <c r="D91" i="20"/>
  <c r="E91" i="20" s="1"/>
  <c r="H90" i="20"/>
  <c r="D90" i="20"/>
  <c r="E90" i="20" s="1"/>
  <c r="H89" i="20"/>
  <c r="D89" i="20"/>
  <c r="E89" i="20" s="1"/>
  <c r="H88" i="20"/>
  <c r="D88" i="20"/>
  <c r="E88" i="20" s="1"/>
  <c r="H87" i="20"/>
  <c r="D87" i="20"/>
  <c r="E87" i="20" s="1"/>
  <c r="H86" i="20"/>
  <c r="D86" i="20"/>
  <c r="E86" i="20" s="1"/>
  <c r="H85" i="20"/>
  <c r="D85" i="20"/>
  <c r="E85" i="20" s="1"/>
  <c r="H84" i="20"/>
  <c r="D84" i="20"/>
  <c r="E84" i="20" s="1"/>
  <c r="H83" i="20"/>
  <c r="D83" i="20"/>
  <c r="E83" i="20" s="1"/>
  <c r="H82" i="20"/>
  <c r="D82" i="20"/>
  <c r="E82" i="20" s="1"/>
  <c r="H81" i="20"/>
  <c r="D81" i="20"/>
  <c r="E81" i="20" s="1"/>
  <c r="H80" i="20"/>
  <c r="D80" i="20"/>
  <c r="E80" i="20" s="1"/>
  <c r="H79" i="20"/>
  <c r="D79" i="20"/>
  <c r="E79" i="20" s="1"/>
  <c r="H78" i="20"/>
  <c r="D78" i="20"/>
  <c r="E78" i="20" s="1"/>
  <c r="H77" i="20"/>
  <c r="D77" i="20"/>
  <c r="E77" i="20" s="1"/>
  <c r="H76" i="20"/>
  <c r="D76" i="20"/>
  <c r="E76" i="20" s="1"/>
  <c r="H75" i="20"/>
  <c r="D75" i="20"/>
  <c r="E75" i="20" s="1"/>
  <c r="H74" i="20"/>
  <c r="D74" i="20"/>
  <c r="E74" i="20" s="1"/>
  <c r="H73" i="20"/>
  <c r="D73" i="20"/>
  <c r="E73" i="20" s="1"/>
  <c r="H72" i="20"/>
  <c r="D72" i="20"/>
  <c r="E72" i="20" s="1"/>
  <c r="H71" i="20"/>
  <c r="D71" i="20"/>
  <c r="E71" i="20" s="1"/>
  <c r="H70" i="20"/>
  <c r="D70" i="20"/>
  <c r="E70" i="20" s="1"/>
  <c r="H69" i="20"/>
  <c r="D69" i="20"/>
  <c r="E69" i="20" s="1"/>
  <c r="H68" i="20"/>
  <c r="D68" i="20"/>
  <c r="E68" i="20" s="1"/>
  <c r="H67" i="20"/>
  <c r="D67" i="20"/>
  <c r="E67" i="20" s="1"/>
  <c r="H66" i="20"/>
  <c r="D66" i="20"/>
  <c r="E66" i="20" s="1"/>
  <c r="H65" i="20"/>
  <c r="D65" i="20"/>
  <c r="E65" i="20" s="1"/>
  <c r="H64" i="20"/>
  <c r="D64" i="20"/>
  <c r="E64" i="20" s="1"/>
  <c r="H63" i="20"/>
  <c r="D63" i="20"/>
  <c r="E63" i="20" s="1"/>
  <c r="H62" i="20"/>
  <c r="D62" i="20"/>
  <c r="E62" i="20" s="1"/>
  <c r="H61" i="20"/>
  <c r="D61" i="20"/>
  <c r="E61" i="20" s="1"/>
  <c r="H60" i="20"/>
  <c r="D60" i="20"/>
  <c r="E60" i="20" s="1"/>
  <c r="H59" i="20"/>
  <c r="D59" i="20"/>
  <c r="E59" i="20" s="1"/>
  <c r="H58" i="20"/>
  <c r="D58" i="20"/>
  <c r="E58" i="20" s="1"/>
  <c r="H57" i="20"/>
  <c r="D57" i="20"/>
  <c r="E57" i="20" s="1"/>
  <c r="H56" i="20"/>
  <c r="D56" i="20"/>
  <c r="E56" i="20" s="1"/>
  <c r="H55" i="20"/>
  <c r="D55" i="20"/>
  <c r="E55" i="20" s="1"/>
  <c r="H54" i="20"/>
  <c r="D54" i="20"/>
  <c r="E54" i="20" s="1"/>
  <c r="H53" i="20"/>
  <c r="D53" i="20"/>
  <c r="E53" i="20" s="1"/>
  <c r="H52" i="20"/>
  <c r="D52" i="20"/>
  <c r="E52" i="20" s="1"/>
  <c r="H51" i="20"/>
  <c r="D51" i="20"/>
  <c r="E51" i="20" s="1"/>
  <c r="H50" i="20"/>
  <c r="D50" i="20"/>
  <c r="E50" i="20" s="1"/>
  <c r="H49" i="20"/>
  <c r="D49" i="20"/>
  <c r="E49" i="20" s="1"/>
  <c r="H48" i="20"/>
  <c r="D48" i="20"/>
  <c r="E48" i="20" s="1"/>
  <c r="H47" i="20"/>
  <c r="D47" i="20"/>
  <c r="E47" i="20" s="1"/>
  <c r="H46" i="20"/>
  <c r="D46" i="20"/>
  <c r="E46" i="20" s="1"/>
  <c r="H45" i="20"/>
  <c r="D45" i="20"/>
  <c r="E45" i="20" s="1"/>
  <c r="H44" i="20"/>
  <c r="D44" i="20"/>
  <c r="E44" i="20" s="1"/>
  <c r="H43" i="20"/>
  <c r="D43" i="20"/>
  <c r="E43" i="20" s="1"/>
  <c r="H42" i="20"/>
  <c r="D42" i="20"/>
  <c r="E42" i="20" s="1"/>
  <c r="H41" i="20"/>
  <c r="D41" i="20"/>
  <c r="E41" i="20" s="1"/>
  <c r="H40" i="20"/>
  <c r="D40" i="20"/>
  <c r="E40" i="20" s="1"/>
  <c r="H39" i="20"/>
  <c r="D39" i="20"/>
  <c r="E39" i="20" s="1"/>
  <c r="H38" i="20"/>
  <c r="D38" i="20"/>
  <c r="E38" i="20" s="1"/>
  <c r="H37" i="20"/>
  <c r="D37" i="20"/>
  <c r="E37" i="20" s="1"/>
  <c r="H36" i="20"/>
  <c r="D36" i="20"/>
  <c r="E36" i="20" s="1"/>
  <c r="H35" i="20"/>
  <c r="D35" i="20"/>
  <c r="E35" i="20" s="1"/>
  <c r="H34" i="20"/>
  <c r="D34" i="20"/>
  <c r="E34" i="20" s="1"/>
  <c r="H33" i="20"/>
  <c r="D33" i="20"/>
  <c r="E33" i="20" s="1"/>
  <c r="H32" i="20"/>
  <c r="D32" i="20"/>
  <c r="E32" i="20" s="1"/>
  <c r="H31" i="20"/>
  <c r="D31" i="20"/>
  <c r="E31" i="20" s="1"/>
  <c r="H30" i="20"/>
  <c r="D30" i="20"/>
  <c r="E30" i="20" s="1"/>
  <c r="H29" i="20"/>
  <c r="D29" i="20"/>
  <c r="E29" i="20" s="1"/>
  <c r="H28" i="20"/>
  <c r="D28" i="20"/>
  <c r="E28" i="20" s="1"/>
  <c r="H27" i="20"/>
  <c r="D27" i="20"/>
  <c r="E27" i="20" s="1"/>
  <c r="H26" i="20"/>
  <c r="D26" i="20"/>
  <c r="E26" i="20" s="1"/>
  <c r="H25" i="20"/>
  <c r="D25" i="20"/>
  <c r="E25" i="20" s="1"/>
  <c r="H24" i="20"/>
  <c r="D24" i="20"/>
  <c r="E24" i="20" s="1"/>
  <c r="H23" i="20"/>
  <c r="D23" i="20"/>
  <c r="E23" i="20" s="1"/>
  <c r="H22" i="20"/>
  <c r="D22" i="20"/>
  <c r="E22" i="20" s="1"/>
  <c r="H21" i="20"/>
  <c r="D21" i="20"/>
  <c r="E21" i="20" s="1"/>
  <c r="H20" i="20"/>
  <c r="D20" i="20"/>
  <c r="E20" i="20" s="1"/>
  <c r="H19" i="20"/>
  <c r="D19" i="20"/>
  <c r="E19" i="20" s="1"/>
  <c r="H18" i="20"/>
  <c r="D18" i="20"/>
  <c r="E18" i="20" s="1"/>
  <c r="H17" i="20"/>
  <c r="D17" i="20"/>
  <c r="E17" i="20" s="1"/>
  <c r="H16" i="20"/>
  <c r="D16" i="20"/>
  <c r="E16" i="20" s="1"/>
  <c r="H15" i="20"/>
  <c r="D15" i="20"/>
  <c r="E15" i="20" s="1"/>
  <c r="H14" i="20"/>
  <c r="D14" i="20"/>
  <c r="E14" i="20" s="1"/>
  <c r="H13" i="20"/>
  <c r="D13" i="20"/>
  <c r="E13" i="20" s="1"/>
  <c r="H12" i="20"/>
  <c r="D12" i="20"/>
  <c r="E12" i="20" s="1"/>
  <c r="H11" i="20"/>
  <c r="D11" i="20"/>
  <c r="E11" i="20" s="1"/>
  <c r="H10" i="20"/>
  <c r="D10" i="20"/>
  <c r="E10" i="20" s="1"/>
  <c r="H9" i="20"/>
  <c r="D9" i="20"/>
  <c r="E9" i="20" s="1"/>
  <c r="H8" i="20"/>
  <c r="D8" i="20"/>
  <c r="E8" i="20" s="1"/>
  <c r="H7" i="20"/>
  <c r="D7" i="20"/>
  <c r="E7" i="20" s="1"/>
  <c r="H6" i="20"/>
  <c r="D6" i="20"/>
  <c r="E6" i="20" s="1"/>
  <c r="H5" i="20"/>
  <c r="D5" i="20"/>
  <c r="E5" i="20" s="1"/>
  <c r="H4" i="20"/>
  <c r="D4" i="20"/>
  <c r="E4" i="20" s="1"/>
  <c r="H3" i="20"/>
  <c r="D3" i="20"/>
  <c r="G59" i="16"/>
  <c r="I58" i="16"/>
  <c r="K58" i="16"/>
  <c r="F59" i="16"/>
  <c r="J127" i="18"/>
  <c r="F127" i="18"/>
  <c r="I126" i="18"/>
  <c r="K126" i="18" s="1"/>
  <c r="I125" i="18"/>
  <c r="K125" i="18" s="1"/>
  <c r="I124" i="18"/>
  <c r="K124" i="18" s="1"/>
  <c r="I123" i="18"/>
  <c r="K123" i="18" s="1"/>
  <c r="K122" i="18"/>
  <c r="I121" i="18"/>
  <c r="K121" i="18" s="1"/>
  <c r="I120" i="18"/>
  <c r="K120" i="18" s="1"/>
  <c r="I115" i="18"/>
  <c r="C133" i="18" s="1"/>
  <c r="C135" i="18" s="1"/>
  <c r="F115" i="18"/>
  <c r="I114" i="18"/>
  <c r="K114" i="18" s="1"/>
  <c r="I113" i="18"/>
  <c r="K113" i="18" s="1"/>
  <c r="I112" i="18"/>
  <c r="K112" i="18" s="1"/>
  <c r="I111" i="18"/>
  <c r="K111" i="18" s="1"/>
  <c r="I110" i="18"/>
  <c r="K110" i="18" s="1"/>
  <c r="I109" i="18"/>
  <c r="K109" i="18" s="1"/>
  <c r="I60" i="18"/>
  <c r="K60" i="18" s="1"/>
  <c r="I59" i="18"/>
  <c r="K59" i="18" s="1"/>
  <c r="I58" i="18"/>
  <c r="K58" i="18" s="1"/>
  <c r="I57" i="18"/>
  <c r="K57" i="18" s="1"/>
  <c r="I56" i="18"/>
  <c r="K56" i="18" s="1"/>
  <c r="I55" i="18"/>
  <c r="K55" i="18" s="1"/>
  <c r="I54" i="18"/>
  <c r="K54" i="18" s="1"/>
  <c r="I53" i="18"/>
  <c r="K53" i="18" s="1"/>
  <c r="I52" i="18"/>
  <c r="K52" i="18" s="1"/>
  <c r="I51" i="18"/>
  <c r="K51" i="18" s="1"/>
  <c r="I39" i="18"/>
  <c r="K39" i="18" s="1"/>
  <c r="I38" i="18"/>
  <c r="K38" i="18" s="1"/>
  <c r="I37" i="18"/>
  <c r="K37" i="18" s="1"/>
  <c r="I36" i="18"/>
  <c r="K36" i="18" s="1"/>
  <c r="I35" i="18"/>
  <c r="K35" i="18" s="1"/>
  <c r="I34" i="18"/>
  <c r="K34" i="18" s="1"/>
  <c r="I33" i="18"/>
  <c r="K33" i="18" s="1"/>
  <c r="I32" i="18"/>
  <c r="K32" i="18" s="1"/>
  <c r="I31" i="18"/>
  <c r="K31" i="18" s="1"/>
  <c r="I30" i="18"/>
  <c r="K30" i="18" s="1"/>
  <c r="I29" i="18"/>
  <c r="K29" i="18" s="1"/>
  <c r="I28" i="18"/>
  <c r="K28" i="18" s="1"/>
  <c r="I27" i="18"/>
  <c r="K27" i="18" s="1"/>
  <c r="I26" i="18"/>
  <c r="K26" i="18" s="1"/>
  <c r="I25" i="18"/>
  <c r="K25" i="18" s="1"/>
  <c r="I24" i="18"/>
  <c r="K24" i="18" s="1"/>
  <c r="I23" i="18"/>
  <c r="K23" i="18" s="1"/>
  <c r="I22" i="18"/>
  <c r="K22" i="18" s="1"/>
  <c r="I21" i="18"/>
  <c r="K21" i="18" s="1"/>
  <c r="I20" i="18"/>
  <c r="K20" i="18" s="1"/>
  <c r="I19" i="18"/>
  <c r="K19" i="18" s="1"/>
  <c r="I18" i="18"/>
  <c r="K18" i="18" s="1"/>
  <c r="I17" i="18"/>
  <c r="K17" i="18" s="1"/>
  <c r="I16" i="18"/>
  <c r="K16" i="18" s="1"/>
  <c r="I15" i="18"/>
  <c r="K15" i="18" s="1"/>
  <c r="I14" i="18"/>
  <c r="K14" i="18" s="1"/>
  <c r="I13" i="18"/>
  <c r="I12" i="18"/>
  <c r="I11" i="18"/>
  <c r="K11" i="18" s="1"/>
  <c r="I10" i="18"/>
  <c r="K10" i="18" s="1"/>
  <c r="I9" i="18"/>
  <c r="K9" i="18" s="1"/>
  <c r="I8" i="18"/>
  <c r="K8" i="18" s="1"/>
  <c r="I7" i="18"/>
  <c r="K7" i="18" s="1"/>
  <c r="I6" i="18"/>
  <c r="K6" i="18" s="1"/>
  <c r="I5" i="18"/>
  <c r="K5" i="18" s="1"/>
  <c r="D145" i="20" l="1"/>
  <c r="H145" i="20"/>
  <c r="E3" i="20"/>
  <c r="E145" i="20" s="1"/>
  <c r="I127" i="18"/>
  <c r="K115" i="18"/>
  <c r="K127" i="18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3" i="17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3" i="14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3" i="11"/>
  <c r="F231" i="17"/>
  <c r="G231" i="17" l="1"/>
  <c r="D231" i="17"/>
  <c r="J76" i="16"/>
  <c r="G76" i="16"/>
  <c r="F76" i="16"/>
  <c r="I73" i="16"/>
  <c r="K73" i="16" s="1"/>
  <c r="I71" i="16"/>
  <c r="K71" i="16" s="1"/>
  <c r="I70" i="16"/>
  <c r="K70" i="16" s="1"/>
  <c r="I69" i="16"/>
  <c r="K69" i="16" s="1"/>
  <c r="I68" i="16"/>
  <c r="K68" i="16" s="1"/>
  <c r="I67" i="16"/>
  <c r="K67" i="16" s="1"/>
  <c r="I66" i="16"/>
  <c r="K66" i="16" s="1"/>
  <c r="I65" i="16"/>
  <c r="K65" i="16" s="1"/>
  <c r="I64" i="16"/>
  <c r="G195" i="14"/>
  <c r="F195" i="14"/>
  <c r="D195" i="14"/>
  <c r="H79" i="13"/>
  <c r="G79" i="13"/>
  <c r="F79" i="13"/>
  <c r="J96" i="13"/>
  <c r="G96" i="13"/>
  <c r="F96" i="13"/>
  <c r="K93" i="13"/>
  <c r="K94" i="13"/>
  <c r="I85" i="13"/>
  <c r="K85" i="13" s="1"/>
  <c r="I86" i="13"/>
  <c r="K86" i="13" s="1"/>
  <c r="I87" i="13"/>
  <c r="K87" i="13" s="1"/>
  <c r="I88" i="13"/>
  <c r="K88" i="13" s="1"/>
  <c r="I89" i="13"/>
  <c r="K89" i="13" s="1"/>
  <c r="I90" i="13"/>
  <c r="K90" i="13" s="1"/>
  <c r="I91" i="13"/>
  <c r="K91" i="13" s="1"/>
  <c r="I92" i="13"/>
  <c r="K92" i="13" s="1"/>
  <c r="I93" i="13"/>
  <c r="I94" i="13"/>
  <c r="I95" i="13"/>
  <c r="K95" i="13" s="1"/>
  <c r="I84" i="13"/>
  <c r="K84" i="13" s="1"/>
  <c r="G208" i="11"/>
  <c r="F208" i="11"/>
  <c r="D208" i="11"/>
  <c r="H67" i="10"/>
  <c r="G67" i="10"/>
  <c r="F67" i="10"/>
  <c r="J77" i="10"/>
  <c r="E195" i="14" l="1"/>
  <c r="D197" i="14"/>
  <c r="I76" i="16"/>
  <c r="K64" i="16"/>
  <c r="K76" i="16" s="1"/>
  <c r="I96" i="13"/>
  <c r="K96" i="13"/>
  <c r="H179" i="17" l="1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178" i="17"/>
  <c r="H177" i="17"/>
  <c r="H176" i="17"/>
  <c r="H175" i="17"/>
  <c r="H174" i="17"/>
  <c r="H173" i="17"/>
  <c r="H172" i="17"/>
  <c r="H171" i="17"/>
  <c r="H170" i="17"/>
  <c r="H169" i="17"/>
  <c r="E173" i="17"/>
  <c r="E178" i="17"/>
  <c r="E179" i="17"/>
  <c r="E186" i="17"/>
  <c r="E202" i="17"/>
  <c r="E206" i="17"/>
  <c r="E226" i="17"/>
  <c r="E169" i="17"/>
  <c r="E170" i="17"/>
  <c r="E171" i="17"/>
  <c r="E172" i="17"/>
  <c r="E174" i="17"/>
  <c r="E175" i="17"/>
  <c r="E176" i="17"/>
  <c r="E177" i="17"/>
  <c r="E180" i="17"/>
  <c r="E181" i="17"/>
  <c r="E182" i="17"/>
  <c r="E183" i="17"/>
  <c r="E184" i="17"/>
  <c r="E185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3" i="17"/>
  <c r="E204" i="17"/>
  <c r="E205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7" i="17"/>
  <c r="E228" i="17"/>
  <c r="E229" i="17"/>
  <c r="H85" i="17"/>
  <c r="H86" i="17"/>
  <c r="H87" i="17"/>
  <c r="H28" i="17"/>
  <c r="I59" i="16"/>
  <c r="K59" i="16" s="1"/>
  <c r="I57" i="16"/>
  <c r="K57" i="16" s="1"/>
  <c r="I56" i="16"/>
  <c r="K56" i="16" s="1"/>
  <c r="I55" i="16"/>
  <c r="K55" i="16" s="1"/>
  <c r="I54" i="16"/>
  <c r="K54" i="16" s="1"/>
  <c r="I53" i="16"/>
  <c r="K53" i="16" s="1"/>
  <c r="I52" i="16"/>
  <c r="K52" i="16" s="1"/>
  <c r="I51" i="16"/>
  <c r="K51" i="16" s="1"/>
  <c r="I50" i="16"/>
  <c r="K50" i="16" s="1"/>
  <c r="I49" i="16"/>
  <c r="K49" i="16" s="1"/>
  <c r="I48" i="16"/>
  <c r="K48" i="16" s="1"/>
  <c r="I47" i="16"/>
  <c r="K47" i="16" s="1"/>
  <c r="I46" i="16"/>
  <c r="K46" i="16" s="1"/>
  <c r="I45" i="16"/>
  <c r="K45" i="16" s="1"/>
  <c r="I44" i="16"/>
  <c r="K44" i="16" s="1"/>
  <c r="I43" i="16"/>
  <c r="K43" i="16" s="1"/>
  <c r="I42" i="16"/>
  <c r="K42" i="16" s="1"/>
  <c r="I41" i="16"/>
  <c r="K41" i="16" s="1"/>
  <c r="I40" i="16"/>
  <c r="K40" i="16" s="1"/>
  <c r="I39" i="16"/>
  <c r="K39" i="16" s="1"/>
  <c r="I38" i="16"/>
  <c r="K38" i="16" s="1"/>
  <c r="I37" i="16"/>
  <c r="K37" i="16" s="1"/>
  <c r="I36" i="16"/>
  <c r="K36" i="16" s="1"/>
  <c r="I35" i="16"/>
  <c r="K35" i="16" s="1"/>
  <c r="I34" i="16"/>
  <c r="K34" i="16" s="1"/>
  <c r="I33" i="16"/>
  <c r="K33" i="16" s="1"/>
  <c r="K32" i="16"/>
  <c r="I32" i="16"/>
  <c r="I31" i="16"/>
  <c r="K31" i="16" s="1"/>
  <c r="I30" i="16"/>
  <c r="K30" i="16" s="1"/>
  <c r="I29" i="16"/>
  <c r="K29" i="16" s="1"/>
  <c r="I28" i="16"/>
  <c r="K28" i="16" s="1"/>
  <c r="I27" i="16"/>
  <c r="K27" i="16" s="1"/>
  <c r="I26" i="16"/>
  <c r="K26" i="16" s="1"/>
  <c r="I25" i="16"/>
  <c r="K25" i="16" s="1"/>
  <c r="I24" i="16"/>
  <c r="K24" i="16" s="1"/>
  <c r="I23" i="16"/>
  <c r="K23" i="16" s="1"/>
  <c r="I22" i="16"/>
  <c r="K22" i="16" s="1"/>
  <c r="I21" i="16"/>
  <c r="K21" i="16" s="1"/>
  <c r="I20" i="16"/>
  <c r="K20" i="16" s="1"/>
  <c r="I19" i="16"/>
  <c r="K19" i="16" s="1"/>
  <c r="I18" i="16"/>
  <c r="K18" i="16" s="1"/>
  <c r="I17" i="16"/>
  <c r="K17" i="16" s="1"/>
  <c r="I16" i="16"/>
  <c r="K16" i="16" s="1"/>
  <c r="I15" i="16"/>
  <c r="K15" i="16" s="1"/>
  <c r="I14" i="16"/>
  <c r="K14" i="16" s="1"/>
  <c r="I13" i="16"/>
  <c r="K13" i="16" s="1"/>
  <c r="I12" i="16"/>
  <c r="K12" i="16" s="1"/>
  <c r="I11" i="16"/>
  <c r="K11" i="16" s="1"/>
  <c r="I10" i="16"/>
  <c r="K10" i="16" s="1"/>
  <c r="I9" i="16"/>
  <c r="K9" i="16" s="1"/>
  <c r="I8" i="16"/>
  <c r="K8" i="16" s="1"/>
  <c r="I7" i="16"/>
  <c r="K7" i="16" s="1"/>
  <c r="I6" i="16"/>
  <c r="K6" i="16" s="1"/>
  <c r="I5" i="16"/>
  <c r="K5" i="16" s="1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E15" i="17"/>
  <c r="E19" i="17"/>
  <c r="E36" i="17"/>
  <c r="E37" i="17"/>
  <c r="E44" i="17"/>
  <c r="E48" i="17"/>
  <c r="E49" i="17"/>
  <c r="E50" i="17"/>
  <c r="E63" i="17"/>
  <c r="E68" i="17"/>
  <c r="E86" i="17"/>
  <c r="E90" i="17"/>
  <c r="E99" i="17"/>
  <c r="E100" i="17"/>
  <c r="E108" i="17"/>
  <c r="E114" i="17"/>
  <c r="E150" i="17"/>
  <c r="E158" i="17"/>
  <c r="E159" i="17"/>
  <c r="E168" i="17"/>
  <c r="E9" i="17"/>
  <c r="E10" i="17"/>
  <c r="E11" i="17"/>
  <c r="E12" i="17"/>
  <c r="E13" i="17"/>
  <c r="E14" i="17"/>
  <c r="E16" i="17"/>
  <c r="E17" i="17"/>
  <c r="E18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8" i="17"/>
  <c r="E39" i="17"/>
  <c r="E40" i="17"/>
  <c r="E41" i="17"/>
  <c r="E42" i="17"/>
  <c r="E43" i="17"/>
  <c r="E45" i="17"/>
  <c r="E46" i="17"/>
  <c r="E47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4" i="17"/>
  <c r="E65" i="17"/>
  <c r="E66" i="17"/>
  <c r="E67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7" i="17"/>
  <c r="E88" i="17"/>
  <c r="E89" i="17"/>
  <c r="E91" i="17"/>
  <c r="E92" i="17"/>
  <c r="E93" i="17"/>
  <c r="E94" i="17"/>
  <c r="E95" i="17"/>
  <c r="E96" i="17"/>
  <c r="E97" i="17"/>
  <c r="E98" i="17"/>
  <c r="E101" i="17"/>
  <c r="E102" i="17"/>
  <c r="E103" i="17"/>
  <c r="E104" i="17"/>
  <c r="E105" i="17"/>
  <c r="E106" i="17"/>
  <c r="E107" i="17"/>
  <c r="E109" i="17"/>
  <c r="E110" i="17"/>
  <c r="E111" i="17"/>
  <c r="E112" i="17"/>
  <c r="E113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1" i="17"/>
  <c r="E152" i="17"/>
  <c r="E153" i="17"/>
  <c r="E154" i="17"/>
  <c r="E155" i="17"/>
  <c r="E156" i="17"/>
  <c r="E157" i="17"/>
  <c r="E160" i="17"/>
  <c r="E161" i="17"/>
  <c r="E162" i="17"/>
  <c r="E163" i="17"/>
  <c r="E164" i="17"/>
  <c r="E165" i="17"/>
  <c r="E166" i="17"/>
  <c r="E167" i="17"/>
  <c r="H8" i="17"/>
  <c r="E8" i="17"/>
  <c r="H7" i="17"/>
  <c r="E7" i="17"/>
  <c r="H6" i="17"/>
  <c r="E6" i="17"/>
  <c r="H5" i="17"/>
  <c r="E5" i="17"/>
  <c r="H4" i="17"/>
  <c r="E4" i="17"/>
  <c r="H3" i="17"/>
  <c r="E3" i="17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3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I78" i="13"/>
  <c r="K78" i="13" s="1"/>
  <c r="I77" i="13"/>
  <c r="K77" i="13" s="1"/>
  <c r="I76" i="13"/>
  <c r="I75" i="13"/>
  <c r="K75" i="13" s="1"/>
  <c r="I74" i="13"/>
  <c r="K74" i="13" s="1"/>
  <c r="I73" i="13"/>
  <c r="K73" i="13" s="1"/>
  <c r="I72" i="13"/>
  <c r="K72" i="13" s="1"/>
  <c r="I71" i="13"/>
  <c r="K71" i="13" s="1"/>
  <c r="I70" i="13"/>
  <c r="K70" i="13" s="1"/>
  <c r="I69" i="13"/>
  <c r="K69" i="13" s="1"/>
  <c r="I68" i="13"/>
  <c r="K68" i="13" s="1"/>
  <c r="I67" i="13"/>
  <c r="K67" i="13" s="1"/>
  <c r="I66" i="13"/>
  <c r="K66" i="13" s="1"/>
  <c r="I65" i="13"/>
  <c r="K65" i="13" s="1"/>
  <c r="I64" i="13"/>
  <c r="K64" i="13" s="1"/>
  <c r="I63" i="13"/>
  <c r="K63" i="13" s="1"/>
  <c r="I62" i="13"/>
  <c r="K62" i="13" s="1"/>
  <c r="I61" i="13"/>
  <c r="K61" i="13" s="1"/>
  <c r="I60" i="13"/>
  <c r="K60" i="13" s="1"/>
  <c r="I59" i="13"/>
  <c r="K59" i="13" s="1"/>
  <c r="I58" i="13"/>
  <c r="K58" i="13" s="1"/>
  <c r="I57" i="13"/>
  <c r="K57" i="13" s="1"/>
  <c r="I56" i="13"/>
  <c r="K56" i="13" s="1"/>
  <c r="I55" i="13"/>
  <c r="K55" i="13" s="1"/>
  <c r="I54" i="13"/>
  <c r="K54" i="13" s="1"/>
  <c r="I53" i="13"/>
  <c r="K53" i="13" s="1"/>
  <c r="I52" i="13"/>
  <c r="K52" i="13" s="1"/>
  <c r="I51" i="13"/>
  <c r="K51" i="13" s="1"/>
  <c r="I50" i="13"/>
  <c r="K50" i="13" s="1"/>
  <c r="I49" i="13"/>
  <c r="K49" i="13" s="1"/>
  <c r="I48" i="13"/>
  <c r="K48" i="13" s="1"/>
  <c r="I47" i="13"/>
  <c r="K47" i="13" s="1"/>
  <c r="I46" i="13"/>
  <c r="K46" i="13" s="1"/>
  <c r="I45" i="13"/>
  <c r="K45" i="13" s="1"/>
  <c r="I44" i="13"/>
  <c r="K44" i="13" s="1"/>
  <c r="I43" i="13"/>
  <c r="K43" i="13" s="1"/>
  <c r="I42" i="13"/>
  <c r="K42" i="13" s="1"/>
  <c r="I41" i="13"/>
  <c r="K41" i="13" s="1"/>
  <c r="I40" i="13"/>
  <c r="K40" i="13" s="1"/>
  <c r="I39" i="13"/>
  <c r="K39" i="13" s="1"/>
  <c r="I38" i="13"/>
  <c r="K38" i="13" s="1"/>
  <c r="I37" i="13"/>
  <c r="K37" i="13" s="1"/>
  <c r="I36" i="13"/>
  <c r="K36" i="13" s="1"/>
  <c r="I35" i="13"/>
  <c r="K35" i="13" s="1"/>
  <c r="I34" i="13"/>
  <c r="K34" i="13" s="1"/>
  <c r="I33" i="13"/>
  <c r="K33" i="13" s="1"/>
  <c r="I32" i="13"/>
  <c r="K32" i="13" s="1"/>
  <c r="I31" i="13"/>
  <c r="K31" i="13" s="1"/>
  <c r="I30" i="13"/>
  <c r="K30" i="13" s="1"/>
  <c r="I29" i="13"/>
  <c r="K29" i="13" s="1"/>
  <c r="I28" i="13"/>
  <c r="K28" i="13" s="1"/>
  <c r="I27" i="13"/>
  <c r="K27" i="13" s="1"/>
  <c r="I26" i="13"/>
  <c r="K26" i="13" s="1"/>
  <c r="I25" i="13"/>
  <c r="K25" i="13" s="1"/>
  <c r="I24" i="13"/>
  <c r="K24" i="13" s="1"/>
  <c r="I23" i="13"/>
  <c r="K23" i="13" s="1"/>
  <c r="I22" i="13"/>
  <c r="K22" i="13" s="1"/>
  <c r="I21" i="13"/>
  <c r="K21" i="13" s="1"/>
  <c r="I20" i="13"/>
  <c r="K20" i="13" s="1"/>
  <c r="I19" i="13"/>
  <c r="K19" i="13" s="1"/>
  <c r="I18" i="13"/>
  <c r="K18" i="13" s="1"/>
  <c r="I17" i="13"/>
  <c r="K17" i="13" s="1"/>
  <c r="I16" i="13"/>
  <c r="K16" i="13" s="1"/>
  <c r="I15" i="13"/>
  <c r="K15" i="13" s="1"/>
  <c r="I14" i="13"/>
  <c r="K14" i="13" s="1"/>
  <c r="I13" i="13"/>
  <c r="K13" i="13" s="1"/>
  <c r="I12" i="13"/>
  <c r="K12" i="13" s="1"/>
  <c r="I11" i="13"/>
  <c r="K11" i="13" s="1"/>
  <c r="I10" i="13"/>
  <c r="K10" i="13" s="1"/>
  <c r="I9" i="13"/>
  <c r="K9" i="13" s="1"/>
  <c r="I8" i="13"/>
  <c r="K8" i="13" s="1"/>
  <c r="I7" i="13"/>
  <c r="K7" i="13" s="1"/>
  <c r="I6" i="13"/>
  <c r="K6" i="13" s="1"/>
  <c r="I5" i="13"/>
  <c r="K5" i="13" s="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58" i="11"/>
  <c r="D185" i="8"/>
  <c r="E185" i="8" s="1"/>
  <c r="D184" i="8"/>
  <c r="E184" i="8" s="1"/>
  <c r="D183" i="8"/>
  <c r="E183" i="8" s="1"/>
  <c r="D182" i="8"/>
  <c r="E182" i="8"/>
  <c r="D181" i="8"/>
  <c r="E181" i="8"/>
  <c r="D180" i="8"/>
  <c r="E180" i="8" s="1"/>
  <c r="D179" i="8"/>
  <c r="E179" i="8" s="1"/>
  <c r="D178" i="8"/>
  <c r="E178" i="8"/>
  <c r="D177" i="8"/>
  <c r="E177" i="8" s="1"/>
  <c r="D176" i="8"/>
  <c r="E176" i="8" s="1"/>
  <c r="D175" i="8"/>
  <c r="E175" i="8" s="1"/>
  <c r="D174" i="8"/>
  <c r="E174" i="8" s="1"/>
  <c r="D173" i="8"/>
  <c r="E173" i="8" s="1"/>
  <c r="D172" i="8"/>
  <c r="E172" i="8"/>
  <c r="D171" i="8"/>
  <c r="E171" i="8"/>
  <c r="D170" i="8"/>
  <c r="E170" i="8" s="1"/>
  <c r="D169" i="8"/>
  <c r="E169" i="8" s="1"/>
  <c r="D168" i="8"/>
  <c r="E168" i="8" s="1"/>
  <c r="D167" i="8"/>
  <c r="E167" i="8"/>
  <c r="D166" i="8"/>
  <c r="E166" i="8" s="1"/>
  <c r="D165" i="8"/>
  <c r="E165" i="8" s="1"/>
  <c r="D164" i="8"/>
  <c r="E164" i="8" s="1"/>
  <c r="D163" i="8"/>
  <c r="E163" i="8" s="1"/>
  <c r="D162" i="8"/>
  <c r="E162" i="8"/>
  <c r="D161" i="8"/>
  <c r="E161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D160" i="8"/>
  <c r="E160" i="8"/>
  <c r="D159" i="8"/>
  <c r="E159" i="8"/>
  <c r="D158" i="8"/>
  <c r="E158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3" i="8"/>
  <c r="D4" i="8"/>
  <c r="E4" i="8" s="1"/>
  <c r="D5" i="8"/>
  <c r="E5" i="8" s="1"/>
  <c r="D6" i="8"/>
  <c r="D7" i="8"/>
  <c r="D8" i="8"/>
  <c r="E8" i="8" s="1"/>
  <c r="D9" i="8"/>
  <c r="E9" i="8" s="1"/>
  <c r="D10" i="8"/>
  <c r="E10" i="8" s="1"/>
  <c r="D11" i="8"/>
  <c r="E11" i="8" s="1"/>
  <c r="D12" i="8"/>
  <c r="E12" i="8" s="1"/>
  <c r="D13" i="8"/>
  <c r="E13" i="8" s="1"/>
  <c r="D14" i="8"/>
  <c r="E14" i="8" s="1"/>
  <c r="D15" i="8"/>
  <c r="E15" i="8" s="1"/>
  <c r="D16" i="8"/>
  <c r="E16" i="8" s="1"/>
  <c r="D17" i="8"/>
  <c r="E17" i="8" s="1"/>
  <c r="D18" i="8"/>
  <c r="H157" i="8"/>
  <c r="D157" i="8"/>
  <c r="E157" i="8" s="1"/>
  <c r="H156" i="8"/>
  <c r="D156" i="8"/>
  <c r="E156" i="8" s="1"/>
  <c r="H155" i="8"/>
  <c r="D155" i="8"/>
  <c r="E155" i="8" s="1"/>
  <c r="H154" i="8"/>
  <c r="D154" i="8"/>
  <c r="E154" i="8" s="1"/>
  <c r="H153" i="8"/>
  <c r="D153" i="8"/>
  <c r="E153" i="8" s="1"/>
  <c r="H152" i="8"/>
  <c r="D152" i="8"/>
  <c r="E152" i="8" s="1"/>
  <c r="H151" i="8"/>
  <c r="D151" i="8"/>
  <c r="E151" i="8" s="1"/>
  <c r="H150" i="8"/>
  <c r="D150" i="8"/>
  <c r="E150" i="8" s="1"/>
  <c r="H149" i="8"/>
  <c r="D149" i="8"/>
  <c r="E149" i="8" s="1"/>
  <c r="H148" i="8"/>
  <c r="D148" i="8"/>
  <c r="E148" i="8" s="1"/>
  <c r="H147" i="8"/>
  <c r="D147" i="8"/>
  <c r="E147" i="8" s="1"/>
  <c r="H146" i="8"/>
  <c r="D146" i="8"/>
  <c r="E146" i="8" s="1"/>
  <c r="H145" i="8"/>
  <c r="D145" i="8"/>
  <c r="E145" i="8" s="1"/>
  <c r="H144" i="8"/>
  <c r="D144" i="8"/>
  <c r="E144" i="8" s="1"/>
  <c r="H143" i="8"/>
  <c r="D143" i="8"/>
  <c r="E143" i="8" s="1"/>
  <c r="H142" i="8"/>
  <c r="D142" i="8"/>
  <c r="E142" i="8" s="1"/>
  <c r="H141" i="8"/>
  <c r="D141" i="8"/>
  <c r="E141" i="8" s="1"/>
  <c r="H140" i="8"/>
  <c r="D140" i="8"/>
  <c r="E140" i="8" s="1"/>
  <c r="H139" i="8"/>
  <c r="D139" i="8"/>
  <c r="E139" i="8" s="1"/>
  <c r="H138" i="8"/>
  <c r="D138" i="8"/>
  <c r="E138" i="8" s="1"/>
  <c r="H137" i="8"/>
  <c r="D137" i="8"/>
  <c r="E137" i="8" s="1"/>
  <c r="H136" i="8"/>
  <c r="D136" i="8"/>
  <c r="E136" i="8" s="1"/>
  <c r="H135" i="8"/>
  <c r="D135" i="8"/>
  <c r="E135" i="8" s="1"/>
  <c r="H134" i="8"/>
  <c r="D134" i="8"/>
  <c r="E134" i="8" s="1"/>
  <c r="H133" i="8"/>
  <c r="D133" i="8"/>
  <c r="E133" i="8" s="1"/>
  <c r="H132" i="8"/>
  <c r="D132" i="8"/>
  <c r="E132" i="8" s="1"/>
  <c r="H131" i="8"/>
  <c r="D131" i="8"/>
  <c r="E131" i="8" s="1"/>
  <c r="H130" i="8"/>
  <c r="D130" i="8"/>
  <c r="E130" i="8" s="1"/>
  <c r="H129" i="8"/>
  <c r="D129" i="8"/>
  <c r="E129" i="8" s="1"/>
  <c r="H128" i="8"/>
  <c r="D128" i="8"/>
  <c r="E128" i="8" s="1"/>
  <c r="H127" i="8"/>
  <c r="D127" i="8"/>
  <c r="E127" i="8" s="1"/>
  <c r="H126" i="8"/>
  <c r="D126" i="8"/>
  <c r="E126" i="8" s="1"/>
  <c r="H125" i="8"/>
  <c r="D125" i="8"/>
  <c r="E125" i="8" s="1"/>
  <c r="H124" i="8"/>
  <c r="D124" i="8"/>
  <c r="E124" i="8" s="1"/>
  <c r="H123" i="8"/>
  <c r="D123" i="8"/>
  <c r="E123" i="8" s="1"/>
  <c r="H122" i="8"/>
  <c r="D122" i="8"/>
  <c r="E122" i="8" s="1"/>
  <c r="H121" i="8"/>
  <c r="D121" i="8"/>
  <c r="E121" i="8" s="1"/>
  <c r="H120" i="8"/>
  <c r="D120" i="8"/>
  <c r="E120" i="8" s="1"/>
  <c r="H119" i="8"/>
  <c r="D119" i="8"/>
  <c r="E119" i="8" s="1"/>
  <c r="H118" i="8"/>
  <c r="D118" i="8"/>
  <c r="E118" i="8" s="1"/>
  <c r="H117" i="8"/>
  <c r="D117" i="8"/>
  <c r="E117" i="8" s="1"/>
  <c r="H116" i="8"/>
  <c r="D116" i="8"/>
  <c r="E116" i="8" s="1"/>
  <c r="H115" i="8"/>
  <c r="D115" i="8"/>
  <c r="E115" i="8" s="1"/>
  <c r="H114" i="8"/>
  <c r="D114" i="8"/>
  <c r="E114" i="8" s="1"/>
  <c r="H113" i="8"/>
  <c r="D113" i="8"/>
  <c r="E113" i="8" s="1"/>
  <c r="H112" i="8"/>
  <c r="D112" i="8"/>
  <c r="E112" i="8" s="1"/>
  <c r="H111" i="8"/>
  <c r="D111" i="8"/>
  <c r="E111" i="8" s="1"/>
  <c r="H110" i="8"/>
  <c r="D110" i="8"/>
  <c r="E110" i="8" s="1"/>
  <c r="H109" i="8"/>
  <c r="D109" i="8"/>
  <c r="E109" i="8" s="1"/>
  <c r="H108" i="8"/>
  <c r="D108" i="8"/>
  <c r="E108" i="8" s="1"/>
  <c r="H107" i="8"/>
  <c r="D107" i="8"/>
  <c r="E107" i="8" s="1"/>
  <c r="H106" i="8"/>
  <c r="D106" i="8"/>
  <c r="E106" i="8" s="1"/>
  <c r="H105" i="8"/>
  <c r="D105" i="8"/>
  <c r="E105" i="8" s="1"/>
  <c r="H104" i="8"/>
  <c r="D104" i="8"/>
  <c r="E104" i="8" s="1"/>
  <c r="H103" i="8"/>
  <c r="D103" i="8"/>
  <c r="E103" i="8" s="1"/>
  <c r="H102" i="8"/>
  <c r="D102" i="8"/>
  <c r="E102" i="8" s="1"/>
  <c r="H101" i="8"/>
  <c r="D101" i="8"/>
  <c r="E101" i="8" s="1"/>
  <c r="H100" i="8"/>
  <c r="D100" i="8"/>
  <c r="E100" i="8" s="1"/>
  <c r="H99" i="8"/>
  <c r="D99" i="8"/>
  <c r="E99" i="8" s="1"/>
  <c r="H98" i="8"/>
  <c r="D98" i="8"/>
  <c r="E98" i="8" s="1"/>
  <c r="H97" i="8"/>
  <c r="D97" i="8"/>
  <c r="E97" i="8" s="1"/>
  <c r="H96" i="8"/>
  <c r="D96" i="8"/>
  <c r="E96" i="8" s="1"/>
  <c r="H95" i="8"/>
  <c r="D95" i="8"/>
  <c r="E95" i="8" s="1"/>
  <c r="H94" i="8"/>
  <c r="D94" i="8"/>
  <c r="E94" i="8" s="1"/>
  <c r="H93" i="8"/>
  <c r="D93" i="8"/>
  <c r="E93" i="8" s="1"/>
  <c r="H92" i="8"/>
  <c r="D92" i="8"/>
  <c r="E92" i="8" s="1"/>
  <c r="H91" i="8"/>
  <c r="D91" i="8"/>
  <c r="E91" i="8" s="1"/>
  <c r="H90" i="8"/>
  <c r="D90" i="8"/>
  <c r="E90" i="8" s="1"/>
  <c r="H89" i="8"/>
  <c r="D89" i="8"/>
  <c r="E89" i="8" s="1"/>
  <c r="H88" i="8"/>
  <c r="D88" i="8"/>
  <c r="E88" i="8" s="1"/>
  <c r="H87" i="8"/>
  <c r="D87" i="8"/>
  <c r="E87" i="8" s="1"/>
  <c r="H86" i="8"/>
  <c r="D86" i="8"/>
  <c r="E86" i="8" s="1"/>
  <c r="H85" i="8"/>
  <c r="D85" i="8"/>
  <c r="E85" i="8" s="1"/>
  <c r="H84" i="8"/>
  <c r="D84" i="8"/>
  <c r="E84" i="8" s="1"/>
  <c r="H83" i="8"/>
  <c r="D83" i="8"/>
  <c r="E83" i="8" s="1"/>
  <c r="H82" i="8"/>
  <c r="D82" i="8"/>
  <c r="E82" i="8" s="1"/>
  <c r="H81" i="8"/>
  <c r="D81" i="8"/>
  <c r="E81" i="8" s="1"/>
  <c r="H80" i="8"/>
  <c r="D80" i="8"/>
  <c r="E80" i="8" s="1"/>
  <c r="H79" i="8"/>
  <c r="D79" i="8"/>
  <c r="E79" i="8" s="1"/>
  <c r="H78" i="8"/>
  <c r="D78" i="8"/>
  <c r="E78" i="8" s="1"/>
  <c r="H77" i="8"/>
  <c r="D77" i="8"/>
  <c r="E77" i="8" s="1"/>
  <c r="H76" i="8"/>
  <c r="D76" i="8"/>
  <c r="E76" i="8" s="1"/>
  <c r="H75" i="8"/>
  <c r="D75" i="8"/>
  <c r="E75" i="8" s="1"/>
  <c r="H74" i="8"/>
  <c r="D74" i="8"/>
  <c r="E74" i="8" s="1"/>
  <c r="H73" i="8"/>
  <c r="D73" i="8"/>
  <c r="E73" i="8" s="1"/>
  <c r="H72" i="8"/>
  <c r="D72" i="8"/>
  <c r="E72" i="8" s="1"/>
  <c r="H71" i="8"/>
  <c r="D71" i="8"/>
  <c r="E71" i="8" s="1"/>
  <c r="H70" i="8"/>
  <c r="D70" i="8"/>
  <c r="E70" i="8" s="1"/>
  <c r="H69" i="8"/>
  <c r="D69" i="8"/>
  <c r="E69" i="8" s="1"/>
  <c r="H68" i="8"/>
  <c r="D68" i="8"/>
  <c r="E68" i="8" s="1"/>
  <c r="H67" i="8"/>
  <c r="D67" i="8"/>
  <c r="E67" i="8" s="1"/>
  <c r="H66" i="8"/>
  <c r="D66" i="8"/>
  <c r="E66" i="8" s="1"/>
  <c r="H65" i="8"/>
  <c r="D65" i="8"/>
  <c r="E65" i="8" s="1"/>
  <c r="H64" i="8"/>
  <c r="D64" i="8"/>
  <c r="E64" i="8" s="1"/>
  <c r="H63" i="8"/>
  <c r="D63" i="8"/>
  <c r="E63" i="8" s="1"/>
  <c r="H62" i="8"/>
  <c r="D62" i="8"/>
  <c r="E62" i="8" s="1"/>
  <c r="H61" i="8"/>
  <c r="D61" i="8"/>
  <c r="E61" i="8" s="1"/>
  <c r="H60" i="8"/>
  <c r="D60" i="8"/>
  <c r="E60" i="8" s="1"/>
  <c r="H59" i="8"/>
  <c r="D59" i="8"/>
  <c r="E59" i="8" s="1"/>
  <c r="H58" i="8"/>
  <c r="D58" i="8"/>
  <c r="E58" i="8" s="1"/>
  <c r="H57" i="8"/>
  <c r="D57" i="8"/>
  <c r="E57" i="8" s="1"/>
  <c r="H56" i="8"/>
  <c r="D56" i="8"/>
  <c r="E56" i="8" s="1"/>
  <c r="H55" i="8"/>
  <c r="D55" i="8"/>
  <c r="E55" i="8" s="1"/>
  <c r="H54" i="8"/>
  <c r="D54" i="8"/>
  <c r="E54" i="8" s="1"/>
  <c r="H53" i="8"/>
  <c r="D53" i="8"/>
  <c r="E53" i="8" s="1"/>
  <c r="H52" i="8"/>
  <c r="D52" i="8"/>
  <c r="E52" i="8" s="1"/>
  <c r="H51" i="8"/>
  <c r="D51" i="8"/>
  <c r="E51" i="8" s="1"/>
  <c r="H50" i="8"/>
  <c r="D50" i="8"/>
  <c r="E50" i="8" s="1"/>
  <c r="H49" i="8"/>
  <c r="D49" i="8"/>
  <c r="E49" i="8" s="1"/>
  <c r="H48" i="8"/>
  <c r="D48" i="8"/>
  <c r="E48" i="8" s="1"/>
  <c r="H47" i="8"/>
  <c r="D47" i="8"/>
  <c r="E47" i="8" s="1"/>
  <c r="H46" i="8"/>
  <c r="D46" i="8"/>
  <c r="E46" i="8" s="1"/>
  <c r="H45" i="8"/>
  <c r="D45" i="8"/>
  <c r="E45" i="8" s="1"/>
  <c r="H44" i="8"/>
  <c r="D44" i="8"/>
  <c r="E44" i="8" s="1"/>
  <c r="H43" i="8"/>
  <c r="D43" i="8"/>
  <c r="E43" i="8" s="1"/>
  <c r="H42" i="8"/>
  <c r="D42" i="8"/>
  <c r="E42" i="8" s="1"/>
  <c r="H41" i="8"/>
  <c r="D41" i="8"/>
  <c r="E41" i="8" s="1"/>
  <c r="H40" i="8"/>
  <c r="D40" i="8"/>
  <c r="E40" i="8" s="1"/>
  <c r="H39" i="8"/>
  <c r="D39" i="8"/>
  <c r="E39" i="8" s="1"/>
  <c r="H38" i="8"/>
  <c r="D38" i="8"/>
  <c r="E38" i="8" s="1"/>
  <c r="H37" i="8"/>
  <c r="D37" i="8"/>
  <c r="E37" i="8" s="1"/>
  <c r="H36" i="8"/>
  <c r="D36" i="8"/>
  <c r="E36" i="8" s="1"/>
  <c r="H35" i="8"/>
  <c r="D35" i="8"/>
  <c r="E35" i="8" s="1"/>
  <c r="H34" i="8"/>
  <c r="D34" i="8"/>
  <c r="E34" i="8" s="1"/>
  <c r="H33" i="8"/>
  <c r="D33" i="8"/>
  <c r="E33" i="8" s="1"/>
  <c r="H32" i="8"/>
  <c r="D32" i="8"/>
  <c r="E32" i="8" s="1"/>
  <c r="H31" i="8"/>
  <c r="D31" i="8"/>
  <c r="E31" i="8" s="1"/>
  <c r="H30" i="8"/>
  <c r="D30" i="8"/>
  <c r="E30" i="8" s="1"/>
  <c r="H29" i="8"/>
  <c r="D29" i="8"/>
  <c r="E29" i="8" s="1"/>
  <c r="H28" i="8"/>
  <c r="D28" i="8"/>
  <c r="E28" i="8" s="1"/>
  <c r="H27" i="8"/>
  <c r="D27" i="8"/>
  <c r="E27" i="8" s="1"/>
  <c r="H26" i="8"/>
  <c r="D26" i="8"/>
  <c r="E26" i="8" s="1"/>
  <c r="H25" i="8"/>
  <c r="D25" i="8"/>
  <c r="E25" i="8" s="1"/>
  <c r="H24" i="8"/>
  <c r="D24" i="8"/>
  <c r="E24" i="8" s="1"/>
  <c r="H23" i="8"/>
  <c r="D23" i="8"/>
  <c r="E23" i="8" s="1"/>
  <c r="D22" i="8"/>
  <c r="E22" i="8" s="1"/>
  <c r="D21" i="8"/>
  <c r="E21" i="8" s="1"/>
  <c r="D20" i="8"/>
  <c r="E20" i="8" s="1"/>
  <c r="D19" i="8"/>
  <c r="E19" i="8" s="1"/>
  <c r="E18" i="8"/>
  <c r="E7" i="8"/>
  <c r="E6" i="8"/>
  <c r="D3" i="8"/>
  <c r="E3" i="8" s="1"/>
  <c r="G145" i="7"/>
  <c r="J151" i="4"/>
  <c r="G151" i="4"/>
  <c r="F151" i="4"/>
  <c r="K146" i="4"/>
  <c r="I143" i="4"/>
  <c r="K143" i="4" s="1"/>
  <c r="I144" i="4"/>
  <c r="K144" i="4" s="1"/>
  <c r="I145" i="4"/>
  <c r="K145" i="4" s="1"/>
  <c r="I146" i="4"/>
  <c r="D188" i="8" l="1"/>
  <c r="H195" i="14"/>
  <c r="E231" i="17"/>
  <c r="H231" i="17"/>
  <c r="K76" i="13"/>
  <c r="K79" i="13" s="1"/>
  <c r="I79" i="13"/>
  <c r="H136" i="4"/>
  <c r="G136" i="4"/>
  <c r="F148" i="1"/>
  <c r="H136" i="1"/>
  <c r="G136" i="1"/>
  <c r="F136" i="1"/>
  <c r="I146" i="1"/>
  <c r="K146" i="1"/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F77" i="10"/>
  <c r="I76" i="10"/>
  <c r="K76" i="10" s="1"/>
  <c r="I75" i="10"/>
  <c r="K75" i="10" s="1"/>
  <c r="I74" i="10"/>
  <c r="K74" i="10" s="1"/>
  <c r="I73" i="10"/>
  <c r="K73" i="10" s="1"/>
  <c r="I72" i="10"/>
  <c r="K72" i="10" s="1"/>
  <c r="J67" i="10"/>
  <c r="I66" i="10"/>
  <c r="K66" i="10" s="1"/>
  <c r="I65" i="10"/>
  <c r="K65" i="10" s="1"/>
  <c r="I64" i="10"/>
  <c r="I63" i="10"/>
  <c r="K63" i="10" s="1"/>
  <c r="I62" i="10"/>
  <c r="K62" i="10" s="1"/>
  <c r="I61" i="10"/>
  <c r="K61" i="10" s="1"/>
  <c r="I60" i="10"/>
  <c r="K60" i="10" s="1"/>
  <c r="I59" i="10"/>
  <c r="K59" i="10" s="1"/>
  <c r="I58" i="10"/>
  <c r="K58" i="10" s="1"/>
  <c r="I57" i="10"/>
  <c r="K57" i="10" s="1"/>
  <c r="I56" i="10"/>
  <c r="K56" i="10" s="1"/>
  <c r="I55" i="10"/>
  <c r="K55" i="10" s="1"/>
  <c r="I54" i="10"/>
  <c r="K54" i="10" s="1"/>
  <c r="I53" i="10"/>
  <c r="K53" i="10" s="1"/>
  <c r="I52" i="10"/>
  <c r="K52" i="10" s="1"/>
  <c r="I51" i="10"/>
  <c r="K51" i="10" s="1"/>
  <c r="I50" i="10"/>
  <c r="K50" i="10" s="1"/>
  <c r="I49" i="10"/>
  <c r="K49" i="10" s="1"/>
  <c r="I48" i="10"/>
  <c r="K48" i="10" s="1"/>
  <c r="I47" i="10"/>
  <c r="K47" i="10" s="1"/>
  <c r="I46" i="10"/>
  <c r="K46" i="10" s="1"/>
  <c r="I45" i="10"/>
  <c r="K45" i="10" s="1"/>
  <c r="I44" i="10"/>
  <c r="K44" i="10" s="1"/>
  <c r="I43" i="10"/>
  <c r="K43" i="10" s="1"/>
  <c r="I42" i="10"/>
  <c r="K42" i="10" s="1"/>
  <c r="I41" i="10"/>
  <c r="K41" i="10" s="1"/>
  <c r="I40" i="10"/>
  <c r="K40" i="10" s="1"/>
  <c r="I39" i="10"/>
  <c r="K39" i="10" s="1"/>
  <c r="I38" i="10"/>
  <c r="K38" i="10" s="1"/>
  <c r="I37" i="10"/>
  <c r="K37" i="10" s="1"/>
  <c r="I36" i="10"/>
  <c r="K36" i="10" s="1"/>
  <c r="I35" i="10"/>
  <c r="K35" i="10" s="1"/>
  <c r="I34" i="10"/>
  <c r="K34" i="10" s="1"/>
  <c r="I33" i="10"/>
  <c r="K33" i="10" s="1"/>
  <c r="I32" i="10"/>
  <c r="K32" i="10" s="1"/>
  <c r="I31" i="10"/>
  <c r="K31" i="10" s="1"/>
  <c r="I30" i="10"/>
  <c r="K30" i="10" s="1"/>
  <c r="I29" i="10"/>
  <c r="K29" i="10" s="1"/>
  <c r="I28" i="10"/>
  <c r="K28" i="10" s="1"/>
  <c r="I27" i="10"/>
  <c r="K27" i="10" s="1"/>
  <c r="I26" i="10"/>
  <c r="K26" i="10" s="1"/>
  <c r="I25" i="10"/>
  <c r="K25" i="10" s="1"/>
  <c r="I24" i="10"/>
  <c r="K24" i="10" s="1"/>
  <c r="I23" i="10"/>
  <c r="K23" i="10" s="1"/>
  <c r="I22" i="10"/>
  <c r="K22" i="10" s="1"/>
  <c r="I21" i="10"/>
  <c r="K21" i="10" s="1"/>
  <c r="I20" i="10"/>
  <c r="K20" i="10" s="1"/>
  <c r="I19" i="10"/>
  <c r="K19" i="10" s="1"/>
  <c r="I18" i="10"/>
  <c r="K18" i="10" s="1"/>
  <c r="I17" i="10"/>
  <c r="K17" i="10" s="1"/>
  <c r="I16" i="10"/>
  <c r="K16" i="10" s="1"/>
  <c r="I15" i="10"/>
  <c r="K15" i="10" s="1"/>
  <c r="I14" i="10"/>
  <c r="K14" i="10" s="1"/>
  <c r="I13" i="10"/>
  <c r="K13" i="10" s="1"/>
  <c r="I12" i="10"/>
  <c r="K12" i="10" s="1"/>
  <c r="I11" i="10"/>
  <c r="K11" i="10" s="1"/>
  <c r="I10" i="10"/>
  <c r="K10" i="10" s="1"/>
  <c r="I9" i="10"/>
  <c r="K9" i="10" s="1"/>
  <c r="I8" i="10"/>
  <c r="K8" i="10" s="1"/>
  <c r="I7" i="10"/>
  <c r="K7" i="10" s="1"/>
  <c r="I6" i="10"/>
  <c r="K6" i="10" s="1"/>
  <c r="I5" i="10"/>
  <c r="K5" i="10" s="1"/>
  <c r="F53" i="7"/>
  <c r="K77" i="10" l="1"/>
  <c r="E208" i="11"/>
  <c r="K64" i="10"/>
  <c r="K67" i="10" s="1"/>
  <c r="I67" i="10"/>
  <c r="I77" i="10"/>
  <c r="F147" i="7"/>
  <c r="I146" i="7"/>
  <c r="I145" i="7"/>
  <c r="K145" i="7" s="1"/>
  <c r="I144" i="7"/>
  <c r="K144" i="7" s="1"/>
  <c r="I143" i="7"/>
  <c r="K143" i="7" s="1"/>
  <c r="I142" i="7"/>
  <c r="K142" i="7" s="1"/>
  <c r="I141" i="7"/>
  <c r="J136" i="7"/>
  <c r="H136" i="7"/>
  <c r="G136" i="7"/>
  <c r="K135" i="7"/>
  <c r="I135" i="7"/>
  <c r="K134" i="7"/>
  <c r="I134" i="7"/>
  <c r="I133" i="7"/>
  <c r="K133" i="7" s="1"/>
  <c r="I132" i="7"/>
  <c r="K132" i="7" s="1"/>
  <c r="I131" i="7"/>
  <c r="K131" i="7" s="1"/>
  <c r="I130" i="7"/>
  <c r="K130" i="7" s="1"/>
  <c r="K129" i="7"/>
  <c r="I129" i="7"/>
  <c r="K128" i="7"/>
  <c r="I128" i="7"/>
  <c r="I127" i="7"/>
  <c r="K127" i="7" s="1"/>
  <c r="I126" i="7"/>
  <c r="K126" i="7" s="1"/>
  <c r="I125" i="7"/>
  <c r="K125" i="7" s="1"/>
  <c r="I124" i="7"/>
  <c r="K124" i="7" s="1"/>
  <c r="K123" i="7"/>
  <c r="I123" i="7"/>
  <c r="I122" i="7"/>
  <c r="K122" i="7" s="1"/>
  <c r="I121" i="7"/>
  <c r="K121" i="7" s="1"/>
  <c r="I120" i="7"/>
  <c r="K120" i="7" s="1"/>
  <c r="I119" i="7"/>
  <c r="K119" i="7" s="1"/>
  <c r="I118" i="7"/>
  <c r="K118" i="7" s="1"/>
  <c r="I117" i="7"/>
  <c r="K117" i="7" s="1"/>
  <c r="K116" i="7"/>
  <c r="I116" i="7"/>
  <c r="I115" i="7"/>
  <c r="K115" i="7" s="1"/>
  <c r="I114" i="7"/>
  <c r="K114" i="7" s="1"/>
  <c r="I113" i="7"/>
  <c r="K113" i="7" s="1"/>
  <c r="I112" i="7"/>
  <c r="K112" i="7" s="1"/>
  <c r="K111" i="7"/>
  <c r="I111" i="7"/>
  <c r="K110" i="7"/>
  <c r="I110" i="7"/>
  <c r="I109" i="7"/>
  <c r="K109" i="7" s="1"/>
  <c r="I108" i="7"/>
  <c r="K108" i="7" s="1"/>
  <c r="I107" i="7"/>
  <c r="K107" i="7" s="1"/>
  <c r="I106" i="7"/>
  <c r="K106" i="7" s="1"/>
  <c r="K105" i="7"/>
  <c r="I105" i="7"/>
  <c r="I104" i="7"/>
  <c r="K104" i="7" s="1"/>
  <c r="I103" i="7"/>
  <c r="K103" i="7" s="1"/>
  <c r="I102" i="7"/>
  <c r="K102" i="7" s="1"/>
  <c r="I101" i="7"/>
  <c r="K101" i="7" s="1"/>
  <c r="I100" i="7"/>
  <c r="K100" i="7" s="1"/>
  <c r="I99" i="7"/>
  <c r="K99" i="7" s="1"/>
  <c r="I98" i="7"/>
  <c r="K98" i="7" s="1"/>
  <c r="I97" i="7"/>
  <c r="K97" i="7" s="1"/>
  <c r="I96" i="7"/>
  <c r="K96" i="7" s="1"/>
  <c r="I95" i="7"/>
  <c r="K95" i="7" s="1"/>
  <c r="I94" i="7"/>
  <c r="K94" i="7" s="1"/>
  <c r="I93" i="7"/>
  <c r="K93" i="7" s="1"/>
  <c r="K92" i="7"/>
  <c r="I92" i="7"/>
  <c r="I91" i="7"/>
  <c r="K91" i="7" s="1"/>
  <c r="I90" i="7"/>
  <c r="K90" i="7" s="1"/>
  <c r="I89" i="7"/>
  <c r="K89" i="7" s="1"/>
  <c r="I88" i="7"/>
  <c r="K88" i="7" s="1"/>
  <c r="K87" i="7"/>
  <c r="I87" i="7"/>
  <c r="I86" i="7"/>
  <c r="K86" i="7" s="1"/>
  <c r="I85" i="7"/>
  <c r="K85" i="7" s="1"/>
  <c r="I84" i="7"/>
  <c r="K84" i="7" s="1"/>
  <c r="I83" i="7"/>
  <c r="K83" i="7" s="1"/>
  <c r="I82" i="7"/>
  <c r="K82" i="7" s="1"/>
  <c r="K81" i="7"/>
  <c r="I81" i="7"/>
  <c r="K80" i="7"/>
  <c r="I80" i="7"/>
  <c r="I79" i="7"/>
  <c r="K79" i="7" s="1"/>
  <c r="I78" i="7"/>
  <c r="K78" i="7" s="1"/>
  <c r="I77" i="7"/>
  <c r="K77" i="7" s="1"/>
  <c r="I76" i="7"/>
  <c r="K76" i="7" s="1"/>
  <c r="K75" i="7"/>
  <c r="I75" i="7"/>
  <c r="I74" i="7"/>
  <c r="K74" i="7" s="1"/>
  <c r="I73" i="7"/>
  <c r="K73" i="7" s="1"/>
  <c r="I72" i="7"/>
  <c r="K72" i="7" s="1"/>
  <c r="I71" i="7"/>
  <c r="K71" i="7" s="1"/>
  <c r="I70" i="7"/>
  <c r="K70" i="7" s="1"/>
  <c r="I69" i="7"/>
  <c r="K69" i="7" s="1"/>
  <c r="I68" i="7"/>
  <c r="K68" i="7" s="1"/>
  <c r="I67" i="7"/>
  <c r="K67" i="7" s="1"/>
  <c r="I66" i="7"/>
  <c r="K66" i="7" s="1"/>
  <c r="I65" i="7"/>
  <c r="K65" i="7" s="1"/>
  <c r="I64" i="7"/>
  <c r="K64" i="7" s="1"/>
  <c r="I63" i="7"/>
  <c r="K63" i="7" s="1"/>
  <c r="I62" i="7"/>
  <c r="K62" i="7" s="1"/>
  <c r="I61" i="7"/>
  <c r="K61" i="7" s="1"/>
  <c r="I60" i="7"/>
  <c r="K60" i="7" s="1"/>
  <c r="I59" i="7"/>
  <c r="K59" i="7" s="1"/>
  <c r="I58" i="7"/>
  <c r="K58" i="7" s="1"/>
  <c r="I57" i="7"/>
  <c r="K57" i="7" s="1"/>
  <c r="I56" i="7"/>
  <c r="K56" i="7" s="1"/>
  <c r="I55" i="7"/>
  <c r="K55" i="7" s="1"/>
  <c r="I54" i="7"/>
  <c r="K54" i="7" s="1"/>
  <c r="I53" i="7"/>
  <c r="K53" i="7" s="1"/>
  <c r="I52" i="7"/>
  <c r="K52" i="7" s="1"/>
  <c r="I51" i="7"/>
  <c r="K51" i="7" s="1"/>
  <c r="I50" i="7"/>
  <c r="K50" i="7" s="1"/>
  <c r="I49" i="7"/>
  <c r="K49" i="7" s="1"/>
  <c r="I48" i="7"/>
  <c r="K48" i="7" s="1"/>
  <c r="I47" i="7"/>
  <c r="K47" i="7" s="1"/>
  <c r="I46" i="7"/>
  <c r="K46" i="7" s="1"/>
  <c r="I45" i="7"/>
  <c r="K45" i="7" s="1"/>
  <c r="I44" i="7"/>
  <c r="K44" i="7" s="1"/>
  <c r="I43" i="7"/>
  <c r="K43" i="7" s="1"/>
  <c r="I42" i="7"/>
  <c r="K42" i="7" s="1"/>
  <c r="I41" i="7"/>
  <c r="K41" i="7" s="1"/>
  <c r="I40" i="7"/>
  <c r="K40" i="7" s="1"/>
  <c r="I39" i="7"/>
  <c r="K39" i="7" s="1"/>
  <c r="I38" i="7"/>
  <c r="K38" i="7" s="1"/>
  <c r="I37" i="7"/>
  <c r="K37" i="7" s="1"/>
  <c r="I36" i="7"/>
  <c r="K36" i="7" s="1"/>
  <c r="I35" i="7"/>
  <c r="K35" i="7" s="1"/>
  <c r="I34" i="7"/>
  <c r="K34" i="7" s="1"/>
  <c r="I33" i="7"/>
  <c r="K33" i="7" s="1"/>
  <c r="I32" i="7"/>
  <c r="K32" i="7" s="1"/>
  <c r="I31" i="7"/>
  <c r="K31" i="7" s="1"/>
  <c r="I30" i="7"/>
  <c r="K30" i="7" s="1"/>
  <c r="I29" i="7"/>
  <c r="K29" i="7" s="1"/>
  <c r="I28" i="7"/>
  <c r="K28" i="7" s="1"/>
  <c r="I27" i="7"/>
  <c r="K27" i="7" s="1"/>
  <c r="I26" i="7"/>
  <c r="K26" i="7" s="1"/>
  <c r="I25" i="7"/>
  <c r="K25" i="7" s="1"/>
  <c r="I24" i="7"/>
  <c r="K24" i="7" s="1"/>
  <c r="I23" i="7"/>
  <c r="K23" i="7" s="1"/>
  <c r="I22" i="7"/>
  <c r="K22" i="7" s="1"/>
  <c r="I21" i="7"/>
  <c r="K21" i="7" s="1"/>
  <c r="I20" i="7"/>
  <c r="K20" i="7" s="1"/>
  <c r="I19" i="7"/>
  <c r="K19" i="7" s="1"/>
  <c r="I18" i="7"/>
  <c r="K18" i="7" s="1"/>
  <c r="I17" i="7"/>
  <c r="K17" i="7" s="1"/>
  <c r="I16" i="7"/>
  <c r="K16" i="7" s="1"/>
  <c r="K15" i="7"/>
  <c r="I15" i="7"/>
  <c r="I14" i="7"/>
  <c r="K14" i="7" s="1"/>
  <c r="I13" i="7"/>
  <c r="K13" i="7" s="1"/>
  <c r="I12" i="7"/>
  <c r="K12" i="7" s="1"/>
  <c r="I11" i="7"/>
  <c r="K11" i="7" s="1"/>
  <c r="I10" i="7"/>
  <c r="K10" i="7" s="1"/>
  <c r="I9" i="7"/>
  <c r="K9" i="7" s="1"/>
  <c r="I8" i="7"/>
  <c r="K8" i="7" s="1"/>
  <c r="I7" i="7"/>
  <c r="K7" i="7" s="1"/>
  <c r="I6" i="7"/>
  <c r="I5" i="7"/>
  <c r="K5" i="7" s="1"/>
  <c r="F31" i="4"/>
  <c r="F136" i="4" s="1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5" i="5"/>
  <c r="D157" i="5"/>
  <c r="E157" i="5" s="1"/>
  <c r="D156" i="5"/>
  <c r="E156" i="5" s="1"/>
  <c r="D155" i="5"/>
  <c r="E155" i="5" s="1"/>
  <c r="D154" i="5"/>
  <c r="E154" i="5" s="1"/>
  <c r="D153" i="5"/>
  <c r="E153" i="5" s="1"/>
  <c r="D152" i="5"/>
  <c r="E152" i="5" s="1"/>
  <c r="D151" i="5"/>
  <c r="E151" i="5" s="1"/>
  <c r="D150" i="5"/>
  <c r="E150" i="5" s="1"/>
  <c r="D149" i="5"/>
  <c r="E149" i="5" s="1"/>
  <c r="D148" i="5"/>
  <c r="E148" i="5" s="1"/>
  <c r="D147" i="5"/>
  <c r="E147" i="5" s="1"/>
  <c r="D146" i="5"/>
  <c r="E146" i="5" s="1"/>
  <c r="D145" i="5"/>
  <c r="E145" i="5" s="1"/>
  <c r="D144" i="5"/>
  <c r="E144" i="5" s="1"/>
  <c r="D143" i="5"/>
  <c r="E143" i="5" s="1"/>
  <c r="D142" i="5"/>
  <c r="E142" i="5" s="1"/>
  <c r="D141" i="5"/>
  <c r="E141" i="5" s="1"/>
  <c r="D140" i="5"/>
  <c r="E140" i="5" s="1"/>
  <c r="D139" i="5"/>
  <c r="E139" i="5" s="1"/>
  <c r="D138" i="5"/>
  <c r="E138" i="5" s="1"/>
  <c r="D137" i="5"/>
  <c r="E137" i="5" s="1"/>
  <c r="D136" i="5"/>
  <c r="E136" i="5" s="1"/>
  <c r="D135" i="5"/>
  <c r="E135" i="5" s="1"/>
  <c r="D134" i="5"/>
  <c r="E134" i="5" s="1"/>
  <c r="D133" i="5"/>
  <c r="E133" i="5" s="1"/>
  <c r="D132" i="5"/>
  <c r="E132" i="5" s="1"/>
  <c r="D131" i="5"/>
  <c r="E131" i="5" s="1"/>
  <c r="D130" i="5"/>
  <c r="E130" i="5" s="1"/>
  <c r="D129" i="5"/>
  <c r="E129" i="5" s="1"/>
  <c r="D128" i="5"/>
  <c r="E128" i="5" s="1"/>
  <c r="D127" i="5"/>
  <c r="E127" i="5" s="1"/>
  <c r="D126" i="5"/>
  <c r="E126" i="5" s="1"/>
  <c r="D125" i="5"/>
  <c r="E125" i="5" s="1"/>
  <c r="D124" i="5"/>
  <c r="E124" i="5" s="1"/>
  <c r="D123" i="5"/>
  <c r="E123" i="5" s="1"/>
  <c r="D122" i="5"/>
  <c r="E122" i="5" s="1"/>
  <c r="D121" i="5"/>
  <c r="E121" i="5" s="1"/>
  <c r="D120" i="5"/>
  <c r="E120" i="5" s="1"/>
  <c r="D119" i="5"/>
  <c r="E119" i="5" s="1"/>
  <c r="D118" i="5"/>
  <c r="E118" i="5" s="1"/>
  <c r="D117" i="5"/>
  <c r="E117" i="5" s="1"/>
  <c r="D116" i="5"/>
  <c r="E116" i="5" s="1"/>
  <c r="D115" i="5"/>
  <c r="E115" i="5" s="1"/>
  <c r="D114" i="5"/>
  <c r="E114" i="5" s="1"/>
  <c r="D113" i="5"/>
  <c r="E113" i="5" s="1"/>
  <c r="D112" i="5"/>
  <c r="E112" i="5" s="1"/>
  <c r="D111" i="5"/>
  <c r="E111" i="5" s="1"/>
  <c r="D110" i="5"/>
  <c r="E110" i="5" s="1"/>
  <c r="D109" i="5"/>
  <c r="E109" i="5" s="1"/>
  <c r="D108" i="5"/>
  <c r="E108" i="5" s="1"/>
  <c r="D107" i="5"/>
  <c r="E107" i="5" s="1"/>
  <c r="D106" i="5"/>
  <c r="E106" i="5" s="1"/>
  <c r="D105" i="5"/>
  <c r="E105" i="5" s="1"/>
  <c r="D104" i="5"/>
  <c r="E104" i="5" s="1"/>
  <c r="D103" i="5"/>
  <c r="E103" i="5" s="1"/>
  <c r="D102" i="5"/>
  <c r="E102" i="5" s="1"/>
  <c r="D101" i="5"/>
  <c r="E101" i="5" s="1"/>
  <c r="D100" i="5"/>
  <c r="E100" i="5" s="1"/>
  <c r="D99" i="5"/>
  <c r="E99" i="5" s="1"/>
  <c r="D98" i="5"/>
  <c r="E98" i="5" s="1"/>
  <c r="D97" i="5"/>
  <c r="E97" i="5" s="1"/>
  <c r="D96" i="5"/>
  <c r="E96" i="5" s="1"/>
  <c r="D95" i="5"/>
  <c r="E95" i="5" s="1"/>
  <c r="D94" i="5"/>
  <c r="E94" i="5" s="1"/>
  <c r="D93" i="5"/>
  <c r="E93" i="5" s="1"/>
  <c r="D92" i="5"/>
  <c r="E92" i="5" s="1"/>
  <c r="D91" i="5"/>
  <c r="E91" i="5" s="1"/>
  <c r="D90" i="5"/>
  <c r="E90" i="5" s="1"/>
  <c r="D89" i="5"/>
  <c r="E89" i="5" s="1"/>
  <c r="D88" i="5"/>
  <c r="E88" i="5" s="1"/>
  <c r="D87" i="5"/>
  <c r="E87" i="5" s="1"/>
  <c r="D86" i="5"/>
  <c r="E86" i="5" s="1"/>
  <c r="D85" i="5"/>
  <c r="E85" i="5" s="1"/>
  <c r="D84" i="5"/>
  <c r="E84" i="5" s="1"/>
  <c r="D83" i="5"/>
  <c r="E83" i="5" s="1"/>
  <c r="D82" i="5"/>
  <c r="E82" i="5" s="1"/>
  <c r="D81" i="5"/>
  <c r="E81" i="5" s="1"/>
  <c r="D80" i="5"/>
  <c r="E80" i="5" s="1"/>
  <c r="D79" i="5"/>
  <c r="E79" i="5" s="1"/>
  <c r="D78" i="5"/>
  <c r="E78" i="5" s="1"/>
  <c r="D77" i="5"/>
  <c r="E77" i="5" s="1"/>
  <c r="D76" i="5"/>
  <c r="E76" i="5" s="1"/>
  <c r="D75" i="5"/>
  <c r="E75" i="5" s="1"/>
  <c r="D74" i="5"/>
  <c r="E74" i="5" s="1"/>
  <c r="D73" i="5"/>
  <c r="E73" i="5" s="1"/>
  <c r="D72" i="5"/>
  <c r="E72" i="5" s="1"/>
  <c r="D71" i="5"/>
  <c r="E71" i="5" s="1"/>
  <c r="D70" i="5"/>
  <c r="E70" i="5" s="1"/>
  <c r="D69" i="5"/>
  <c r="E69" i="5" s="1"/>
  <c r="D68" i="5"/>
  <c r="E68" i="5" s="1"/>
  <c r="D67" i="5"/>
  <c r="E67" i="5" s="1"/>
  <c r="D66" i="5"/>
  <c r="E66" i="5" s="1"/>
  <c r="D65" i="5"/>
  <c r="E65" i="5" s="1"/>
  <c r="D64" i="5"/>
  <c r="E64" i="5" s="1"/>
  <c r="D63" i="5"/>
  <c r="E63" i="5" s="1"/>
  <c r="D62" i="5"/>
  <c r="E62" i="5" s="1"/>
  <c r="D61" i="5"/>
  <c r="E61" i="5" s="1"/>
  <c r="D60" i="5"/>
  <c r="E60" i="5" s="1"/>
  <c r="D59" i="5"/>
  <c r="E59" i="5" s="1"/>
  <c r="D58" i="5"/>
  <c r="E58" i="5" s="1"/>
  <c r="D57" i="5"/>
  <c r="E57" i="5" s="1"/>
  <c r="D56" i="5"/>
  <c r="E56" i="5" s="1"/>
  <c r="D55" i="5"/>
  <c r="E55" i="5" s="1"/>
  <c r="D54" i="5"/>
  <c r="E54" i="5" s="1"/>
  <c r="D53" i="5"/>
  <c r="E53" i="5" s="1"/>
  <c r="D52" i="5"/>
  <c r="E52" i="5" s="1"/>
  <c r="D51" i="5"/>
  <c r="E51" i="5" s="1"/>
  <c r="D50" i="5"/>
  <c r="E50" i="5" s="1"/>
  <c r="D49" i="5"/>
  <c r="E49" i="5" s="1"/>
  <c r="D48" i="5"/>
  <c r="E48" i="5" s="1"/>
  <c r="D47" i="5"/>
  <c r="E47" i="5" s="1"/>
  <c r="D46" i="5"/>
  <c r="E46" i="5" s="1"/>
  <c r="D45" i="5"/>
  <c r="E45" i="5" s="1"/>
  <c r="D44" i="5"/>
  <c r="E44" i="5" s="1"/>
  <c r="D43" i="5"/>
  <c r="E43" i="5" s="1"/>
  <c r="D42" i="5"/>
  <c r="E42" i="5" s="1"/>
  <c r="D41" i="5"/>
  <c r="E41" i="5" s="1"/>
  <c r="D40" i="5"/>
  <c r="E40" i="5" s="1"/>
  <c r="D39" i="5"/>
  <c r="E39" i="5" s="1"/>
  <c r="D38" i="5"/>
  <c r="E38" i="5" s="1"/>
  <c r="D37" i="5"/>
  <c r="E37" i="5" s="1"/>
  <c r="D36" i="5"/>
  <c r="E36" i="5" s="1"/>
  <c r="D35" i="5"/>
  <c r="E35" i="5" s="1"/>
  <c r="D34" i="5"/>
  <c r="E34" i="5" s="1"/>
  <c r="D33" i="5"/>
  <c r="E33" i="5" s="1"/>
  <c r="D32" i="5"/>
  <c r="E32" i="5" s="1"/>
  <c r="D31" i="5"/>
  <c r="E31" i="5" s="1"/>
  <c r="D30" i="5"/>
  <c r="E30" i="5" s="1"/>
  <c r="D29" i="5"/>
  <c r="E29" i="5" s="1"/>
  <c r="D28" i="5"/>
  <c r="E28" i="5" s="1"/>
  <c r="D27" i="5"/>
  <c r="E27" i="5" s="1"/>
  <c r="D26" i="5"/>
  <c r="E26" i="5" s="1"/>
  <c r="D25" i="5"/>
  <c r="E25" i="5" s="1"/>
  <c r="D24" i="5"/>
  <c r="E24" i="5" s="1"/>
  <c r="D23" i="5"/>
  <c r="E23" i="5" s="1"/>
  <c r="D22" i="5"/>
  <c r="E22" i="5" s="1"/>
  <c r="D21" i="5"/>
  <c r="E21" i="5" s="1"/>
  <c r="D20" i="5"/>
  <c r="E20" i="5" s="1"/>
  <c r="D19" i="5"/>
  <c r="E19" i="5" s="1"/>
  <c r="D18" i="5"/>
  <c r="E18" i="5" s="1"/>
  <c r="D17" i="5"/>
  <c r="E17" i="5" s="1"/>
  <c r="D16" i="5"/>
  <c r="E16" i="5" s="1"/>
  <c r="D15" i="5"/>
  <c r="E15" i="5" s="1"/>
  <c r="D14" i="5"/>
  <c r="E14" i="5" s="1"/>
  <c r="D13" i="5"/>
  <c r="E13" i="5" s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D3" i="5"/>
  <c r="I148" i="4"/>
  <c r="K148" i="4" s="1"/>
  <c r="I147" i="4"/>
  <c r="K147" i="4" s="1"/>
  <c r="I142" i="4"/>
  <c r="K142" i="4" s="1"/>
  <c r="I141" i="4"/>
  <c r="J136" i="4"/>
  <c r="I135" i="4"/>
  <c r="K135" i="4" s="1"/>
  <c r="I134" i="4"/>
  <c r="K134" i="4" s="1"/>
  <c r="I133" i="4"/>
  <c r="K133" i="4" s="1"/>
  <c r="K132" i="4"/>
  <c r="I132" i="4"/>
  <c r="I131" i="4"/>
  <c r="K131" i="4" s="1"/>
  <c r="I130" i="4"/>
  <c r="K130" i="4" s="1"/>
  <c r="I129" i="4"/>
  <c r="K129" i="4" s="1"/>
  <c r="I128" i="4"/>
  <c r="K128" i="4" s="1"/>
  <c r="I127" i="4"/>
  <c r="K127" i="4" s="1"/>
  <c r="I126" i="4"/>
  <c r="K126" i="4" s="1"/>
  <c r="I125" i="4"/>
  <c r="K125" i="4" s="1"/>
  <c r="I124" i="4"/>
  <c r="K124" i="4" s="1"/>
  <c r="I123" i="4"/>
  <c r="K123" i="4" s="1"/>
  <c r="I122" i="4"/>
  <c r="K122" i="4" s="1"/>
  <c r="I121" i="4"/>
  <c r="K121" i="4" s="1"/>
  <c r="I120" i="4"/>
  <c r="K120" i="4" s="1"/>
  <c r="I119" i="4"/>
  <c r="K119" i="4" s="1"/>
  <c r="I118" i="4"/>
  <c r="K118" i="4" s="1"/>
  <c r="I117" i="4"/>
  <c r="K117" i="4" s="1"/>
  <c r="I116" i="4"/>
  <c r="K116" i="4" s="1"/>
  <c r="I115" i="4"/>
  <c r="K115" i="4" s="1"/>
  <c r="I114" i="4"/>
  <c r="K114" i="4" s="1"/>
  <c r="I113" i="4"/>
  <c r="K113" i="4" s="1"/>
  <c r="I112" i="4"/>
  <c r="K112" i="4" s="1"/>
  <c r="I111" i="4"/>
  <c r="K111" i="4" s="1"/>
  <c r="I110" i="4"/>
  <c r="K110" i="4" s="1"/>
  <c r="I109" i="4"/>
  <c r="K109" i="4" s="1"/>
  <c r="K108" i="4"/>
  <c r="I108" i="4"/>
  <c r="I107" i="4"/>
  <c r="K107" i="4" s="1"/>
  <c r="I106" i="4"/>
  <c r="K106" i="4" s="1"/>
  <c r="I105" i="4"/>
  <c r="K105" i="4" s="1"/>
  <c r="I104" i="4"/>
  <c r="K104" i="4" s="1"/>
  <c r="I103" i="4"/>
  <c r="K103" i="4" s="1"/>
  <c r="I102" i="4"/>
  <c r="K102" i="4" s="1"/>
  <c r="I101" i="4"/>
  <c r="K101" i="4" s="1"/>
  <c r="I100" i="4"/>
  <c r="K100" i="4" s="1"/>
  <c r="I99" i="4"/>
  <c r="K99" i="4" s="1"/>
  <c r="I98" i="4"/>
  <c r="K98" i="4" s="1"/>
  <c r="I97" i="4"/>
  <c r="K97" i="4" s="1"/>
  <c r="I96" i="4"/>
  <c r="K96" i="4" s="1"/>
  <c r="I95" i="4"/>
  <c r="K95" i="4" s="1"/>
  <c r="I94" i="4"/>
  <c r="K94" i="4" s="1"/>
  <c r="I93" i="4"/>
  <c r="K93" i="4" s="1"/>
  <c r="I92" i="4"/>
  <c r="K92" i="4" s="1"/>
  <c r="I91" i="4"/>
  <c r="K91" i="4" s="1"/>
  <c r="I90" i="4"/>
  <c r="K90" i="4" s="1"/>
  <c r="I89" i="4"/>
  <c r="K89" i="4" s="1"/>
  <c r="I88" i="4"/>
  <c r="K88" i="4" s="1"/>
  <c r="I87" i="4"/>
  <c r="K87" i="4" s="1"/>
  <c r="I86" i="4"/>
  <c r="K86" i="4" s="1"/>
  <c r="I85" i="4"/>
  <c r="K85" i="4" s="1"/>
  <c r="I84" i="4"/>
  <c r="K84" i="4" s="1"/>
  <c r="I83" i="4"/>
  <c r="K83" i="4" s="1"/>
  <c r="I82" i="4"/>
  <c r="K82" i="4" s="1"/>
  <c r="I81" i="4"/>
  <c r="K81" i="4" s="1"/>
  <c r="I80" i="4"/>
  <c r="K80" i="4" s="1"/>
  <c r="I79" i="4"/>
  <c r="K79" i="4" s="1"/>
  <c r="I78" i="4"/>
  <c r="K78" i="4" s="1"/>
  <c r="I77" i="4"/>
  <c r="K77" i="4" s="1"/>
  <c r="I76" i="4"/>
  <c r="K76" i="4" s="1"/>
  <c r="I75" i="4"/>
  <c r="K75" i="4" s="1"/>
  <c r="I74" i="4"/>
  <c r="K74" i="4" s="1"/>
  <c r="I73" i="4"/>
  <c r="K73" i="4" s="1"/>
  <c r="I72" i="4"/>
  <c r="K72" i="4" s="1"/>
  <c r="I71" i="4"/>
  <c r="K71" i="4" s="1"/>
  <c r="I70" i="4"/>
  <c r="K70" i="4" s="1"/>
  <c r="I69" i="4"/>
  <c r="K69" i="4" s="1"/>
  <c r="I68" i="4"/>
  <c r="K68" i="4" s="1"/>
  <c r="I67" i="4"/>
  <c r="K67" i="4" s="1"/>
  <c r="I66" i="4"/>
  <c r="K66" i="4" s="1"/>
  <c r="I65" i="4"/>
  <c r="K65" i="4" s="1"/>
  <c r="I64" i="4"/>
  <c r="K64" i="4" s="1"/>
  <c r="I63" i="4"/>
  <c r="K63" i="4" s="1"/>
  <c r="I62" i="4"/>
  <c r="K62" i="4" s="1"/>
  <c r="I61" i="4"/>
  <c r="K61" i="4" s="1"/>
  <c r="I60" i="4"/>
  <c r="K60" i="4" s="1"/>
  <c r="I59" i="4"/>
  <c r="K59" i="4" s="1"/>
  <c r="I58" i="4"/>
  <c r="K58" i="4" s="1"/>
  <c r="I57" i="4"/>
  <c r="K57" i="4" s="1"/>
  <c r="I56" i="4"/>
  <c r="K56" i="4" s="1"/>
  <c r="I55" i="4"/>
  <c r="K55" i="4" s="1"/>
  <c r="I54" i="4"/>
  <c r="K54" i="4" s="1"/>
  <c r="I53" i="4"/>
  <c r="K53" i="4" s="1"/>
  <c r="I52" i="4"/>
  <c r="K52" i="4" s="1"/>
  <c r="I51" i="4"/>
  <c r="K51" i="4" s="1"/>
  <c r="I50" i="4"/>
  <c r="K50" i="4" s="1"/>
  <c r="I49" i="4"/>
  <c r="K49" i="4" s="1"/>
  <c r="I48" i="4"/>
  <c r="K48" i="4" s="1"/>
  <c r="I47" i="4"/>
  <c r="K47" i="4" s="1"/>
  <c r="I46" i="4"/>
  <c r="K46" i="4" s="1"/>
  <c r="I45" i="4"/>
  <c r="K45" i="4" s="1"/>
  <c r="I44" i="4"/>
  <c r="K44" i="4" s="1"/>
  <c r="I43" i="4"/>
  <c r="K43" i="4" s="1"/>
  <c r="I42" i="4"/>
  <c r="K42" i="4" s="1"/>
  <c r="I41" i="4"/>
  <c r="K41" i="4" s="1"/>
  <c r="I40" i="4"/>
  <c r="K40" i="4" s="1"/>
  <c r="I39" i="4"/>
  <c r="K39" i="4" s="1"/>
  <c r="I38" i="4"/>
  <c r="K38" i="4" s="1"/>
  <c r="I37" i="4"/>
  <c r="K37" i="4" s="1"/>
  <c r="I36" i="4"/>
  <c r="K36" i="4" s="1"/>
  <c r="I35" i="4"/>
  <c r="K35" i="4" s="1"/>
  <c r="I34" i="4"/>
  <c r="K34" i="4" s="1"/>
  <c r="I33" i="4"/>
  <c r="K33" i="4" s="1"/>
  <c r="I32" i="4"/>
  <c r="K32" i="4" s="1"/>
  <c r="I31" i="4"/>
  <c r="K31" i="4" s="1"/>
  <c r="I30" i="4"/>
  <c r="K30" i="4" s="1"/>
  <c r="I29" i="4"/>
  <c r="K29" i="4" s="1"/>
  <c r="I28" i="4"/>
  <c r="K28" i="4" s="1"/>
  <c r="I27" i="4"/>
  <c r="K27" i="4" s="1"/>
  <c r="I26" i="4"/>
  <c r="K26" i="4" s="1"/>
  <c r="I25" i="4"/>
  <c r="K25" i="4" s="1"/>
  <c r="I24" i="4"/>
  <c r="K24" i="4" s="1"/>
  <c r="I23" i="4"/>
  <c r="K23" i="4" s="1"/>
  <c r="I22" i="4"/>
  <c r="K22" i="4" s="1"/>
  <c r="I21" i="4"/>
  <c r="K21" i="4" s="1"/>
  <c r="I20" i="4"/>
  <c r="K20" i="4" s="1"/>
  <c r="I19" i="4"/>
  <c r="K19" i="4" s="1"/>
  <c r="I18" i="4"/>
  <c r="K18" i="4" s="1"/>
  <c r="I17" i="4"/>
  <c r="K17" i="4" s="1"/>
  <c r="I16" i="4"/>
  <c r="K16" i="4" s="1"/>
  <c r="I15" i="4"/>
  <c r="K15" i="4" s="1"/>
  <c r="I14" i="4"/>
  <c r="K14" i="4" s="1"/>
  <c r="I13" i="4"/>
  <c r="K13" i="4" s="1"/>
  <c r="I12" i="4"/>
  <c r="K12" i="4" s="1"/>
  <c r="I11" i="4"/>
  <c r="K11" i="4" s="1"/>
  <c r="I10" i="4"/>
  <c r="K10" i="4" s="1"/>
  <c r="I9" i="4"/>
  <c r="K9" i="4" s="1"/>
  <c r="I8" i="4"/>
  <c r="K8" i="4" s="1"/>
  <c r="I7" i="4"/>
  <c r="K7" i="4" s="1"/>
  <c r="I6" i="4"/>
  <c r="K6" i="4" s="1"/>
  <c r="I5" i="4"/>
  <c r="H102" i="2"/>
  <c r="E39" i="2"/>
  <c r="E51" i="2"/>
  <c r="E57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3" i="2"/>
  <c r="H104" i="2"/>
  <c r="H105" i="2"/>
  <c r="H106" i="2"/>
  <c r="H107" i="2"/>
  <c r="H108" i="2"/>
  <c r="H4" i="2"/>
  <c r="D108" i="2"/>
  <c r="E108" i="2" s="1"/>
  <c r="D107" i="2"/>
  <c r="E107" i="2" s="1"/>
  <c r="D106" i="2"/>
  <c r="E106" i="2" s="1"/>
  <c r="D105" i="2"/>
  <c r="E105" i="2" s="1"/>
  <c r="D104" i="2"/>
  <c r="E104" i="2" s="1"/>
  <c r="D103" i="2"/>
  <c r="E103" i="2" s="1"/>
  <c r="D102" i="2"/>
  <c r="E102" i="2" s="1"/>
  <c r="D101" i="2"/>
  <c r="E101" i="2" s="1"/>
  <c r="D100" i="2"/>
  <c r="E100" i="2" s="1"/>
  <c r="D99" i="2"/>
  <c r="E99" i="2" s="1"/>
  <c r="D98" i="2"/>
  <c r="E98" i="2" s="1"/>
  <c r="D97" i="2"/>
  <c r="E97" i="2" s="1"/>
  <c r="D96" i="2"/>
  <c r="E96" i="2" s="1"/>
  <c r="D95" i="2"/>
  <c r="E95" i="2" s="1"/>
  <c r="D94" i="2"/>
  <c r="E94" i="2" s="1"/>
  <c r="D93" i="2"/>
  <c r="E93" i="2" s="1"/>
  <c r="D92" i="2"/>
  <c r="E92" i="2" s="1"/>
  <c r="D91" i="2"/>
  <c r="E91" i="2" s="1"/>
  <c r="D90" i="2"/>
  <c r="E90" i="2" s="1"/>
  <c r="D89" i="2"/>
  <c r="E89" i="2" s="1"/>
  <c r="D88" i="2"/>
  <c r="E88" i="2" s="1"/>
  <c r="D87" i="2"/>
  <c r="E87" i="2" s="1"/>
  <c r="D86" i="2"/>
  <c r="E86" i="2" s="1"/>
  <c r="D85" i="2"/>
  <c r="E85" i="2" s="1"/>
  <c r="D84" i="2"/>
  <c r="E84" i="2" s="1"/>
  <c r="D83" i="2"/>
  <c r="E83" i="2" s="1"/>
  <c r="D82" i="2"/>
  <c r="E82" i="2" s="1"/>
  <c r="D81" i="2"/>
  <c r="E81" i="2" s="1"/>
  <c r="D80" i="2"/>
  <c r="E80" i="2" s="1"/>
  <c r="D79" i="2"/>
  <c r="E79" i="2" s="1"/>
  <c r="D78" i="2"/>
  <c r="E78" i="2" s="1"/>
  <c r="D77" i="2"/>
  <c r="E77" i="2" s="1"/>
  <c r="D76" i="2"/>
  <c r="E76" i="2" s="1"/>
  <c r="D75" i="2"/>
  <c r="E75" i="2" s="1"/>
  <c r="D74" i="2"/>
  <c r="E74" i="2" s="1"/>
  <c r="D73" i="2"/>
  <c r="E73" i="2" s="1"/>
  <c r="D72" i="2"/>
  <c r="E72" i="2" s="1"/>
  <c r="D71" i="2"/>
  <c r="E71" i="2" s="1"/>
  <c r="D70" i="2"/>
  <c r="E70" i="2" s="1"/>
  <c r="D69" i="2"/>
  <c r="E69" i="2" s="1"/>
  <c r="D68" i="2"/>
  <c r="E68" i="2" s="1"/>
  <c r="D67" i="2"/>
  <c r="E67" i="2" s="1"/>
  <c r="D66" i="2"/>
  <c r="E66" i="2" s="1"/>
  <c r="D65" i="2"/>
  <c r="E65" i="2" s="1"/>
  <c r="D64" i="2"/>
  <c r="E64" i="2" s="1"/>
  <c r="D63" i="2"/>
  <c r="E63" i="2" s="1"/>
  <c r="D62" i="2"/>
  <c r="E62" i="2" s="1"/>
  <c r="D61" i="2"/>
  <c r="E61" i="2" s="1"/>
  <c r="D60" i="2"/>
  <c r="E60" i="2" s="1"/>
  <c r="D59" i="2"/>
  <c r="E59" i="2" s="1"/>
  <c r="D58" i="2"/>
  <c r="E58" i="2" s="1"/>
  <c r="D57" i="2"/>
  <c r="D56" i="2"/>
  <c r="E56" i="2" s="1"/>
  <c r="D55" i="2"/>
  <c r="E55" i="2" s="1"/>
  <c r="D54" i="2"/>
  <c r="E54" i="2" s="1"/>
  <c r="D53" i="2"/>
  <c r="E53" i="2" s="1"/>
  <c r="D52" i="2"/>
  <c r="E52" i="2" s="1"/>
  <c r="D51" i="2"/>
  <c r="D50" i="2"/>
  <c r="E50" i="2" s="1"/>
  <c r="D49" i="2"/>
  <c r="E49" i="2" s="1"/>
  <c r="D48" i="2"/>
  <c r="E48" i="2" s="1"/>
  <c r="D47" i="2"/>
  <c r="E47" i="2" s="1"/>
  <c r="D46" i="2"/>
  <c r="E46" i="2" s="1"/>
  <c r="D45" i="2"/>
  <c r="E45" i="2" s="1"/>
  <c r="D44" i="2"/>
  <c r="E44" i="2" s="1"/>
  <c r="D43" i="2"/>
  <c r="E43" i="2" s="1"/>
  <c r="D42" i="2"/>
  <c r="E42" i="2" s="1"/>
  <c r="D41" i="2"/>
  <c r="E41" i="2" s="1"/>
  <c r="D40" i="2"/>
  <c r="E40" i="2" s="1"/>
  <c r="D39" i="2"/>
  <c r="D38" i="2"/>
  <c r="E38" i="2" s="1"/>
  <c r="D37" i="2"/>
  <c r="E37" i="2" s="1"/>
  <c r="D36" i="2"/>
  <c r="E36" i="2" s="1"/>
  <c r="D35" i="2"/>
  <c r="E35" i="2" s="1"/>
  <c r="D34" i="2"/>
  <c r="E34" i="2" s="1"/>
  <c r="D33" i="2"/>
  <c r="E33" i="2" s="1"/>
  <c r="D32" i="2"/>
  <c r="E32" i="2" s="1"/>
  <c r="D31" i="2"/>
  <c r="E31" i="2" s="1"/>
  <c r="D30" i="2"/>
  <c r="E30" i="2" s="1"/>
  <c r="D29" i="2"/>
  <c r="E29" i="2" s="1"/>
  <c r="D28" i="2"/>
  <c r="E28" i="2" s="1"/>
  <c r="D27" i="2"/>
  <c r="E27" i="2" s="1"/>
  <c r="D26" i="2"/>
  <c r="E26" i="2" s="1"/>
  <c r="D25" i="2"/>
  <c r="E25" i="2" s="1"/>
  <c r="D24" i="2"/>
  <c r="E24" i="2" s="1"/>
  <c r="D23" i="2"/>
  <c r="E23" i="2" s="1"/>
  <c r="D22" i="2"/>
  <c r="E22" i="2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D3" i="2"/>
  <c r="I147" i="1"/>
  <c r="K147" i="1" s="1"/>
  <c r="I145" i="1"/>
  <c r="K145" i="1" s="1"/>
  <c r="I144" i="1"/>
  <c r="K144" i="1" s="1"/>
  <c r="I143" i="1"/>
  <c r="K143" i="1" s="1"/>
  <c r="I142" i="1"/>
  <c r="K142" i="1" s="1"/>
  <c r="J141" i="1"/>
  <c r="G141" i="1"/>
  <c r="J136" i="1"/>
  <c r="I135" i="1"/>
  <c r="K135" i="1" s="1"/>
  <c r="I134" i="1"/>
  <c r="K134" i="1" s="1"/>
  <c r="I133" i="1"/>
  <c r="K133" i="1" s="1"/>
  <c r="I132" i="1"/>
  <c r="K132" i="1" s="1"/>
  <c r="I131" i="1"/>
  <c r="K131" i="1" s="1"/>
  <c r="I130" i="1"/>
  <c r="K130" i="1" s="1"/>
  <c r="I129" i="1"/>
  <c r="K129" i="1" s="1"/>
  <c r="I128" i="1"/>
  <c r="K128" i="1" s="1"/>
  <c r="I127" i="1"/>
  <c r="K127" i="1" s="1"/>
  <c r="I126" i="1"/>
  <c r="K126" i="1" s="1"/>
  <c r="I125" i="1"/>
  <c r="K125" i="1" s="1"/>
  <c r="I124" i="1"/>
  <c r="K124" i="1" s="1"/>
  <c r="I123" i="1"/>
  <c r="K123" i="1" s="1"/>
  <c r="I122" i="1"/>
  <c r="K122" i="1" s="1"/>
  <c r="I121" i="1"/>
  <c r="K121" i="1" s="1"/>
  <c r="I120" i="1"/>
  <c r="K120" i="1" s="1"/>
  <c r="I119" i="1"/>
  <c r="K119" i="1" s="1"/>
  <c r="I118" i="1"/>
  <c r="K118" i="1" s="1"/>
  <c r="I117" i="1"/>
  <c r="K117" i="1" s="1"/>
  <c r="I116" i="1"/>
  <c r="K116" i="1" s="1"/>
  <c r="I115" i="1"/>
  <c r="K115" i="1" s="1"/>
  <c r="I114" i="1"/>
  <c r="K114" i="1" s="1"/>
  <c r="I113" i="1"/>
  <c r="K113" i="1" s="1"/>
  <c r="I112" i="1"/>
  <c r="K112" i="1" s="1"/>
  <c r="I111" i="1"/>
  <c r="K111" i="1" s="1"/>
  <c r="I110" i="1"/>
  <c r="K110" i="1" s="1"/>
  <c r="I109" i="1"/>
  <c r="K109" i="1" s="1"/>
  <c r="I108" i="1"/>
  <c r="K108" i="1" s="1"/>
  <c r="I107" i="1"/>
  <c r="K107" i="1" s="1"/>
  <c r="I106" i="1"/>
  <c r="K106" i="1" s="1"/>
  <c r="I105" i="1"/>
  <c r="K105" i="1" s="1"/>
  <c r="I104" i="1"/>
  <c r="K104" i="1" s="1"/>
  <c r="I103" i="1"/>
  <c r="K103" i="1" s="1"/>
  <c r="I102" i="1"/>
  <c r="K102" i="1" s="1"/>
  <c r="I101" i="1"/>
  <c r="K101" i="1" s="1"/>
  <c r="I100" i="1"/>
  <c r="K100" i="1" s="1"/>
  <c r="K99" i="1"/>
  <c r="I99" i="1"/>
  <c r="I98" i="1"/>
  <c r="K98" i="1" s="1"/>
  <c r="I97" i="1"/>
  <c r="K97" i="1" s="1"/>
  <c r="I96" i="1"/>
  <c r="K96" i="1" s="1"/>
  <c r="I95" i="1"/>
  <c r="K95" i="1" s="1"/>
  <c r="I94" i="1"/>
  <c r="K94" i="1" s="1"/>
  <c r="I93" i="1"/>
  <c r="K93" i="1" s="1"/>
  <c r="I92" i="1"/>
  <c r="K92" i="1" s="1"/>
  <c r="I91" i="1"/>
  <c r="K91" i="1" s="1"/>
  <c r="I90" i="1"/>
  <c r="K90" i="1" s="1"/>
  <c r="I89" i="1"/>
  <c r="K89" i="1" s="1"/>
  <c r="I88" i="1"/>
  <c r="K88" i="1" s="1"/>
  <c r="I87" i="1"/>
  <c r="I86" i="1"/>
  <c r="K86" i="1" s="1"/>
  <c r="I85" i="1"/>
  <c r="K85" i="1" s="1"/>
  <c r="I84" i="1"/>
  <c r="K84" i="1" s="1"/>
  <c r="I83" i="1"/>
  <c r="K83" i="1" s="1"/>
  <c r="I82" i="1"/>
  <c r="K82" i="1" s="1"/>
  <c r="I81" i="1"/>
  <c r="K81" i="1" s="1"/>
  <c r="I80" i="1"/>
  <c r="K80" i="1" s="1"/>
  <c r="I79" i="1"/>
  <c r="K79" i="1" s="1"/>
  <c r="I78" i="1"/>
  <c r="K78" i="1" s="1"/>
  <c r="I77" i="1"/>
  <c r="K77" i="1" s="1"/>
  <c r="I76" i="1"/>
  <c r="K76" i="1" s="1"/>
  <c r="I75" i="1"/>
  <c r="K75" i="1" s="1"/>
  <c r="I74" i="1"/>
  <c r="K74" i="1" s="1"/>
  <c r="I73" i="1"/>
  <c r="K73" i="1" s="1"/>
  <c r="I72" i="1"/>
  <c r="K72" i="1" s="1"/>
  <c r="I71" i="1"/>
  <c r="K71" i="1" s="1"/>
  <c r="I70" i="1"/>
  <c r="K70" i="1" s="1"/>
  <c r="I69" i="1"/>
  <c r="K69" i="1" s="1"/>
  <c r="I68" i="1"/>
  <c r="K68" i="1" s="1"/>
  <c r="I67" i="1"/>
  <c r="K67" i="1" s="1"/>
  <c r="I66" i="1"/>
  <c r="K66" i="1" s="1"/>
  <c r="I65" i="1"/>
  <c r="K65" i="1" s="1"/>
  <c r="I64" i="1"/>
  <c r="K64" i="1" s="1"/>
  <c r="I63" i="1"/>
  <c r="K63" i="1" s="1"/>
  <c r="I62" i="1"/>
  <c r="K62" i="1" s="1"/>
  <c r="I61" i="1"/>
  <c r="K61" i="1" s="1"/>
  <c r="I60" i="1"/>
  <c r="K60" i="1" s="1"/>
  <c r="I59" i="1"/>
  <c r="K59" i="1" s="1"/>
  <c r="I58" i="1"/>
  <c r="K58" i="1" s="1"/>
  <c r="I57" i="1"/>
  <c r="K57" i="1" s="1"/>
  <c r="I56" i="1"/>
  <c r="K56" i="1" s="1"/>
  <c r="I55" i="1"/>
  <c r="K55" i="1" s="1"/>
  <c r="I54" i="1"/>
  <c r="K54" i="1" s="1"/>
  <c r="I53" i="1"/>
  <c r="K53" i="1" s="1"/>
  <c r="I52" i="1"/>
  <c r="K52" i="1" s="1"/>
  <c r="I51" i="1"/>
  <c r="K51" i="1" s="1"/>
  <c r="I50" i="1"/>
  <c r="K50" i="1" s="1"/>
  <c r="I49" i="1"/>
  <c r="K49" i="1" s="1"/>
  <c r="I48" i="1"/>
  <c r="K48" i="1" s="1"/>
  <c r="I47" i="1"/>
  <c r="K47" i="1" s="1"/>
  <c r="I46" i="1"/>
  <c r="K46" i="1" s="1"/>
  <c r="I45" i="1"/>
  <c r="K45" i="1" s="1"/>
  <c r="I44" i="1"/>
  <c r="K44" i="1" s="1"/>
  <c r="I43" i="1"/>
  <c r="K43" i="1" s="1"/>
  <c r="I42" i="1"/>
  <c r="K42" i="1" s="1"/>
  <c r="I41" i="1"/>
  <c r="K41" i="1" s="1"/>
  <c r="I40" i="1"/>
  <c r="K40" i="1" s="1"/>
  <c r="I39" i="1"/>
  <c r="K39" i="1" s="1"/>
  <c r="I38" i="1"/>
  <c r="K38" i="1" s="1"/>
  <c r="I37" i="1"/>
  <c r="K37" i="1" s="1"/>
  <c r="I36" i="1"/>
  <c r="K36" i="1" s="1"/>
  <c r="I35" i="1"/>
  <c r="K35" i="1" s="1"/>
  <c r="I34" i="1"/>
  <c r="K34" i="1" s="1"/>
  <c r="I33" i="1"/>
  <c r="K33" i="1" s="1"/>
  <c r="I32" i="1"/>
  <c r="K32" i="1" s="1"/>
  <c r="I31" i="1"/>
  <c r="K31" i="1" s="1"/>
  <c r="I30" i="1"/>
  <c r="K30" i="1" s="1"/>
  <c r="I29" i="1"/>
  <c r="K29" i="1" s="1"/>
  <c r="I28" i="1"/>
  <c r="K28" i="1" s="1"/>
  <c r="I27" i="1"/>
  <c r="K27" i="1" s="1"/>
  <c r="I26" i="1"/>
  <c r="K26" i="1" s="1"/>
  <c r="I25" i="1"/>
  <c r="K25" i="1" s="1"/>
  <c r="I24" i="1"/>
  <c r="K24" i="1" s="1"/>
  <c r="I23" i="1"/>
  <c r="K23" i="1" s="1"/>
  <c r="I22" i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I14" i="1"/>
  <c r="K14" i="1" s="1"/>
  <c r="I13" i="1"/>
  <c r="K13" i="1" s="1"/>
  <c r="I12" i="1"/>
  <c r="K12" i="1" s="1"/>
  <c r="I11" i="1"/>
  <c r="K11" i="1" s="1"/>
  <c r="I10" i="1"/>
  <c r="K10" i="1" s="1"/>
  <c r="I9" i="1"/>
  <c r="K9" i="1" s="1"/>
  <c r="I8" i="1"/>
  <c r="K8" i="1" s="1"/>
  <c r="I7" i="1"/>
  <c r="K7" i="1" s="1"/>
  <c r="I6" i="1"/>
  <c r="K6" i="1" s="1"/>
  <c r="I5" i="1"/>
  <c r="E3" i="5" l="1"/>
  <c r="D162" i="5"/>
  <c r="E3" i="2"/>
  <c r="D114" i="2"/>
  <c r="I141" i="1"/>
  <c r="G148" i="1"/>
  <c r="I151" i="4"/>
  <c r="K87" i="1"/>
  <c r="K136" i="1" s="1"/>
  <c r="I136" i="1"/>
  <c r="I147" i="7"/>
  <c r="K141" i="7"/>
  <c r="I136" i="4"/>
  <c r="I136" i="7"/>
  <c r="K6" i="7"/>
  <c r="K136" i="7" s="1"/>
  <c r="F136" i="7"/>
  <c r="K141" i="4"/>
  <c r="K151" i="4" s="1"/>
  <c r="K5" i="4"/>
  <c r="K136" i="4" s="1"/>
  <c r="I148" i="1"/>
  <c r="K141" i="1"/>
  <c r="K148" i="1" s="1"/>
  <c r="K5" i="1"/>
  <c r="D193" i="8" l="1"/>
</calcChain>
</file>

<file path=xl/sharedStrings.xml><?xml version="1.0" encoding="utf-8"?>
<sst xmlns="http://schemas.openxmlformats.org/spreadsheetml/2006/main" count="11512" uniqueCount="4692">
  <si>
    <t>MES:</t>
  </si>
  <si>
    <t>FECHA</t>
  </si>
  <si>
    <t>Nº FACTURA</t>
  </si>
  <si>
    <t>PROVEEDOR</t>
  </si>
  <si>
    <t>CIF</t>
  </si>
  <si>
    <t>CONCEPTO DE LO FACTURADO</t>
  </si>
  <si>
    <t>BASE IMPONIBLE</t>
  </si>
  <si>
    <t>21% IVA</t>
  </si>
  <si>
    <t>10% IVA</t>
  </si>
  <si>
    <t>TOTAL IVA</t>
  </si>
  <si>
    <t>RETENCION</t>
  </si>
  <si>
    <t>TOTAL</t>
  </si>
  <si>
    <t>MARCOS RAMOS DOMINGUEZ</t>
  </si>
  <si>
    <t>53132839X</t>
  </si>
  <si>
    <t>ALQUILER C/ ASTURIAS</t>
  </si>
  <si>
    <t>CAVA-BEBIDA-VARIOS</t>
  </si>
  <si>
    <t>A28354520</t>
  </si>
  <si>
    <t>GASOLINA</t>
  </si>
  <si>
    <t>MARKOIL SAU</t>
  </si>
  <si>
    <t>A79209854</t>
  </si>
  <si>
    <t>B79140034</t>
  </si>
  <si>
    <t>B85280055</t>
  </si>
  <si>
    <t>AHORRAMAS SA</t>
  </si>
  <si>
    <t>A28600278</t>
  </si>
  <si>
    <t>B01618792</t>
  </si>
  <si>
    <t>HIELO</t>
  </si>
  <si>
    <t>CLIENTE</t>
  </si>
  <si>
    <t>NODIJU, S.L</t>
  </si>
  <si>
    <t>B- 87679643</t>
  </si>
  <si>
    <t>ALQUILER LOCAL C/ COMUNIDAD MADRID,75  MADRID</t>
  </si>
  <si>
    <t>SERVICIO LIMUSINA</t>
  </si>
  <si>
    <t>01/2024</t>
  </si>
  <si>
    <t xml:space="preserve"> CONCEPTO</t>
  </si>
  <si>
    <t>B. IMPONIBLE</t>
  </si>
  <si>
    <t>FORMA DE PAGO</t>
  </si>
  <si>
    <t xml:space="preserve">RESERVA </t>
  </si>
  <si>
    <t>LIMUSINAS</t>
  </si>
  <si>
    <t>EXTRAS</t>
  </si>
  <si>
    <t>CONCEPTO</t>
  </si>
  <si>
    <t>COMISIONABLE</t>
  </si>
  <si>
    <t>PAGADO</t>
  </si>
  <si>
    <t>TRANSFERENCIA</t>
  </si>
  <si>
    <t>EFECTIVO</t>
  </si>
  <si>
    <t>GESTION SERVICIO ALQUILER LIMUSINA</t>
  </si>
  <si>
    <t>COLABORADOR</t>
  </si>
  <si>
    <t>PACK CUMPLEAÑOS</t>
  </si>
  <si>
    <t>FS2024XT 000001</t>
  </si>
  <si>
    <t>FS2024XT 000002</t>
  </si>
  <si>
    <t>FS2024XT 000003</t>
  </si>
  <si>
    <t>FS2024XT 000004</t>
  </si>
  <si>
    <t>FS2024XT 000005</t>
  </si>
  <si>
    <t>FS2024XT 000006</t>
  </si>
  <si>
    <t>FS2024XT 000007</t>
  </si>
  <si>
    <t>FS2024XT 000008</t>
  </si>
  <si>
    <t>FS2024XT 000009</t>
  </si>
  <si>
    <t>FS2024XT 000010</t>
  </si>
  <si>
    <t>FS2024XT 000011</t>
  </si>
  <si>
    <t>FS2024XT 000012</t>
  </si>
  <si>
    <t>FS2024XT 000013</t>
  </si>
  <si>
    <t>FS2024XT 000014</t>
  </si>
  <si>
    <t>FS2024XT 000015</t>
  </si>
  <si>
    <t>FS2024XT 000016</t>
  </si>
  <si>
    <t>FS2024XT 000017</t>
  </si>
  <si>
    <t>FS2024XT 000018</t>
  </si>
  <si>
    <t>FS2024XT 000019</t>
  </si>
  <si>
    <t>FS2024XT 000020</t>
  </si>
  <si>
    <t>FS2024XT 000021</t>
  </si>
  <si>
    <t>FS2024XT 000022</t>
  </si>
  <si>
    <t>FS2024XT 000023</t>
  </si>
  <si>
    <t>FS2024XT 000024</t>
  </si>
  <si>
    <t>FS2024XT 000025</t>
  </si>
  <si>
    <t>FS2024XT 000026</t>
  </si>
  <si>
    <t>FS2024XT 000027</t>
  </si>
  <si>
    <t>FS2024XT 000028</t>
  </si>
  <si>
    <t>FS2024XT 000029</t>
  </si>
  <si>
    <t>FS2024XT 000030</t>
  </si>
  <si>
    <t>FS2024XT 000031</t>
  </si>
  <si>
    <t>FS2024XT 000032</t>
  </si>
  <si>
    <t>FS2024XT 000033</t>
  </si>
  <si>
    <t>FS2024XT 000034</t>
  </si>
  <si>
    <t>FS2024XT 000035</t>
  </si>
  <si>
    <t>FS2024XT 000036</t>
  </si>
  <si>
    <t>FS2024XT 000037</t>
  </si>
  <si>
    <t>FS2024XT 000038</t>
  </si>
  <si>
    <t>FS2024XT 000039</t>
  </si>
  <si>
    <t>FS2024XT 000040</t>
  </si>
  <si>
    <t>FS2024XT 000041</t>
  </si>
  <si>
    <t>FS2024XT 000042</t>
  </si>
  <si>
    <t>FS2024XT 000043</t>
  </si>
  <si>
    <t>FS2024XT 000044</t>
  </si>
  <si>
    <t>FS2024XT 000045</t>
  </si>
  <si>
    <t>FS2024XT 000046</t>
  </si>
  <si>
    <t>FS2024XT 000047</t>
  </si>
  <si>
    <t>FS2024XT 000048</t>
  </si>
  <si>
    <t>FS2024XT 000049</t>
  </si>
  <si>
    <t>FS2024XT 000050</t>
  </si>
  <si>
    <t>FS2024XT 000051</t>
  </si>
  <si>
    <t>FS2024XT 000052</t>
  </si>
  <si>
    <t>FS2024XT 000053</t>
  </si>
  <si>
    <t>FS2024XT 000054</t>
  </si>
  <si>
    <t>FS2024XT 000055</t>
  </si>
  <si>
    <t>FS2024XT 000056</t>
  </si>
  <si>
    <t>FS2024XT 000057</t>
  </si>
  <si>
    <t>FS2024XT 000058</t>
  </si>
  <si>
    <t>FS2024XT 000059</t>
  </si>
  <si>
    <t>FS2024XT 000060</t>
  </si>
  <si>
    <t>FS2024XT 000061</t>
  </si>
  <si>
    <t>FS2024XT 000062</t>
  </si>
  <si>
    <t>FS2024XT 000063</t>
  </si>
  <si>
    <t>FS2024XT 000064</t>
  </si>
  <si>
    <t>FS2024XT 000065</t>
  </si>
  <si>
    <t>FS2024XT 000066</t>
  </si>
  <si>
    <t>FS2024XT 000067</t>
  </si>
  <si>
    <t>FS2024XT 000068</t>
  </si>
  <si>
    <t>FS2024XT 000069</t>
  </si>
  <si>
    <t>FS2024XT 000070</t>
  </si>
  <si>
    <t>FS2024XT 000071</t>
  </si>
  <si>
    <t>FS2024XT 000072</t>
  </si>
  <si>
    <t>FS2024XT 000073</t>
  </si>
  <si>
    <t>FS2024XT 000074</t>
  </si>
  <si>
    <t>FS2024XT 000075</t>
  </si>
  <si>
    <t>FS2024XT 000076</t>
  </si>
  <si>
    <t>FS2024XT 000077</t>
  </si>
  <si>
    <t>FS2024XT 000078</t>
  </si>
  <si>
    <t>FS2024XT 000079</t>
  </si>
  <si>
    <t>FS2024XT 000080</t>
  </si>
  <si>
    <t>FS2024XT 000081</t>
  </si>
  <si>
    <t>FS2024XT 000082</t>
  </si>
  <si>
    <t>FS2024XT 000083</t>
  </si>
  <si>
    <t>FS2024XT 000084</t>
  </si>
  <si>
    <t>FS2024XT 000085</t>
  </si>
  <si>
    <t>FS2024XT 000086</t>
  </si>
  <si>
    <t>FS2024XT 000087</t>
  </si>
  <si>
    <t>FS2024XT 000088</t>
  </si>
  <si>
    <t>FS2024XT 000089</t>
  </si>
  <si>
    <t>FS2024XT 000090</t>
  </si>
  <si>
    <t>FS2024XT 000091</t>
  </si>
  <si>
    <t>FS2024XT 000092</t>
  </si>
  <si>
    <t>FS2024XT 000093</t>
  </si>
  <si>
    <t>FS2024XT 000094</t>
  </si>
  <si>
    <t>FS2024XT 000095</t>
  </si>
  <si>
    <t>FS2024XT 000096</t>
  </si>
  <si>
    <t>FS2024XT 000097</t>
  </si>
  <si>
    <t>FS2024XT 000098</t>
  </si>
  <si>
    <t>FS2024XT 000099</t>
  </si>
  <si>
    <t>FS2024XT 000100</t>
  </si>
  <si>
    <t>FS2024XT 000101</t>
  </si>
  <si>
    <t>FS2024XT 000102</t>
  </si>
  <si>
    <t>FS2024XT 000103</t>
  </si>
  <si>
    <t>FS2024XT 000104</t>
  </si>
  <si>
    <t>FS2024XT 000105</t>
  </si>
  <si>
    <t>FS2024XT 000106</t>
  </si>
  <si>
    <t>FS2024XT 000107</t>
  </si>
  <si>
    <t>FS2024XT 000108</t>
  </si>
  <si>
    <t>FS2024XT 000109</t>
  </si>
  <si>
    <t>FS2024XT 000110</t>
  </si>
  <si>
    <t>FS2024XT 000111</t>
  </si>
  <si>
    <t>FS2024XT 000112</t>
  </si>
  <si>
    <t>FS2024XT 000113</t>
  </si>
  <si>
    <t>FS2024XT 000114</t>
  </si>
  <si>
    <t>FS2024XT 000115</t>
  </si>
  <si>
    <t>FS2024XT 000116</t>
  </si>
  <si>
    <t>FS2024XT 000117</t>
  </si>
  <si>
    <t>FS2024XT 000118</t>
  </si>
  <si>
    <t>FS2024XT 000119</t>
  </si>
  <si>
    <t>FS2024XT 000120</t>
  </si>
  <si>
    <t>FS2024XT 000121</t>
  </si>
  <si>
    <t>FS2024XT 000122</t>
  </si>
  <si>
    <t>FS2024XT 000123</t>
  </si>
  <si>
    <t>FS2024XT 000124</t>
  </si>
  <si>
    <t>FS2024XT 000125</t>
  </si>
  <si>
    <t>FS2024XT 000126</t>
  </si>
  <si>
    <t>FS2024XT 000127</t>
  </si>
  <si>
    <t>FS2024XT 000128</t>
  </si>
  <si>
    <t>FS2024XT 000129</t>
  </si>
  <si>
    <t>FS2024XT 000130</t>
  </si>
  <si>
    <t>FS2024XT 000131</t>
  </si>
  <si>
    <t>FS2024XT 000132</t>
  </si>
  <si>
    <t>FS2024XT 000133</t>
  </si>
  <si>
    <t>FS2024XT 000134</t>
  </si>
  <si>
    <t>FS2024XT 000135</t>
  </si>
  <si>
    <t>FS2024XT 000136</t>
  </si>
  <si>
    <t>FS2024XT 000137</t>
  </si>
  <si>
    <t>FS2024XT 000138</t>
  </si>
  <si>
    <t>FS2024XT 000139</t>
  </si>
  <si>
    <t>FS2024XT 000140</t>
  </si>
  <si>
    <t>FS2024XT 000141</t>
  </si>
  <si>
    <t>FS2024XT 000142</t>
  </si>
  <si>
    <t>FS2024XT 000143</t>
  </si>
  <si>
    <t>FS2024XT 000144</t>
  </si>
  <si>
    <t>FS2024XT 000145</t>
  </si>
  <si>
    <t>FS2024XT 000146</t>
  </si>
  <si>
    <t>FS2024XT 000147</t>
  </si>
  <si>
    <t>FS2024XT 000148</t>
  </si>
  <si>
    <t>FS2024XT 000149</t>
  </si>
  <si>
    <t>FS2024XT 000150</t>
  </si>
  <si>
    <t>FS2024XT 000151</t>
  </si>
  <si>
    <t>FS2024XT 000152</t>
  </si>
  <si>
    <t>FS2024XT 000153</t>
  </si>
  <si>
    <t>FS2024XT 000154</t>
  </si>
  <si>
    <t>FS2024XT 000155</t>
  </si>
  <si>
    <t>FS2024XT 000156</t>
  </si>
  <si>
    <t>FS2024XT 000157</t>
  </si>
  <si>
    <t>FS2024XT 000158</t>
  </si>
  <si>
    <t>FS2024XT 000159</t>
  </si>
  <si>
    <t>FS2024XT 000160</t>
  </si>
  <si>
    <t>FS2024XT 000161</t>
  </si>
  <si>
    <t>FS2024XT 000162</t>
  </si>
  <si>
    <t>FS2024XT 000163</t>
  </si>
  <si>
    <t>FS2024XT 000164</t>
  </si>
  <si>
    <t>FS2024XT 000165</t>
  </si>
  <si>
    <t>FS2024XT 000166</t>
  </si>
  <si>
    <t>FS2024XT 000167</t>
  </si>
  <si>
    <t>FS2024XT 000168</t>
  </si>
  <si>
    <t>FS2024XT 000169</t>
  </si>
  <si>
    <t>FS2024XT 000170</t>
  </si>
  <si>
    <t>FS2024XT 000171</t>
  </si>
  <si>
    <t>FS2024XT 000172</t>
  </si>
  <si>
    <t>FS2024XT 000173</t>
  </si>
  <si>
    <t>FS2024XT 000174</t>
  </si>
  <si>
    <t>FS2024XT 000175</t>
  </si>
  <si>
    <t>FS2024XT 000176</t>
  </si>
  <si>
    <t>FS2024XT 000177</t>
  </si>
  <si>
    <t>FS2024XT 000178</t>
  </si>
  <si>
    <t>FS2024XT 000179</t>
  </si>
  <si>
    <t>FS2024XT 000180</t>
  </si>
  <si>
    <t>FS2024XT 000181</t>
  </si>
  <si>
    <t>FS2024XT 000182</t>
  </si>
  <si>
    <t>FS2024XT 000183</t>
  </si>
  <si>
    <t>FS2024XT 000184</t>
  </si>
  <si>
    <t>FS2024XT 000185</t>
  </si>
  <si>
    <t>FS2024XT 000186</t>
  </si>
  <si>
    <t>FS2024XT 000187</t>
  </si>
  <si>
    <t>FS2024XT 000188</t>
  </si>
  <si>
    <t>FS2024XT 000189</t>
  </si>
  <si>
    <t>FS2024XT 000190</t>
  </si>
  <si>
    <t>FS2024XT 000191</t>
  </si>
  <si>
    <t>FS2024XT 000192</t>
  </si>
  <si>
    <t>FS2024XT 000193</t>
  </si>
  <si>
    <t>FS2024XT 000194</t>
  </si>
  <si>
    <t>FS2024XT 000195</t>
  </si>
  <si>
    <t>FS2024XT 000196</t>
  </si>
  <si>
    <t>FS2024XT 000197</t>
  </si>
  <si>
    <t>S/ NÚMERO</t>
  </si>
  <si>
    <t>2803/2023</t>
  </si>
  <si>
    <t>2806/2023</t>
  </si>
  <si>
    <t>COLAB.CAPITAL</t>
  </si>
  <si>
    <t>2804/2023</t>
  </si>
  <si>
    <t>0011/2024</t>
  </si>
  <si>
    <t>0028/2024</t>
  </si>
  <si>
    <t>0015/2024</t>
  </si>
  <si>
    <t>0002/2024</t>
  </si>
  <si>
    <t>KILOMETRAJE</t>
  </si>
  <si>
    <t>2809/2023</t>
  </si>
  <si>
    <t>0013/2024</t>
  </si>
  <si>
    <t>043813024/0000001</t>
  </si>
  <si>
    <t>CIA ESPANOLA DIST.PETROLEOS SA</t>
  </si>
  <si>
    <t>043730023/00000002</t>
  </si>
  <si>
    <t>FV-24-1000009-04</t>
  </si>
  <si>
    <t>ARANICE22  SLU</t>
  </si>
  <si>
    <t>23016850</t>
  </si>
  <si>
    <t>AUTOLYT SL</t>
  </si>
  <si>
    <t>46124FE00000015</t>
  </si>
  <si>
    <t>044973024/00000046</t>
  </si>
  <si>
    <t>24/00151</t>
  </si>
  <si>
    <t>ESONIMPORT EXPORT SL</t>
  </si>
  <si>
    <t>COPAS</t>
  </si>
  <si>
    <t>TARJETA</t>
  </si>
  <si>
    <t>S108204/0172871</t>
  </si>
  <si>
    <t>043730024/00000202</t>
  </si>
  <si>
    <t>BALLENOIL SA</t>
  </si>
  <si>
    <t>A65371171</t>
  </si>
  <si>
    <t>24236200152</t>
  </si>
  <si>
    <t>00001TB00015549</t>
  </si>
  <si>
    <t>BULEVAR 54</t>
  </si>
  <si>
    <t>B79156923</t>
  </si>
  <si>
    <t xml:space="preserve">CENA LIMUSINA </t>
  </si>
  <si>
    <t>044973024/00000181</t>
  </si>
  <si>
    <t>PINTO SHOPPING S.A</t>
  </si>
  <si>
    <t>243622001674</t>
  </si>
  <si>
    <t>B01889864</t>
  </si>
  <si>
    <t>VARIOS</t>
  </si>
  <si>
    <t>FV-24-10000096-04</t>
  </si>
  <si>
    <t>VALPIN SUPERMARKET S.L</t>
  </si>
  <si>
    <t>B56794761</t>
  </si>
  <si>
    <t>0031/2024</t>
  </si>
  <si>
    <t>PACK BEBIDA+ RED BULL</t>
  </si>
  <si>
    <t>FD7VBAH0000176</t>
  </si>
  <si>
    <t>TELEFONICA DE ESPAÑA SAU</t>
  </si>
  <si>
    <t>A82018474</t>
  </si>
  <si>
    <t>TELÉFONOS</t>
  </si>
  <si>
    <t>F24ES-00022090</t>
  </si>
  <si>
    <t>ENI PLENITUDE IBERICA S.L</t>
  </si>
  <si>
    <t>B39793294</t>
  </si>
  <si>
    <t>LUZ</t>
  </si>
  <si>
    <t>DOMICILIACION</t>
  </si>
  <si>
    <t>F24ES-00001380</t>
  </si>
  <si>
    <t>400010955086</t>
  </si>
  <si>
    <t>AUTO TRANSPORTE TURISTICO ESPAÑOL SA</t>
  </si>
  <si>
    <t>A28047884</t>
  </si>
  <si>
    <t>ALQUILER COCHE DICIEMBRE 2023</t>
  </si>
  <si>
    <t>202777961829</t>
  </si>
  <si>
    <t>IONOS CLOUD SLU</t>
  </si>
  <si>
    <t>B85049439</t>
  </si>
  <si>
    <t>PAGINA WEB</t>
  </si>
  <si>
    <t>202778005037</t>
  </si>
  <si>
    <t>S108203/02179008</t>
  </si>
  <si>
    <t>3604-010-517165</t>
  </si>
  <si>
    <t>3604-016-757268</t>
  </si>
  <si>
    <t>S116102/0211558</t>
  </si>
  <si>
    <t>MERCADONA SA</t>
  </si>
  <si>
    <t>A46103834</t>
  </si>
  <si>
    <t>67136</t>
  </si>
  <si>
    <t>044973024/00000428</t>
  </si>
  <si>
    <t>043730024/00000543</t>
  </si>
  <si>
    <t>24000461</t>
  </si>
  <si>
    <t>1240036121</t>
  </si>
  <si>
    <t>CARGLASS, S.</t>
  </si>
  <si>
    <t>B87956751</t>
  </si>
  <si>
    <t>SUSTITUCION LUNA LIMUSINA</t>
  </si>
  <si>
    <t>SOLO PAGADO IVA NOSOSTROS, LA COMPAÑÍA DE SEGUROS LA BASE IMPONIBLE</t>
  </si>
  <si>
    <t>601214166</t>
  </si>
  <si>
    <t>MEGINO S.L</t>
  </si>
  <si>
    <t>B28240075</t>
  </si>
  <si>
    <t>E10008338835</t>
  </si>
  <si>
    <t>ORANGE ESPAGNE SAU</t>
  </si>
  <si>
    <t>A82009812</t>
  </si>
  <si>
    <t>24000547</t>
  </si>
  <si>
    <t>FV-24-1000026-10</t>
  </si>
  <si>
    <t>S113804/0764265</t>
  </si>
  <si>
    <t>3604-011-403262</t>
  </si>
  <si>
    <t>3604-011-403261</t>
  </si>
  <si>
    <t>004/2024</t>
  </si>
  <si>
    <t>0046/2024</t>
  </si>
  <si>
    <t>0047/2024</t>
  </si>
  <si>
    <t>003/2024</t>
  </si>
  <si>
    <t>0037/2024</t>
  </si>
  <si>
    <t>0027/2024</t>
  </si>
  <si>
    <t>RESTASURANTE</t>
  </si>
  <si>
    <t>001/2024</t>
  </si>
  <si>
    <t>2712/2023</t>
  </si>
  <si>
    <t>0045/2024</t>
  </si>
  <si>
    <t>U.H</t>
  </si>
  <si>
    <t>2810/2023</t>
  </si>
  <si>
    <t>0057/2023</t>
  </si>
  <si>
    <t>2816/2023</t>
  </si>
  <si>
    <t>0078/2023</t>
  </si>
  <si>
    <t>0054/2024</t>
  </si>
  <si>
    <t>0063/2024</t>
  </si>
  <si>
    <t>0095/2024</t>
  </si>
  <si>
    <t>0042/2024</t>
  </si>
  <si>
    <t>ROMANTICO</t>
  </si>
  <si>
    <t>0072/2024</t>
  </si>
  <si>
    <t>2801/2023</t>
  </si>
  <si>
    <t>0048/2024</t>
  </si>
  <si>
    <t>0071/2024</t>
  </si>
  <si>
    <t>0068/2024</t>
  </si>
  <si>
    <t>0074/2024</t>
  </si>
  <si>
    <t>0077/2024</t>
  </si>
  <si>
    <t>0024/2024</t>
  </si>
  <si>
    <t>0076/2024</t>
  </si>
  <si>
    <t>0090/2024</t>
  </si>
  <si>
    <t>0084/2024</t>
  </si>
  <si>
    <t>0040/2024</t>
  </si>
  <si>
    <t>0080/2024</t>
  </si>
  <si>
    <t>0081/2024</t>
  </si>
  <si>
    <t>0085/2024</t>
  </si>
  <si>
    <t>0052/2024</t>
  </si>
  <si>
    <t>UH</t>
  </si>
  <si>
    <t>0026/2024</t>
  </si>
  <si>
    <t>0089/2024</t>
  </si>
  <si>
    <t>00249981</t>
  </si>
  <si>
    <t>24000769</t>
  </si>
  <si>
    <t>39863</t>
  </si>
  <si>
    <t>B81380248</t>
  </si>
  <si>
    <t>NAVARRETE  SL</t>
  </si>
  <si>
    <t>043730424/00009082</t>
  </si>
  <si>
    <t>FV-24-1000076-10</t>
  </si>
  <si>
    <t>202778034039</t>
  </si>
  <si>
    <t>202778045470</t>
  </si>
  <si>
    <t>202778045467</t>
  </si>
  <si>
    <t>78400771</t>
  </si>
  <si>
    <t>BIPI24-0004711</t>
  </si>
  <si>
    <t>202778078944</t>
  </si>
  <si>
    <t>ATHLON CAR LEASE SPAIN S.A</t>
  </si>
  <si>
    <t>BIPI MOBILITY S.L</t>
  </si>
  <si>
    <t>B85049435</t>
  </si>
  <si>
    <t>A62288428</t>
  </si>
  <si>
    <t>B87742383</t>
  </si>
  <si>
    <t>RENTING COCHE</t>
  </si>
  <si>
    <t>FMPVAAH0033026</t>
  </si>
  <si>
    <t>MMPVAAH0015121</t>
  </si>
  <si>
    <t>0001/24</t>
  </si>
  <si>
    <t>ELEGANCE SOCIEDAD COOPERATIVA MADRILEÑA</t>
  </si>
  <si>
    <t>B6560364</t>
  </si>
  <si>
    <t>ALQUILER VEHICULO</t>
  </si>
  <si>
    <t>24/00873</t>
  </si>
  <si>
    <t>ESON IMPORT EXPORT S.L</t>
  </si>
  <si>
    <t>24/00895</t>
  </si>
  <si>
    <t>6584</t>
  </si>
  <si>
    <t>REPUESTOS MIGUEL S.L</t>
  </si>
  <si>
    <t>B82849241</t>
  </si>
  <si>
    <t>PIEZAS LIMUSINAS</t>
  </si>
  <si>
    <t>601218198</t>
  </si>
  <si>
    <t>6583</t>
  </si>
  <si>
    <t>71152</t>
  </si>
  <si>
    <t>67798</t>
  </si>
  <si>
    <t>3611-011-302931</t>
  </si>
  <si>
    <t>IVA 10%</t>
  </si>
  <si>
    <t>0060/2024</t>
  </si>
  <si>
    <t>0096/2024</t>
  </si>
  <si>
    <t>0124/2024</t>
  </si>
  <si>
    <t>0064/2024</t>
  </si>
  <si>
    <t>0073/2024</t>
  </si>
  <si>
    <t>0120/2024</t>
  </si>
  <si>
    <t>0118/2024</t>
  </si>
  <si>
    <t>0105/2024</t>
  </si>
  <si>
    <t>0109/2024</t>
  </si>
  <si>
    <t>0017/2024</t>
  </si>
  <si>
    <t>0065/2024</t>
  </si>
  <si>
    <t>RTE. BULEVAR</t>
  </si>
  <si>
    <t>2714/2024</t>
  </si>
  <si>
    <t>0044/2024</t>
  </si>
  <si>
    <t>0016/2024</t>
  </si>
  <si>
    <t>0034/2024</t>
  </si>
  <si>
    <t>0101/2024</t>
  </si>
  <si>
    <t>0032/2024</t>
  </si>
  <si>
    <t>055/2024</t>
  </si>
  <si>
    <t>71854</t>
  </si>
  <si>
    <t>043730024/00001174</t>
  </si>
  <si>
    <t>24001296</t>
  </si>
  <si>
    <t>FV-24-1000137-10</t>
  </si>
  <si>
    <t>0092/2023</t>
  </si>
  <si>
    <t>0039-0038</t>
  </si>
  <si>
    <t>70099</t>
  </si>
  <si>
    <t>*OPERACIONES NORMATIVA ESPAÑA</t>
  </si>
  <si>
    <t>GOOGLE IRELAND LIMITED</t>
  </si>
  <si>
    <t>6388047V</t>
  </si>
  <si>
    <t>ANUNCIOS GOOGLE</t>
  </si>
  <si>
    <t>0156/2024</t>
  </si>
  <si>
    <t>FS2024XT 000198</t>
  </si>
  <si>
    <t>FS2024XT 000199</t>
  </si>
  <si>
    <t>FS2024XT 000200</t>
  </si>
  <si>
    <t>FS2024XT 000201</t>
  </si>
  <si>
    <t>FS2024XT 000202</t>
  </si>
  <si>
    <t>FS2024XT 000203</t>
  </si>
  <si>
    <t>FS2024XT 000204</t>
  </si>
  <si>
    <t>FS2024XT 000205</t>
  </si>
  <si>
    <t>FS2024XT 000206</t>
  </si>
  <si>
    <t>FS2024XT 000207</t>
  </si>
  <si>
    <t>FS2024XT 000208</t>
  </si>
  <si>
    <t>FS2024XT 000209</t>
  </si>
  <si>
    <t>FS2024XT 000210</t>
  </si>
  <si>
    <t>FS2024XT 000211</t>
  </si>
  <si>
    <t>FS2024XT 000212</t>
  </si>
  <si>
    <t>FS2024XT 000213</t>
  </si>
  <si>
    <t>FS2024XT 000214</t>
  </si>
  <si>
    <t>FS2024XT 000215</t>
  </si>
  <si>
    <t>FS2024XT 000216</t>
  </si>
  <si>
    <t>FS2024XT 000217</t>
  </si>
  <si>
    <t>FS2024XT 000218</t>
  </si>
  <si>
    <t>FS2024XT 000219</t>
  </si>
  <si>
    <t>FS2024XT 000220</t>
  </si>
  <si>
    <t>FS2024XT 000221</t>
  </si>
  <si>
    <t>FS2024XT 000222</t>
  </si>
  <si>
    <t>FS2024XT 000223</t>
  </si>
  <si>
    <t>FS2024XT 000224</t>
  </si>
  <si>
    <t>FS2024XT 000225</t>
  </si>
  <si>
    <t>FS2024XT 000226</t>
  </si>
  <si>
    <t>FS2024XT 000227</t>
  </si>
  <si>
    <t>FS2024XT 000228</t>
  </si>
  <si>
    <t>FS2024XT 000229</t>
  </si>
  <si>
    <t>FS2024XT 000230</t>
  </si>
  <si>
    <t>FS2024XT 000231</t>
  </si>
  <si>
    <t>FS2024XT 000232</t>
  </si>
  <si>
    <t>FS2024XT 000233</t>
  </si>
  <si>
    <t>FS2024XT 000234</t>
  </si>
  <si>
    <t>FS2024XT 000235</t>
  </si>
  <si>
    <t>FS2024XT 000236</t>
  </si>
  <si>
    <t>FS2024XT 000237</t>
  </si>
  <si>
    <t>FS2024XT 000238</t>
  </si>
  <si>
    <t>FS2024XT 000239</t>
  </si>
  <si>
    <t>FS2024XT 000240</t>
  </si>
  <si>
    <t>FS2024XT 000241</t>
  </si>
  <si>
    <t>FS2024XT 000242</t>
  </si>
  <si>
    <t>FS2024XT 000243</t>
  </si>
  <si>
    <t>FS2024XT 000244</t>
  </si>
  <si>
    <t>FS2024XT 000245</t>
  </si>
  <si>
    <t>FS2024XT 000246</t>
  </si>
  <si>
    <t>FS2024XT 000247</t>
  </si>
  <si>
    <t>FS2024XT 000248</t>
  </si>
  <si>
    <t>FS2024XT 000249</t>
  </si>
  <si>
    <t>FS2024XT 000250</t>
  </si>
  <si>
    <t>FS2024XT 000251</t>
  </si>
  <si>
    <t>FS2024XT 000252</t>
  </si>
  <si>
    <t>FS2024XT 000253</t>
  </si>
  <si>
    <t>FS2024XT 000254</t>
  </si>
  <si>
    <t>FS2024XT 000255</t>
  </si>
  <si>
    <t>FS2024XT 000256</t>
  </si>
  <si>
    <t>FS2024XT 000257</t>
  </si>
  <si>
    <t>FS2024XT 000258</t>
  </si>
  <si>
    <t>FS2024XT 000259</t>
  </si>
  <si>
    <t>FS2024XT 000260</t>
  </si>
  <si>
    <t>FS2024XT 000261</t>
  </si>
  <si>
    <t>0051/2024</t>
  </si>
  <si>
    <t>0137/2024</t>
  </si>
  <si>
    <t>0131/2024</t>
  </si>
  <si>
    <t>COLAB. BIG EVENTOS</t>
  </si>
  <si>
    <t>0103/2024</t>
  </si>
  <si>
    <t>0097/2024</t>
  </si>
  <si>
    <t>0082/2024</t>
  </si>
  <si>
    <t>0035/2024</t>
  </si>
  <si>
    <t>COLAB. CAPITAL</t>
  </si>
  <si>
    <t>COLAB. BORJA</t>
  </si>
  <si>
    <t>COLB. BIG EVENTOS</t>
  </si>
  <si>
    <t>0140/2024</t>
  </si>
  <si>
    <t>COLAB. PARADISE</t>
  </si>
  <si>
    <t>0159/2024</t>
  </si>
  <si>
    <t>0144/2024</t>
  </si>
  <si>
    <t>0050/2024</t>
  </si>
  <si>
    <t>S108/201/0318004</t>
  </si>
  <si>
    <t>02</t>
  </si>
  <si>
    <t>74320</t>
  </si>
  <si>
    <t>PINTO SHOPPING 2020 S.L</t>
  </si>
  <si>
    <t>3611-018-835382</t>
  </si>
  <si>
    <t>MERCADONA S.A</t>
  </si>
  <si>
    <t>24001441</t>
  </si>
  <si>
    <t>AUTOLYT S.L</t>
  </si>
  <si>
    <t>24/01232</t>
  </si>
  <si>
    <t>043730024/00001517</t>
  </si>
  <si>
    <t>CIA ESPANOLA DIST. PETROLEOS SA</t>
  </si>
  <si>
    <t>F1082/0002545</t>
  </si>
  <si>
    <t>69340</t>
  </si>
  <si>
    <t>3611-018-831717</t>
  </si>
  <si>
    <t>73666</t>
  </si>
  <si>
    <t>FV-24-1000205-10</t>
  </si>
  <si>
    <t>ARANICE22, SLU</t>
  </si>
  <si>
    <t>0061/2024</t>
  </si>
  <si>
    <t xml:space="preserve"> 0110/2024</t>
  </si>
  <si>
    <t xml:space="preserve"> 0152/2024</t>
  </si>
  <si>
    <t>2024-724-100093777</t>
  </si>
  <si>
    <t>RED ESPAÑOLA DE SERVICIOS SAU (RESSA)</t>
  </si>
  <si>
    <t>A25009192</t>
  </si>
  <si>
    <t>034377/A/24/000585</t>
  </si>
  <si>
    <t>REPSOL COMERCIAL DE PRODUCTOS PETROLIFEROS, S.A</t>
  </si>
  <si>
    <t>A80298839</t>
  </si>
  <si>
    <t>G24ES-00040525</t>
  </si>
  <si>
    <t>GAS</t>
  </si>
  <si>
    <t>F24ES-00266786</t>
  </si>
  <si>
    <t>F24ES-00257518</t>
  </si>
  <si>
    <t>043477/A/24/000591</t>
  </si>
  <si>
    <t>REPSOL COMERCIAL DE PRODUCTOS PETROLIFEROS SA</t>
  </si>
  <si>
    <t>0111/2024</t>
  </si>
  <si>
    <t>043730424/00019039</t>
  </si>
  <si>
    <t>COLAB.CUMPLIDO</t>
  </si>
  <si>
    <t>0148/2024</t>
  </si>
  <si>
    <t>0104/2024</t>
  </si>
  <si>
    <t>0125/2024</t>
  </si>
  <si>
    <t>0126/2024</t>
  </si>
  <si>
    <t>0177/2024</t>
  </si>
  <si>
    <t>BEBIDA</t>
  </si>
  <si>
    <t>0106/2024</t>
  </si>
  <si>
    <t>0108/2024</t>
  </si>
  <si>
    <t>0093/2024</t>
  </si>
  <si>
    <t>0130/2024</t>
  </si>
  <si>
    <t>0157/2024</t>
  </si>
  <si>
    <t>COLAB.BIG EVENTOS</t>
  </si>
  <si>
    <t>0175/2024</t>
  </si>
  <si>
    <t>COLAB. RISCO</t>
  </si>
  <si>
    <t>0172/2024</t>
  </si>
  <si>
    <t>0167/2024</t>
  </si>
  <si>
    <t>0149/2024</t>
  </si>
  <si>
    <t>0094/2024</t>
  </si>
  <si>
    <t>0153/2024</t>
  </si>
  <si>
    <t>0127/2024</t>
  </si>
  <si>
    <t>046-0002-926858</t>
  </si>
  <si>
    <t>LEROY MERLIN ESPAÑA SLU</t>
  </si>
  <si>
    <t>B84818442</t>
  </si>
  <si>
    <t>PIEZAS LIMUSINA</t>
  </si>
  <si>
    <t>T2402C24000155</t>
  </si>
  <si>
    <t>ANJANA INVESTMENTS, SLU</t>
  </si>
  <si>
    <t>B85509669</t>
  </si>
  <si>
    <t>602031994</t>
  </si>
  <si>
    <t>046-0002-926990</t>
  </si>
  <si>
    <t>F1604</t>
  </si>
  <si>
    <t>PETROALCOLEA S.L</t>
  </si>
  <si>
    <t>B19303874</t>
  </si>
  <si>
    <t>00001TB00019086</t>
  </si>
  <si>
    <t>RESTAURANTE</t>
  </si>
  <si>
    <t>3611-011-306324</t>
  </si>
  <si>
    <t>043730024/00001834</t>
  </si>
  <si>
    <t>FV-24-1000278-10</t>
  </si>
  <si>
    <t>0202/2024</t>
  </si>
  <si>
    <t>ROMÁNTICO</t>
  </si>
  <si>
    <t>0067/2024</t>
  </si>
  <si>
    <t>0174/2024</t>
  </si>
  <si>
    <t>3666-090-286942</t>
  </si>
  <si>
    <t>043730024/00001988</t>
  </si>
  <si>
    <t>13364</t>
  </si>
  <si>
    <t>REPUESTOS LIMUSINAS</t>
  </si>
  <si>
    <t>3611-015-507388</t>
  </si>
  <si>
    <t>0209/2024</t>
  </si>
  <si>
    <t>0100/2024</t>
  </si>
  <si>
    <t>COLB.CAPITAL</t>
  </si>
  <si>
    <t>COLB.BIG EVENTOS</t>
  </si>
  <si>
    <t>0184/2024</t>
  </si>
  <si>
    <t>0165/2024</t>
  </si>
  <si>
    <t>0185/2024</t>
  </si>
  <si>
    <t>0170/2024</t>
  </si>
  <si>
    <t>0183/2024</t>
  </si>
  <si>
    <t>0158/2024</t>
  </si>
  <si>
    <t>0179/2024</t>
  </si>
  <si>
    <t>0143/2024</t>
  </si>
  <si>
    <t>0086/2024</t>
  </si>
  <si>
    <t>0150/2024</t>
  </si>
  <si>
    <t>0198/2024</t>
  </si>
  <si>
    <t>0168/2024</t>
  </si>
  <si>
    <t>0164/2024</t>
  </si>
  <si>
    <t>0053/2024</t>
  </si>
  <si>
    <t>0211/2024</t>
  </si>
  <si>
    <t>0213/2024</t>
  </si>
  <si>
    <t>COLB.FUN</t>
  </si>
  <si>
    <t>0212/2024</t>
  </si>
  <si>
    <t>0201/2024</t>
  </si>
  <si>
    <t>0133/2024</t>
  </si>
  <si>
    <t>0128/2024</t>
  </si>
  <si>
    <t>0123/2024</t>
  </si>
  <si>
    <t>0079/2024</t>
  </si>
  <si>
    <t>0200/2024</t>
  </si>
  <si>
    <t>0203/2024</t>
  </si>
  <si>
    <t>0214/2024</t>
  </si>
  <si>
    <t>24/01800</t>
  </si>
  <si>
    <t>034377/A/24/000888</t>
  </si>
  <si>
    <t>REPSOL COMERCIAL DE PRODUCTOS PETROLIFEROS S.A</t>
  </si>
  <si>
    <t>FV-24-1000337-10</t>
  </si>
  <si>
    <t>043730024/00002158</t>
  </si>
  <si>
    <t>043730024/00002111</t>
  </si>
  <si>
    <t>F24ES-00365884</t>
  </si>
  <si>
    <t>LUZ   CORMORANES</t>
  </si>
  <si>
    <t>LUZ  SAN JOSE</t>
  </si>
  <si>
    <t>LUZ  ASTURIAS</t>
  </si>
  <si>
    <t>0188/2024</t>
  </si>
  <si>
    <t>COLB. EXCLUSIVE</t>
  </si>
  <si>
    <t>87724FE00001704</t>
  </si>
  <si>
    <t>0229/2024</t>
  </si>
  <si>
    <t>0208/2024</t>
  </si>
  <si>
    <t xml:space="preserve">COLAB. FUN </t>
  </si>
  <si>
    <t>78402023</t>
  </si>
  <si>
    <t>BIPI24-0010720</t>
  </si>
  <si>
    <t>202778398547</t>
  </si>
  <si>
    <t>A2024/0034</t>
  </si>
  <si>
    <t>FERMOAUTO, S.L</t>
  </si>
  <si>
    <t>B78489945</t>
  </si>
  <si>
    <t>TRANSPORTE GRUA (CAMBIO DE NAVE)</t>
  </si>
  <si>
    <t>A-V2024-00000767559</t>
  </si>
  <si>
    <t>24/01999</t>
  </si>
  <si>
    <t>0240/2024</t>
  </si>
  <si>
    <t>0186/2024</t>
  </si>
  <si>
    <t>`0145/2024</t>
  </si>
  <si>
    <t>0193/2024</t>
  </si>
  <si>
    <t>COLAB. TU DESPEDIDA</t>
  </si>
  <si>
    <t>0234/2024</t>
  </si>
  <si>
    <t>0218/2021</t>
  </si>
  <si>
    <t>0207/2024</t>
  </si>
  <si>
    <t>0206/2024</t>
  </si>
  <si>
    <t>0192/2024</t>
  </si>
  <si>
    <t>0117/2024</t>
  </si>
  <si>
    <t>0142/2024</t>
  </si>
  <si>
    <t>0138/2024</t>
  </si>
  <si>
    <t>COLAB.ESTEBAN</t>
  </si>
  <si>
    <t>0049/2024</t>
  </si>
  <si>
    <t>0247/2024</t>
  </si>
  <si>
    <t>0235/2024</t>
  </si>
  <si>
    <t>0154/2024</t>
  </si>
  <si>
    <t>0232/2024</t>
  </si>
  <si>
    <t>0225/2024</t>
  </si>
  <si>
    <t>0107/20224</t>
  </si>
  <si>
    <t>0173/2024</t>
  </si>
  <si>
    <t>0014/2024</t>
  </si>
  <si>
    <t>0114/2024</t>
  </si>
  <si>
    <t>0239/2024</t>
  </si>
  <si>
    <t>0139/2024</t>
  </si>
  <si>
    <t>066/2024</t>
  </si>
  <si>
    <t>0191/2024</t>
  </si>
  <si>
    <t>0222/2024</t>
  </si>
  <si>
    <t>0182/2024</t>
  </si>
  <si>
    <t>0204/2024</t>
  </si>
  <si>
    <t>00001TB00020455</t>
  </si>
  <si>
    <t>00001TB00020458</t>
  </si>
  <si>
    <t>043730024/00002558</t>
  </si>
  <si>
    <t>017/2024</t>
  </si>
  <si>
    <t>018/2024</t>
  </si>
  <si>
    <t>ELEGANCE SDAD.COOP. MADRILEÑA</t>
  </si>
  <si>
    <t>F86560364</t>
  </si>
  <si>
    <t>VENTA VEHICULO HUMMER</t>
  </si>
  <si>
    <t>21.000€ TRANSFERENCIA, RESTO EFECTIVO</t>
  </si>
  <si>
    <t>FMPVABH0036582</t>
  </si>
  <si>
    <t>MMPVABH0016182</t>
  </si>
  <si>
    <t>TELEFONICA ESPAÑA SAU</t>
  </si>
  <si>
    <t>TELEFONO</t>
  </si>
  <si>
    <t>0075/2024</t>
  </si>
  <si>
    <t>0252/2024</t>
  </si>
  <si>
    <t>24/02319</t>
  </si>
  <si>
    <t>3611-010-810462</t>
  </si>
  <si>
    <t>03</t>
  </si>
  <si>
    <t>17670</t>
  </si>
  <si>
    <t>REPUESTOS MIGUEL, S.L</t>
  </si>
  <si>
    <t>046-0003-932175</t>
  </si>
  <si>
    <t>LEROY MERLIN ESPAÑA SA</t>
  </si>
  <si>
    <t>CERRADURA NAVE</t>
  </si>
  <si>
    <t>24-001436</t>
  </si>
  <si>
    <t>LICORES LLUVA, S.L</t>
  </si>
  <si>
    <t>B80777618</t>
  </si>
  <si>
    <t>BEBIDA-REFRESCOS</t>
  </si>
  <si>
    <t>2024-724-100203674</t>
  </si>
  <si>
    <t>RED ESPAÑOLA DE SERVICIOS SAU</t>
  </si>
  <si>
    <t>FV-24-1000397-10</t>
  </si>
  <si>
    <t>043730024/00002787</t>
  </si>
  <si>
    <t>CIAESPANOLA DIST PETROLEOS SA</t>
  </si>
  <si>
    <t>043730024/00002825</t>
  </si>
  <si>
    <t>FV-24-1000457-10</t>
  </si>
  <si>
    <t>ARANICE22 SLU</t>
  </si>
  <si>
    <t>LUIS FERNANDO FARINANGO TARCO</t>
  </si>
  <si>
    <t>51522669R</t>
  </si>
  <si>
    <t>COPIA LLAVES NUEVA CERRADURA NAVE</t>
  </si>
  <si>
    <t>240022</t>
  </si>
  <si>
    <t>JESUS CORONADO SERRANO</t>
  </si>
  <si>
    <t>71222541 M</t>
  </si>
  <si>
    <t>CALDERA NAVE</t>
  </si>
  <si>
    <t>202778506157</t>
  </si>
  <si>
    <t>24/02616</t>
  </si>
  <si>
    <t>MEGINO, S.L</t>
  </si>
  <si>
    <t>FACTE76434</t>
  </si>
  <si>
    <t>CENTRO INTEGRADO SERVICIOS S.L</t>
  </si>
  <si>
    <t xml:space="preserve">B81367534 </t>
  </si>
  <si>
    <t>F24-00553790</t>
  </si>
  <si>
    <t>B09955170</t>
  </si>
  <si>
    <t>FS2024XT 000454</t>
  </si>
  <si>
    <t>FS2024XT 000455</t>
  </si>
  <si>
    <t>FS2024XT 000456</t>
  </si>
  <si>
    <t>FS2024XT 000457</t>
  </si>
  <si>
    <t>FS2024XT 000458</t>
  </si>
  <si>
    <t>FS2024XT 000459</t>
  </si>
  <si>
    <t>FS2024XT 000460</t>
  </si>
  <si>
    <t>FS2024XT 000461</t>
  </si>
  <si>
    <t>FS2024XT 000462</t>
  </si>
  <si>
    <t>FS2024XT 000463</t>
  </si>
  <si>
    <t>FS2024XT 000464</t>
  </si>
  <si>
    <t>FS2024XT 000465</t>
  </si>
  <si>
    <t>FS2024XT 000466</t>
  </si>
  <si>
    <t>FS2024XT 000467</t>
  </si>
  <si>
    <t>FS2024XT 000468</t>
  </si>
  <si>
    <t>FS2024XT 000469</t>
  </si>
  <si>
    <t>FS2024XT 000470</t>
  </si>
  <si>
    <t>FS2024XT 000471</t>
  </si>
  <si>
    <t>FS2024XT 000472</t>
  </si>
  <si>
    <t>FS2024XT 000473</t>
  </si>
  <si>
    <t>FS2024XT 000474</t>
  </si>
  <si>
    <t>FS2024XT 000475</t>
  </si>
  <si>
    <t>FS2024XT 000476</t>
  </si>
  <si>
    <t>FS2024XT 000477</t>
  </si>
  <si>
    <t>FS2024XT 000478</t>
  </si>
  <si>
    <t>FS2024XT 000479</t>
  </si>
  <si>
    <t>FS2024XT 000480</t>
  </si>
  <si>
    <t>FS2024XT 000481</t>
  </si>
  <si>
    <t>FS2024XT 000482</t>
  </si>
  <si>
    <t>FS2024XT 000483</t>
  </si>
  <si>
    <t>FS2024XT 000484</t>
  </si>
  <si>
    <t>FS2024XT 000485</t>
  </si>
  <si>
    <t>FS2024XT 000486</t>
  </si>
  <si>
    <t>FS2024XT 000487</t>
  </si>
  <si>
    <t>FS2024XT 000488</t>
  </si>
  <si>
    <t>FS2024XT 000489</t>
  </si>
  <si>
    <t>FS2024XT 000490</t>
  </si>
  <si>
    <t>FS2024XT 000491</t>
  </si>
  <si>
    <t>FS2024XT 000492</t>
  </si>
  <si>
    <t>FS2024XT 000493</t>
  </si>
  <si>
    <t>FS2024XT 000494</t>
  </si>
  <si>
    <t>FS2024XT 000495</t>
  </si>
  <si>
    <t>FS2024XT 000496</t>
  </si>
  <si>
    <t>FS2024XT 000497</t>
  </si>
  <si>
    <t>FS2024XT 000498</t>
  </si>
  <si>
    <t>FS2024XT 000499</t>
  </si>
  <si>
    <t>FS2024XT 000500</t>
  </si>
  <si>
    <t>FS2024XT 000501</t>
  </si>
  <si>
    <t>FS2024XT 000502</t>
  </si>
  <si>
    <t>FS2024XT 000503</t>
  </si>
  <si>
    <t>FS2024XT 000504</t>
  </si>
  <si>
    <t>FS2024XT 000505</t>
  </si>
  <si>
    <t>FS2024XT 000506</t>
  </si>
  <si>
    <t>88799</t>
  </si>
  <si>
    <t>F24ES-00537307</t>
  </si>
  <si>
    <t xml:space="preserve">LUZ   </t>
  </si>
  <si>
    <t>F24ES-00553790</t>
  </si>
  <si>
    <t>202778598975</t>
  </si>
  <si>
    <t>COMERCIAL GRUPO FREIXENET SA</t>
  </si>
  <si>
    <t>A58588922</t>
  </si>
  <si>
    <t>CAVA</t>
  </si>
  <si>
    <t>FV-24-1000524-10</t>
  </si>
  <si>
    <t>24-001744</t>
  </si>
  <si>
    <t>F24ES-00594522</t>
  </si>
  <si>
    <t>F24ES-00578642</t>
  </si>
  <si>
    <t>3611-017-502630</t>
  </si>
  <si>
    <t>92078</t>
  </si>
  <si>
    <t>202778651766</t>
  </si>
  <si>
    <t>90627</t>
  </si>
  <si>
    <t>24003426</t>
  </si>
  <si>
    <t>24/02894</t>
  </si>
  <si>
    <t>2834-010-407270</t>
  </si>
  <si>
    <t>S108201/0335967</t>
  </si>
  <si>
    <t>202778680146</t>
  </si>
  <si>
    <t>202778680148</t>
  </si>
  <si>
    <t>20/03/20024</t>
  </si>
  <si>
    <t>78403370</t>
  </si>
  <si>
    <t>BIPI24-0016704</t>
  </si>
  <si>
    <t>ATHLON CAR LEASE SPAIN SA</t>
  </si>
  <si>
    <t>23140</t>
  </si>
  <si>
    <t>FT 2024163905/00005045</t>
  </si>
  <si>
    <t>EURO DEPOT ESPAÑA SAU</t>
  </si>
  <si>
    <t>A62018064</t>
  </si>
  <si>
    <t>PINTURA NAVE</t>
  </si>
  <si>
    <t>24-001967</t>
  </si>
  <si>
    <t>FV-24-1000176-04</t>
  </si>
  <si>
    <t>FMPVACH0041311</t>
  </si>
  <si>
    <t>MMPVACH0011092</t>
  </si>
  <si>
    <t>0039/2024</t>
  </si>
  <si>
    <t>ELEGANCE SDAD.COOP.MADRILEÑA</t>
  </si>
  <si>
    <t>SERVICIOS PRESTADOS</t>
  </si>
  <si>
    <t>0159030136111</t>
  </si>
  <si>
    <t>MYFRESH MARKET ALIMENTACION, S.L</t>
  </si>
  <si>
    <t>B16879686</t>
  </si>
  <si>
    <t>159-704</t>
  </si>
  <si>
    <t>3611-014-295672</t>
  </si>
  <si>
    <t>PMQB001334</t>
  </si>
  <si>
    <t>LA PARRILLA DE LA MAQUINA, S.L</t>
  </si>
  <si>
    <t>B06821466</t>
  </si>
  <si>
    <t>S108203/0191001</t>
  </si>
  <si>
    <t>04</t>
  </si>
  <si>
    <t>FS2024XT 000507</t>
  </si>
  <si>
    <t>FS2024XT 000508</t>
  </si>
  <si>
    <t>FS2024XT 000509</t>
  </si>
  <si>
    <t>FS2024XT 000510</t>
  </si>
  <si>
    <t>FS2024XT 000511</t>
  </si>
  <si>
    <t>FS2024XT 000512</t>
  </si>
  <si>
    <t>FS2024XT 000513</t>
  </si>
  <si>
    <t>FS2024XT 000514</t>
  </si>
  <si>
    <t>FS2024XT 000515</t>
  </si>
  <si>
    <t>FS2024XT 000516</t>
  </si>
  <si>
    <t>FS2024XT 000517</t>
  </si>
  <si>
    <t>FS2024XT 000518</t>
  </si>
  <si>
    <t>FS2024XT 000519</t>
  </si>
  <si>
    <t>FS2024XT 000520</t>
  </si>
  <si>
    <t>FS2024XT 000521</t>
  </si>
  <si>
    <t>FS2024XT 000522</t>
  </si>
  <si>
    <t>FS2024XT 000523</t>
  </si>
  <si>
    <t>FS2024XT 000524</t>
  </si>
  <si>
    <t>FS2024XT 000525</t>
  </si>
  <si>
    <t>FS2024XT 000526</t>
  </si>
  <si>
    <t>FS2024XT 000527</t>
  </si>
  <si>
    <t>FS2024XT 000528</t>
  </si>
  <si>
    <t>FS2024XT 000529</t>
  </si>
  <si>
    <t>FS2024XT 000530</t>
  </si>
  <si>
    <t>FS2024XT 000531</t>
  </si>
  <si>
    <t>FS2024XT 000532</t>
  </si>
  <si>
    <t>FS2024XT 000533</t>
  </si>
  <si>
    <t>FS2024XT 000534</t>
  </si>
  <si>
    <t>FS2024XT 000535</t>
  </si>
  <si>
    <t>FS2024XT 000536</t>
  </si>
  <si>
    <t>FS2024XT 000537</t>
  </si>
  <si>
    <t>FS2024XT 000538</t>
  </si>
  <si>
    <t>FS2024XT 000539</t>
  </si>
  <si>
    <t>FS2024XT 000540</t>
  </si>
  <si>
    <t>FS2024XT 000541</t>
  </si>
  <si>
    <t>FS2024XT 000542</t>
  </si>
  <si>
    <t>FS2024XT 000543</t>
  </si>
  <si>
    <t>FS2024XT 000544</t>
  </si>
  <si>
    <t>FS2024XT 000545</t>
  </si>
  <si>
    <t>FS2024XT 000546</t>
  </si>
  <si>
    <t>FS2024XT 000547</t>
  </si>
  <si>
    <t>FS2024XT 000548</t>
  </si>
  <si>
    <t>FS2024XT 000549</t>
  </si>
  <si>
    <t>FS2024XT 000550</t>
  </si>
  <si>
    <t>FS2024XT 000551</t>
  </si>
  <si>
    <t>FS2024XT 000552</t>
  </si>
  <si>
    <t>FS2024XT 000553</t>
  </si>
  <si>
    <t>FS2024XT 000554</t>
  </si>
  <si>
    <t>FS2024XT 000555</t>
  </si>
  <si>
    <t>FS2024XT 000556</t>
  </si>
  <si>
    <t>FS2024XT 000557</t>
  </si>
  <si>
    <t>FS2024XT 000558</t>
  </si>
  <si>
    <t>FS2024XT 000559</t>
  </si>
  <si>
    <t>FS2024XT 000560</t>
  </si>
  <si>
    <t>FS2024XT 000561</t>
  </si>
  <si>
    <t>FS2024XT 000562</t>
  </si>
  <si>
    <t>FS2024XT 000563</t>
  </si>
  <si>
    <t>FS2024XT 000564</t>
  </si>
  <si>
    <t>FS2024XT 000565</t>
  </si>
  <si>
    <t>FS2024XT 000566</t>
  </si>
  <si>
    <t>FS2024XT 000567</t>
  </si>
  <si>
    <t>FS2024XT 000568</t>
  </si>
  <si>
    <t>FS2024XT 000569</t>
  </si>
  <si>
    <t>FS2024XT 000570</t>
  </si>
  <si>
    <t>FS2024XT 000571</t>
  </si>
  <si>
    <t>FS2024XT 000572</t>
  </si>
  <si>
    <t>FS2024XT 000573</t>
  </si>
  <si>
    <t>FS2024XT 000574</t>
  </si>
  <si>
    <t>FS2024XT 000575</t>
  </si>
  <si>
    <t>FS2024XT 000576</t>
  </si>
  <si>
    <t>FS2024XT 000577</t>
  </si>
  <si>
    <t>FS2024XT 000578</t>
  </si>
  <si>
    <t>FS2024XT 000579</t>
  </si>
  <si>
    <t>FS2024XT 000580</t>
  </si>
  <si>
    <t>FS2024XT 000581</t>
  </si>
  <si>
    <t>FS2024XT 000582</t>
  </si>
  <si>
    <t>FS2024XT 000583</t>
  </si>
  <si>
    <t>FS2024XT 000584</t>
  </si>
  <si>
    <t>FS2024XT 000585</t>
  </si>
  <si>
    <t>FS2024XT 000586</t>
  </si>
  <si>
    <t>FS2024XT 000587</t>
  </si>
  <si>
    <t>FS2024XT 000588</t>
  </si>
  <si>
    <t>FS2024XT 000589</t>
  </si>
  <si>
    <t>FS2024XT 000590</t>
  </si>
  <si>
    <t>FS2024XT 000591</t>
  </si>
  <si>
    <t>FS2024XT 000592</t>
  </si>
  <si>
    <t>FS2024XT 000593</t>
  </si>
  <si>
    <t>FS2024XT 000594</t>
  </si>
  <si>
    <t>FS2024XT 000595</t>
  </si>
  <si>
    <t>FS2024XT 000596</t>
  </si>
  <si>
    <t>FS2024XT 000597</t>
  </si>
  <si>
    <t>FS2024XT 000598</t>
  </si>
  <si>
    <t>FS2024XT 000599</t>
  </si>
  <si>
    <t>FS2024XT 000600</t>
  </si>
  <si>
    <t>FS2024XT 000601</t>
  </si>
  <si>
    <t>FS2024XT 000602</t>
  </si>
  <si>
    <t>FS2024XT 000603</t>
  </si>
  <si>
    <t>FS2024XT 000604</t>
  </si>
  <si>
    <t>FS2024XT 000605</t>
  </si>
  <si>
    <t>FS2024XT 000606</t>
  </si>
  <si>
    <t>FS2024XT 000607</t>
  </si>
  <si>
    <t>FS2024XT 000608</t>
  </si>
  <si>
    <t>FS2024XT 000609</t>
  </si>
  <si>
    <t>FS2024XT 000610</t>
  </si>
  <si>
    <t>FS2024XT 000611</t>
  </si>
  <si>
    <t>FS2024XT 000612</t>
  </si>
  <si>
    <t>FS2024XT 000613</t>
  </si>
  <si>
    <t>FS2024XT 000614</t>
  </si>
  <si>
    <t>FS2024XT 000615</t>
  </si>
  <si>
    <t>FS2024XT 000616</t>
  </si>
  <si>
    <t>FS2024XT 000617</t>
  </si>
  <si>
    <t>FS2024XT 000618</t>
  </si>
  <si>
    <t>FS2024XT 000619</t>
  </si>
  <si>
    <t>FS2024XT 000620</t>
  </si>
  <si>
    <t>FS2024XT 000621</t>
  </si>
  <si>
    <t>FS2024XT 000622</t>
  </si>
  <si>
    <t>FS2024XT 000623</t>
  </si>
  <si>
    <t>FS2024XT 000624</t>
  </si>
  <si>
    <t>FS2024XT 000625</t>
  </si>
  <si>
    <t>FS2024XT 000626</t>
  </si>
  <si>
    <t>FS2024XT 000627</t>
  </si>
  <si>
    <t>FS2024XT 000628</t>
  </si>
  <si>
    <t>FS2024XT 000629</t>
  </si>
  <si>
    <t>FS2024XT 000630</t>
  </si>
  <si>
    <t>FS2024XT 000631</t>
  </si>
  <si>
    <t>FS2024XT 000632</t>
  </si>
  <si>
    <t>FS2024XT 000633</t>
  </si>
  <si>
    <t>FS2024XT 000634</t>
  </si>
  <si>
    <t>FS2024XT 000635</t>
  </si>
  <si>
    <t>FS2024XT 000636</t>
  </si>
  <si>
    <t>FS2024XT 000637</t>
  </si>
  <si>
    <t>FS2024XT 000638</t>
  </si>
  <si>
    <t>FS2024XT 000639</t>
  </si>
  <si>
    <t>FS2024XT 000640</t>
  </si>
  <si>
    <t>FS2024XT 000641</t>
  </si>
  <si>
    <t>FS2024XT 000642</t>
  </si>
  <si>
    <t>FS2024XT 000643</t>
  </si>
  <si>
    <t>FS2024XT 000644</t>
  </si>
  <si>
    <t>FS2024XT 000645</t>
  </si>
  <si>
    <t>FS2024XT 000646</t>
  </si>
  <si>
    <t>FS2024XT 000647</t>
  </si>
  <si>
    <t>FS2024XT 000648</t>
  </si>
  <si>
    <t>FS2024XT 000649</t>
  </si>
  <si>
    <t>FS2024XT 000650</t>
  </si>
  <si>
    <t>FS2024XT 000651</t>
  </si>
  <si>
    <t>FS2024XT 000652</t>
  </si>
  <si>
    <t>FS2024XT 000653</t>
  </si>
  <si>
    <t>FS2024XT 000654</t>
  </si>
  <si>
    <t>FS2024XT 000655</t>
  </si>
  <si>
    <t>FS2024XT 000656</t>
  </si>
  <si>
    <t>FS2024XT 000657</t>
  </si>
  <si>
    <t>FS2024XT 000658</t>
  </si>
  <si>
    <t>FS2024XT 000659</t>
  </si>
  <si>
    <t>FS2024XT 000660</t>
  </si>
  <si>
    <t>FS2024XT 000661</t>
  </si>
  <si>
    <t>FS2024XT 000662</t>
  </si>
  <si>
    <t>FS2024XT 000663</t>
  </si>
  <si>
    <t>FS2024XT 000664</t>
  </si>
  <si>
    <t>FS2024XT 000665</t>
  </si>
  <si>
    <t>FS2024XT 000666</t>
  </si>
  <si>
    <t>FS2024XT 000667</t>
  </si>
  <si>
    <t>FS2024XT 000668</t>
  </si>
  <si>
    <t>FS2024XT 000669</t>
  </si>
  <si>
    <t>FS2024XT 000670</t>
  </si>
  <si>
    <t>FS2024XT 000671</t>
  </si>
  <si>
    <t>FS2024XT 000672</t>
  </si>
  <si>
    <t>FS2024XT 000673</t>
  </si>
  <si>
    <t>FS2024XT 000674</t>
  </si>
  <si>
    <t>FS2024XT 000675</t>
  </si>
  <si>
    <t>FS2024XT 000676</t>
  </si>
  <si>
    <t>FS2024XT 000677</t>
  </si>
  <si>
    <t>FS2024XT 000678</t>
  </si>
  <si>
    <t>FS2024XT 000679</t>
  </si>
  <si>
    <t>FS2024XT 000680</t>
  </si>
  <si>
    <t>FS2024XT 000681</t>
  </si>
  <si>
    <t>FS2024XT 000682</t>
  </si>
  <si>
    <t>FS2024XT 000683</t>
  </si>
  <si>
    <t>FS2024XT 000684</t>
  </si>
  <si>
    <t>FS2024XT 000685</t>
  </si>
  <si>
    <t>FS2024XT 000686</t>
  </si>
  <si>
    <t>FS2024XT 000687</t>
  </si>
  <si>
    <t>FS2024XT 000688</t>
  </si>
  <si>
    <t>FACTE132517</t>
  </si>
  <si>
    <t>E.S.COMERCIAL SAMA</t>
  </si>
  <si>
    <t>A28077878</t>
  </si>
  <si>
    <t>0392/2024</t>
  </si>
  <si>
    <t>0375/2024</t>
  </si>
  <si>
    <t>0414/2024</t>
  </si>
  <si>
    <t>0393/2024</t>
  </si>
  <si>
    <t>0408/2024</t>
  </si>
  <si>
    <t>0307/2024</t>
  </si>
  <si>
    <t>0410/2024</t>
  </si>
  <si>
    <t>0369/2024</t>
  </si>
  <si>
    <t>0352/2024</t>
  </si>
  <si>
    <t>0382/2024</t>
  </si>
  <si>
    <t>0336/2024</t>
  </si>
  <si>
    <t>COLB.PARTYHOTEL</t>
  </si>
  <si>
    <t>0351/2024</t>
  </si>
  <si>
    <t>0383/2024</t>
  </si>
  <si>
    <t>0419/2024</t>
  </si>
  <si>
    <t>069/04/2024</t>
  </si>
  <si>
    <t>COLB.PARADISE</t>
  </si>
  <si>
    <t>COLB.ESTEBAN</t>
  </si>
  <si>
    <t>0390/2024</t>
  </si>
  <si>
    <t>0340/2024</t>
  </si>
  <si>
    <t>0329/2024</t>
  </si>
  <si>
    <t>0296/2024</t>
  </si>
  <si>
    <t>0416/2024</t>
  </si>
  <si>
    <t>RTE.BULEVAR</t>
  </si>
  <si>
    <t>0389/2024</t>
  </si>
  <si>
    <t>0345/2024</t>
  </si>
  <si>
    <t>0386/2024</t>
  </si>
  <si>
    <t>0417/2024</t>
  </si>
  <si>
    <t>0398/2024</t>
  </si>
  <si>
    <t>0338/2024</t>
  </si>
  <si>
    <t>0400/2024</t>
  </si>
  <si>
    <t>0388/2024</t>
  </si>
  <si>
    <t>202778365390</t>
  </si>
  <si>
    <t>202778284831</t>
  </si>
  <si>
    <t>202778336910</t>
  </si>
  <si>
    <t>202778365389</t>
  </si>
  <si>
    <t>202778713061</t>
  </si>
  <si>
    <t>002/2024</t>
  </si>
  <si>
    <t>RUSIA-IDK</t>
  </si>
  <si>
    <t>B44587657</t>
  </si>
  <si>
    <t>JOSE LUIS HERRERO TORO</t>
  </si>
  <si>
    <t>52987902 L</t>
  </si>
  <si>
    <t>SHOW PROYECT EVENTS</t>
  </si>
  <si>
    <t>B8756629</t>
  </si>
  <si>
    <t>005/2024</t>
  </si>
  <si>
    <t>MANUEL SANZ CANTOS</t>
  </si>
  <si>
    <t>53217013G</t>
  </si>
  <si>
    <t>006/2024</t>
  </si>
  <si>
    <t>B876979643</t>
  </si>
  <si>
    <t>007/2024</t>
  </si>
  <si>
    <t>PARROQUIA SANTO CRISTO DE LA MISERICORDIA</t>
  </si>
  <si>
    <t>R7800489B</t>
  </si>
  <si>
    <t>02/02/20024</t>
  </si>
  <si>
    <t>08/2024</t>
  </si>
  <si>
    <t>09/2024</t>
  </si>
  <si>
    <t>FRUTI DI MARE3 INVESTMENT, S.L</t>
  </si>
  <si>
    <t>B87547410</t>
  </si>
  <si>
    <t>010/2024</t>
  </si>
  <si>
    <t>MUNDIVE EVENTOS, S.L</t>
  </si>
  <si>
    <t>B88462023</t>
  </si>
  <si>
    <t>01AB/2024</t>
  </si>
  <si>
    <t>011/2024</t>
  </si>
  <si>
    <t>012/2024</t>
  </si>
  <si>
    <t>MOBILITY VTC SPAIN S.L</t>
  </si>
  <si>
    <t>B10963288</t>
  </si>
  <si>
    <t>013/2024</t>
  </si>
  <si>
    <t>KREA FILMS PRODUCCIONES S.L</t>
  </si>
  <si>
    <t>B85647253</t>
  </si>
  <si>
    <t>014/2024</t>
  </si>
  <si>
    <t>YOURE WELLCOME DMC, S.L</t>
  </si>
  <si>
    <t>B67592246</t>
  </si>
  <si>
    <t>015/2024</t>
  </si>
  <si>
    <t>016/2024</t>
  </si>
  <si>
    <t>019/2024</t>
  </si>
  <si>
    <t>BLUECELL COMUNICACIÓN, S.L</t>
  </si>
  <si>
    <t>B86082104</t>
  </si>
  <si>
    <t>LITZABRIELA SOTELDO ROJAS</t>
  </si>
  <si>
    <t>60036849 H</t>
  </si>
  <si>
    <t>INVERSIONES FOREXCAR, S.L</t>
  </si>
  <si>
    <t>B86754652</t>
  </si>
  <si>
    <t>ALQUILER LOCAL S.MARTIN</t>
  </si>
  <si>
    <t>ALQUILER LOCAL SAN MARTIN</t>
  </si>
  <si>
    <t>ALQUILER LOCAL SAN MARTÍN</t>
  </si>
  <si>
    <t>FS2024XT 000262</t>
  </si>
  <si>
    <t>FS2024XT 000263</t>
  </si>
  <si>
    <t>FS2024XT 000264</t>
  </si>
  <si>
    <t>FS2024XT 000265</t>
  </si>
  <si>
    <t>FS2024XT 000266</t>
  </si>
  <si>
    <t>FS2024XT 000267</t>
  </si>
  <si>
    <t>FS2024XT 000268</t>
  </si>
  <si>
    <t>FS2024XT 000269</t>
  </si>
  <si>
    <t>FS2024XT 000270</t>
  </si>
  <si>
    <t>FS2024XT 000271</t>
  </si>
  <si>
    <t>FS2024XT 000272</t>
  </si>
  <si>
    <t>FS2024XT 000273</t>
  </si>
  <si>
    <t>FS2024XT 000274</t>
  </si>
  <si>
    <t>FS2024XT 000275</t>
  </si>
  <si>
    <t>FS2024XT 000276</t>
  </si>
  <si>
    <t>FS2024XT 000277</t>
  </si>
  <si>
    <t>FS2024XT 000278</t>
  </si>
  <si>
    <t>FS2024XT 000279</t>
  </si>
  <si>
    <t>FS2024XT 000280</t>
  </si>
  <si>
    <t>FS2024XT 000281</t>
  </si>
  <si>
    <t>FS2024XT 000282</t>
  </si>
  <si>
    <t>FS2024XT 000283</t>
  </si>
  <si>
    <t>FS2024XT 000284</t>
  </si>
  <si>
    <t>FS2024XT 000285</t>
  </si>
  <si>
    <t>FS2024XT 000286</t>
  </si>
  <si>
    <t>FS2024XT 000287</t>
  </si>
  <si>
    <t>FS2024XT 000288</t>
  </si>
  <si>
    <t>FS2024XT 000289</t>
  </si>
  <si>
    <t>FS2024XT 000290</t>
  </si>
  <si>
    <t>FS2024XT 000291</t>
  </si>
  <si>
    <t>FS2024XT 000292</t>
  </si>
  <si>
    <t>FS2024XT 000293</t>
  </si>
  <si>
    <t>FS2024XT 000294</t>
  </si>
  <si>
    <t>FS2024XT 000295</t>
  </si>
  <si>
    <t>FS2024XT 000296</t>
  </si>
  <si>
    <t>FS2024XT 000297</t>
  </si>
  <si>
    <t>FS2024XT 000298</t>
  </si>
  <si>
    <t>FS2024XT 000299</t>
  </si>
  <si>
    <t>FS2024XT 000300</t>
  </si>
  <si>
    <t>FS2024XT 000301</t>
  </si>
  <si>
    <t>FS2024XT 000302</t>
  </si>
  <si>
    <t>FS2024XT 000303</t>
  </si>
  <si>
    <t>FS2024XT 000304</t>
  </si>
  <si>
    <t>FS2024XT 000305</t>
  </si>
  <si>
    <t>FS2024XT 000306</t>
  </si>
  <si>
    <t>FS2024XT 000307</t>
  </si>
  <si>
    <t>FS2024XT 000308</t>
  </si>
  <si>
    <t>FS2024XT 000309</t>
  </si>
  <si>
    <t>FS2024XT 000310</t>
  </si>
  <si>
    <t>FS2024XT 000311</t>
  </si>
  <si>
    <t>FS2024XT 000312</t>
  </si>
  <si>
    <t>FS2024XT 000313</t>
  </si>
  <si>
    <t>FS2024XT 000314</t>
  </si>
  <si>
    <t>FS2024XT 000315</t>
  </si>
  <si>
    <t>FS2024XT 000316</t>
  </si>
  <si>
    <t>FS2024XT 000317</t>
  </si>
  <si>
    <t>FS2024XT 000318</t>
  </si>
  <si>
    <t>FS2024XT 000319</t>
  </si>
  <si>
    <t>FS2024XT 000320</t>
  </si>
  <si>
    <t>FS2024XT 000321</t>
  </si>
  <si>
    <t>FS2024XT 000322</t>
  </si>
  <si>
    <t>FS2024XT 000323</t>
  </si>
  <si>
    <t>FS2024XT 000324</t>
  </si>
  <si>
    <t>FS2024XT 000325</t>
  </si>
  <si>
    <t>FS2024XT 000326</t>
  </si>
  <si>
    <t>FS2024XT 000327</t>
  </si>
  <si>
    <t>FS2024XT 000328</t>
  </si>
  <si>
    <t>FS2024XT 000329</t>
  </si>
  <si>
    <t>FS2024XT 000330</t>
  </si>
  <si>
    <t>FS2024XT 000331</t>
  </si>
  <si>
    <t>FS2024XT 000332</t>
  </si>
  <si>
    <t>FS2024XT 000333</t>
  </si>
  <si>
    <t>FS2024XT 000334</t>
  </si>
  <si>
    <t>FS2024XT 000335</t>
  </si>
  <si>
    <t>FS2024XT 000336</t>
  </si>
  <si>
    <t>FS2024XT 000337</t>
  </si>
  <si>
    <t>FS2024XT 000338</t>
  </si>
  <si>
    <t>FS2024XT 000339</t>
  </si>
  <si>
    <t>FS2024XT 000340</t>
  </si>
  <si>
    <t>FS2024XT 000341</t>
  </si>
  <si>
    <t>FS2024XT 000342</t>
  </si>
  <si>
    <t>FS2024XT 000343</t>
  </si>
  <si>
    <t>FS2024XT 000344</t>
  </si>
  <si>
    <t>FS2024XT 000345</t>
  </si>
  <si>
    <t>FS2024XT 000346</t>
  </si>
  <si>
    <t>FS2024XT 000347</t>
  </si>
  <si>
    <t>FS2024XT 000348</t>
  </si>
  <si>
    <t>FS2024XT 000349</t>
  </si>
  <si>
    <t>FS2024XT 000350</t>
  </si>
  <si>
    <t>FS2024XT 000351</t>
  </si>
  <si>
    <t>FS2024XT 000352</t>
  </si>
  <si>
    <t>FS2024XT 000353</t>
  </si>
  <si>
    <t>FS2024XT 000354</t>
  </si>
  <si>
    <t>FS2024XT 000355</t>
  </si>
  <si>
    <t>FS2024XT 000356</t>
  </si>
  <si>
    <t>FS2024XT 000357</t>
  </si>
  <si>
    <t>FS2024XT 000358</t>
  </si>
  <si>
    <t>FS2024XT 000359</t>
  </si>
  <si>
    <t>FS2024XT 000360</t>
  </si>
  <si>
    <t>FS2024XT 000361</t>
  </si>
  <si>
    <t>FS2024XT 000362</t>
  </si>
  <si>
    <t>FS2024XT 000363</t>
  </si>
  <si>
    <t>FS2024XT 000364</t>
  </si>
  <si>
    <t>FS2024XT 000365</t>
  </si>
  <si>
    <t>FS2024XT 000366</t>
  </si>
  <si>
    <t>FS2024XT 000367</t>
  </si>
  <si>
    <t>FS2024XT 000368</t>
  </si>
  <si>
    <t>FS2024XT 000369</t>
  </si>
  <si>
    <t>FS2024XT 000370</t>
  </si>
  <si>
    <t>FS2024XT 000371</t>
  </si>
  <si>
    <t>FS2024XT 000372</t>
  </si>
  <si>
    <t>FS2024XT 000373</t>
  </si>
  <si>
    <t>FS2024XT 000374</t>
  </si>
  <si>
    <t>FS2024XT 000375</t>
  </si>
  <si>
    <t>FS2024XT 000376</t>
  </si>
  <si>
    <t>FS2024XT 000377</t>
  </si>
  <si>
    <t>FS2024XT 000378</t>
  </si>
  <si>
    <t>FS2024XT 000379</t>
  </si>
  <si>
    <t>FS2024XT 000380</t>
  </si>
  <si>
    <t>FS2024XT 000381</t>
  </si>
  <si>
    <t>FS2024XT 000382</t>
  </si>
  <si>
    <t>FS2024XT 000383</t>
  </si>
  <si>
    <t>FS2024XT 000384</t>
  </si>
  <si>
    <t>FS2024XT 000385</t>
  </si>
  <si>
    <t>FS2024XT 000386</t>
  </si>
  <si>
    <t>FS2024XT 000387</t>
  </si>
  <si>
    <t>FS2024XT 000388</t>
  </si>
  <si>
    <t>FS2024XT 000389</t>
  </si>
  <si>
    <t>FS2024XT 000390</t>
  </si>
  <si>
    <t>FS2024XT 000391</t>
  </si>
  <si>
    <t>FS2024XT 000392</t>
  </si>
  <si>
    <t>FS2024XT 000393</t>
  </si>
  <si>
    <t>FS2024XT 000394</t>
  </si>
  <si>
    <t>FS2024XT 000395</t>
  </si>
  <si>
    <t>FS2024XT 000396</t>
  </si>
  <si>
    <t>FS2024XT 000397</t>
  </si>
  <si>
    <t>FS2024XT 000398</t>
  </si>
  <si>
    <t>FS2024XT 000399</t>
  </si>
  <si>
    <t>FS2024XT 000400</t>
  </si>
  <si>
    <t>FS2024XT 000401</t>
  </si>
  <si>
    <t>FS2024XT 000402</t>
  </si>
  <si>
    <t>FS2024XT 000403</t>
  </si>
  <si>
    <t>FS2024XT 000404</t>
  </si>
  <si>
    <t>FS2024XT 000405</t>
  </si>
  <si>
    <t>FS2024XT 000406</t>
  </si>
  <si>
    <t>FS2024XT 000407</t>
  </si>
  <si>
    <t>FS2024XT 000408</t>
  </si>
  <si>
    <t>FS2024XT 000409</t>
  </si>
  <si>
    <t>FS2024XT 000410</t>
  </si>
  <si>
    <t>FS2024XT 000411</t>
  </si>
  <si>
    <t>FS2024XT 000412</t>
  </si>
  <si>
    <t>FS2024XT 000413</t>
  </si>
  <si>
    <t>FS2024XT 000414</t>
  </si>
  <si>
    <t>FS2024XT 000415</t>
  </si>
  <si>
    <t>FS2024XT 000416</t>
  </si>
  <si>
    <t>FS2024XT 000417</t>
  </si>
  <si>
    <t>FS2024XT 000418</t>
  </si>
  <si>
    <t>COLB.JOEL</t>
  </si>
  <si>
    <t>0162/2024</t>
  </si>
  <si>
    <t>0161/2024</t>
  </si>
  <si>
    <t>0146/2024</t>
  </si>
  <si>
    <t>COLB.RAUL</t>
  </si>
  <si>
    <t>0270/2024</t>
  </si>
  <si>
    <t>0266/2024</t>
  </si>
  <si>
    <t>0271/2024</t>
  </si>
  <si>
    <t>COLB.EXCLUXIVE</t>
  </si>
  <si>
    <t>0259/2024</t>
  </si>
  <si>
    <t>0216/2024</t>
  </si>
  <si>
    <t>0205/2024</t>
  </si>
  <si>
    <t>0255/2024</t>
  </si>
  <si>
    <t>0189/2024</t>
  </si>
  <si>
    <t>0190/2024</t>
  </si>
  <si>
    <t>0151/2024</t>
  </si>
  <si>
    <t>0155/2024</t>
  </si>
  <si>
    <t>0171/2024</t>
  </si>
  <si>
    <t>COLAB.HUGO</t>
  </si>
  <si>
    <t>COLB. ESTO ES HOLLYWOOD</t>
  </si>
  <si>
    <t>0176/2024</t>
  </si>
  <si>
    <t>0136/2024</t>
  </si>
  <si>
    <t>0262/2024</t>
  </si>
  <si>
    <t>0194/2024</t>
  </si>
  <si>
    <t>0284/2024</t>
  </si>
  <si>
    <t>0290/2024</t>
  </si>
  <si>
    <t>0287/2024</t>
  </si>
  <si>
    <t>0244/2024</t>
  </si>
  <si>
    <t>0288/2024</t>
  </si>
  <si>
    <t>0292/2024</t>
  </si>
  <si>
    <t>0273/2024</t>
  </si>
  <si>
    <t>0300/2024</t>
  </si>
  <si>
    <t>0246/2024</t>
  </si>
  <si>
    <t>0289/2024</t>
  </si>
  <si>
    <t>0245/2024</t>
  </si>
  <si>
    <t>0221/2024</t>
  </si>
  <si>
    <t>0227/2024</t>
  </si>
  <si>
    <t>0260/2024</t>
  </si>
  <si>
    <t>0134/2024</t>
  </si>
  <si>
    <t>0257/2024</t>
  </si>
  <si>
    <t>0231/2024</t>
  </si>
  <si>
    <t>COLAB. HOLLYWOOD</t>
  </si>
  <si>
    <t>0302/2024</t>
  </si>
  <si>
    <t>0230/2024</t>
  </si>
  <si>
    <t>0309/2024</t>
  </si>
  <si>
    <t>0305/2024</t>
  </si>
  <si>
    <t>0199/2024</t>
  </si>
  <si>
    <t>0310/2024</t>
  </si>
  <si>
    <t>0274/2024</t>
  </si>
  <si>
    <t>COLB. CUMPLIDO</t>
  </si>
  <si>
    <t>0237/2024</t>
  </si>
  <si>
    <t>COLB.JULIO</t>
  </si>
  <si>
    <t>0251/2024</t>
  </si>
  <si>
    <t>0301/2024</t>
  </si>
  <si>
    <t>0319/2024</t>
  </si>
  <si>
    <t>0331/2024</t>
  </si>
  <si>
    <t>BOYS</t>
  </si>
  <si>
    <t>COLB.JESUS</t>
  </si>
  <si>
    <t>0323/2024</t>
  </si>
  <si>
    <t>0261/2024</t>
  </si>
  <si>
    <t>0308/2024</t>
  </si>
  <si>
    <t>0243/2024</t>
  </si>
  <si>
    <t>0283/2024</t>
  </si>
  <si>
    <t>0281/2024</t>
  </si>
  <si>
    <t>0328/2024</t>
  </si>
  <si>
    <t>0248/2024</t>
  </si>
  <si>
    <t>COLB.HUGO</t>
  </si>
  <si>
    <t>0166/2024</t>
  </si>
  <si>
    <t>0280/2024</t>
  </si>
  <si>
    <t>0311/2024</t>
  </si>
  <si>
    <t>0135/2024</t>
  </si>
  <si>
    <t>0258/2024</t>
  </si>
  <si>
    <t>0286/2024</t>
  </si>
  <si>
    <t>COLB.BIG</t>
  </si>
  <si>
    <t>0277/2024</t>
  </si>
  <si>
    <t>0297/2024</t>
  </si>
  <si>
    <t>0332/2024</t>
  </si>
  <si>
    <t>0228/2024</t>
  </si>
  <si>
    <t>0250/2024</t>
  </si>
  <si>
    <t>0326/2024</t>
  </si>
  <si>
    <t>0279/2024</t>
  </si>
  <si>
    <t>0334/2024</t>
  </si>
  <si>
    <t>0238/2024</t>
  </si>
  <si>
    <t>0320/2024</t>
  </si>
  <si>
    <t>0268/2024</t>
  </si>
  <si>
    <t>0169/2024</t>
  </si>
  <si>
    <t>COLB.FUN BUYS</t>
  </si>
  <si>
    <t>0242/2024</t>
  </si>
  <si>
    <t>0272/2024</t>
  </si>
  <si>
    <t>0339/2024</t>
  </si>
  <si>
    <t>0344/2024</t>
  </si>
  <si>
    <t>0282/2024</t>
  </si>
  <si>
    <t>COLB.DESCONECTA</t>
  </si>
  <si>
    <t>0088/2024</t>
  </si>
  <si>
    <t>0264/2024</t>
  </si>
  <si>
    <t>0160/2024</t>
  </si>
  <si>
    <t>0347/2024</t>
  </si>
  <si>
    <t>0349/2024</t>
  </si>
  <si>
    <t>0324/2024</t>
  </si>
  <si>
    <t>FS2024XT 000419</t>
  </si>
  <si>
    <t>FS2024XT 000420</t>
  </si>
  <si>
    <t>FS2024XT 000421</t>
  </si>
  <si>
    <t>FS2024XT 000422</t>
  </si>
  <si>
    <t>FS2024XT 000423</t>
  </si>
  <si>
    <t>FS2024XT 000424</t>
  </si>
  <si>
    <t>FS2024XT 000425</t>
  </si>
  <si>
    <t>FS2024XT 000426</t>
  </si>
  <si>
    <t>FS2024XT 000427</t>
  </si>
  <si>
    <t>FS2024XT 000428</t>
  </si>
  <si>
    <t>FS2024XT 000429</t>
  </si>
  <si>
    <t>FS2024XT 000430</t>
  </si>
  <si>
    <t>FS2024XT 000431</t>
  </si>
  <si>
    <t>FS2024XT 000432</t>
  </si>
  <si>
    <t>FS2024XT 000433</t>
  </si>
  <si>
    <t>FS2024XT 000434</t>
  </si>
  <si>
    <t>FS2024XT 000435</t>
  </si>
  <si>
    <t>FS2024XT 000436</t>
  </si>
  <si>
    <t>FS2024XT 000437</t>
  </si>
  <si>
    <t>FS2024XT 000438</t>
  </si>
  <si>
    <t>FS2024XT 000439</t>
  </si>
  <si>
    <t>FS2024XT 000440</t>
  </si>
  <si>
    <t>FS2024XT 000441</t>
  </si>
  <si>
    <t>FS2024XT 000442</t>
  </si>
  <si>
    <t>FS2024XT 000443</t>
  </si>
  <si>
    <t>FS2024XT 000444</t>
  </si>
  <si>
    <t>FS2024XT 000445</t>
  </si>
  <si>
    <t>FS2024XT 000446</t>
  </si>
  <si>
    <t>FS2024XT 000447</t>
  </si>
  <si>
    <t>FS2024XT 000448</t>
  </si>
  <si>
    <t>FS2024XT 000449</t>
  </si>
  <si>
    <t>FS2024XT 000450</t>
  </si>
  <si>
    <t>FS2024XT 000451</t>
  </si>
  <si>
    <t>FS2024XT 000452</t>
  </si>
  <si>
    <t>0337/2024</t>
  </si>
  <si>
    <t>COLB.FRANCISCO</t>
  </si>
  <si>
    <t>COLB.CUMPLIDO</t>
  </si>
  <si>
    <t>0263/2024</t>
  </si>
  <si>
    <t>0341/2024</t>
  </si>
  <si>
    <t>0376/2024</t>
  </si>
  <si>
    <t>0381/2024</t>
  </si>
  <si>
    <t>0278/2024</t>
  </si>
  <si>
    <t>0333/2024</t>
  </si>
  <si>
    <t>0330/2024</t>
  </si>
  <si>
    <t>0370/2024</t>
  </si>
  <si>
    <t>COLB.PARTY</t>
  </si>
  <si>
    <t>0321/2024</t>
  </si>
  <si>
    <t>0316/2024</t>
  </si>
  <si>
    <t>0195/2024</t>
  </si>
  <si>
    <t>FS2024XT 000453</t>
  </si>
  <si>
    <t>SERVICIOS PRIVADOS Y TRANSPORTES ADPATADOS, S.L</t>
  </si>
  <si>
    <t>TRANSFERENCIA (2)</t>
  </si>
  <si>
    <t>B42846410</t>
  </si>
  <si>
    <t>02/2024</t>
  </si>
  <si>
    <t>2024-724-100313595</t>
  </si>
  <si>
    <t>FV-24-1000297-04</t>
  </si>
  <si>
    <t>BEBIDA-REFRESCOS-VARIOS</t>
  </si>
  <si>
    <t>3611-018-865270</t>
  </si>
  <si>
    <t>24/03658</t>
  </si>
  <si>
    <t>ESON IMPORT EXPORT S,L</t>
  </si>
  <si>
    <t>COPAS-VARIOS</t>
  </si>
  <si>
    <t>24-002302</t>
  </si>
  <si>
    <t>LICORES LLUVA S.L</t>
  </si>
  <si>
    <t>F2404C24000107</t>
  </si>
  <si>
    <t>ANJANA INVESTMENTS S.L</t>
  </si>
  <si>
    <t>CARGA AIRE LIMUSINA</t>
  </si>
  <si>
    <t>24-002434</t>
  </si>
  <si>
    <t>B-366883</t>
  </si>
  <si>
    <t>MARISQUERIA SAN IGNACIO, S.L</t>
  </si>
  <si>
    <t>B87228185</t>
  </si>
  <si>
    <t>F2404C24000207</t>
  </si>
  <si>
    <t>EXPLOTACIONES ESTACION DE SERVICIO SA</t>
  </si>
  <si>
    <t>A80393812</t>
  </si>
  <si>
    <t>LIQUIDO HIDRÁULICO</t>
  </si>
  <si>
    <t>PINTO SHOPPING 2020 SL</t>
  </si>
  <si>
    <t>REPUESTOS MIGUEL</t>
  </si>
  <si>
    <t>FV-24-1000498</t>
  </si>
  <si>
    <t>F2404C24000258</t>
  </si>
  <si>
    <t>0835/V12400008051</t>
  </si>
  <si>
    <t>CAMPSA ESTACIONES DE SERVICIO SA</t>
  </si>
  <si>
    <t>A78492782</t>
  </si>
  <si>
    <t>0036/20254</t>
  </si>
  <si>
    <t>CUMPLEAÑOS</t>
  </si>
  <si>
    <t>0405/2024</t>
  </si>
  <si>
    <t>0394/2024</t>
  </si>
  <si>
    <t>0312/2024</t>
  </si>
  <si>
    <t>0380/2024</t>
  </si>
  <si>
    <t>0413/2024</t>
  </si>
  <si>
    <t>0112/2024</t>
  </si>
  <si>
    <t>0432/2024</t>
  </si>
  <si>
    <t>COLB.EVENTOS</t>
  </si>
  <si>
    <t>0368/2024</t>
  </si>
  <si>
    <t>0367/2024</t>
  </si>
  <si>
    <t>0384/2024</t>
  </si>
  <si>
    <t>COLB. FUN BUS</t>
  </si>
  <si>
    <t>0436/2024</t>
  </si>
  <si>
    <t>0438/2024</t>
  </si>
  <si>
    <t>0457/2024</t>
  </si>
  <si>
    <t>COLB.TRAVELCARE</t>
  </si>
  <si>
    <t>0343/2024</t>
  </si>
  <si>
    <t>0412/2024</t>
  </si>
  <si>
    <t>0440/2024</t>
  </si>
  <si>
    <t>0411/2024</t>
  </si>
  <si>
    <t>0435/2024</t>
  </si>
  <si>
    <t>0391/2024</t>
  </si>
  <si>
    <t>0449/2024</t>
  </si>
  <si>
    <t>0399/2024</t>
  </si>
  <si>
    <t>0315/2024</t>
  </si>
  <si>
    <t>0102/2024</t>
  </si>
  <si>
    <t>COLB.FUN BUS</t>
  </si>
  <si>
    <t>0404/2024</t>
  </si>
  <si>
    <t>0442/2024</t>
  </si>
  <si>
    <t>10/2024</t>
  </si>
  <si>
    <t>EL GRAN JAMONAL S.L</t>
  </si>
  <si>
    <t>CENA CLIENTES</t>
  </si>
  <si>
    <t>0303/024</t>
  </si>
  <si>
    <t>0472/2024</t>
  </si>
  <si>
    <t>0424/2024</t>
  </si>
  <si>
    <t>0502/2024</t>
  </si>
  <si>
    <t>0483/2024</t>
  </si>
  <si>
    <t>0496/2024</t>
  </si>
  <si>
    <t>0360/2024</t>
  </si>
  <si>
    <t>0475/2024</t>
  </si>
  <si>
    <t>0163/2024</t>
  </si>
  <si>
    <t>0439/2024</t>
  </si>
  <si>
    <t>0362/2024</t>
  </si>
  <si>
    <t>0346/2024</t>
  </si>
  <si>
    <t>0487/2024</t>
  </si>
  <si>
    <t>COLAB.BORJA</t>
  </si>
  <si>
    <t>0396/2024</t>
  </si>
  <si>
    <t>0437/2024</t>
  </si>
  <si>
    <t>0470/2024</t>
  </si>
  <si>
    <t>0249/2024</t>
  </si>
  <si>
    <t>0463/2024</t>
  </si>
  <si>
    <t>0484/2024</t>
  </si>
  <si>
    <t>COLB.AITOR</t>
  </si>
  <si>
    <t>0420/2024</t>
  </si>
  <si>
    <t>0458/2024</t>
  </si>
  <si>
    <t>0121/2024</t>
  </si>
  <si>
    <t>0295/2024</t>
  </si>
  <si>
    <t>0372/2024</t>
  </si>
  <si>
    <t>0374/2024</t>
  </si>
  <si>
    <t>0350/2024</t>
  </si>
  <si>
    <t>0364/2024</t>
  </si>
  <si>
    <t>0428/2024</t>
  </si>
  <si>
    <t>0387/2024</t>
  </si>
  <si>
    <t>0385/2024</t>
  </si>
  <si>
    <t>0476/2024</t>
  </si>
  <si>
    <t>0379/2024</t>
  </si>
  <si>
    <t>0342/2024</t>
  </si>
  <si>
    <t>0402/2024</t>
  </si>
  <si>
    <t>0322/2024</t>
  </si>
  <si>
    <t>AIR SOFT</t>
  </si>
  <si>
    <t>FINCA</t>
  </si>
  <si>
    <t>0477/2024</t>
  </si>
  <si>
    <t>0403/2024</t>
  </si>
  <si>
    <t>0431/2024</t>
  </si>
  <si>
    <t>0482/2024</t>
  </si>
  <si>
    <t>0418/2024</t>
  </si>
  <si>
    <t>0515/2024</t>
  </si>
  <si>
    <t>0504/2024</t>
  </si>
  <si>
    <t>GRUPO HOSTELERO LOS BUHITOS S.L</t>
  </si>
  <si>
    <t xml:space="preserve"> B88081641</t>
  </si>
  <si>
    <t>24-002644</t>
  </si>
  <si>
    <t>24/04317</t>
  </si>
  <si>
    <t>3611-010-831445</t>
  </si>
  <si>
    <t>037907424/00042744</t>
  </si>
  <si>
    <t>AUTOLTY, S.L</t>
  </si>
  <si>
    <t>034377/A/24/002094</t>
  </si>
  <si>
    <t>REPSOL COMERC IAL DE PRODUCTOS PETROLIFEROS SA</t>
  </si>
  <si>
    <t>EXPLOTACION ESTACION DE SDERVICIOS SA</t>
  </si>
  <si>
    <t>272800706028</t>
  </si>
  <si>
    <t>387742383</t>
  </si>
  <si>
    <t>043730024/00005040</t>
  </si>
  <si>
    <t>043730024/00005042</t>
  </si>
  <si>
    <t>ELEGANCE SDAD,COOP. MADRILEÑA</t>
  </si>
  <si>
    <t>SERVICIOS PRESTADOS ABRIL</t>
  </si>
  <si>
    <t xml:space="preserve">TRANSF </t>
  </si>
  <si>
    <t>24-002838</t>
  </si>
  <si>
    <t>FV-24-1000595-04</t>
  </si>
  <si>
    <t>0518/2024</t>
  </si>
  <si>
    <t>0524/2024</t>
  </si>
  <si>
    <t>S/ N.RESERVA</t>
  </si>
  <si>
    <t>0510/2024</t>
  </si>
  <si>
    <t>0480/2024</t>
  </si>
  <si>
    <t>0526/2024</t>
  </si>
  <si>
    <t>FOTOGRAFO</t>
  </si>
  <si>
    <t>0427/2024</t>
  </si>
  <si>
    <t>0527/2024</t>
  </si>
  <si>
    <t>0441/2024</t>
  </si>
  <si>
    <t>0425/2024</t>
  </si>
  <si>
    <t>COLB.DAVID</t>
  </si>
  <si>
    <t>0304/2024</t>
  </si>
  <si>
    <t>0493/2024</t>
  </si>
  <si>
    <t>0450/2024</t>
  </si>
  <si>
    <t>0508/2024</t>
  </si>
  <si>
    <t>0542/2024</t>
  </si>
  <si>
    <t>0537/2024</t>
  </si>
  <si>
    <t>0531/2024</t>
  </si>
  <si>
    <t>0533/2024</t>
  </si>
  <si>
    <t>0453/2024</t>
  </si>
  <si>
    <t>COLB. MIST-TAS</t>
  </si>
  <si>
    <t>0506/2024</t>
  </si>
  <si>
    <t>0254/2024</t>
  </si>
  <si>
    <t>0294/2024</t>
  </si>
  <si>
    <t>0464/2024</t>
  </si>
  <si>
    <t>0497/2024</t>
  </si>
  <si>
    <t>0547/2024</t>
  </si>
  <si>
    <t>0552/2024</t>
  </si>
  <si>
    <t>004520024/00002045</t>
  </si>
  <si>
    <t>046-0004-947444</t>
  </si>
  <si>
    <t>0000029668</t>
  </si>
  <si>
    <t>EXPLOTACION ESTACIONES DE SERVICIO, S.A</t>
  </si>
  <si>
    <t>FV-24-1000675</t>
  </si>
  <si>
    <t>ARANICE22,SLU</t>
  </si>
  <si>
    <t>05</t>
  </si>
  <si>
    <t>141/1401134166</t>
  </si>
  <si>
    <t>FS2024XT 000689</t>
  </si>
  <si>
    <t>FS2024XT 000690</t>
  </si>
  <si>
    <t>FS2024XT 000691</t>
  </si>
  <si>
    <t>FS2024XT 000692</t>
  </si>
  <si>
    <t>FS2024XT 000693</t>
  </si>
  <si>
    <t>FS2024XT 000694</t>
  </si>
  <si>
    <t>FS2024XT 000695</t>
  </si>
  <si>
    <t>FS2024XT 000696</t>
  </si>
  <si>
    <t>FS2024XT 000697</t>
  </si>
  <si>
    <t>FS2024XT 000698</t>
  </si>
  <si>
    <t>FS2024XT 000699</t>
  </si>
  <si>
    <t>FS2024XT 000700</t>
  </si>
  <si>
    <t>FS2024XT 000701</t>
  </si>
  <si>
    <t>FS2024XT 000702</t>
  </si>
  <si>
    <t>FS2024XT 000703</t>
  </si>
  <si>
    <t>FS2024XT 000704</t>
  </si>
  <si>
    <t>FS2024XT 000705</t>
  </si>
  <si>
    <t>FS2024XT 000706</t>
  </si>
  <si>
    <t>FS2024XT 000707</t>
  </si>
  <si>
    <t>FS2024XT 000708</t>
  </si>
  <si>
    <t>FS2024XT 000709</t>
  </si>
  <si>
    <t>FS2024XT 000710</t>
  </si>
  <si>
    <t>FS2024XT 000711</t>
  </si>
  <si>
    <t>FS2024XT 000712</t>
  </si>
  <si>
    <t>FS2024XT 000713</t>
  </si>
  <si>
    <t>FS2024XT 000714</t>
  </si>
  <si>
    <t>FS2024XT 000715</t>
  </si>
  <si>
    <t>FS2024XT 000716</t>
  </si>
  <si>
    <t>FS2024XT 000717</t>
  </si>
  <si>
    <t>FS2024XT 000718</t>
  </si>
  <si>
    <t>FS2024XT 000719</t>
  </si>
  <si>
    <t>FS2024XT 000720</t>
  </si>
  <si>
    <t>FS2024XT 000721</t>
  </si>
  <si>
    <t>FS2024XT 000722</t>
  </si>
  <si>
    <t>FS2024XT 000723</t>
  </si>
  <si>
    <t>FS2024XT 000724</t>
  </si>
  <si>
    <t>FS2024XT 000725</t>
  </si>
  <si>
    <t>FS2024XT 000726</t>
  </si>
  <si>
    <t>FS2024XT 000727</t>
  </si>
  <si>
    <t>FS2024XT 000728</t>
  </si>
  <si>
    <t>FS2024XT 000729</t>
  </si>
  <si>
    <t>FS2024XT 000730</t>
  </si>
  <si>
    <t>FS2024XT 000731</t>
  </si>
  <si>
    <t>FS2024XT 000732</t>
  </si>
  <si>
    <t>FS2024XT 000733</t>
  </si>
  <si>
    <t>FS2024XT 000734</t>
  </si>
  <si>
    <t>FS2024XT 000735</t>
  </si>
  <si>
    <t>FS2024XT 000736</t>
  </si>
  <si>
    <t>FS2024XT 000737</t>
  </si>
  <si>
    <t>FS2024XT 000738</t>
  </si>
  <si>
    <t>FS2024XT 000739</t>
  </si>
  <si>
    <t>FS2024XT 000740</t>
  </si>
  <si>
    <t>FS2024XT 000741</t>
  </si>
  <si>
    <t>FS2024XT 000742</t>
  </si>
  <si>
    <t>FS2024XT 000743</t>
  </si>
  <si>
    <t>FS2024XT 000744</t>
  </si>
  <si>
    <t>FS2024XT 000745</t>
  </si>
  <si>
    <t>FS2024XT 000746</t>
  </si>
  <si>
    <t>FS2024XT 000747</t>
  </si>
  <si>
    <t>FS2024XT 000748</t>
  </si>
  <si>
    <t>FS2024XT 000749</t>
  </si>
  <si>
    <t>FS2024XT 000750</t>
  </si>
  <si>
    <t>FS2024XT 000751</t>
  </si>
  <si>
    <t>FS2024XT 000752</t>
  </si>
  <si>
    <t>FS2024XT 000753</t>
  </si>
  <si>
    <t>FS2024XT 000754</t>
  </si>
  <si>
    <t>FS2024XT 000755</t>
  </si>
  <si>
    <t>FS2024XT 000756</t>
  </si>
  <si>
    <t>FS2024XT 000757</t>
  </si>
  <si>
    <t>FS2024XT 000758</t>
  </si>
  <si>
    <t>FS2024XT 000759</t>
  </si>
  <si>
    <t>FS2024XT 000760</t>
  </si>
  <si>
    <t>FS2024XT 000761</t>
  </si>
  <si>
    <t>FS2024XT 000762</t>
  </si>
  <si>
    <t>FS2024XT 000763</t>
  </si>
  <si>
    <t>FS2024XT 000764</t>
  </si>
  <si>
    <t>FS2024XT 000765</t>
  </si>
  <si>
    <t>FS2024XT 000766</t>
  </si>
  <si>
    <t>FS2024XT 000767</t>
  </si>
  <si>
    <t>FS2024XT 000768</t>
  </si>
  <si>
    <t>FS2024XT 000769</t>
  </si>
  <si>
    <t>FS2024XT 000770</t>
  </si>
  <si>
    <t>FS2024XT 000771</t>
  </si>
  <si>
    <t>FS2024XT 000772</t>
  </si>
  <si>
    <t>FS2024XT 000773</t>
  </si>
  <si>
    <t>FS2024XT 000774</t>
  </si>
  <si>
    <t>FS2024XT 000775</t>
  </si>
  <si>
    <t>FS2024XT 000776</t>
  </si>
  <si>
    <t>FS2024XT 000777</t>
  </si>
  <si>
    <t>FS2024XT 000778</t>
  </si>
  <si>
    <t>FS2024XT 000779</t>
  </si>
  <si>
    <t>FS2024XT 000780</t>
  </si>
  <si>
    <t>FS2024XT 000781</t>
  </si>
  <si>
    <t>FS2024XT 000782</t>
  </si>
  <si>
    <t>FS2024XT 000783</t>
  </si>
  <si>
    <t>FS2024XT 000784</t>
  </si>
  <si>
    <t>FS2024XT 000785</t>
  </si>
  <si>
    <t>FS2024XT 000786</t>
  </si>
  <si>
    <t>FS2024XT 000787</t>
  </si>
  <si>
    <t>FS2024XT 000788</t>
  </si>
  <si>
    <t>FS2024XT 000789</t>
  </si>
  <si>
    <t>FS2024XT 000790</t>
  </si>
  <si>
    <t>FS2024XT 000791</t>
  </si>
  <si>
    <t>FS2024XT 000792</t>
  </si>
  <si>
    <t>FS2024XT 000793</t>
  </si>
  <si>
    <t>FS2024XT 000794</t>
  </si>
  <si>
    <t>FS2024XT 000795</t>
  </si>
  <si>
    <t>FS2024XT 000796</t>
  </si>
  <si>
    <t>FS2024XT 000797</t>
  </si>
  <si>
    <t>FS2024XT 000798</t>
  </si>
  <si>
    <t>FS2024XT 000799</t>
  </si>
  <si>
    <t>FS2024XT 000800</t>
  </si>
  <si>
    <t>FS2024XT 000801</t>
  </si>
  <si>
    <t>FS2024XT 000802</t>
  </si>
  <si>
    <t>FS2024XT 000803</t>
  </si>
  <si>
    <t>FS2024XT 000804</t>
  </si>
  <si>
    <t>FS2024XT 000805</t>
  </si>
  <si>
    <t>FS2024XT 000806</t>
  </si>
  <si>
    <t>FS2024XT 000807</t>
  </si>
  <si>
    <t>FS2024XT 000808</t>
  </si>
  <si>
    <t>FS2024XT 000809</t>
  </si>
  <si>
    <t>FS2024XT 000810</t>
  </si>
  <si>
    <t>FS2024XT 000811</t>
  </si>
  <si>
    <t>FS2024XT 000812</t>
  </si>
  <si>
    <t>FS2024XT 000813</t>
  </si>
  <si>
    <t>FS2024XT 000814</t>
  </si>
  <si>
    <t>FS2024XT 000815</t>
  </si>
  <si>
    <t>FS2024XT 000816</t>
  </si>
  <si>
    <t>FS2024XT 000817</t>
  </si>
  <si>
    <t>FS2024XT 000818</t>
  </si>
  <si>
    <t>FS2024XT 000819</t>
  </si>
  <si>
    <t>FS2024XT 000820</t>
  </si>
  <si>
    <t>FS2024XT 000821</t>
  </si>
  <si>
    <t>FS2024XT 000822</t>
  </si>
  <si>
    <t>FS2024XT 000823</t>
  </si>
  <si>
    <t>FS2024XT 000824</t>
  </si>
  <si>
    <t>FS2024XT 000825</t>
  </si>
  <si>
    <t>FS2024XT 000826</t>
  </si>
  <si>
    <t>FS2024XT 000827</t>
  </si>
  <si>
    <t>FS2024XT 000828</t>
  </si>
  <si>
    <t>FS2024XT 000829</t>
  </si>
  <si>
    <t>FS2024XT 000830</t>
  </si>
  <si>
    <t>FS2024XT 000831</t>
  </si>
  <si>
    <t>FS2024XT 000832</t>
  </si>
  <si>
    <t>FS2024XT 000833</t>
  </si>
  <si>
    <t>FS2024XT 000834</t>
  </si>
  <si>
    <t>FS2024XT 000835</t>
  </si>
  <si>
    <t>FS2024XT 000836</t>
  </si>
  <si>
    <t>FS2024XT 000837</t>
  </si>
  <si>
    <t>FS2024XT 000838</t>
  </si>
  <si>
    <t>FS2024XT 000839</t>
  </si>
  <si>
    <t>FS2024XT 000840</t>
  </si>
  <si>
    <t>FS2024XT 000841</t>
  </si>
  <si>
    <t>FS2024XT 000842</t>
  </si>
  <si>
    <t>FS2024XT 000843</t>
  </si>
  <si>
    <t>FS2024XT 000844</t>
  </si>
  <si>
    <t>FS2024XT 000845</t>
  </si>
  <si>
    <t>FS2024XT 000846</t>
  </si>
  <si>
    <t>FS2024XT 000847</t>
  </si>
  <si>
    <t>FS2024XT 000848</t>
  </si>
  <si>
    <t>FS2024XT 000849</t>
  </si>
  <si>
    <t>FS2024XT 000850</t>
  </si>
  <si>
    <t>FS2024XT 000851</t>
  </si>
  <si>
    <t>FS2024XT 000852</t>
  </si>
  <si>
    <t>FS2024XT 000853</t>
  </si>
  <si>
    <t>FS2024XT 000854</t>
  </si>
  <si>
    <t>FS2024XT 000855</t>
  </si>
  <si>
    <t>FS2024XT 000856</t>
  </si>
  <si>
    <t>FS2024XT 000857</t>
  </si>
  <si>
    <t>FS2024XT 000858</t>
  </si>
  <si>
    <t>FS2024XT 000859</t>
  </si>
  <si>
    <t>FS2024XT 000860</t>
  </si>
  <si>
    <t>FS2024XT 000861</t>
  </si>
  <si>
    <t>FS2024XT 000862</t>
  </si>
  <si>
    <t>FS2024XT 000863</t>
  </si>
  <si>
    <t>FS2024XT 000864</t>
  </si>
  <si>
    <t>FS2024XT 000865</t>
  </si>
  <si>
    <t>FS2024XT 000866</t>
  </si>
  <si>
    <t>FS2024XT 000867</t>
  </si>
  <si>
    <t>FS2024XT 000868</t>
  </si>
  <si>
    <t>FS2024XT 000869</t>
  </si>
  <si>
    <t>FS2024XT 000870</t>
  </si>
  <si>
    <t>FS2024XT 000871</t>
  </si>
  <si>
    <t>FS2024XT 000872</t>
  </si>
  <si>
    <t>FS2024XT 000873</t>
  </si>
  <si>
    <t>FS2024XT 000874</t>
  </si>
  <si>
    <t>FS2024XT 000875</t>
  </si>
  <si>
    <t>FS2024XT 000876</t>
  </si>
  <si>
    <t>FS2024XT 000877</t>
  </si>
  <si>
    <t>FS2024XT 000878</t>
  </si>
  <si>
    <t>FS2024XT 000879</t>
  </si>
  <si>
    <t>FS2024XT 000880</t>
  </si>
  <si>
    <t>FS2024XT 000881</t>
  </si>
  <si>
    <t>FS2024XT 000882</t>
  </si>
  <si>
    <t>FS2024XT 000883</t>
  </si>
  <si>
    <t>FS2024XT 000884</t>
  </si>
  <si>
    <t>FS2024XT 000885</t>
  </si>
  <si>
    <t>FS2024XT 000886</t>
  </si>
  <si>
    <t>FS2024XT 000887</t>
  </si>
  <si>
    <t>FS2024XT 000888</t>
  </si>
  <si>
    <t>FS2024XT 000889</t>
  </si>
  <si>
    <t>FS2024XT 000890</t>
  </si>
  <si>
    <t>FS2024XT 000891</t>
  </si>
  <si>
    <t>FS2024XT 000892</t>
  </si>
  <si>
    <t>FS2024XT 000893</t>
  </si>
  <si>
    <t>0525/2024</t>
  </si>
  <si>
    <t>0556/2024</t>
  </si>
  <si>
    <t>0549/2024</t>
  </si>
  <si>
    <t>0503/2024</t>
  </si>
  <si>
    <t>S/N.RESERVA</t>
  </si>
  <si>
    <t>0455/2024</t>
  </si>
  <si>
    <t>0498/2024</t>
  </si>
  <si>
    <t>0451/2024</t>
  </si>
  <si>
    <t>0509/2024</t>
  </si>
  <si>
    <t>0377/2024</t>
  </si>
  <si>
    <t>COLB.MIST-TA</t>
  </si>
  <si>
    <t>0462/2024</t>
  </si>
  <si>
    <t>0298/2024</t>
  </si>
  <si>
    <t>0522/2024</t>
  </si>
  <si>
    <t>COLB.ALEJANDRO</t>
  </si>
  <si>
    <t>0516/2024</t>
  </si>
  <si>
    <t>0456/2024</t>
  </si>
  <si>
    <t>COLB.BORJA</t>
  </si>
  <si>
    <t>24/04883</t>
  </si>
  <si>
    <t>B8520055</t>
  </si>
  <si>
    <t>24-002990</t>
  </si>
  <si>
    <t>FV-24-1000782-04</t>
  </si>
  <si>
    <t>N0178003240420000046</t>
  </si>
  <si>
    <t>A28425270</t>
  </si>
  <si>
    <t>35219</t>
  </si>
  <si>
    <t>REPUESTIOS MIGUEL SL</t>
  </si>
  <si>
    <t>24-003185</t>
  </si>
  <si>
    <t>3611-018-882307</t>
  </si>
  <si>
    <t>MERCADONA, SA</t>
  </si>
  <si>
    <t>BEBIDA-VARIOS</t>
  </si>
  <si>
    <t>N4376141240509000068</t>
  </si>
  <si>
    <t>0619/2024</t>
  </si>
  <si>
    <t>0378/2024</t>
  </si>
  <si>
    <t>0548/2024</t>
  </si>
  <si>
    <t>0521/2024</t>
  </si>
  <si>
    <t>COLB.FUNBUS</t>
  </si>
  <si>
    <t>0615/2024</t>
  </si>
  <si>
    <t>0489/2024</t>
  </si>
  <si>
    <t>0598/2024</t>
  </si>
  <si>
    <t>0467/2024</t>
  </si>
  <si>
    <t>0599/2024</t>
  </si>
  <si>
    <t>0366/2024</t>
  </si>
  <si>
    <t>0479/2024</t>
  </si>
  <si>
    <t>0553/2024</t>
  </si>
  <si>
    <t>0604/2024</t>
  </si>
  <si>
    <t>0485/2024</t>
  </si>
  <si>
    <t>0354/2024</t>
  </si>
  <si>
    <t>0492/2024</t>
  </si>
  <si>
    <t>0607/2024</t>
  </si>
  <si>
    <t>COLB.CORTIJO</t>
  </si>
  <si>
    <t>0540/2024</t>
  </si>
  <si>
    <t>0490/2024</t>
  </si>
  <si>
    <t>STREEPER</t>
  </si>
  <si>
    <t>COLB.ESTO ES HOLLYWOOD</t>
  </si>
  <si>
    <t>0590/2024</t>
  </si>
  <si>
    <t>0511/2024</t>
  </si>
  <si>
    <t>0600/2024</t>
  </si>
  <si>
    <t>0335/2024</t>
  </si>
  <si>
    <t>0558/2024</t>
  </si>
  <si>
    <t>0559/2024</t>
  </si>
  <si>
    <t>0597/2027</t>
  </si>
  <si>
    <t>0596/2024</t>
  </si>
  <si>
    <t>0594/2024</t>
  </si>
  <si>
    <t>102181</t>
  </si>
  <si>
    <t>CENTROS COMERCIALES CARREFOUR S.L</t>
  </si>
  <si>
    <t>PI42400408</t>
  </si>
  <si>
    <t>VIDRIAUTO, S.L</t>
  </si>
  <si>
    <t>B280159304</t>
  </si>
  <si>
    <t>LUNA LIMUSINA</t>
  </si>
  <si>
    <t>24/4,009</t>
  </si>
  <si>
    <t>LYE QUINTANA SLU</t>
  </si>
  <si>
    <t>B13102363</t>
  </si>
  <si>
    <t>RUEDAS HUMMER</t>
  </si>
  <si>
    <t>24005929</t>
  </si>
  <si>
    <t>PINTOSHOPPING 2020SL</t>
  </si>
  <si>
    <t>043730024/00005920</t>
  </si>
  <si>
    <t>CIA ESPANOLA DIST.PETROLEOS</t>
  </si>
  <si>
    <t>F2405C24000148</t>
  </si>
  <si>
    <t>ANJANA INVESTMENT S.L</t>
  </si>
  <si>
    <t>RECARGA AIRE LIMUSINA</t>
  </si>
  <si>
    <t>24/05188</t>
  </si>
  <si>
    <t>601272163</t>
  </si>
  <si>
    <t>FV-24-1000869-04</t>
  </si>
  <si>
    <t>512,001126</t>
  </si>
  <si>
    <t>512,001123</t>
  </si>
  <si>
    <t>SUMINISTROS INDUSTRIALES COBSA, S.L</t>
  </si>
  <si>
    <t>B85552578</t>
  </si>
  <si>
    <t>RECAMBIOS LIMUSINA</t>
  </si>
  <si>
    <t>0434/2024</t>
  </si>
  <si>
    <t>0397/2024</t>
  </si>
  <si>
    <t>0499/2024</t>
  </si>
  <si>
    <t>0639/2024</t>
  </si>
  <si>
    <t>COLB.EXCLUSIVE</t>
  </si>
  <si>
    <t>0512/2024</t>
  </si>
  <si>
    <t>0606/2024</t>
  </si>
  <si>
    <t>0423/2024</t>
  </si>
  <si>
    <t>0645/2024</t>
  </si>
  <si>
    <t>0611/2024</t>
  </si>
  <si>
    <t>009/2024</t>
  </si>
  <si>
    <t>0353/2024</t>
  </si>
  <si>
    <t>0602/2024</t>
  </si>
  <si>
    <t>0517/2024</t>
  </si>
  <si>
    <t>0653/2024</t>
  </si>
  <si>
    <t>0359/2024</t>
  </si>
  <si>
    <t>0628/2024</t>
  </si>
  <si>
    <t>0365/2024</t>
  </si>
  <si>
    <t>0592/2024</t>
  </si>
  <si>
    <t>0459/2024</t>
  </si>
  <si>
    <t>0623/2024</t>
  </si>
  <si>
    <t>0196/2024</t>
  </si>
  <si>
    <t>0544/2024</t>
  </si>
  <si>
    <t>0650/2024</t>
  </si>
  <si>
    <t>2787/2024</t>
  </si>
  <si>
    <t>0655/2024</t>
  </si>
  <si>
    <t>0141/2024</t>
  </si>
  <si>
    <t>0371/2024</t>
  </si>
  <si>
    <t>0466/2024</t>
  </si>
  <si>
    <t>0656/2024</t>
  </si>
  <si>
    <t>0535/2024</t>
  </si>
  <si>
    <t>0536/2024</t>
  </si>
  <si>
    <t>0621/2024</t>
  </si>
  <si>
    <t>COLB.INFIESTA</t>
  </si>
  <si>
    <t>0454/2024</t>
  </si>
  <si>
    <t>0610/2024</t>
  </si>
  <si>
    <t>0660/2024</t>
  </si>
  <si>
    <t>0659/2024</t>
  </si>
  <si>
    <t>0448/20204</t>
  </si>
  <si>
    <t>0446/2024</t>
  </si>
  <si>
    <t>0644/2024</t>
  </si>
  <si>
    <t>0523/2024</t>
  </si>
  <si>
    <t>0663/2024</t>
  </si>
  <si>
    <t>0545/2024</t>
  </si>
  <si>
    <t>06384/2024</t>
  </si>
  <si>
    <t>0670/2024</t>
  </si>
  <si>
    <t>0642/2024</t>
  </si>
  <si>
    <t>0474/2024</t>
  </si>
  <si>
    <t>0668/2024</t>
  </si>
  <si>
    <t>0678/2024</t>
  </si>
  <si>
    <t>0632/2024</t>
  </si>
  <si>
    <t>0625/2024</t>
  </si>
  <si>
    <t>0688/2024</t>
  </si>
  <si>
    <t>0473/2024</t>
  </si>
  <si>
    <t>0680/2024</t>
  </si>
  <si>
    <t>0119/2024</t>
  </si>
  <si>
    <t>0538/2024</t>
  </si>
  <si>
    <t>0626/2024</t>
  </si>
  <si>
    <t>0654/2024</t>
  </si>
  <si>
    <t>0673-0674/2024</t>
  </si>
  <si>
    <t>0677/2024</t>
  </si>
  <si>
    <t>0658/2024</t>
  </si>
  <si>
    <t>0667/2024</t>
  </si>
  <si>
    <t>0614/20024</t>
  </si>
  <si>
    <t>0507/2024</t>
  </si>
  <si>
    <t>0539/2024</t>
  </si>
  <si>
    <t>0682/2024</t>
  </si>
  <si>
    <t>0609/2024</t>
  </si>
  <si>
    <t>0685/2024</t>
  </si>
  <si>
    <t>0652/2024</t>
  </si>
  <si>
    <t>0687/2024</t>
  </si>
  <si>
    <t>0635/2024</t>
  </si>
  <si>
    <t>RB/54.652</t>
  </si>
  <si>
    <t>LYZ QUINTANA SLU</t>
  </si>
  <si>
    <t>512.001112</t>
  </si>
  <si>
    <t>24/05430</t>
  </si>
  <si>
    <t>3611-010-841782</t>
  </si>
  <si>
    <t>112720</t>
  </si>
  <si>
    <t>FV-24-1000945-04</t>
  </si>
  <si>
    <t>24-003500</t>
  </si>
  <si>
    <t>512.001250</t>
  </si>
  <si>
    <t>114822</t>
  </si>
  <si>
    <t>FV-24-1001034-04</t>
  </si>
  <si>
    <t>243622001768</t>
  </si>
  <si>
    <t>BALLENOIL, SA</t>
  </si>
  <si>
    <t>VENTA LIMUSINA</t>
  </si>
  <si>
    <t>004520024/00002537</t>
  </si>
  <si>
    <t>CIA ESPANNOLA DIST.PETROLEOS</t>
  </si>
  <si>
    <t>2024-724-100424621</t>
  </si>
  <si>
    <t>24-003621</t>
  </si>
  <si>
    <t>FMPVADH0066390</t>
  </si>
  <si>
    <t>MMPVADH0018480</t>
  </si>
  <si>
    <t>FMPVAEH0065047</t>
  </si>
  <si>
    <t>MMPVAEH0018551</t>
  </si>
  <si>
    <t>8406235</t>
  </si>
  <si>
    <t>BIPI24-0028765</t>
  </si>
  <si>
    <t>BIPI24-0027752</t>
  </si>
  <si>
    <t>159-716</t>
  </si>
  <si>
    <t>159-729</t>
  </si>
  <si>
    <t>240023</t>
  </si>
  <si>
    <t>AUTOBIKE FACTORY, S.L</t>
  </si>
  <si>
    <t>B86851029</t>
  </si>
  <si>
    <t>REPARACION LIMUSINA</t>
  </si>
  <si>
    <t>0720/2024</t>
  </si>
  <si>
    <t>0711/2024</t>
  </si>
  <si>
    <t>0641/2024</t>
  </si>
  <si>
    <t>0616/2024</t>
  </si>
  <si>
    <t>0083/2024</t>
  </si>
  <si>
    <t>0541/2024</t>
  </si>
  <si>
    <t>0714/2024</t>
  </si>
  <si>
    <t>0710/2024</t>
  </si>
  <si>
    <t>COLB.EVENTOS MÁGICOS</t>
  </si>
  <si>
    <t>0495/2024</t>
  </si>
  <si>
    <t>FS2024XT 000894</t>
  </si>
  <si>
    <t>FS2024XT 000895</t>
  </si>
  <si>
    <t>FS2024XT 000896</t>
  </si>
  <si>
    <t>FS2024XT 000897</t>
  </si>
  <si>
    <t>FS2024XT 000898</t>
  </si>
  <si>
    <t>FS2024XT 000899</t>
  </si>
  <si>
    <t>FS2024XT 000900</t>
  </si>
  <si>
    <t>FS2024XT 000901</t>
  </si>
  <si>
    <t>FS2024XT 000902</t>
  </si>
  <si>
    <t>FS2024XT 000903</t>
  </si>
  <si>
    <t>FS2024XT 000904</t>
  </si>
  <si>
    <t>FS2024XT 000905</t>
  </si>
  <si>
    <t>FS2024XT 000906</t>
  </si>
  <si>
    <t>FS2024XT 000907</t>
  </si>
  <si>
    <t>FS2024XT 000908</t>
  </si>
  <si>
    <t>FS2024XT 000909</t>
  </si>
  <si>
    <t>FS2024XT 000910</t>
  </si>
  <si>
    <t>FS2024XT 000911</t>
  </si>
  <si>
    <t>FS2024XT 000912</t>
  </si>
  <si>
    <t>FS2024XT 000913</t>
  </si>
  <si>
    <t>FS2024XT 000914</t>
  </si>
  <si>
    <t>FS2024XT 000915</t>
  </si>
  <si>
    <t>FS2024XT 000916</t>
  </si>
  <si>
    <t>FS2024XT 000917</t>
  </si>
  <si>
    <t>FS2024XT 000918</t>
  </si>
  <si>
    <t>FS2024XT 000919</t>
  </si>
  <si>
    <t>FS2024XT 000920</t>
  </si>
  <si>
    <t>FS2024XT 000921</t>
  </si>
  <si>
    <t>FS2024XT 000922</t>
  </si>
  <si>
    <t>FS2024XT 000923</t>
  </si>
  <si>
    <t>FS2024XT 000924</t>
  </si>
  <si>
    <t>FS2024XT 000925</t>
  </si>
  <si>
    <t>FS2024XT 000926</t>
  </si>
  <si>
    <t>FS2024XT 000927</t>
  </si>
  <si>
    <t>FS2024XT 000928</t>
  </si>
  <si>
    <t>FS2024XT 000929</t>
  </si>
  <si>
    <t>FS2024XT 000930</t>
  </si>
  <si>
    <t>FS2024XT 000931</t>
  </si>
  <si>
    <t>FS2024XT 000932</t>
  </si>
  <si>
    <t>FS2024XT 000933</t>
  </si>
  <si>
    <t>FS2024XT 000934</t>
  </si>
  <si>
    <t>FS2024XT 000935</t>
  </si>
  <si>
    <t>FS2024XT 000936</t>
  </si>
  <si>
    <t>FS2024XT 000937</t>
  </si>
  <si>
    <t>FS2024XT 000938</t>
  </si>
  <si>
    <t>FS2024XT 000939</t>
  </si>
  <si>
    <t>FS2024XT 000940</t>
  </si>
  <si>
    <t>FS2024XT 000941</t>
  </si>
  <si>
    <t>FS2024XT 000942</t>
  </si>
  <si>
    <t>FS2024XT 000943</t>
  </si>
  <si>
    <t>FS2024XT 000944</t>
  </si>
  <si>
    <t>FS2024XT 000945</t>
  </si>
  <si>
    <t>FS2024XT 000946</t>
  </si>
  <si>
    <t>FS2024XT 000947</t>
  </si>
  <si>
    <t>FS2024XT 000948</t>
  </si>
  <si>
    <t>FS2024XT 000949</t>
  </si>
  <si>
    <t>FS2024XT 000950</t>
  </si>
  <si>
    <t>FS2024XT 000951</t>
  </si>
  <si>
    <t>FS2024XT 000952</t>
  </si>
  <si>
    <t>FS2024XT 000953</t>
  </si>
  <si>
    <t>FS2024XT 000954</t>
  </si>
  <si>
    <t>FS2024XT 000955</t>
  </si>
  <si>
    <t>FS2024XT 000956</t>
  </si>
  <si>
    <t>FS2024XT 000957</t>
  </si>
  <si>
    <t>FS2024XT 000958</t>
  </si>
  <si>
    <t>FS2024XT 000959</t>
  </si>
  <si>
    <t>FS2024XT 000960</t>
  </si>
  <si>
    <t>FS2024XT 000961</t>
  </si>
  <si>
    <t>FS2024XT 000962</t>
  </si>
  <si>
    <t>FS2024XT 000963</t>
  </si>
  <si>
    <t>FS2024XT 000964</t>
  </si>
  <si>
    <t>FS2024XT 000965</t>
  </si>
  <si>
    <t>FS2024XT 000966</t>
  </si>
  <si>
    <t>FS2024XT 000967</t>
  </si>
  <si>
    <t>FS2024XT 000968</t>
  </si>
  <si>
    <t>FS2024XT 000969</t>
  </si>
  <si>
    <t>FS2024XT 000970</t>
  </si>
  <si>
    <t>FS2024XT 000971</t>
  </si>
  <si>
    <t>FS2024XT 000972</t>
  </si>
  <si>
    <t>FS2024XT 000973</t>
  </si>
  <si>
    <t>FS2024XT 000974</t>
  </si>
  <si>
    <t>FS2024XT 000975</t>
  </si>
  <si>
    <t>FS2024XT 000976</t>
  </si>
  <si>
    <t>FS2024XT 000977</t>
  </si>
  <si>
    <t>FS2024XT 000978</t>
  </si>
  <si>
    <t>FS2024XT 000979</t>
  </si>
  <si>
    <t>FS2024XT 000980</t>
  </si>
  <si>
    <t>FS2024XT 000981</t>
  </si>
  <si>
    <t>FS2024XT 000982</t>
  </si>
  <si>
    <t>FS2024XT 000983</t>
  </si>
  <si>
    <t>FS2024XT 000984</t>
  </si>
  <si>
    <t>FS2024XT 000985</t>
  </si>
  <si>
    <t>FS2024XT 000986</t>
  </si>
  <si>
    <t>FS2024XT 000987</t>
  </si>
  <si>
    <t>FS2024XT 000988</t>
  </si>
  <si>
    <t>FS2024XT 000989</t>
  </si>
  <si>
    <t>FS2024XT 000990</t>
  </si>
  <si>
    <t>FS2024XT 000991</t>
  </si>
  <si>
    <t>FS2024XT 000992</t>
  </si>
  <si>
    <t>FS2024XT 000993</t>
  </si>
  <si>
    <t>FS2024XT 000994</t>
  </si>
  <si>
    <t>FS2024XT 000995</t>
  </si>
  <si>
    <t>FS2024XT 000996</t>
  </si>
  <si>
    <t>FS2024XT 000997</t>
  </si>
  <si>
    <t>FS2024XT 000998</t>
  </si>
  <si>
    <t>FS2024XT 000999</t>
  </si>
  <si>
    <t>FS2024XT 001000</t>
  </si>
  <si>
    <t>FS2024XT 001001</t>
  </si>
  <si>
    <t>FS2024XT 001002</t>
  </si>
  <si>
    <t>FS2024XT 001003</t>
  </si>
  <si>
    <t>FS2024XT 001004</t>
  </si>
  <si>
    <t>FS2024XT 001005</t>
  </si>
  <si>
    <t>FS2024XT 001006</t>
  </si>
  <si>
    <t>FS2024XT 001007</t>
  </si>
  <si>
    <t>0291/20024</t>
  </si>
  <si>
    <t>0703/2024</t>
  </si>
  <si>
    <t>0712/2024</t>
  </si>
  <si>
    <t>COLB.SILVIA</t>
  </si>
  <si>
    <t>0622/2024</t>
  </si>
  <si>
    <t>0701/2024</t>
  </si>
  <si>
    <t>0721/2024</t>
  </si>
  <si>
    <t>0314/2024</t>
  </si>
  <si>
    <t>0494/2024</t>
  </si>
  <si>
    <t>0713/2024</t>
  </si>
  <si>
    <t>0707/2024</t>
  </si>
  <si>
    <t>0690/2024</t>
  </si>
  <si>
    <t>286720120177606</t>
  </si>
  <si>
    <t>APPLUS ITEUVE TECHNOLOGY, S.L</t>
  </si>
  <si>
    <t>B81041444</t>
  </si>
  <si>
    <t>ITV</t>
  </si>
  <si>
    <t>42646</t>
  </si>
  <si>
    <t>286720120177734</t>
  </si>
  <si>
    <t>286720120177735</t>
  </si>
  <si>
    <t>*TASAS TRÁFICO</t>
  </si>
  <si>
    <t>286720120177738</t>
  </si>
  <si>
    <t>24/4.771</t>
  </si>
  <si>
    <t>NEUMATICOS HUMMER</t>
  </si>
  <si>
    <t>2024-0267</t>
  </si>
  <si>
    <t>RADIADORES VALDEMORO SC</t>
  </si>
  <si>
    <t>J10674984</t>
  </si>
  <si>
    <t>24/06057</t>
  </si>
  <si>
    <t>F2405C24000411</t>
  </si>
  <si>
    <t>829010</t>
  </si>
  <si>
    <t>B81367534</t>
  </si>
  <si>
    <t>06</t>
  </si>
  <si>
    <t>F2406C24000010</t>
  </si>
  <si>
    <t>286720120177861</t>
  </si>
  <si>
    <t>010418</t>
  </si>
  <si>
    <t>NEUMATICOS VULCANO S.L</t>
  </si>
  <si>
    <t>B82327453</t>
  </si>
  <si>
    <t>RUEDAS</t>
  </si>
  <si>
    <t>24/06223</t>
  </si>
  <si>
    <t>FV-24-1001147-04</t>
  </si>
  <si>
    <t>159-747</t>
  </si>
  <si>
    <t>FV-24-1001188-04</t>
  </si>
  <si>
    <t>24-003893</t>
  </si>
  <si>
    <t>LICORES LLUVA SL</t>
  </si>
  <si>
    <t>0726/2024</t>
  </si>
  <si>
    <t>0729/2024</t>
  </si>
  <si>
    <t>0750/2024</t>
  </si>
  <si>
    <t>0666/2024</t>
  </si>
  <si>
    <t>0693/2024</t>
  </si>
  <si>
    <t>0719/2024</t>
  </si>
  <si>
    <t>0401/2024</t>
  </si>
  <si>
    <t>0355/2024</t>
  </si>
  <si>
    <t>0631/2024</t>
  </si>
  <si>
    <t>0669/2024</t>
  </si>
  <si>
    <t>0624/2024</t>
  </si>
  <si>
    <t>0715/2024</t>
  </si>
  <si>
    <t>S/N. RESERVA</t>
  </si>
  <si>
    <t>0744/2024</t>
  </si>
  <si>
    <t>0421/2024</t>
  </si>
  <si>
    <t>0500/2024</t>
  </si>
  <si>
    <t>0618/2024</t>
  </si>
  <si>
    <t>0630/2024</t>
  </si>
  <si>
    <t>0700/2024</t>
  </si>
  <si>
    <t>0751/2024</t>
  </si>
  <si>
    <t>0732/2024</t>
  </si>
  <si>
    <t>0731/2024</t>
  </si>
  <si>
    <t>COLB.EDU</t>
  </si>
  <si>
    <t>0696/2024</t>
  </si>
  <si>
    <t>0373/2024</t>
  </si>
  <si>
    <t>0363/2024</t>
  </si>
  <si>
    <t>0709/2024</t>
  </si>
  <si>
    <t>0740/2024</t>
  </si>
  <si>
    <t>0285/2024</t>
  </si>
  <si>
    <t>0651/2024</t>
  </si>
  <si>
    <t>0755/2024</t>
  </si>
  <si>
    <t>0753/2024</t>
  </si>
  <si>
    <t>0683/2024</t>
  </si>
  <si>
    <t>0406/2024</t>
  </si>
  <si>
    <t>COLB.MIGUEL DESPEDIDAS</t>
  </si>
  <si>
    <t>0634/2024</t>
  </si>
  <si>
    <t>0648/2024</t>
  </si>
  <si>
    <t>0519/2024</t>
  </si>
  <si>
    <t>0743/2024</t>
  </si>
  <si>
    <t>0767/2024</t>
  </si>
  <si>
    <t>3611-019-327566</t>
  </si>
  <si>
    <t>VARIOS BEBIDA</t>
  </si>
  <si>
    <t>SUMINISTROS IND.COBSA</t>
  </si>
  <si>
    <t>FV-24-1001255</t>
  </si>
  <si>
    <t>24-003970</t>
  </si>
  <si>
    <t>0766/2024</t>
  </si>
  <si>
    <t>0791/2024</t>
  </si>
  <si>
    <t>COLB.DESTINIA</t>
  </si>
  <si>
    <t>0768/2024</t>
  </si>
  <si>
    <t>0754/2024</t>
  </si>
  <si>
    <t>243622002115</t>
  </si>
  <si>
    <t>BALLENOIL,SA</t>
  </si>
  <si>
    <t>EUROTEX TCH SA</t>
  </si>
  <si>
    <t>A41283920</t>
  </si>
  <si>
    <t>0694/2024</t>
  </si>
  <si>
    <t>0746/2024</t>
  </si>
  <si>
    <t>0617/2024</t>
  </si>
  <si>
    <t>0780/2024</t>
  </si>
  <si>
    <t>0792/2024</t>
  </si>
  <si>
    <t>0718/2024</t>
  </si>
  <si>
    <t>0747/2024</t>
  </si>
  <si>
    <t>0783/2024</t>
  </si>
  <si>
    <t>0691/2024</t>
  </si>
  <si>
    <t>0705/2024</t>
  </si>
  <si>
    <t>0805/2024</t>
  </si>
  <si>
    <t>0737/2024</t>
  </si>
  <si>
    <t>0763/82024</t>
  </si>
  <si>
    <t>0779/2024</t>
  </si>
  <si>
    <t>0771/2024</t>
  </si>
  <si>
    <t>0784/2024</t>
  </si>
  <si>
    <t>0686/2024</t>
  </si>
  <si>
    <t>0460/2024</t>
  </si>
  <si>
    <t>0770/2024</t>
  </si>
  <si>
    <t>0433/2024</t>
  </si>
  <si>
    <t>COLB.LAMEJOR DESPEDIDA</t>
  </si>
  <si>
    <t>0471/2024</t>
  </si>
  <si>
    <t>0681/2024</t>
  </si>
  <si>
    <t>0749/2024</t>
  </si>
  <si>
    <t>0724/20243</t>
  </si>
  <si>
    <t>COLB.SUSANA</t>
  </si>
  <si>
    <t>COLB.WEY BODA</t>
  </si>
  <si>
    <t>0788/2024</t>
  </si>
  <si>
    <t>0795/2024</t>
  </si>
  <si>
    <t>0797/2024</t>
  </si>
  <si>
    <t>0629/2024</t>
  </si>
  <si>
    <t>0752/2024</t>
  </si>
  <si>
    <t>0804/2024</t>
  </si>
  <si>
    <t>0741/2024</t>
  </si>
  <si>
    <t>0793/2024</t>
  </si>
  <si>
    <t>0772/2024</t>
  </si>
  <si>
    <t>0821/2024</t>
  </si>
  <si>
    <t>0782/2024</t>
  </si>
  <si>
    <t>0699/2024</t>
  </si>
  <si>
    <t>0827/2024</t>
  </si>
  <si>
    <t>0790/2024</t>
  </si>
  <si>
    <t>0803/2024</t>
  </si>
  <si>
    <t>0661/2024</t>
  </si>
  <si>
    <t>0762/2024</t>
  </si>
  <si>
    <t>0748/2024</t>
  </si>
  <si>
    <t>0603/2024</t>
  </si>
  <si>
    <t>0789/2024</t>
  </si>
  <si>
    <t>0809/2024</t>
  </si>
  <si>
    <t>0759/2024</t>
  </si>
  <si>
    <t>0637/2024</t>
  </si>
  <si>
    <t>0815/2024</t>
  </si>
  <si>
    <t>0813/2024</t>
  </si>
  <si>
    <t>0781/2024</t>
  </si>
  <si>
    <t>0733/2024</t>
  </si>
  <si>
    <t>0491/2024</t>
  </si>
  <si>
    <t>FS2024XT 001008</t>
  </si>
  <si>
    <t>FS2024XT 001009</t>
  </si>
  <si>
    <t>FS2024XT 001010</t>
  </si>
  <si>
    <t>FS2024XT 001011</t>
  </si>
  <si>
    <t>FS2024XT 001012</t>
  </si>
  <si>
    <t>FS2024XT 001013</t>
  </si>
  <si>
    <t>FS2024XT 001014</t>
  </si>
  <si>
    <t>FS2024XT 001015</t>
  </si>
  <si>
    <t>FS2024XT 001016</t>
  </si>
  <si>
    <t>FS2024XT 001017</t>
  </si>
  <si>
    <t>FS2024XT 001018</t>
  </si>
  <si>
    <t>FS2024XT 001019</t>
  </si>
  <si>
    <t>FS2024XT 001020</t>
  </si>
  <si>
    <t>FS2024XT 001021</t>
  </si>
  <si>
    <t>FS2024XT 001022</t>
  </si>
  <si>
    <t>FS2024XT 001023</t>
  </si>
  <si>
    <t>FS2024XT 001024</t>
  </si>
  <si>
    <t>FS2024XT 001025</t>
  </si>
  <si>
    <t>FS2024XT 001026</t>
  </si>
  <si>
    <t>FS2024XT 001027</t>
  </si>
  <si>
    <t>FS2024XT 001028</t>
  </si>
  <si>
    <t>FS2024XT 001029</t>
  </si>
  <si>
    <t>FS2024XT 001030</t>
  </si>
  <si>
    <t>FS2024XT 001031</t>
  </si>
  <si>
    <t>FS2024XT 001032</t>
  </si>
  <si>
    <t>FS2024XT 001033</t>
  </si>
  <si>
    <t>FS2024XT 001034</t>
  </si>
  <si>
    <t>FS2024XT 001035</t>
  </si>
  <si>
    <t>FS2024XT 001036</t>
  </si>
  <si>
    <t>FS2024XT 001037</t>
  </si>
  <si>
    <t>FS2024XT 001038</t>
  </si>
  <si>
    <t>FS2024XT 001039</t>
  </si>
  <si>
    <t>FS2024XT 001040</t>
  </si>
  <si>
    <t>FS2024XT 001041</t>
  </si>
  <si>
    <t>FS2024XT 001042</t>
  </si>
  <si>
    <t>FS2024XT 001043</t>
  </si>
  <si>
    <t>FS2024XT 001044</t>
  </si>
  <si>
    <t>FS2024XT 001045</t>
  </si>
  <si>
    <t>FS2024XT 001046</t>
  </si>
  <si>
    <t>FS2024XT 001047</t>
  </si>
  <si>
    <t>FS2024XT 001048</t>
  </si>
  <si>
    <t>FS2024XT 001049</t>
  </si>
  <si>
    <t>FS2024XT 001050</t>
  </si>
  <si>
    <t>FS2024XT 001051</t>
  </si>
  <si>
    <t>FS2024XT 001052</t>
  </si>
  <si>
    <t>FS2024XT 001053</t>
  </si>
  <si>
    <t>FS2024XT 001054</t>
  </si>
  <si>
    <t>FS2024XT 001055</t>
  </si>
  <si>
    <t>FS2024XT 001056</t>
  </si>
  <si>
    <t>FS2024XT 001057</t>
  </si>
  <si>
    <t>FS2024XT 001058</t>
  </si>
  <si>
    <t>FS2024XT 001059</t>
  </si>
  <si>
    <t>FS2024XT 001060</t>
  </si>
  <si>
    <t>FS2024XT 001061</t>
  </si>
  <si>
    <t>FS2024XT 001062</t>
  </si>
  <si>
    <t>FS2024XT 001063</t>
  </si>
  <si>
    <t>FS2024XT 001064</t>
  </si>
  <si>
    <t>FS2024XT 001065</t>
  </si>
  <si>
    <t>FS2024XT 001066</t>
  </si>
  <si>
    <t>FS2024XT 001067</t>
  </si>
  <si>
    <t>FS2024XT 001068</t>
  </si>
  <si>
    <t>0799/2024</t>
  </si>
  <si>
    <t>0638/2024</t>
  </si>
  <si>
    <t>0528/2024</t>
  </si>
  <si>
    <t>0716/2024</t>
  </si>
  <si>
    <t>0823/2024</t>
  </si>
  <si>
    <t>0810/2024</t>
  </si>
  <si>
    <t>0672/2024</t>
  </si>
  <si>
    <t>0801/2024</t>
  </si>
  <si>
    <t>0734/2024</t>
  </si>
  <si>
    <t>0664/2024</t>
  </si>
  <si>
    <t>0883/2024</t>
  </si>
  <si>
    <t>0831/2024</t>
  </si>
  <si>
    <t>0817/2024</t>
  </si>
  <si>
    <t>COLB.MARTIN ESPECTACULOS</t>
  </si>
  <si>
    <t>0698/2024</t>
  </si>
  <si>
    <t>0848/2024</t>
  </si>
  <si>
    <t>286720120178381</t>
  </si>
  <si>
    <t>TASAS TRAFICO</t>
  </si>
  <si>
    <t>FV-24-1000329-08</t>
  </si>
  <si>
    <t>24-004276</t>
  </si>
  <si>
    <t>24008002</t>
  </si>
  <si>
    <t>F2406C24000392</t>
  </si>
  <si>
    <t>F2406C24000384</t>
  </si>
  <si>
    <t>043730024/00007847</t>
  </si>
  <si>
    <t>24-004365</t>
  </si>
  <si>
    <t>FV-24-1001426-04</t>
  </si>
  <si>
    <t>126760</t>
  </si>
  <si>
    <t>046-0006-963173</t>
  </si>
  <si>
    <t>52195</t>
  </si>
  <si>
    <t>T015813001</t>
  </si>
  <si>
    <t>E.S. MACE</t>
  </si>
  <si>
    <t>B80790082</t>
  </si>
  <si>
    <t>24/07215</t>
  </si>
  <si>
    <t>2024-724-100537098</t>
  </si>
  <si>
    <t>RED ESPSÑOLA DE SERVICIOS SAU</t>
  </si>
  <si>
    <t>0825/2024</t>
  </si>
  <si>
    <t>0820/2024</t>
  </si>
  <si>
    <t>0723/2024</t>
  </si>
  <si>
    <t>COLB.JORGE CURIOSITI</t>
  </si>
  <si>
    <t>0605/2024</t>
  </si>
  <si>
    <t>0845/2024</t>
  </si>
  <si>
    <t>0774/2024</t>
  </si>
  <si>
    <t>0858/2024</t>
  </si>
  <si>
    <t>0708/2024</t>
  </si>
  <si>
    <t>0758/2024</t>
  </si>
  <si>
    <t>0856/2024</t>
  </si>
  <si>
    <t>0819/2024</t>
  </si>
  <si>
    <t>0849/20524</t>
  </si>
  <si>
    <t>0706/2024</t>
  </si>
  <si>
    <t>0776/2024</t>
  </si>
  <si>
    <t>0785/2024</t>
  </si>
  <si>
    <t>0728/2024</t>
  </si>
  <si>
    <t>COLB.EL CORTIJO</t>
  </si>
  <si>
    <t>0738/2024</t>
  </si>
  <si>
    <t>0814/2024</t>
  </si>
  <si>
    <t>0595/2024</t>
  </si>
  <si>
    <t>0847/2024</t>
  </si>
  <si>
    <t>0676/2024</t>
  </si>
  <si>
    <t>0778/2024</t>
  </si>
  <si>
    <t>0327/2024</t>
  </si>
  <si>
    <t>0786/2024</t>
  </si>
  <si>
    <t>0761/2024</t>
  </si>
  <si>
    <t>0794/2024</t>
  </si>
  <si>
    <t>0859/2024</t>
  </si>
  <si>
    <t>F24ES-00763029</t>
  </si>
  <si>
    <t>F24ES-00814827</t>
  </si>
  <si>
    <t>202778818774</t>
  </si>
  <si>
    <t>202778911657</t>
  </si>
  <si>
    <t>2027789643385</t>
  </si>
  <si>
    <t>202778992294</t>
  </si>
  <si>
    <t>20277899296</t>
  </si>
  <si>
    <t>TELEFONICA MÓVILES ESPAÑA  ESPAÑA SA</t>
  </si>
  <si>
    <t>A78923125</t>
  </si>
  <si>
    <t>202779025160</t>
  </si>
  <si>
    <t>F24ES-01025966</t>
  </si>
  <si>
    <t>F24ES-01031711</t>
  </si>
  <si>
    <t>20277921310</t>
  </si>
  <si>
    <t>240003047431</t>
  </si>
  <si>
    <t>CANAL ISABEL II SA</t>
  </si>
  <si>
    <t>A86488087</t>
  </si>
  <si>
    <t>AGUA</t>
  </si>
  <si>
    <t>240001484657</t>
  </si>
  <si>
    <t>240004600922</t>
  </si>
  <si>
    <t>202779272215</t>
  </si>
  <si>
    <t>202779300436</t>
  </si>
  <si>
    <t>202779300437</t>
  </si>
  <si>
    <t>202779333111</t>
  </si>
  <si>
    <t>202779439865</t>
  </si>
  <si>
    <t>20277958437</t>
  </si>
  <si>
    <t>202779611269</t>
  </si>
  <si>
    <t>202779611268</t>
  </si>
  <si>
    <t>202779643462</t>
  </si>
  <si>
    <t>202779531149</t>
  </si>
  <si>
    <t>F24ES-01279034</t>
  </si>
  <si>
    <t>G24ES-00185920</t>
  </si>
  <si>
    <t>F24ES-0132554</t>
  </si>
  <si>
    <t>78407950</t>
  </si>
  <si>
    <t>BIPI24-003694</t>
  </si>
  <si>
    <t>MMPVAFH0017512</t>
  </si>
  <si>
    <t>FMPVAFH0033269</t>
  </si>
  <si>
    <t>INV-DE-VOSS-140967591-2024-29152</t>
  </si>
  <si>
    <t>LOSMANN GmbH (AMAZON)</t>
  </si>
  <si>
    <t>DE292305668</t>
  </si>
  <si>
    <t>DS-ASE-INV-ES-2024-33906169</t>
  </si>
  <si>
    <t>AMAZON SERVICES EUROPE</t>
  </si>
  <si>
    <t>LU19647148</t>
  </si>
  <si>
    <t>SIM-INV-ES-133413461-2024-1204</t>
  </si>
  <si>
    <t>BC BROGNO CONCEPT gmbH ( AMAZON)</t>
  </si>
  <si>
    <t>ESN0232050E</t>
  </si>
  <si>
    <t>ES4K890MAEUS</t>
  </si>
  <si>
    <t>AMAZON EU (sucursal España)</t>
  </si>
  <si>
    <t>ESW0184081H</t>
  </si>
  <si>
    <t>DS-ASE-INV-ES-2024-31653096</t>
  </si>
  <si>
    <t>DS-ASE-INV-ES-2024-39670472</t>
  </si>
  <si>
    <t>DS-ASE-INV-ES-2024-39851690</t>
  </si>
  <si>
    <t>DS-ASE-INV-ES-2024-40727112</t>
  </si>
  <si>
    <t>DS-ASE-INV-ES-2024-40727093</t>
  </si>
  <si>
    <t>SIM-INV-ES-2147929035-2024-7658</t>
  </si>
  <si>
    <t>ECO SISTEMAS INFORMÁTICOS ESPAÑA S.L (AMAZON)</t>
  </si>
  <si>
    <t>B09982273</t>
  </si>
  <si>
    <t>DS-ASE-INV-ES-2024-38214077</t>
  </si>
  <si>
    <t>DE288548258</t>
  </si>
  <si>
    <t>ROSTIO GmbH&amp;Co KG ( AMAZON)</t>
  </si>
  <si>
    <t>DS-ASE-INV-ES-2024-49858404</t>
  </si>
  <si>
    <t>SIM-INV-ES-197513173-2024-11992</t>
  </si>
  <si>
    <t>ESN0273761G</t>
  </si>
  <si>
    <t>ZC UNIVERSE SARL (AMAZON)</t>
  </si>
  <si>
    <t>DS-ASE-INV-ES-2024-49821482</t>
  </si>
  <si>
    <t>DS-ASE-INV-ES-2024-46332024</t>
  </si>
  <si>
    <t>20/2024</t>
  </si>
  <si>
    <t>21/2024</t>
  </si>
  <si>
    <t>22/2024</t>
  </si>
  <si>
    <t>23/2024</t>
  </si>
  <si>
    <t>24/2024</t>
  </si>
  <si>
    <t>SALGADO TOUCH S.L</t>
  </si>
  <si>
    <t>B88414354</t>
  </si>
  <si>
    <t>NODIJU S.L</t>
  </si>
  <si>
    <t>B87679643</t>
  </si>
  <si>
    <t>ALQUILER LOCAL SAN MARTIN VEGA</t>
  </si>
  <si>
    <t>YOURE WELLCOME DMC S.L</t>
  </si>
  <si>
    <t>ONA Y PRINCESA, S.L</t>
  </si>
  <si>
    <t>B67423442</t>
  </si>
  <si>
    <t>B 88462023</t>
  </si>
  <si>
    <t>MONSALVEZ2007 S.L</t>
  </si>
  <si>
    <t>2024-00135</t>
  </si>
  <si>
    <t>B92987536</t>
  </si>
  <si>
    <t>PROGRAMA SERVICIOS VTC</t>
  </si>
  <si>
    <t>B.I</t>
  </si>
  <si>
    <t>I.VA</t>
  </si>
  <si>
    <t>BANCO</t>
  </si>
  <si>
    <t>24-00162</t>
  </si>
  <si>
    <t>25/2024</t>
  </si>
  <si>
    <t>26/2024</t>
  </si>
  <si>
    <t>27/2024</t>
  </si>
  <si>
    <t>28/2024</t>
  </si>
  <si>
    <t>29/2024</t>
  </si>
  <si>
    <t>30/2024</t>
  </si>
  <si>
    <t>31/2024</t>
  </si>
  <si>
    <t>32/2024</t>
  </si>
  <si>
    <t>33/2024</t>
  </si>
  <si>
    <t>34/2024</t>
  </si>
  <si>
    <t>35/2024</t>
  </si>
  <si>
    <t>36/2024</t>
  </si>
  <si>
    <t>EDITORIAL PLANETA, S.A</t>
  </si>
  <si>
    <t>A08186249</t>
  </si>
  <si>
    <t>CRAZY BOYAGE 8</t>
  </si>
  <si>
    <t>FR84517621124</t>
  </si>
  <si>
    <t>MERYDELLS  GRUPPO</t>
  </si>
  <si>
    <t>B80885296</t>
  </si>
  <si>
    <t>COLEGIO BRISOL SA</t>
  </si>
  <si>
    <t>A28553972</t>
  </si>
  <si>
    <t>TERMO FISHER SCIENTIFIC  S.A</t>
  </si>
  <si>
    <t>A28139434</t>
  </si>
  <si>
    <t xml:space="preserve">BANCO </t>
  </si>
  <si>
    <t>37/2024</t>
  </si>
  <si>
    <t>38/2024</t>
  </si>
  <si>
    <t>39/2024</t>
  </si>
  <si>
    <t>PARTY TOURS SLU</t>
  </si>
  <si>
    <t>B8350749</t>
  </si>
  <si>
    <t>40/2024</t>
  </si>
  <si>
    <t>41/2024</t>
  </si>
  <si>
    <t>42/2024</t>
  </si>
  <si>
    <t>43/2024</t>
  </si>
  <si>
    <t>44/2024</t>
  </si>
  <si>
    <t>02AB/2024</t>
  </si>
  <si>
    <t>UNICOR CONTENT S.L</t>
  </si>
  <si>
    <t>B87862850</t>
  </si>
  <si>
    <t>EVOLUXIONA SOLUTION S.L</t>
  </si>
  <si>
    <t>B67232546</t>
  </si>
  <si>
    <t>CON UN PACK DE PELICULAS, S.L</t>
  </si>
  <si>
    <t>B87719860</t>
  </si>
  <si>
    <t>05/2024</t>
  </si>
  <si>
    <t>04/2024</t>
  </si>
  <si>
    <t>03/2024</t>
  </si>
  <si>
    <t>TRASFERENCIA</t>
  </si>
  <si>
    <t>06/2024</t>
  </si>
  <si>
    <t>CENTRO INTEGRADO DE SERVICIOS</t>
  </si>
  <si>
    <t>51872</t>
  </si>
  <si>
    <t>043730024/00008226</t>
  </si>
  <si>
    <t>47/2024</t>
  </si>
  <si>
    <t>F24ES-01541901</t>
  </si>
  <si>
    <t>FV24-000405820</t>
  </si>
  <si>
    <t>GETNET EUROPE, ENTIDAD DE PAGO SLU</t>
  </si>
  <si>
    <t>B86621620</t>
  </si>
  <si>
    <t>TPV VIRTUAL</t>
  </si>
  <si>
    <t>2024-724-100648337</t>
  </si>
  <si>
    <t>FS2024XT 001069</t>
  </si>
  <si>
    <t>FS2024XT 001070</t>
  </si>
  <si>
    <t>FS2024XT 001071</t>
  </si>
  <si>
    <t>FS2024XT 001072</t>
  </si>
  <si>
    <t>FS2024XT 001073</t>
  </si>
  <si>
    <t>FS2024XT 001074</t>
  </si>
  <si>
    <t>FS2024XT 001075</t>
  </si>
  <si>
    <t>FS2024XT 001076</t>
  </si>
  <si>
    <t>FS2024XT 001077</t>
  </si>
  <si>
    <t>FS2024XT 001078</t>
  </si>
  <si>
    <t>FS2024XT 001079</t>
  </si>
  <si>
    <t>FS2024XT 001080</t>
  </si>
  <si>
    <t>FS2024XT 001081</t>
  </si>
  <si>
    <t>FS2024XT 001082</t>
  </si>
  <si>
    <t>FS2024XT 001083</t>
  </si>
  <si>
    <t>FS2024XT 001084</t>
  </si>
  <si>
    <t>FS2024XT 001085</t>
  </si>
  <si>
    <t>FS2024XT 001086</t>
  </si>
  <si>
    <t>FS2024XT 001087</t>
  </si>
  <si>
    <t>FS2024XT 001088</t>
  </si>
  <si>
    <t>FS2024XT 001089</t>
  </si>
  <si>
    <t>FS2024XT 001090</t>
  </si>
  <si>
    <t>FS2024XT 001091</t>
  </si>
  <si>
    <t>FS2024XT 001092</t>
  </si>
  <si>
    <t>FS2024XT 001093</t>
  </si>
  <si>
    <t>FS2024XT 001094</t>
  </si>
  <si>
    <t>FS2024XT 001095</t>
  </si>
  <si>
    <t>FS2024XT 001096</t>
  </si>
  <si>
    <t>FS2024XT 001097</t>
  </si>
  <si>
    <t>FS2024XT 001098</t>
  </si>
  <si>
    <t>FS2024XT 001099</t>
  </si>
  <si>
    <t>FS2024XT 001100</t>
  </si>
  <si>
    <t>FS2024XT 001101</t>
  </si>
  <si>
    <t>FS2024XT 001102</t>
  </si>
  <si>
    <t>FS2024XT 001103</t>
  </si>
  <si>
    <t>FS2024XT 001104</t>
  </si>
  <si>
    <t>FS2024XT 001105</t>
  </si>
  <si>
    <t>FS2024XT 001106</t>
  </si>
  <si>
    <t>FS2024XT 001107</t>
  </si>
  <si>
    <t>FS2024XT 001108</t>
  </si>
  <si>
    <t>FS2024XT 001109</t>
  </si>
  <si>
    <t>FS2024XT 001110</t>
  </si>
  <si>
    <t>FS2024XT 001111</t>
  </si>
  <si>
    <t>FS2024XT 001112</t>
  </si>
  <si>
    <t>FS2024XT 001113</t>
  </si>
  <si>
    <t>FS2024XT 001114</t>
  </si>
  <si>
    <t>FS2024XT 001115</t>
  </si>
  <si>
    <t>FS2024XT 001116</t>
  </si>
  <si>
    <t>FS2024XT 001117</t>
  </si>
  <si>
    <t>FS2024XT 001118</t>
  </si>
  <si>
    <t>FS2024XT 001119</t>
  </si>
  <si>
    <t>FS2024XT 001120</t>
  </si>
  <si>
    <t>FS2024XT 001121</t>
  </si>
  <si>
    <t>FS2024XT 001122</t>
  </si>
  <si>
    <t>FS2024XT 001123</t>
  </si>
  <si>
    <t>FS2024XT 001124</t>
  </si>
  <si>
    <t>FS2024XT 001125</t>
  </si>
  <si>
    <t>FS2024XT 001126</t>
  </si>
  <si>
    <t>FS2024XT 001127</t>
  </si>
  <si>
    <t>FS2024XT 001128</t>
  </si>
  <si>
    <t>FS2024XT 001129</t>
  </si>
  <si>
    <t>FS2024XT 001130</t>
  </si>
  <si>
    <t>FS2024XT 001131</t>
  </si>
  <si>
    <t>FS2024XT 001132</t>
  </si>
  <si>
    <t>FS2024XT 001133</t>
  </si>
  <si>
    <t>FS2024XT 001134</t>
  </si>
  <si>
    <t>FS2024XT 001135</t>
  </si>
  <si>
    <t>FS2024XT 001136</t>
  </si>
  <si>
    <t>FS2024XT 001137</t>
  </si>
  <si>
    <t>FS2024XT 001138</t>
  </si>
  <si>
    <t>FS2024XT 001139</t>
  </si>
  <si>
    <t>FS2024XT 001140</t>
  </si>
  <si>
    <t>FS2024XT 001141</t>
  </si>
  <si>
    <t>FS2024XT 001142</t>
  </si>
  <si>
    <t>FS2024XT 001143</t>
  </si>
  <si>
    <t>FS2024XT 001144</t>
  </si>
  <si>
    <t>FS2024XT 001145</t>
  </si>
  <si>
    <t>FS2024XT 001146</t>
  </si>
  <si>
    <t>FS2024XT 001147</t>
  </si>
  <si>
    <t>FS2024XT 001148</t>
  </si>
  <si>
    <t>FS2024XT 001149</t>
  </si>
  <si>
    <t>FS2024XT 001150</t>
  </si>
  <si>
    <t>FS2024XT 001151</t>
  </si>
  <si>
    <t>FS2024XT 001152</t>
  </si>
  <si>
    <t>FS2024XT 001153</t>
  </si>
  <si>
    <t>FS2024XT 001154</t>
  </si>
  <si>
    <t>FS2024XT 001155</t>
  </si>
  <si>
    <t>FS2024XT 001156</t>
  </si>
  <si>
    <t>FS2024XT 001157</t>
  </si>
  <si>
    <t>FS2024XT 001158</t>
  </si>
  <si>
    <t>FS2024XT 001159</t>
  </si>
  <si>
    <t>FS2024XT 001160</t>
  </si>
  <si>
    <t>FS2024XT 001161</t>
  </si>
  <si>
    <t>FS2024XT 001162</t>
  </si>
  <si>
    <t>FS2024XT 001163</t>
  </si>
  <si>
    <t>FS2024XT 001164</t>
  </si>
  <si>
    <t>FS2024XT 001165</t>
  </si>
  <si>
    <t>FS2024XT 001166</t>
  </si>
  <si>
    <t>FS2024XT 001167</t>
  </si>
  <si>
    <t>FS2024XT 001168</t>
  </si>
  <si>
    <t>FS2024XT 001169</t>
  </si>
  <si>
    <t>FS2024XT 001170</t>
  </si>
  <si>
    <t>FS2024XT 001171</t>
  </si>
  <si>
    <t>FS2024XT 001172</t>
  </si>
  <si>
    <t>FS2024XT 001173</t>
  </si>
  <si>
    <t>FS2024XT 001174</t>
  </si>
  <si>
    <t>FS2024XT 001175</t>
  </si>
  <si>
    <t>FS2024XT 001176</t>
  </si>
  <si>
    <t>FS2024XT 001177</t>
  </si>
  <si>
    <t>FS2024XT 001178</t>
  </si>
  <si>
    <t>FS2024XT 001179</t>
  </si>
  <si>
    <t>FS2024XT 001180</t>
  </si>
  <si>
    <t>FS2024XT 001181</t>
  </si>
  <si>
    <t>FS2024XT 001182</t>
  </si>
  <si>
    <t>FS2024XT 001183</t>
  </si>
  <si>
    <t>FS2024XT 001184</t>
  </si>
  <si>
    <t>FS2024XT 001185</t>
  </si>
  <si>
    <t>FS2024XT 001186</t>
  </si>
  <si>
    <t>FS2024XT 001187</t>
  </si>
  <si>
    <t>FS2024XT 001188</t>
  </si>
  <si>
    <t>FS2024XT 001189</t>
  </si>
  <si>
    <t>FS2024XT 001190</t>
  </si>
  <si>
    <t>FS2024XT 001191</t>
  </si>
  <si>
    <t>FS2024XT 001192</t>
  </si>
  <si>
    <t>FS2024XT 001193</t>
  </si>
  <si>
    <t>FS2024XT 001194</t>
  </si>
  <si>
    <t>FS2024XT 001195</t>
  </si>
  <si>
    <t>FS2024XT 001196</t>
  </si>
  <si>
    <t>FS2024XT 001197</t>
  </si>
  <si>
    <t>FS2024XT 001198</t>
  </si>
  <si>
    <t>FS2024XT 001199</t>
  </si>
  <si>
    <t>FS2024XT 001200</t>
  </si>
  <si>
    <t>FS2024XT 001201</t>
  </si>
  <si>
    <t>FS2024XT 001202</t>
  </si>
  <si>
    <t>FS2024XT 001203</t>
  </si>
  <si>
    <t>FS2024XT 001204</t>
  </si>
  <si>
    <t>FS2024XT 001205</t>
  </si>
  <si>
    <t>FS2024XT 001206</t>
  </si>
  <si>
    <t>FS2024XT 001207</t>
  </si>
  <si>
    <t>FS2024XT 001208</t>
  </si>
  <si>
    <t>FS2024XT 001209</t>
  </si>
  <si>
    <t>FS2024XT 001210</t>
  </si>
  <si>
    <t>FS2024XT 001211</t>
  </si>
  <si>
    <t>FS2024XT 001212</t>
  </si>
  <si>
    <t>FS2024XT 001213</t>
  </si>
  <si>
    <t>FS2024XT 001214</t>
  </si>
  <si>
    <t>FS2024XT 001215</t>
  </si>
  <si>
    <t>FS2024XT 001216</t>
  </si>
  <si>
    <t>FS2024XT 001217</t>
  </si>
  <si>
    <t>FS2024XT 001218</t>
  </si>
  <si>
    <t>FS2024XT 001219</t>
  </si>
  <si>
    <t>FS2024XT 001220</t>
  </si>
  <si>
    <t>FS2024XT 001221</t>
  </si>
  <si>
    <t>FS2024XT 001222</t>
  </si>
  <si>
    <t>FS2024XT 001223</t>
  </si>
  <si>
    <t>FS2024XT 001224</t>
  </si>
  <si>
    <t>FS2024XT 001225</t>
  </si>
  <si>
    <t>FS2024XT 001226</t>
  </si>
  <si>
    <t>FS2024XT 001227</t>
  </si>
  <si>
    <t>FS2024XT 001228</t>
  </si>
  <si>
    <t>FS2024XT 001229</t>
  </si>
  <si>
    <t>FS2024XT 001230</t>
  </si>
  <si>
    <t>FS2024XT 001231</t>
  </si>
  <si>
    <t>FS2024XT 001232</t>
  </si>
  <si>
    <t>FS2024XT 001233</t>
  </si>
  <si>
    <t>FS2024XT 001234</t>
  </si>
  <si>
    <t>FS2024XT 001235</t>
  </si>
  <si>
    <t>FS2024XT 001236</t>
  </si>
  <si>
    <t>FS2024XT 001237</t>
  </si>
  <si>
    <t>FS2024XT 001238</t>
  </si>
  <si>
    <t>FS2024XT 001239</t>
  </si>
  <si>
    <t>FS2024XT 001240</t>
  </si>
  <si>
    <t>FS2024XT 001241</t>
  </si>
  <si>
    <t>FS2024XT 001242</t>
  </si>
  <si>
    <t>FS2024XT 001243</t>
  </si>
  <si>
    <t>FS2024XT 001244</t>
  </si>
  <si>
    <t>FS2024XT 001245</t>
  </si>
  <si>
    <t>FS2024XT 001246</t>
  </si>
  <si>
    <t>FS2024XT 001247</t>
  </si>
  <si>
    <t>FS2024XT 001248</t>
  </si>
  <si>
    <t>FS2024XT 001249</t>
  </si>
  <si>
    <t>FS2024XT 001250</t>
  </si>
  <si>
    <t>FS2024XT 001251</t>
  </si>
  <si>
    <t>FS2024XT 001252</t>
  </si>
  <si>
    <t>FS2024XT 001253</t>
  </si>
  <si>
    <t>FS2024XT 001254</t>
  </si>
  <si>
    <t>FS2024XT 001255</t>
  </si>
  <si>
    <t>FS2024XT 001256</t>
  </si>
  <si>
    <t>FS2024XT 001257</t>
  </si>
  <si>
    <t>FS2024XT 001258</t>
  </si>
  <si>
    <t>FS2024XT 001259</t>
  </si>
  <si>
    <t>FS2024XT 001260</t>
  </si>
  <si>
    <t>FS2024XT 001261</t>
  </si>
  <si>
    <t>FS2024XT 001262</t>
  </si>
  <si>
    <t>FS2024XT 001263</t>
  </si>
  <si>
    <t>FS2024XT 001264</t>
  </si>
  <si>
    <t>FS2024XT 001265</t>
  </si>
  <si>
    <t>FS2024XT 001266</t>
  </si>
  <si>
    <t>FS2024XT 001267</t>
  </si>
  <si>
    <t>FS2024XT 001268</t>
  </si>
  <si>
    <t>FS2024XT 001269</t>
  </si>
  <si>
    <t>FS2024XT 001270</t>
  </si>
  <si>
    <t>FS2024XT 001271</t>
  </si>
  <si>
    <t>FS2024XT 001272</t>
  </si>
  <si>
    <t>FS2024XT 001273</t>
  </si>
  <si>
    <t>FS2024XT 001274</t>
  </si>
  <si>
    <t>FS2024XT 001275</t>
  </si>
  <si>
    <t>FS2024XT 001276</t>
  </si>
  <si>
    <t>FS2024XT 001277</t>
  </si>
  <si>
    <t>FS2024XT 001278</t>
  </si>
  <si>
    <t>FS2024XT 001279</t>
  </si>
  <si>
    <t>FS2024XT 001280</t>
  </si>
  <si>
    <t>FS2024XT 001281</t>
  </si>
  <si>
    <t>FS2024XT 001282</t>
  </si>
  <si>
    <t>FS2024XT 001283</t>
  </si>
  <si>
    <t>FS2024XT 001284</t>
  </si>
  <si>
    <t>FS2024XT 001285</t>
  </si>
  <si>
    <t>FS2024XT 001286</t>
  </si>
  <si>
    <t>FS2024XT 001287</t>
  </si>
  <si>
    <t>FS2024XT 001288</t>
  </si>
  <si>
    <t>FS2024XT 001289</t>
  </si>
  <si>
    <t>FS2024XT 001290</t>
  </si>
  <si>
    <t>FS2024XT 001291</t>
  </si>
  <si>
    <t>FS2024XT 001292</t>
  </si>
  <si>
    <t>FS2024XT 001293</t>
  </si>
  <si>
    <t>FS2024XT 001294</t>
  </si>
  <si>
    <t>0874/2024</t>
  </si>
  <si>
    <t>0867/2024</t>
  </si>
  <si>
    <t>0868/2024</t>
  </si>
  <si>
    <t>0872/2024</t>
  </si>
  <si>
    <t>0862/2024</t>
  </si>
  <si>
    <t>0871/2024</t>
  </si>
  <si>
    <t>0812/2024</t>
  </si>
  <si>
    <t>0806/2024</t>
  </si>
  <si>
    <t>S/N RESERVA</t>
  </si>
  <si>
    <t>0836/2024</t>
  </si>
  <si>
    <t>0839/2024</t>
  </si>
  <si>
    <t>0882/2024</t>
  </si>
  <si>
    <t>0807/2024</t>
  </si>
  <si>
    <t>0826/2024</t>
  </si>
  <si>
    <t>0058/2024</t>
  </si>
  <si>
    <t>0873/2024</t>
  </si>
  <si>
    <t>0861/2024</t>
  </si>
  <si>
    <t>0529/2024</t>
  </si>
  <si>
    <t>0830/2024</t>
  </si>
  <si>
    <t>0865/2024</t>
  </si>
  <si>
    <t>0880/2024</t>
  </si>
  <si>
    <t>0816/2024</t>
  </si>
  <si>
    <t>0894/2024</t>
  </si>
  <si>
    <t>0885/2024</t>
  </si>
  <si>
    <t>088/2024</t>
  </si>
  <si>
    <t>0891/2024</t>
  </si>
  <si>
    <t>0893/2024</t>
  </si>
  <si>
    <t>0736/2024</t>
  </si>
  <si>
    <t>0613/2024</t>
  </si>
  <si>
    <t>0896/2024</t>
  </si>
  <si>
    <t>0898/2024</t>
  </si>
  <si>
    <t>0869/2024</t>
  </si>
  <si>
    <t>0878/2024</t>
  </si>
  <si>
    <t>0233/2024</t>
  </si>
  <si>
    <t>COLB.EDUARDO</t>
  </si>
  <si>
    <t>0798/2024</t>
  </si>
  <si>
    <t>0854/2024</t>
  </si>
  <si>
    <t>0843/2024</t>
  </si>
  <si>
    <t>COLB.ANDERSON</t>
  </si>
  <si>
    <t>0875/2024</t>
  </si>
  <si>
    <t>0864/2024</t>
  </si>
  <si>
    <t>0892/2024</t>
  </si>
  <si>
    <t>0773/2024</t>
  </si>
  <si>
    <t>0551/2024</t>
  </si>
  <si>
    <t>0850/2024</t>
  </si>
  <si>
    <t>0890/2024</t>
  </si>
  <si>
    <t>0915/2024</t>
  </si>
  <si>
    <t>512.001837</t>
  </si>
  <si>
    <t>24-004636</t>
  </si>
  <si>
    <t>54494</t>
  </si>
  <si>
    <t>24-004741</t>
  </si>
  <si>
    <t>55801</t>
  </si>
  <si>
    <t>F2407C24000184</t>
  </si>
  <si>
    <t>3611-018-911441</t>
  </si>
  <si>
    <t>MERCADONA, S.A</t>
  </si>
  <si>
    <t>VARIOS Y BEBIDA</t>
  </si>
  <si>
    <t>F2407C24000242</t>
  </si>
  <si>
    <t>512.001961</t>
  </si>
  <si>
    <t>VIVIANA DECKX CEULEMANS</t>
  </si>
  <si>
    <t>40431963 X</t>
  </si>
  <si>
    <t>24009048</t>
  </si>
  <si>
    <t>24/07869</t>
  </si>
  <si>
    <t>24-004856</t>
  </si>
  <si>
    <t>601305622</t>
  </si>
  <si>
    <t>FV-24-1001624-04</t>
  </si>
  <si>
    <t>24-004926</t>
  </si>
  <si>
    <t>F24ES-01587545</t>
  </si>
  <si>
    <t>0903/2024</t>
  </si>
  <si>
    <t>SERVICIOS PRESTADOS GESTION LIMUSINAS 2 TRIMESTRE</t>
  </si>
  <si>
    <t>PAGOS EN EFECTIVO A CUENTA DURANTE EL TRIMESTRE</t>
  </si>
  <si>
    <t>IVA 21%</t>
  </si>
  <si>
    <t xml:space="preserve"> RECEPTOR: SERVICIOS PRIVADOS</t>
  </si>
  <si>
    <t>FS2024XT 001295</t>
  </si>
  <si>
    <t>FS2024XT 001296</t>
  </si>
  <si>
    <t>0904/2024</t>
  </si>
  <si>
    <t>0923/2024</t>
  </si>
  <si>
    <t>0914/2024</t>
  </si>
  <si>
    <t>3611-014-314932</t>
  </si>
  <si>
    <t>24/08187</t>
  </si>
  <si>
    <t>043730424/00088720</t>
  </si>
  <si>
    <t>004520424/00063250</t>
  </si>
  <si>
    <t>043730424/00096741</t>
  </si>
  <si>
    <t>0917/2024</t>
  </si>
  <si>
    <t>0916/2024</t>
  </si>
  <si>
    <t>0860/2024</t>
  </si>
  <si>
    <t>0910/2024</t>
  </si>
  <si>
    <t>0912/2024</t>
  </si>
  <si>
    <t>0468/2024</t>
  </si>
  <si>
    <t>0924/2024</t>
  </si>
  <si>
    <t>0899/2024</t>
  </si>
  <si>
    <t>0922/20204</t>
  </si>
  <si>
    <t>0844/2024</t>
  </si>
  <si>
    <t>0925/2024</t>
  </si>
  <si>
    <t>0842/2024</t>
  </si>
  <si>
    <t>0851/82024</t>
  </si>
  <si>
    <t>0900/2024</t>
  </si>
  <si>
    <t>0901/2024</t>
  </si>
  <si>
    <t>0756/2024</t>
  </si>
  <si>
    <t>0929/2024</t>
  </si>
  <si>
    <t>F2407C24000510</t>
  </si>
  <si>
    <t>87024TC000058997</t>
  </si>
  <si>
    <t>132683</t>
  </si>
  <si>
    <t>PINTO SHOPPPING 2020 S.L</t>
  </si>
  <si>
    <t>60474</t>
  </si>
  <si>
    <t>512,002094</t>
  </si>
  <si>
    <t>0936/2024</t>
  </si>
  <si>
    <t>0928/2024</t>
  </si>
  <si>
    <t>COLB. LIMUSINE TRANSFER</t>
  </si>
  <si>
    <t>0921/2024</t>
  </si>
  <si>
    <t>0944/2024</t>
  </si>
  <si>
    <t>0877/2024</t>
  </si>
  <si>
    <t>0945/2024</t>
  </si>
  <si>
    <t>0927/2024</t>
  </si>
  <si>
    <t>0692/2024</t>
  </si>
  <si>
    <t>0876/2024</t>
  </si>
  <si>
    <t>0933/2024</t>
  </si>
  <si>
    <t>0800/2024</t>
  </si>
  <si>
    <t>0835/2024</t>
  </si>
  <si>
    <t>0949/2024</t>
  </si>
  <si>
    <t>0889/2024</t>
  </si>
  <si>
    <t>0430/2024</t>
  </si>
  <si>
    <t>0937/2024</t>
  </si>
  <si>
    <t>0318/2024</t>
  </si>
  <si>
    <t>0930/2024</t>
  </si>
  <si>
    <t>0764/2024</t>
  </si>
  <si>
    <t>0887/2024</t>
  </si>
  <si>
    <t>0946/2024</t>
  </si>
  <si>
    <t>0954/2024</t>
  </si>
  <si>
    <t>0951/2024</t>
  </si>
  <si>
    <t>0958/2024</t>
  </si>
  <si>
    <t>0935/2024</t>
  </si>
  <si>
    <t>0943/2024</t>
  </si>
  <si>
    <t>202779746279</t>
  </si>
  <si>
    <t>202779854832</t>
  </si>
  <si>
    <t>202779887899</t>
  </si>
  <si>
    <t>202779915310</t>
  </si>
  <si>
    <t>202779915309</t>
  </si>
  <si>
    <t>202779946847</t>
  </si>
  <si>
    <t>78409600</t>
  </si>
  <si>
    <t>BIPI24-0039645</t>
  </si>
  <si>
    <t>159-770</t>
  </si>
  <si>
    <t>FMPVAGH0035356</t>
  </si>
  <si>
    <t>MMPVAGH0018402</t>
  </si>
  <si>
    <t>F2407C24000604</t>
  </si>
  <si>
    <t>FV-24-1001802-04</t>
  </si>
  <si>
    <t>24-005071</t>
  </si>
  <si>
    <t>F2407C24000689</t>
  </si>
  <si>
    <t>CO F24 0100000457</t>
  </si>
  <si>
    <t>EUROPEA DE ACCESORIOS Y RECAMBIOS S.L</t>
  </si>
  <si>
    <t>B79040767</t>
  </si>
  <si>
    <t>62062</t>
  </si>
  <si>
    <t>512.002151</t>
  </si>
  <si>
    <t>F2407C24000711</t>
  </si>
  <si>
    <t>037907424/00086416</t>
  </si>
  <si>
    <t>044973424/00094738</t>
  </si>
  <si>
    <t>037907424/00085303</t>
  </si>
  <si>
    <t>F2407C24000789</t>
  </si>
  <si>
    <t>512.002200</t>
  </si>
  <si>
    <t>FV-24-1001930</t>
  </si>
  <si>
    <t>0955/2024</t>
  </si>
  <si>
    <t>0950/2024</t>
  </si>
  <si>
    <t>24 6.526</t>
  </si>
  <si>
    <t>GESTORA LAS DUNAS, S.A</t>
  </si>
  <si>
    <t>A81198442</t>
  </si>
  <si>
    <t>2024-00260</t>
  </si>
  <si>
    <t>2024-00203</t>
  </si>
  <si>
    <t>DS-ASE-INV-ES-2024-58392950</t>
  </si>
  <si>
    <t>DS-ASE-INV-ES-2024-58870832</t>
  </si>
  <si>
    <t>DS-ASE-INV-ES-2024-59084067</t>
  </si>
  <si>
    <t>SIM-INV-ES-162188311-2024-7917</t>
  </si>
  <si>
    <t>EASYBOOST</t>
  </si>
  <si>
    <t>SIM-INV-ES-1976275215-2024-7764</t>
  </si>
  <si>
    <t>SEPRIL ELECTRONIC COMMERCE, S.L</t>
  </si>
  <si>
    <t>ESB72444797</t>
  </si>
  <si>
    <t>INV-PT-VOSS-196920413-2024-2641</t>
  </si>
  <si>
    <t xml:space="preserve"> ESN0025007F</t>
  </si>
  <si>
    <t>PT517308738</t>
  </si>
  <si>
    <t>CARINA OLIVEIRA GOMES, UNIPERSONAL LDA</t>
  </si>
  <si>
    <t>08</t>
  </si>
  <si>
    <t>07</t>
  </si>
  <si>
    <t>202780050706</t>
  </si>
  <si>
    <t>24/6.122</t>
  </si>
  <si>
    <t>L.Y E. QUINTANA SLU</t>
  </si>
  <si>
    <t>RUEDAS LIMUSINA</t>
  </si>
  <si>
    <t>T000101-11354</t>
  </si>
  <si>
    <t>COMO LA TRUCHA AL TRUCHO</t>
  </si>
  <si>
    <t>Y1956815 N</t>
  </si>
  <si>
    <t>24-005260</t>
  </si>
  <si>
    <t>F10320</t>
  </si>
  <si>
    <t>512.001882</t>
  </si>
  <si>
    <t>FS2024XT 001297</t>
  </si>
  <si>
    <t>FS2024XT 001298</t>
  </si>
  <si>
    <t>FS2024XT 001299</t>
  </si>
  <si>
    <t>FS2024XT 001300</t>
  </si>
  <si>
    <t>FS2024XT 001301</t>
  </si>
  <si>
    <t>FS2024XT 001302</t>
  </si>
  <si>
    <t>FS2024XT 001303</t>
  </si>
  <si>
    <t>FS2024XT 001304</t>
  </si>
  <si>
    <t>FS2024XT 001305</t>
  </si>
  <si>
    <t>FS2024XT 001306</t>
  </si>
  <si>
    <t>FS2024XT 001307</t>
  </si>
  <si>
    <t>FS2024XT 001308</t>
  </si>
  <si>
    <t>FS2024XT 001309</t>
  </si>
  <si>
    <t>FS2024XT 001310</t>
  </si>
  <si>
    <t>FS2024XT 001311</t>
  </si>
  <si>
    <t>FS2024XT 001312</t>
  </si>
  <si>
    <t>FS2024XT 001313</t>
  </si>
  <si>
    <t>FS2024XT 001314</t>
  </si>
  <si>
    <t>FS2024XT 001315</t>
  </si>
  <si>
    <t>FS2024XT 001316</t>
  </si>
  <si>
    <t>FS2024XT 001317</t>
  </si>
  <si>
    <t>FS2024XT 001318</t>
  </si>
  <si>
    <t>FS2024XT 001319</t>
  </si>
  <si>
    <t>FS2024XT 001320</t>
  </si>
  <si>
    <t>FS2024XT 001321</t>
  </si>
  <si>
    <t>FS2024XT 001322</t>
  </si>
  <si>
    <t>FS2024XT 001323</t>
  </si>
  <si>
    <t>FS2024XT 001324</t>
  </si>
  <si>
    <t>FS2024XT 001325</t>
  </si>
  <si>
    <t>FS2024XT 001326</t>
  </si>
  <si>
    <t>FS2024XT 001327</t>
  </si>
  <si>
    <t>FS2024XT 001328</t>
  </si>
  <si>
    <t>FS2024XT 001329</t>
  </si>
  <si>
    <t>FS2024XT 001330</t>
  </si>
  <si>
    <t>FS2024XT 001331</t>
  </si>
  <si>
    <t>FS2024XT 001332</t>
  </si>
  <si>
    <t>FS2024XT 001333</t>
  </si>
  <si>
    <t>FS2024XT 001334</t>
  </si>
  <si>
    <t>FS2024XT 001335</t>
  </si>
  <si>
    <t>FS2024XT 001336</t>
  </si>
  <si>
    <t>FS2024XT 001337</t>
  </si>
  <si>
    <t>FS2024XT 001338</t>
  </si>
  <si>
    <t>FS2024XT 001339</t>
  </si>
  <si>
    <t>FS2024XT 001340</t>
  </si>
  <si>
    <t>FS2024XT 001341</t>
  </si>
  <si>
    <t>FS2024XT 001342</t>
  </si>
  <si>
    <t>FS2024XT 001343</t>
  </si>
  <si>
    <t>FS2024XT 001344</t>
  </si>
  <si>
    <t>FS2024XT 001345</t>
  </si>
  <si>
    <t>FS2024XT 001346</t>
  </si>
  <si>
    <t>FS2024XT 001347</t>
  </si>
  <si>
    <t>FS2024XT 001348</t>
  </si>
  <si>
    <t>FS2024XT 001349</t>
  </si>
  <si>
    <t>FS2024XT 001350</t>
  </si>
  <si>
    <t>FS2024XT 001351</t>
  </si>
  <si>
    <t>FS2024XT 001352</t>
  </si>
  <si>
    <t>FS2024XT 001353</t>
  </si>
  <si>
    <t>FS2024XT 001354</t>
  </si>
  <si>
    <t>FS2024XT 001355</t>
  </si>
  <si>
    <t>FS2024XT 001356</t>
  </si>
  <si>
    <t>FS2024XT 001357</t>
  </si>
  <si>
    <t>FS2024XT 001358</t>
  </si>
  <si>
    <t>FS2024XT 001359</t>
  </si>
  <si>
    <t>FS2024XT 001360</t>
  </si>
  <si>
    <t>FS2024XT 001361</t>
  </si>
  <si>
    <t>FS2024XT 001362</t>
  </si>
  <si>
    <t>FS2024XT 001363</t>
  </si>
  <si>
    <t>FS2024XT 001364</t>
  </si>
  <si>
    <t>FS2024XT 001365</t>
  </si>
  <si>
    <t>FS2024XT 001366</t>
  </si>
  <si>
    <t>FS2024XT 001367</t>
  </si>
  <si>
    <t>FS2024XT 001368</t>
  </si>
  <si>
    <t>FS2024XT 001369</t>
  </si>
  <si>
    <t>FS2024XT 001370</t>
  </si>
  <si>
    <t>FS2024XT 001371</t>
  </si>
  <si>
    <t>FS2024XT 001372</t>
  </si>
  <si>
    <t>FS2024XT 001373</t>
  </si>
  <si>
    <t>FS2024XT 001374</t>
  </si>
  <si>
    <t>FS2024XT 001375</t>
  </si>
  <si>
    <t>FS2024XT 001376</t>
  </si>
  <si>
    <t>FS2024XT 001377</t>
  </si>
  <si>
    <t>FS2024XT 001378</t>
  </si>
  <si>
    <t>FS2024XT 001379</t>
  </si>
  <si>
    <t>FS2024XT 001380</t>
  </si>
  <si>
    <t>FS2024XT 001381</t>
  </si>
  <si>
    <t>FS2024XT 001382</t>
  </si>
  <si>
    <t>FS2024XT 001383</t>
  </si>
  <si>
    <t>FS2024XT 001384</t>
  </si>
  <si>
    <t>FS2024XT 001385</t>
  </si>
  <si>
    <t>FS2024XT 001386</t>
  </si>
  <si>
    <t>FS2024XT 001387</t>
  </si>
  <si>
    <t>FS2024XT 001388</t>
  </si>
  <si>
    <t>FS2024XT 001389</t>
  </si>
  <si>
    <t>FS2024XT 001390</t>
  </si>
  <si>
    <t>FS2024XT 001391</t>
  </si>
  <si>
    <t>FS2024XT 001392</t>
  </si>
  <si>
    <t>FS2024XT 001393</t>
  </si>
  <si>
    <t>FS2024XT 001394</t>
  </si>
  <si>
    <t>FS2024XT 001395</t>
  </si>
  <si>
    <t>FS2024XT 001396</t>
  </si>
  <si>
    <t>FS2024XT 001397</t>
  </si>
  <si>
    <t>FS2024XT 001398</t>
  </si>
  <si>
    <t>FS2024XT 001399</t>
  </si>
  <si>
    <t>FS2024XT 001400</t>
  </si>
  <si>
    <t>FS2024XT 001401</t>
  </si>
  <si>
    <t>FS2024XT 001402</t>
  </si>
  <si>
    <t>FS2024XT 001403</t>
  </si>
  <si>
    <t>FS2024XT 001404</t>
  </si>
  <si>
    <t>FS2024XT 001405</t>
  </si>
  <si>
    <t>FS2024XT 001406</t>
  </si>
  <si>
    <t>FS2024XT 001407</t>
  </si>
  <si>
    <t>FS2024XT 001408</t>
  </si>
  <si>
    <t>FS2024XT 001409</t>
  </si>
  <si>
    <t>FS2024XT 001410</t>
  </si>
  <si>
    <t>FS2024XT 001411</t>
  </si>
  <si>
    <t>FS2024XT 001412</t>
  </si>
  <si>
    <t>FS2024XT 001413</t>
  </si>
  <si>
    <t>FS2024XT 001414</t>
  </si>
  <si>
    <t>FS2024XT 001415</t>
  </si>
  <si>
    <t>FS2024XT 001416</t>
  </si>
  <si>
    <t>FS2024XT 001417</t>
  </si>
  <si>
    <t>FS2024XT 001418</t>
  </si>
  <si>
    <t>FS2024XT 001419</t>
  </si>
  <si>
    <t>FS2024XT 001420</t>
  </si>
  <si>
    <t>FS2024XT 001421</t>
  </si>
  <si>
    <t>FS2024XT 001422</t>
  </si>
  <si>
    <t>FS2024XT 001423</t>
  </si>
  <si>
    <t>FS2024XT 001424</t>
  </si>
  <si>
    <t>FS2024XT 001425</t>
  </si>
  <si>
    <t>FS2024XT 001426</t>
  </si>
  <si>
    <t>FS2024XT 001427</t>
  </si>
  <si>
    <t>FS2024XT 001428</t>
  </si>
  <si>
    <t>FS2024XT 001429</t>
  </si>
  <si>
    <t>FS2024XT 001430</t>
  </si>
  <si>
    <t>FS2024XT 001431</t>
  </si>
  <si>
    <t>FS2024XT 001432</t>
  </si>
  <si>
    <t>FS2024XT 001433</t>
  </si>
  <si>
    <t>FS2024XT 001434</t>
  </si>
  <si>
    <t>FS2024XT 001435</t>
  </si>
  <si>
    <t>FS2024XT 001436</t>
  </si>
  <si>
    <t>FS2024XT 001437</t>
  </si>
  <si>
    <t>FS2024XT 001438</t>
  </si>
  <si>
    <t>0905/2024</t>
  </si>
  <si>
    <t>0962/2024</t>
  </si>
  <si>
    <t>0969/2024</t>
  </si>
  <si>
    <t>0895/2024</t>
  </si>
  <si>
    <t>*ENERO 2024</t>
  </si>
  <si>
    <t>0113/2024</t>
  </si>
  <si>
    <t>0306/2024</t>
  </si>
  <si>
    <t>0965/2024</t>
  </si>
  <si>
    <t>0879/2024</t>
  </si>
  <si>
    <t>PLATAFORMA YUMPING</t>
  </si>
  <si>
    <t>0840/2024</t>
  </si>
  <si>
    <t>STREAPER</t>
  </si>
  <si>
    <t>0907/2024</t>
  </si>
  <si>
    <t>0841/2024</t>
  </si>
  <si>
    <t>0853/2024</t>
  </si>
  <si>
    <t>87024FE00000416</t>
  </si>
  <si>
    <t>F2407C24000096</t>
  </si>
  <si>
    <t>F2407C24000097</t>
  </si>
  <si>
    <t>601314770</t>
  </si>
  <si>
    <t>FE 012010015806AAOE055020240000000381</t>
  </si>
  <si>
    <t>A28559573</t>
  </si>
  <si>
    <t>2024-724-100760337</t>
  </si>
  <si>
    <t>(4%) IVA</t>
  </si>
  <si>
    <t>F24ES-01826990</t>
  </si>
  <si>
    <t>F24ES-01841200</t>
  </si>
  <si>
    <t>0886/2024</t>
  </si>
  <si>
    <t>0960/2024</t>
  </si>
  <si>
    <t>0976/2024</t>
  </si>
  <si>
    <t>0926/2024</t>
  </si>
  <si>
    <t>0957/2024</t>
  </si>
  <si>
    <t>0959/2024</t>
  </si>
  <si>
    <t>0913/2024</t>
  </si>
  <si>
    <t>0881/2024</t>
  </si>
  <si>
    <t>0934/2024</t>
  </si>
  <si>
    <t>0948/2024</t>
  </si>
  <si>
    <t>0940/2024</t>
  </si>
  <si>
    <t>0513/2024</t>
  </si>
  <si>
    <t>0775/2024</t>
  </si>
  <si>
    <t>0931/2024</t>
  </si>
  <si>
    <t>DEBIN WANG</t>
  </si>
  <si>
    <t>Y0896273-T</t>
  </si>
  <si>
    <t>FUNDA IPAD</t>
  </si>
  <si>
    <t>FV-24-1002026-04</t>
  </si>
  <si>
    <t>24-005327</t>
  </si>
  <si>
    <t>2024-00289</t>
  </si>
  <si>
    <t>FVTPV/2024003491</t>
  </si>
  <si>
    <t>PETROLEOS PARA GADIR S.L</t>
  </si>
  <si>
    <t>B11569712</t>
  </si>
  <si>
    <t>FV-24-1002150-04</t>
  </si>
  <si>
    <t>096643/A/24/001959</t>
  </si>
  <si>
    <t>B0298939</t>
  </si>
  <si>
    <t>G24ES-00266936</t>
  </si>
  <si>
    <t>0985/2024</t>
  </si>
  <si>
    <t>512.002383</t>
  </si>
  <si>
    <t>SUMINISTROS INDUSTRIALES COBSA S.L</t>
  </si>
  <si>
    <t>REPUESTOS LIMUSINA</t>
  </si>
  <si>
    <t>68217</t>
  </si>
  <si>
    <t>142208</t>
  </si>
  <si>
    <t>PINTO SHOPPING 2020S.L</t>
  </si>
  <si>
    <t>0986/2024</t>
  </si>
  <si>
    <t>0979/2024</t>
  </si>
  <si>
    <t>0906/2024</t>
  </si>
  <si>
    <t>0970/2027</t>
  </si>
  <si>
    <t>0983/2024</t>
  </si>
  <si>
    <t>68640</t>
  </si>
  <si>
    <t>24-005548</t>
  </si>
  <si>
    <t>FV-24-1002287-04</t>
  </si>
  <si>
    <t>512.002436</t>
  </si>
  <si>
    <t>202780187796</t>
  </si>
  <si>
    <t>202780213902</t>
  </si>
  <si>
    <t>202780213901</t>
  </si>
  <si>
    <t>202780244811</t>
  </si>
  <si>
    <t>78411047</t>
  </si>
  <si>
    <t>BIPI24-0044988</t>
  </si>
  <si>
    <t>0995/2024</t>
  </si>
  <si>
    <t>243622004098</t>
  </si>
  <si>
    <t>BALLENOIL, S.A</t>
  </si>
  <si>
    <t>FMPVAHH0073407</t>
  </si>
  <si>
    <t>MMPVAHH0022576</t>
  </si>
  <si>
    <t>TELEFONICA MÓVILES</t>
  </si>
  <si>
    <t>24010763</t>
  </si>
  <si>
    <t>AUTOLYT, S.L</t>
  </si>
  <si>
    <t>24010772</t>
  </si>
  <si>
    <t>0982/2024</t>
  </si>
  <si>
    <t>01000/2024</t>
  </si>
  <si>
    <t>0997/2024</t>
  </si>
  <si>
    <t>0765/2024</t>
  </si>
  <si>
    <t>01004/2024</t>
  </si>
  <si>
    <t>0996/2024</t>
  </si>
  <si>
    <t>286720120180518</t>
  </si>
  <si>
    <t>* TASAS DGT</t>
  </si>
  <si>
    <t>FV-24-1002397-04</t>
  </si>
  <si>
    <t>01009/2024</t>
  </si>
  <si>
    <t>24-005632</t>
  </si>
  <si>
    <t>043730024/00010599</t>
  </si>
  <si>
    <t>CIA ESPANOLA DIST PETROLEOS SA</t>
  </si>
  <si>
    <t>286720120180566</t>
  </si>
  <si>
    <t>*TASAS DGT</t>
  </si>
  <si>
    <t>01012/2024</t>
  </si>
  <si>
    <t>S108204/0244864</t>
  </si>
  <si>
    <t>AHORRAMAS, S.A</t>
  </si>
  <si>
    <t>5% IVA</t>
  </si>
  <si>
    <t>EXENTO IVA</t>
  </si>
  <si>
    <t>0939/2024</t>
  </si>
  <si>
    <t>01017/2024</t>
  </si>
  <si>
    <t>01013/2024</t>
  </si>
  <si>
    <t>01011/2024</t>
  </si>
  <si>
    <t>0633/2024</t>
  </si>
  <si>
    <t>0978/2024</t>
  </si>
  <si>
    <t>0989/2024</t>
  </si>
  <si>
    <t>01015/2024</t>
  </si>
  <si>
    <t>01014/2024</t>
  </si>
  <si>
    <t>0953/2024</t>
  </si>
  <si>
    <t>0991/2024</t>
  </si>
  <si>
    <t>01023/2024</t>
  </si>
  <si>
    <t>COLB.TEATRO PLACER</t>
  </si>
  <si>
    <t>01008/2024</t>
  </si>
  <si>
    <t>01025/2024</t>
  </si>
  <si>
    <t>FS2024XT 001439</t>
  </si>
  <si>
    <t>FS2024XT 001440</t>
  </si>
  <si>
    <t>FS2024XT 001441</t>
  </si>
  <si>
    <t>FS2024XT 001442</t>
  </si>
  <si>
    <t>FS2024XT 001443</t>
  </si>
  <si>
    <t>FS2024XT 001444</t>
  </si>
  <si>
    <t>FS2024XT 001445</t>
  </si>
  <si>
    <t>FS2024XT 001446</t>
  </si>
  <si>
    <t>FS2024XT 001447</t>
  </si>
  <si>
    <t>FS2024XT 001448</t>
  </si>
  <si>
    <t>FS2024XT 001449</t>
  </si>
  <si>
    <t>FS2024XT 001450</t>
  </si>
  <si>
    <t>FS2024XT 001451</t>
  </si>
  <si>
    <t>FS2024XT 001452</t>
  </si>
  <si>
    <t>FS2024XT 001453</t>
  </si>
  <si>
    <t>FS2024XT 001454</t>
  </si>
  <si>
    <t>FS2024XT 001455</t>
  </si>
  <si>
    <t>FS2024XT 001456</t>
  </si>
  <si>
    <t>FS2024XT 001457</t>
  </si>
  <si>
    <t>FS2024XT 001458</t>
  </si>
  <si>
    <t>FS2024XT 001459</t>
  </si>
  <si>
    <t>FS2024XT 001460</t>
  </si>
  <si>
    <t>FS2024XT 001461</t>
  </si>
  <si>
    <t>FS2024XT 001462</t>
  </si>
  <si>
    <t>FS2024XT 001463</t>
  </si>
  <si>
    <t>FS2024XT 001464</t>
  </si>
  <si>
    <t>FS2024XT 001465</t>
  </si>
  <si>
    <t>FS2024XT 001466</t>
  </si>
  <si>
    <t>FS2024XT 001467</t>
  </si>
  <si>
    <t>FS2024XT 001468</t>
  </si>
  <si>
    <t>FS2024XT 001469</t>
  </si>
  <si>
    <t>FS2024XT 001470</t>
  </si>
  <si>
    <t>FS2024XT 001471</t>
  </si>
  <si>
    <t>FS2024XT 001472</t>
  </si>
  <si>
    <t>FS2024XT 001473</t>
  </si>
  <si>
    <t>FS2024XT 001474</t>
  </si>
  <si>
    <t>FS2024XT 001475</t>
  </si>
  <si>
    <t>FS2024XT 001476</t>
  </si>
  <si>
    <t>FS2024XT 001477</t>
  </si>
  <si>
    <t>FS2024XT 001478</t>
  </si>
  <si>
    <t>FS2024XT 001479</t>
  </si>
  <si>
    <t>FS2024XT 001480</t>
  </si>
  <si>
    <t>FS2024XT 001481</t>
  </si>
  <si>
    <t>FS2024XT 001482</t>
  </si>
  <si>
    <t>FS2024XT 001483</t>
  </si>
  <si>
    <t>FS2024XT 001484</t>
  </si>
  <si>
    <t>FS2024XT 001485</t>
  </si>
  <si>
    <t>FS2024XT 001486</t>
  </si>
  <si>
    <t>FS2024XT 001487</t>
  </si>
  <si>
    <t>FS2024XT 001488</t>
  </si>
  <si>
    <t>FS2024XT 001489</t>
  </si>
  <si>
    <t>FS2024XT 001490</t>
  </si>
  <si>
    <t>FS2024XT 001491</t>
  </si>
  <si>
    <t>FS2024XT 001492</t>
  </si>
  <si>
    <t>FS2024XT 001493</t>
  </si>
  <si>
    <t>FS2024XT 001494</t>
  </si>
  <si>
    <t>FS2024XT 001495</t>
  </si>
  <si>
    <t>FS2024XT 001496</t>
  </si>
  <si>
    <t>FS2024XT 001497</t>
  </si>
  <si>
    <t>FS2024XT 001498</t>
  </si>
  <si>
    <t>FS2024XT 001499</t>
  </si>
  <si>
    <t>FS2024XT 001500</t>
  </si>
  <si>
    <t>FS2024XT 001501</t>
  </si>
  <si>
    <t>FS2024XT 001502</t>
  </si>
  <si>
    <t>FS2024XT 001503</t>
  </si>
  <si>
    <t>FS2024XT 001504</t>
  </si>
  <si>
    <t>FS2024XT 001505</t>
  </si>
  <si>
    <t>FS2024XT 001506</t>
  </si>
  <si>
    <t>FS2024XT 001507</t>
  </si>
  <si>
    <t>FS2024XT 001508</t>
  </si>
  <si>
    <t>FS2024XT 001509</t>
  </si>
  <si>
    <t>FS2024XT 001510</t>
  </si>
  <si>
    <t>FS2024XT 001511</t>
  </si>
  <si>
    <t>FS2024XT 001512</t>
  </si>
  <si>
    <t>FS2024XT 001513</t>
  </si>
  <si>
    <t>FS2024XT 001514</t>
  </si>
  <si>
    <t>FS2024XT 001515</t>
  </si>
  <si>
    <t>FS2024XT 001516</t>
  </si>
  <si>
    <t>FS2024XT 001517</t>
  </si>
  <si>
    <t>FS2024XT 001518</t>
  </si>
  <si>
    <t>FS2024XT 001519</t>
  </si>
  <si>
    <t>FS2024XT 001520</t>
  </si>
  <si>
    <t>FS2024XT 001521</t>
  </si>
  <si>
    <t>FS2024XT 001522</t>
  </si>
  <si>
    <t>FS2024XT 001523</t>
  </si>
  <si>
    <t>FS2024XT 001524</t>
  </si>
  <si>
    <t>FS2024XT 001525</t>
  </si>
  <si>
    <t>FS2024XT 001526</t>
  </si>
  <si>
    <t>FS2024XT 001527</t>
  </si>
  <si>
    <t>FS2024XT 001528</t>
  </si>
  <si>
    <t>FS2024XT 001529</t>
  </si>
  <si>
    <t>FS2024XT 001530</t>
  </si>
  <si>
    <t>FS2024XT 001531</t>
  </si>
  <si>
    <t>01016/2024</t>
  </si>
  <si>
    <t>01018/2024</t>
  </si>
  <si>
    <t>01006/2024</t>
  </si>
  <si>
    <t>24/09658</t>
  </si>
  <si>
    <t>4996</t>
  </si>
  <si>
    <t>LOS MONTES DE GALICIA</t>
  </si>
  <si>
    <t>B81611246</t>
  </si>
  <si>
    <t>033042/A/24/004999</t>
  </si>
  <si>
    <t>REPSOL COMERCIAL DE PRODUCTOS PETROLÍFEROS, S.A</t>
  </si>
  <si>
    <t>09</t>
  </si>
  <si>
    <t>202780346692</t>
  </si>
  <si>
    <t>COMPRA HUMMER</t>
  </si>
  <si>
    <t>FV-24-1001117-10</t>
  </si>
  <si>
    <t>DOMICILIACIÓN</t>
  </si>
  <si>
    <t>24-005797</t>
  </si>
  <si>
    <t>BEBIDAS</t>
  </si>
  <si>
    <t>REPUESTOS MIHUEL, S.L</t>
  </si>
  <si>
    <t>RECAMBIOS LIMUSINAS</t>
  </si>
  <si>
    <t>F2409C24000033</t>
  </si>
  <si>
    <t>ANJANA INVESTMENTS, S.L</t>
  </si>
  <si>
    <t>RECARGA AIRE ACONDICIONADO</t>
  </si>
  <si>
    <t>W2024/26794</t>
  </si>
  <si>
    <t>SVELTO LINECOL, S,L</t>
  </si>
  <si>
    <t>B85310464</t>
  </si>
  <si>
    <t>01003/2024</t>
  </si>
  <si>
    <t>01028/2024</t>
  </si>
  <si>
    <t>0998/2024</t>
  </si>
  <si>
    <t>01047/2024</t>
  </si>
  <si>
    <t>01038/2024</t>
  </si>
  <si>
    <t>240006158782</t>
  </si>
  <si>
    <t>S108201/0410068</t>
  </si>
  <si>
    <t>AHORRAMAS,SA</t>
  </si>
  <si>
    <t>A287600278</t>
  </si>
  <si>
    <t>EXENTE IVA</t>
  </si>
  <si>
    <t>3611-017-552445</t>
  </si>
  <si>
    <t>65710</t>
  </si>
  <si>
    <t>01064/2024</t>
  </si>
  <si>
    <t>01063/2024</t>
  </si>
  <si>
    <t>01046/2024</t>
  </si>
  <si>
    <t>01042/2024</t>
  </si>
  <si>
    <t>00415/2024</t>
  </si>
  <si>
    <t>0975/2024</t>
  </si>
  <si>
    <t>0974/2024</t>
  </si>
  <si>
    <t>01060/2024</t>
  </si>
  <si>
    <t>0999/2024</t>
  </si>
  <si>
    <t>0963/2024</t>
  </si>
  <si>
    <t>01033/2024</t>
  </si>
  <si>
    <t>01041/2024</t>
  </si>
  <si>
    <t>0973/2024</t>
  </si>
  <si>
    <t>COLB.MARIA ABSOLUTE</t>
  </si>
  <si>
    <t>0980/2024</t>
  </si>
  <si>
    <t>01040/2024</t>
  </si>
  <si>
    <t>01001/2024</t>
  </si>
  <si>
    <t>0993/2024</t>
  </si>
  <si>
    <t>0981/2024</t>
  </si>
  <si>
    <t>01027/2024</t>
  </si>
  <si>
    <t>01020/2024</t>
  </si>
  <si>
    <t>01019/2024</t>
  </si>
  <si>
    <t>F4-1619</t>
  </si>
  <si>
    <t>GASOLEOS DE MONFORTE, S.L</t>
  </si>
  <si>
    <t>B27242346</t>
  </si>
  <si>
    <t>N0178113240815000033</t>
  </si>
  <si>
    <t>CENTROS COMERCIALES CARREFOUR, S.A</t>
  </si>
  <si>
    <t>601320022</t>
  </si>
  <si>
    <t>NEUMATICOS VULCANO, S.L</t>
  </si>
  <si>
    <t>010572</t>
  </si>
  <si>
    <t>FV-24-1001230-10</t>
  </si>
  <si>
    <t>2024163924/00004591</t>
  </si>
  <si>
    <t>A6201864</t>
  </si>
  <si>
    <t>F24ES-02054755</t>
  </si>
  <si>
    <t>202780436030</t>
  </si>
  <si>
    <t>143530</t>
  </si>
  <si>
    <t>FS-01-0035588</t>
  </si>
  <si>
    <t>PATRICIA DEBORA DE CASTRO GARCÍA</t>
  </si>
  <si>
    <t>01178179 G</t>
  </si>
  <si>
    <t>24-006008</t>
  </si>
  <si>
    <t>2024-00336</t>
  </si>
  <si>
    <t>PROGRAMA SERVICIOS FOMENTO</t>
  </si>
  <si>
    <t>2024-724-100868865</t>
  </si>
  <si>
    <t>REED ESPAÑOLA DE SERVICIOS SAU</t>
  </si>
  <si>
    <t>152004</t>
  </si>
  <si>
    <t>009644424/00046200</t>
  </si>
  <si>
    <t>TRUCK COSLADA S.L</t>
  </si>
  <si>
    <t>B81501587</t>
  </si>
  <si>
    <t>0437320424/00122222</t>
  </si>
  <si>
    <t>ÁLVARO FERNÁNDEZ PIERA</t>
  </si>
  <si>
    <t>074906785 S</t>
  </si>
  <si>
    <t>A-0001305</t>
  </si>
  <si>
    <t>A-0001306</t>
  </si>
  <si>
    <t>A-0001307</t>
  </si>
  <si>
    <t>NOTARIA</t>
  </si>
  <si>
    <t>RETENCIÓN 15%</t>
  </si>
  <si>
    <t>24/06690</t>
  </si>
  <si>
    <t>A-0001308</t>
  </si>
  <si>
    <t>3611-010-843217</t>
  </si>
  <si>
    <t>IVA 5%</t>
  </si>
  <si>
    <t>A-0001042</t>
  </si>
  <si>
    <t>A-0001039</t>
  </si>
  <si>
    <t>A-0001040</t>
  </si>
  <si>
    <t>A-0001043</t>
  </si>
  <si>
    <t>G24ES-00112454</t>
  </si>
  <si>
    <t>01076/2024</t>
  </si>
  <si>
    <t>01075/2024</t>
  </si>
  <si>
    <t>0911/2024</t>
  </si>
  <si>
    <t>01045/2024</t>
  </si>
  <si>
    <t>0967/2024</t>
  </si>
  <si>
    <t>01087/2024</t>
  </si>
  <si>
    <t>PAGADOS</t>
  </si>
  <si>
    <t>01034/2024</t>
  </si>
  <si>
    <t>01022/2024</t>
  </si>
  <si>
    <t>01032/2024</t>
  </si>
  <si>
    <t>0961/2024</t>
  </si>
  <si>
    <t>01055/2024</t>
  </si>
  <si>
    <t>0971/2024</t>
  </si>
  <si>
    <t>01074/2024</t>
  </si>
  <si>
    <t>01021/2024</t>
  </si>
  <si>
    <t>0984/2024</t>
  </si>
  <si>
    <t>01002/2024</t>
  </si>
  <si>
    <t>01085/2024</t>
  </si>
  <si>
    <t>01073/2024</t>
  </si>
  <si>
    <t>01054/2024</t>
  </si>
  <si>
    <t>01057/2024</t>
  </si>
  <si>
    <t>01048/2024</t>
  </si>
  <si>
    <t>01088/2024</t>
  </si>
  <si>
    <t>01083/2024</t>
  </si>
  <si>
    <t>01065/2024</t>
  </si>
  <si>
    <t>24-006030</t>
  </si>
  <si>
    <t>143811</t>
  </si>
  <si>
    <t>24/103000</t>
  </si>
  <si>
    <t>035950024/00004042</t>
  </si>
  <si>
    <t>CIA ESPANOLA DIST. PETROLEOS S.A</t>
  </si>
  <si>
    <t>TC 012010015806AA0E07542024000001559</t>
  </si>
  <si>
    <t>GALP ENERGIA ESPAÑA,S.A</t>
  </si>
  <si>
    <t>53373</t>
  </si>
  <si>
    <t>EL GRAN JAMONAL, S.L</t>
  </si>
  <si>
    <t>TS 0152010015806AA0E07542024000080845</t>
  </si>
  <si>
    <t>035950024/00004065</t>
  </si>
  <si>
    <t>EE.SS- MONTE MANANTIAL S.L</t>
  </si>
  <si>
    <t>B47338348</t>
  </si>
  <si>
    <t>FV-24-1001308-10</t>
  </si>
  <si>
    <t>ARANICE SLU</t>
  </si>
  <si>
    <t>24-006210</t>
  </si>
  <si>
    <t>F4-1896</t>
  </si>
  <si>
    <t>GASOLEOS DE MONFORTE,S.L</t>
  </si>
  <si>
    <t>286720120181253</t>
  </si>
  <si>
    <t>286720120181248</t>
  </si>
  <si>
    <t>01724FI01700000047</t>
  </si>
  <si>
    <t>COMBUSTIBLES SIGLO XXI, S.L</t>
  </si>
  <si>
    <t>B90212473</t>
  </si>
  <si>
    <t>24011929</t>
  </si>
  <si>
    <t>FV4/0001930</t>
  </si>
  <si>
    <t>YUPING RUAN WU S.L</t>
  </si>
  <si>
    <t>B27340793</t>
  </si>
  <si>
    <t>24/10592</t>
  </si>
  <si>
    <t>0346064024/00002840</t>
  </si>
  <si>
    <t>FR-760</t>
  </si>
  <si>
    <t>GESTILAN ES. DE SERVICIO S.L</t>
  </si>
  <si>
    <t>B24530347</t>
  </si>
  <si>
    <t>043730024/00011582</t>
  </si>
  <si>
    <t>043730424/0014457</t>
  </si>
  <si>
    <t>1401173654</t>
  </si>
  <si>
    <t>01071/2024</t>
  </si>
  <si>
    <t>01104/2024</t>
  </si>
  <si>
    <t>01111/2024</t>
  </si>
  <si>
    <t>01070/2024</t>
  </si>
  <si>
    <t>01024/2024</t>
  </si>
  <si>
    <t>01113/2024</t>
  </si>
  <si>
    <t>01077/2024</t>
  </si>
  <si>
    <t>01078/2024</t>
  </si>
  <si>
    <t>01098/2024</t>
  </si>
  <si>
    <t>01044/2024</t>
  </si>
  <si>
    <t>01090/2024</t>
  </si>
  <si>
    <t>01101/2024</t>
  </si>
  <si>
    <t>COLB.PEOPLE</t>
  </si>
  <si>
    <t>01043/2024</t>
  </si>
  <si>
    <t>0760/2024</t>
  </si>
  <si>
    <t>01069/2024</t>
  </si>
  <si>
    <t>COLB.DECONECTA</t>
  </si>
  <si>
    <t>01080/2024</t>
  </si>
  <si>
    <t>01091/2024</t>
  </si>
  <si>
    <t>01109/2024</t>
  </si>
  <si>
    <t>01093/2024</t>
  </si>
  <si>
    <t>01112/2024</t>
  </si>
  <si>
    <t>01117/2024</t>
  </si>
  <si>
    <t>043730224/0000067</t>
  </si>
  <si>
    <t>A289354520</t>
  </si>
  <si>
    <t>24012099</t>
  </si>
  <si>
    <t>01139/2024</t>
  </si>
  <si>
    <t>01120/2024</t>
  </si>
  <si>
    <t>79505</t>
  </si>
  <si>
    <t>601340538</t>
  </si>
  <si>
    <t>601340536</t>
  </si>
  <si>
    <t>COLB. CLAUDIA</t>
  </si>
  <si>
    <t>COLB.CLAUDIA</t>
  </si>
  <si>
    <t>0275/2024</t>
  </si>
  <si>
    <t>01037/2024</t>
  </si>
  <si>
    <t>01114/2024</t>
  </si>
  <si>
    <t>01153/2024</t>
  </si>
  <si>
    <t>01140/2024</t>
  </si>
  <si>
    <t>01136/2024</t>
  </si>
  <si>
    <t>COLAB.DESCONECTA</t>
  </si>
  <si>
    <t>01145/2024</t>
  </si>
  <si>
    <t>0964/2024</t>
  </si>
  <si>
    <t>01129/2024</t>
  </si>
  <si>
    <t>01146/2024</t>
  </si>
  <si>
    <t>01127/2024</t>
  </si>
  <si>
    <t>01068/2024</t>
  </si>
  <si>
    <t>01030/2024</t>
  </si>
  <si>
    <t>01089/2024</t>
  </si>
  <si>
    <t>01108/2024</t>
  </si>
  <si>
    <t>COLB.JAVIER TACO</t>
  </si>
  <si>
    <t>0972/2024</t>
  </si>
  <si>
    <t>0697/2024</t>
  </si>
  <si>
    <t>01118/2024</t>
  </si>
  <si>
    <t>01123/2024</t>
  </si>
  <si>
    <t>01130/2024</t>
  </si>
  <si>
    <t>0908/2024</t>
  </si>
  <si>
    <t>01005/2024</t>
  </si>
  <si>
    <t>01059/2024</t>
  </si>
  <si>
    <t>01092/2024</t>
  </si>
  <si>
    <t>01026/2024</t>
  </si>
  <si>
    <t>01095/2024</t>
  </si>
  <si>
    <t>01158/2024</t>
  </si>
  <si>
    <t>2130243</t>
  </si>
  <si>
    <t>i.d.f. suministros industriales</t>
  </si>
  <si>
    <t>B72736473</t>
  </si>
  <si>
    <t>149398</t>
  </si>
  <si>
    <t>039640424/00127516</t>
  </si>
  <si>
    <t>24.79</t>
  </si>
  <si>
    <t>043730024/00011902</t>
  </si>
  <si>
    <t>FS2024XT 001532</t>
  </si>
  <si>
    <t>FS2024XT 001533</t>
  </si>
  <si>
    <t>FS2024XT 001534</t>
  </si>
  <si>
    <t>FS2024XT 001535</t>
  </si>
  <si>
    <t>FS2024XT 001536</t>
  </si>
  <si>
    <t>FS2024XT 001537</t>
  </si>
  <si>
    <t>FS2024XT 001538</t>
  </si>
  <si>
    <t>FS2024XT 001539</t>
  </si>
  <si>
    <t>FS2024XT 001540</t>
  </si>
  <si>
    <t>FS2024XT 001541</t>
  </si>
  <si>
    <t>FS2024XT 001542</t>
  </si>
  <si>
    <t>FS2024XT 001543</t>
  </si>
  <si>
    <t>FS2024XT 001544</t>
  </si>
  <si>
    <t>FS2024XT 001545</t>
  </si>
  <si>
    <t>FS2024XT 001546</t>
  </si>
  <si>
    <t>FS2024XT 001547</t>
  </si>
  <si>
    <t>FS2024XT 001548</t>
  </si>
  <si>
    <t>FS2024XT 001549</t>
  </si>
  <si>
    <t>FS2024XT 001550</t>
  </si>
  <si>
    <t>FS2024XT 001551</t>
  </si>
  <si>
    <t>FS2024XT 001552</t>
  </si>
  <si>
    <t>FS2024XT 001553</t>
  </si>
  <si>
    <t>FS2024XT 001554</t>
  </si>
  <si>
    <t>FS2024XT 001555</t>
  </si>
  <si>
    <t>FS2024XT 001556</t>
  </si>
  <si>
    <t>FS2024XT 001557</t>
  </si>
  <si>
    <t>FS2024XT 001558</t>
  </si>
  <si>
    <t>FS2024XT 001559</t>
  </si>
  <si>
    <t>FS2024XT 001560</t>
  </si>
  <si>
    <t>FS2024XT 001561</t>
  </si>
  <si>
    <t>FS2024XT 001562</t>
  </si>
  <si>
    <t>FS2024XT 001563</t>
  </si>
  <si>
    <t>FS2024XT 001564</t>
  </si>
  <si>
    <t>FS2024XT 001565</t>
  </si>
  <si>
    <t>FS2024XT 001566</t>
  </si>
  <si>
    <t>FS2024XT 001567</t>
  </si>
  <si>
    <t>FS2024XT 001568</t>
  </si>
  <si>
    <t>FS2024XT 001569</t>
  </si>
  <si>
    <t>FS2024XT 001570</t>
  </si>
  <si>
    <t>FS2024XT 001571</t>
  </si>
  <si>
    <t>FS2024XT 001572</t>
  </si>
  <si>
    <t>FS2024XT 001573</t>
  </si>
  <si>
    <t>FS2024XT 001574</t>
  </si>
  <si>
    <t>FS2024XT 001575</t>
  </si>
  <si>
    <t>FS2024XT 001576</t>
  </si>
  <si>
    <t>FS2024XT 001577</t>
  </si>
  <si>
    <t>FS2024XT 001578</t>
  </si>
  <si>
    <t>FS2024XT 001579</t>
  </si>
  <si>
    <t>FS2024XT 001580</t>
  </si>
  <si>
    <t>FS2024XT 001581</t>
  </si>
  <si>
    <t>FS2024XT 001582</t>
  </si>
  <si>
    <t>FS2024XT 001583</t>
  </si>
  <si>
    <t>FS2024XT 001584</t>
  </si>
  <si>
    <t>FS2024XT 001585</t>
  </si>
  <si>
    <t>FS2024XT 001586</t>
  </si>
  <si>
    <t>FS2024XT 001587</t>
  </si>
  <si>
    <t>FS2024XT 001588</t>
  </si>
  <si>
    <t>FS2024XT 001589</t>
  </si>
  <si>
    <t>FS2024XT 001590</t>
  </si>
  <si>
    <t>FS2024XT 001591</t>
  </si>
  <si>
    <t>FS2024XT 001592</t>
  </si>
  <si>
    <t>FS2024XT 001593</t>
  </si>
  <si>
    <t>FS2024XT 001594</t>
  </si>
  <si>
    <t>FS2024XT 001595</t>
  </si>
  <si>
    <t>FS2024XT 001596</t>
  </si>
  <si>
    <t>FS2024XT 001597</t>
  </si>
  <si>
    <t>FS2024XT 001598</t>
  </si>
  <si>
    <t>FS2024XT 001599</t>
  </si>
  <si>
    <t>FS2024XT 001600</t>
  </si>
  <si>
    <t>FS2024XT 001601</t>
  </si>
  <si>
    <t>FS2024XT 001602</t>
  </si>
  <si>
    <t>FS2024XT 001603</t>
  </si>
  <si>
    <t>FS2024XT 001604</t>
  </si>
  <si>
    <t>FS2024XT 001605</t>
  </si>
  <si>
    <t>FS2024XT 001606</t>
  </si>
  <si>
    <t>FS2024XT 001607</t>
  </si>
  <si>
    <t>FS2024XT 001608</t>
  </si>
  <si>
    <t>FS2024XT 001609</t>
  </si>
  <si>
    <t>FS2024XT 001610</t>
  </si>
  <si>
    <t>FS2024XT 001611</t>
  </si>
  <si>
    <t>FS2024XT 001612</t>
  </si>
  <si>
    <t>FS2024XT 001613</t>
  </si>
  <si>
    <t>FS2024XT 001614</t>
  </si>
  <si>
    <t>FS2024XT 001615</t>
  </si>
  <si>
    <t>FS2024XT 001616</t>
  </si>
  <si>
    <t>FS2024XT 001617</t>
  </si>
  <si>
    <t>FS2024XT 001618</t>
  </si>
  <si>
    <t>FS2024XT 001619</t>
  </si>
  <si>
    <t>FS2024XT 001620</t>
  </si>
  <si>
    <t>FS2024XT 001621</t>
  </si>
  <si>
    <t>FS2024XT 001622</t>
  </si>
  <si>
    <t>FS2024XT 001623</t>
  </si>
  <si>
    <t>FS2024XT 001624</t>
  </si>
  <si>
    <t>FS2024XT 001625</t>
  </si>
  <si>
    <t>FS2024XT 001626</t>
  </si>
  <si>
    <t>FS2024XT 001627</t>
  </si>
  <si>
    <t>FS2024XT 001628</t>
  </si>
  <si>
    <t>FS2024XT 001629</t>
  </si>
  <si>
    <t>FS2024XT 001630</t>
  </si>
  <si>
    <t>FS2024XT 001631</t>
  </si>
  <si>
    <t>FS2024XT 001632</t>
  </si>
  <si>
    <t>FS2024XT 001633</t>
  </si>
  <si>
    <t>FS2024XT 001634</t>
  </si>
  <si>
    <t>FS2024XT 001635</t>
  </si>
  <si>
    <t>FS2024XT 001636</t>
  </si>
  <si>
    <t>FS2024XT 001637</t>
  </si>
  <si>
    <t>FS2024XT 001638</t>
  </si>
  <si>
    <t>FS2024XT 001639</t>
  </si>
  <si>
    <t>FS2024XT 001640</t>
  </si>
  <si>
    <t>FS2024XT 001641</t>
  </si>
  <si>
    <t>FS2024XT 001642</t>
  </si>
  <si>
    <t>FS2024XT 001643</t>
  </si>
  <si>
    <t>FS2024XT 001644</t>
  </si>
  <si>
    <t>FS2024XT 001645</t>
  </si>
  <si>
    <t>FS2024XT 001646</t>
  </si>
  <si>
    <t>FS2024XT 001647</t>
  </si>
  <si>
    <t>FS2024XT 001648</t>
  </si>
  <si>
    <t>FS2024XT 001649</t>
  </si>
  <si>
    <t>FS2024XT 001650</t>
  </si>
  <si>
    <t>FS2024XT 001651</t>
  </si>
  <si>
    <t>FS2024XT 001652</t>
  </si>
  <si>
    <t>FS2024XT 001653</t>
  </si>
  <si>
    <t>FS2024XT 001654</t>
  </si>
  <si>
    <t>FS2024XT 001655</t>
  </si>
  <si>
    <t>FS2024XT 001656</t>
  </si>
  <si>
    <t>FS2024XT 001657</t>
  </si>
  <si>
    <t>FS2024XT 001658</t>
  </si>
  <si>
    <t>FS2024XT 001659</t>
  </si>
  <si>
    <t>FS2024XT 001660</t>
  </si>
  <si>
    <t>FS2024XT 001661</t>
  </si>
  <si>
    <t>FS2024XT 001662</t>
  </si>
  <si>
    <t>FS2024XT 001663</t>
  </si>
  <si>
    <t>FS2024XT 001664</t>
  </si>
  <si>
    <t>FS2024XT 001665</t>
  </si>
  <si>
    <t>COLA.CAPITAL</t>
  </si>
  <si>
    <t>01056/2024</t>
  </si>
  <si>
    <t>01165/2024</t>
  </si>
  <si>
    <t>01159/20204</t>
  </si>
  <si>
    <t>0110/2024</t>
  </si>
  <si>
    <t>COB.BIG EVENTOS</t>
  </si>
  <si>
    <t>01126/2024</t>
  </si>
  <si>
    <t>01168/2024</t>
  </si>
  <si>
    <t>01173/2024</t>
  </si>
  <si>
    <t>01135/2024</t>
  </si>
  <si>
    <t>01155/2024</t>
  </si>
  <si>
    <t>01049/2024</t>
  </si>
  <si>
    <t>01164/2024</t>
  </si>
  <si>
    <t>01151/2024</t>
  </si>
  <si>
    <t>01094/2024</t>
  </si>
  <si>
    <t>01086/2024</t>
  </si>
  <si>
    <t>01137/2024</t>
  </si>
  <si>
    <t>10</t>
  </si>
  <si>
    <t>24012476</t>
  </si>
  <si>
    <t>037907424/00111651</t>
  </si>
  <si>
    <t>004520024/00004712</t>
  </si>
  <si>
    <t>034377/a/24/004791</t>
  </si>
  <si>
    <t>FV-24-1001380-10</t>
  </si>
  <si>
    <t>155640</t>
  </si>
  <si>
    <t>24-006421</t>
  </si>
  <si>
    <t>LICORES LLUVA,S.L</t>
  </si>
  <si>
    <t>24-006380</t>
  </si>
  <si>
    <t>19/19/2024</t>
  </si>
  <si>
    <t>202780486062</t>
  </si>
  <si>
    <t>202780514037</t>
  </si>
  <si>
    <t>202780514035</t>
  </si>
  <si>
    <t>202780546016</t>
  </si>
  <si>
    <t>1</t>
  </si>
  <si>
    <t>LEX CASTELLANA INVERSIONES PATRIMONIALES, S.L</t>
  </si>
  <si>
    <t>B56350325</t>
  </si>
  <si>
    <t>VARIOS- PAGO A CUENTA ALQUILER/COMPRA NAVE</t>
  </si>
  <si>
    <t>EFCETIVO- PAGOS A CUENTA  DURANTE  EL AÑO</t>
  </si>
  <si>
    <t>17445</t>
  </si>
  <si>
    <t>17488</t>
  </si>
  <si>
    <t>DOART</t>
  </si>
  <si>
    <t>E85122489</t>
  </si>
  <si>
    <t>FMPVA1H0060571</t>
  </si>
  <si>
    <t>MMPVA1H0019019</t>
  </si>
  <si>
    <t>78412586</t>
  </si>
  <si>
    <t>BIPI24-0050673</t>
  </si>
  <si>
    <t>BIPI24-0036038</t>
  </si>
  <si>
    <t>151</t>
  </si>
  <si>
    <t>34272116T</t>
  </si>
  <si>
    <t>JOSE MANUEL RIVERA GARCIA</t>
  </si>
  <si>
    <t>76082</t>
  </si>
  <si>
    <t>159-787</t>
  </si>
  <si>
    <t>F24ES-02145746</t>
  </si>
  <si>
    <t>FV-24-1001442-10</t>
  </si>
  <si>
    <t>24-006614</t>
  </si>
  <si>
    <t>FV-24-1001525-10</t>
  </si>
  <si>
    <t>07/2024</t>
  </si>
  <si>
    <t>NO HEMOS PUESTO RETENCIÓN EN NINGUNA FACTURA, NO SE SI ES ASÍ O HAY QUE HACER UNA MODIFICACIÓN DE TODAS</t>
  </si>
  <si>
    <t>YOURE WELCOME DMC, S.L</t>
  </si>
  <si>
    <t>058/2024</t>
  </si>
  <si>
    <t>CRAZY VOYAGE,8</t>
  </si>
  <si>
    <t>45/2024</t>
  </si>
  <si>
    <t>FR 84517621124</t>
  </si>
  <si>
    <t>46/2024</t>
  </si>
  <si>
    <t>MUNDIBE EVENTOS, S.L</t>
  </si>
  <si>
    <t>48/2024</t>
  </si>
  <si>
    <t>LIUDMYLA HAVRYSHCHUCK</t>
  </si>
  <si>
    <t>49/2024</t>
  </si>
  <si>
    <t>KORNER COLLECTIVE S.L</t>
  </si>
  <si>
    <t>50/2024</t>
  </si>
  <si>
    <t>B09793340</t>
  </si>
  <si>
    <t>AEB INVERSION SLU</t>
  </si>
  <si>
    <t>51/2024</t>
  </si>
  <si>
    <t>B 16361990</t>
  </si>
  <si>
    <t>52/2024</t>
  </si>
  <si>
    <t>SIMETHA DE SERVICIOS, S.L</t>
  </si>
  <si>
    <t>53/2024</t>
  </si>
  <si>
    <t>B- 85157998</t>
  </si>
  <si>
    <t>PUBLIROAD</t>
  </si>
  <si>
    <t>54/2024</t>
  </si>
  <si>
    <t>B 95545604</t>
  </si>
  <si>
    <t>55/2024</t>
  </si>
  <si>
    <t>STAGHEN EVENTS S.L</t>
  </si>
  <si>
    <t>56/2024</t>
  </si>
  <si>
    <t>B01905454</t>
  </si>
  <si>
    <t>057/2024</t>
  </si>
  <si>
    <t>FACTURAS 21%</t>
  </si>
  <si>
    <t>FACTURAS 10%</t>
  </si>
  <si>
    <t>IVA COBRADO:</t>
  </si>
  <si>
    <t>IVA PAGADO:</t>
  </si>
  <si>
    <t>RESULTADO</t>
  </si>
  <si>
    <t>FACTURA  EMITIDA SIMPLIFICADA!!!!</t>
  </si>
  <si>
    <t>2024-724-100973370</t>
  </si>
  <si>
    <t>pagos efctivo a lo largo del mes</t>
  </si>
  <si>
    <t>SIM-INV-ES162445931</t>
  </si>
  <si>
    <t>CCLIFE TECHNIC GMBH</t>
  </si>
  <si>
    <t>ESN 2765092 H</t>
  </si>
  <si>
    <t>DS-AEU-INV-ES2024-6481755</t>
  </si>
  <si>
    <t>AMAZON EU SARL</t>
  </si>
  <si>
    <t>LU20260743</t>
  </si>
  <si>
    <t>DS-AEU-INV-ES2024-6704102</t>
  </si>
  <si>
    <t>DS-AEU-INV-ES2024-6921130</t>
  </si>
  <si>
    <t>DS-AEU-IMV-ES2024-13128473</t>
  </si>
  <si>
    <t>DS-AEU-INV-ES2024-13752063</t>
  </si>
  <si>
    <t>DS-AEU-INV-ES2024-15178792</t>
  </si>
  <si>
    <t xml:space="preserve">TARJETA </t>
  </si>
  <si>
    <t>59/2024</t>
  </si>
  <si>
    <t>60/2024</t>
  </si>
  <si>
    <t>B85802916</t>
  </si>
  <si>
    <t>PUZZLE EVEMTOS, S.L</t>
  </si>
  <si>
    <t>PARADISE EVENTES, S.L</t>
  </si>
  <si>
    <t>PARADISE EVENTS</t>
  </si>
  <si>
    <t>07490678 S</t>
  </si>
  <si>
    <t>79492</t>
  </si>
  <si>
    <t>512.003137</t>
  </si>
  <si>
    <t>SUMINISTROS INDUSTRIALES COBSA, A.L</t>
  </si>
  <si>
    <t>24/11471</t>
  </si>
  <si>
    <t>17587</t>
  </si>
  <si>
    <t>00001102219</t>
  </si>
  <si>
    <t>EXPLOTACION ESTACIÓN DE SERVICIO SAU</t>
  </si>
  <si>
    <t>84814</t>
  </si>
  <si>
    <t>1401178956</t>
  </si>
  <si>
    <t>T000101-12483</t>
  </si>
  <si>
    <t>Y 1956815N</t>
  </si>
  <si>
    <t xml:space="preserve">EFEC </t>
  </si>
  <si>
    <t>0100002272</t>
  </si>
  <si>
    <t>IONA ILIES</t>
  </si>
  <si>
    <t>Y0363097X</t>
  </si>
  <si>
    <t>044973024/00011783</t>
  </si>
  <si>
    <t>043730024/00012521</t>
  </si>
  <si>
    <t>164158</t>
  </si>
  <si>
    <t>164029</t>
  </si>
  <si>
    <t>2024-0477</t>
  </si>
  <si>
    <t>RADIADORES VALDEMORO S.C</t>
  </si>
  <si>
    <t>FV-24-1001600-10</t>
  </si>
  <si>
    <t>HIELOS</t>
  </si>
  <si>
    <t>F2410C24000189</t>
  </si>
  <si>
    <t>2024-0485</t>
  </si>
  <si>
    <t xml:space="preserve"> 18/10/2024</t>
  </si>
  <si>
    <t>243622005204</t>
  </si>
  <si>
    <t>24-006773</t>
  </si>
  <si>
    <t>24-006915</t>
  </si>
  <si>
    <t>043730024/00012833</t>
  </si>
  <si>
    <t>01156/2024</t>
  </si>
  <si>
    <t>01218/2024</t>
  </si>
  <si>
    <t>01210/2024</t>
  </si>
  <si>
    <t>01192/2024</t>
  </si>
  <si>
    <t>01214/2024</t>
  </si>
  <si>
    <t>01215/2024</t>
  </si>
  <si>
    <t>01182/2024</t>
  </si>
  <si>
    <t>01181/2024</t>
  </si>
  <si>
    <t>01172/2024</t>
  </si>
  <si>
    <t>01166/2024</t>
  </si>
  <si>
    <t>01167/2024</t>
  </si>
  <si>
    <t>01179/2024</t>
  </si>
  <si>
    <t>01084/2024</t>
  </si>
  <si>
    <t>01121/2024</t>
  </si>
  <si>
    <t>01119/2024</t>
  </si>
  <si>
    <t>01198/2024</t>
  </si>
  <si>
    <t>01194/2024</t>
  </si>
  <si>
    <t>01102/2024</t>
  </si>
  <si>
    <t>01142/2024</t>
  </si>
  <si>
    <t>01134/2024</t>
  </si>
  <si>
    <t>01125/2024</t>
  </si>
  <si>
    <t>01148/2024</t>
  </si>
  <si>
    <t>01202/2024</t>
  </si>
  <si>
    <t>COLB. EVENTOS MÁGICOS</t>
  </si>
  <si>
    <t>01190/2024</t>
  </si>
  <si>
    <t>0987/2024</t>
  </si>
  <si>
    <t>01131/2024</t>
  </si>
  <si>
    <t>01147/2024</t>
  </si>
  <si>
    <t>01180/2024</t>
  </si>
  <si>
    <t>0988/2024</t>
  </si>
  <si>
    <t>0947/2024</t>
  </si>
  <si>
    <t>01174/2024</t>
  </si>
  <si>
    <t>01220/2024</t>
  </si>
  <si>
    <t>01221/2024</t>
  </si>
  <si>
    <t>01212/2024</t>
  </si>
  <si>
    <t>01186/2024</t>
  </si>
  <si>
    <t>01225/2024</t>
  </si>
  <si>
    <t>01188/2024</t>
  </si>
  <si>
    <t>01235/2024</t>
  </si>
  <si>
    <t>01241/2024</t>
  </si>
  <si>
    <t>01141/2024</t>
  </si>
  <si>
    <t>01195/2024</t>
  </si>
  <si>
    <t>01081/2024</t>
  </si>
  <si>
    <t>01106/2024</t>
  </si>
  <si>
    <t>01231/2024</t>
  </si>
  <si>
    <t>01233/2024</t>
  </si>
  <si>
    <t>01157/2024</t>
  </si>
  <si>
    <t>01232/2024</t>
  </si>
  <si>
    <t>01239/2024</t>
  </si>
  <si>
    <t>01079/2024</t>
  </si>
  <si>
    <t>01191/2024</t>
  </si>
  <si>
    <t>01082/2024</t>
  </si>
  <si>
    <t>01213/2024</t>
  </si>
  <si>
    <t>COLB.FOTOGRAFO</t>
  </si>
  <si>
    <t>01058/2024</t>
  </si>
  <si>
    <t>01227/2024</t>
  </si>
  <si>
    <t>01238/2024</t>
  </si>
  <si>
    <t>01177/2024</t>
  </si>
  <si>
    <t>01204/2024</t>
  </si>
  <si>
    <t>01243/2024</t>
  </si>
  <si>
    <t>01256/2024</t>
  </si>
  <si>
    <t>01200/2024</t>
  </si>
  <si>
    <t>pack cumpleaños</t>
  </si>
  <si>
    <t>01242/2024</t>
  </si>
  <si>
    <t>01254/2024</t>
  </si>
  <si>
    <t>COLB. PARADISE</t>
  </si>
  <si>
    <t>01226/2024</t>
  </si>
  <si>
    <t>01169/2024</t>
  </si>
  <si>
    <t>01207/2024</t>
  </si>
  <si>
    <t>01150/2024</t>
  </si>
  <si>
    <t>01248/2024</t>
  </si>
  <si>
    <t>01244/2024</t>
  </si>
  <si>
    <t>PACK BEBIDA</t>
  </si>
  <si>
    <t>01162/2024</t>
  </si>
  <si>
    <t>01265/2024</t>
  </si>
  <si>
    <t>AU-00971/24</t>
  </si>
  <si>
    <t>AUTOMOVILES LEGAZPI, S.A</t>
  </si>
  <si>
    <t>NIMA</t>
  </si>
  <si>
    <t>243622005309</t>
  </si>
  <si>
    <t>S108204/0261638</t>
  </si>
  <si>
    <t>B 85802916</t>
  </si>
  <si>
    <t xml:space="preserve">QUALITY VIP SOLUTIONS             </t>
  </si>
  <si>
    <t>B- 87910311</t>
  </si>
  <si>
    <t>01278/2024</t>
  </si>
  <si>
    <t>01264/2024</t>
  </si>
  <si>
    <t>01211/2024</t>
  </si>
  <si>
    <t>01259/2024</t>
  </si>
  <si>
    <t>01103/2024</t>
  </si>
  <si>
    <t>01201/2024</t>
  </si>
  <si>
    <t>01222/2024</t>
  </si>
  <si>
    <t>01072/2024</t>
  </si>
  <si>
    <t>01183/2024</t>
  </si>
  <si>
    <t>01161/2024</t>
  </si>
  <si>
    <t>01269/2024</t>
  </si>
  <si>
    <t>01260/2024</t>
  </si>
  <si>
    <t>01154/2024</t>
  </si>
  <si>
    <t>01271/2024</t>
  </si>
  <si>
    <t>01234/2024</t>
  </si>
  <si>
    <t>01274/2024</t>
  </si>
  <si>
    <t>01292/2024</t>
  </si>
  <si>
    <t>01279/2024</t>
  </si>
  <si>
    <t>01293/2024</t>
  </si>
  <si>
    <t>01189/2024</t>
  </si>
  <si>
    <t>01258/2024</t>
  </si>
  <si>
    <t>043730424/00155561</t>
  </si>
  <si>
    <t>037907242/00116149</t>
  </si>
  <si>
    <t>243622005216</t>
  </si>
  <si>
    <t>04520424/00204476</t>
  </si>
  <si>
    <t>04520424/00104824</t>
  </si>
  <si>
    <t>88058</t>
  </si>
  <si>
    <t>04520424/00105640</t>
  </si>
  <si>
    <t>88567</t>
  </si>
  <si>
    <t>24013408</t>
  </si>
  <si>
    <t>286720120182368</t>
  </si>
  <si>
    <t>ITV LIMUSINA</t>
  </si>
  <si>
    <t>TASAS DGT</t>
  </si>
  <si>
    <t>88908</t>
  </si>
  <si>
    <t>88906</t>
  </si>
  <si>
    <t>512.003302</t>
  </si>
  <si>
    <t>512.003301</t>
  </si>
  <si>
    <t>04520424/00106436</t>
  </si>
  <si>
    <t>00001TB00042847</t>
  </si>
  <si>
    <t>04520424/00106645</t>
  </si>
  <si>
    <t>171012</t>
  </si>
  <si>
    <t>191/1901289669</t>
  </si>
  <si>
    <t>90834</t>
  </si>
  <si>
    <t xml:space="preserve">ELEGANCE SDAD.COOP.MADRILEÑA             </t>
  </si>
  <si>
    <t>F 86560364</t>
  </si>
  <si>
    <t>JAVI</t>
  </si>
  <si>
    <t>01297/2024</t>
  </si>
  <si>
    <t>01138/2024</t>
  </si>
  <si>
    <t>01217/2024</t>
  </si>
  <si>
    <t xml:space="preserve">COLB.DAVID </t>
  </si>
  <si>
    <t>FS2024XT 001666</t>
  </si>
  <si>
    <t>FS2024XT 001667</t>
  </si>
  <si>
    <t>FS2024XT 001668</t>
  </si>
  <si>
    <t>FS2024XT 001669</t>
  </si>
  <si>
    <t>FS2024XT 001670</t>
  </si>
  <si>
    <t>FS2024XT 001671</t>
  </si>
  <si>
    <t>FS2024XT 001672</t>
  </si>
  <si>
    <t>FS2024XT 001673</t>
  </si>
  <si>
    <t>FS2024XT 001674</t>
  </si>
  <si>
    <t>FS2024XT 001675</t>
  </si>
  <si>
    <t>FS2024XT 001676</t>
  </si>
  <si>
    <t>FS2024XT 001677</t>
  </si>
  <si>
    <t>FS2024XT 001678</t>
  </si>
  <si>
    <t>FS2024XT 001679</t>
  </si>
  <si>
    <t>FS2024XT 001680</t>
  </si>
  <si>
    <t>FS2024XT 001681</t>
  </si>
  <si>
    <t>FS2024XT 001682</t>
  </si>
  <si>
    <t>FS2024XT 001683</t>
  </si>
  <si>
    <t>FS2024XT 001684</t>
  </si>
  <si>
    <t>FS2024XT 001685</t>
  </si>
  <si>
    <t>FS2024XT 001686</t>
  </si>
  <si>
    <t>FS2024XT 001687</t>
  </si>
  <si>
    <t>FS2024XT 001688</t>
  </si>
  <si>
    <t>FS2024XT 001689</t>
  </si>
  <si>
    <t>FS2024XT 001690</t>
  </si>
  <si>
    <t>FS2024XT 001691</t>
  </si>
  <si>
    <t>FS2024XT 001692</t>
  </si>
  <si>
    <t>FS2024XT 001693</t>
  </si>
  <si>
    <t>FS2024XT 001694</t>
  </si>
  <si>
    <t>FS2024XT 001695</t>
  </si>
  <si>
    <t>FS2024XT 001696</t>
  </si>
  <si>
    <t>FS2024XT 001697</t>
  </si>
  <si>
    <t>FS2024XT 001698</t>
  </si>
  <si>
    <t>FS2024XT 001699</t>
  </si>
  <si>
    <t>FS2024XT 001700</t>
  </si>
  <si>
    <t>FS2024XT 001701</t>
  </si>
  <si>
    <t>FS2024XT 001702</t>
  </si>
  <si>
    <t>FS2024XT 001703</t>
  </si>
  <si>
    <t>FS2024XT 001704</t>
  </si>
  <si>
    <t>FS2024XT 001705</t>
  </si>
  <si>
    <t>FS2024XT 001706</t>
  </si>
  <si>
    <t>FS2024XT 001707</t>
  </si>
  <si>
    <t>FS2024XT 001708</t>
  </si>
  <si>
    <t>FS2024XT 001709</t>
  </si>
  <si>
    <t>FS2024XT 001710</t>
  </si>
  <si>
    <t>FS2024XT 001711</t>
  </si>
  <si>
    <t>FS2024XT 001712</t>
  </si>
  <si>
    <t>FS2024XT 001713</t>
  </si>
  <si>
    <t>FS2024XT 001714</t>
  </si>
  <si>
    <t>FS2024XT 001715</t>
  </si>
  <si>
    <t>FS2024XT 001716</t>
  </si>
  <si>
    <t>FS2024XT 001717</t>
  </si>
  <si>
    <t>FS2024XT 001718</t>
  </si>
  <si>
    <t>FS2024XT 001719</t>
  </si>
  <si>
    <t>FS2024XT 001720</t>
  </si>
  <si>
    <t>FS2024XT 001721</t>
  </si>
  <si>
    <t>FS2024XT 001722</t>
  </si>
  <si>
    <t>FS2024XT 001723</t>
  </si>
  <si>
    <t>FS2024XT 001724</t>
  </si>
  <si>
    <t>FS2024XT 001725</t>
  </si>
  <si>
    <t>FS2024XT 001726</t>
  </si>
  <si>
    <t>FS2024XT 001727</t>
  </si>
  <si>
    <t>FS2024XT 001728</t>
  </si>
  <si>
    <t>FS2024XT 001729</t>
  </si>
  <si>
    <t>FS2024XT 001730</t>
  </si>
  <si>
    <t>FS2024XT 001731</t>
  </si>
  <si>
    <t>FS2024XT 001732</t>
  </si>
  <si>
    <t>FS2024XT 001733</t>
  </si>
  <si>
    <t>FS2024XT 001734</t>
  </si>
  <si>
    <t>FS2024XT 001735</t>
  </si>
  <si>
    <t>FS2024XT 001736</t>
  </si>
  <si>
    <t>FS2024XT 001737</t>
  </si>
  <si>
    <t>FS2024XT 001738</t>
  </si>
  <si>
    <t>FS2024XT 001739</t>
  </si>
  <si>
    <t>FS2024XT 001740</t>
  </si>
  <si>
    <t>FS2024XT 001741</t>
  </si>
  <si>
    <t>FS2024XT 001742</t>
  </si>
  <si>
    <t>FS2024XT 001743</t>
  </si>
  <si>
    <t>FS2024XT 001744</t>
  </si>
  <si>
    <t>FS2024XT 001745</t>
  </si>
  <si>
    <t>FS2024XT 001746</t>
  </si>
  <si>
    <t>FS2024XT 001747</t>
  </si>
  <si>
    <t>01208/2024</t>
  </si>
  <si>
    <t>01250/2024</t>
  </si>
  <si>
    <t>01209/2024</t>
  </si>
  <si>
    <t>01175/2024</t>
  </si>
  <si>
    <t>01270/2024</t>
  </si>
  <si>
    <t>01306/2024</t>
  </si>
  <si>
    <t>01247/2024</t>
  </si>
  <si>
    <t>01286/2024</t>
  </si>
  <si>
    <t>01300/2024</t>
  </si>
  <si>
    <t>01216/2024</t>
  </si>
  <si>
    <t>01314/2024</t>
  </si>
  <si>
    <t>01196/2024</t>
  </si>
  <si>
    <t>01298/2024</t>
  </si>
  <si>
    <t>01307/2024</t>
  </si>
  <si>
    <t>01316/2024</t>
  </si>
  <si>
    <t>243622004938</t>
  </si>
  <si>
    <t>512.003122</t>
  </si>
  <si>
    <t>86666</t>
  </si>
  <si>
    <t>FV-24-1001687-10</t>
  </si>
  <si>
    <t>PDTE.</t>
  </si>
  <si>
    <t>24-007082</t>
  </si>
  <si>
    <t>24/12200</t>
  </si>
  <si>
    <t>AUTOMOVILES LEGAZPI S.A</t>
  </si>
  <si>
    <t>FV-24-1001782-10</t>
  </si>
  <si>
    <t>91278</t>
  </si>
  <si>
    <t>3611-018-967480</t>
  </si>
  <si>
    <t>11</t>
  </si>
  <si>
    <t>FS011001022024070653</t>
  </si>
  <si>
    <t>ALDI PINTO SUPERMERCADIS SLU</t>
  </si>
  <si>
    <t>B844160233</t>
  </si>
  <si>
    <t>004520424/00108843</t>
  </si>
  <si>
    <t>FV-24-1001000-01</t>
  </si>
  <si>
    <t>01246/2024</t>
  </si>
  <si>
    <t>01318/2024</t>
  </si>
  <si>
    <t>01324/2024</t>
  </si>
  <si>
    <t>01333/2024</t>
  </si>
  <si>
    <t>F-2024-102</t>
  </si>
  <si>
    <t>B70638242</t>
  </si>
  <si>
    <t>REPARACION LIMUSINA ( CAJA DE CAMBIOS)</t>
  </si>
  <si>
    <t>transferencia</t>
  </si>
  <si>
    <t>2741</t>
  </si>
  <si>
    <t>TECNOCAMBIO, S.L</t>
  </si>
  <si>
    <t>AGUSTIN GARCIA RUBIO</t>
  </si>
  <si>
    <t>50941671 Y</t>
  </si>
  <si>
    <t>ALQUILER PARCELA ( ANTONIO)</t>
  </si>
  <si>
    <t>24FT001218</t>
  </si>
  <si>
    <t>AGROPIEDRA SA</t>
  </si>
  <si>
    <t>A78805801</t>
  </si>
  <si>
    <t>FAC2024A962</t>
  </si>
  <si>
    <t>DESGUACES CONTRADES. S.L</t>
  </si>
  <si>
    <t>B87617809</t>
  </si>
  <si>
    <t>VARIOS ( PIEXAS LIMUSINA)</t>
  </si>
  <si>
    <t>012746/2024</t>
  </si>
  <si>
    <t>01317/2024</t>
  </si>
  <si>
    <t>01334/2024</t>
  </si>
  <si>
    <t>01352/2024</t>
  </si>
  <si>
    <t>01304/2024</t>
  </si>
  <si>
    <t>01348/2024</t>
  </si>
  <si>
    <t>01340/2024</t>
  </si>
  <si>
    <t>013020/2024</t>
  </si>
  <si>
    <t>01322/2024</t>
  </si>
  <si>
    <t>01185/2024</t>
  </si>
  <si>
    <t>01267/2024</t>
  </si>
  <si>
    <t>01353/2024</t>
  </si>
  <si>
    <t>01249/2024</t>
  </si>
  <si>
    <t>01230/2024</t>
  </si>
  <si>
    <t>DAVID PROMOTOR</t>
  </si>
  <si>
    <t>01312/2024</t>
  </si>
  <si>
    <t>s108201/0439778</t>
  </si>
  <si>
    <t>AHORRAMAS, SA</t>
  </si>
  <si>
    <t>01323/2024</t>
  </si>
  <si>
    <t>01205/2024</t>
  </si>
  <si>
    <t>1363/2024</t>
  </si>
  <si>
    <t>01365/2024</t>
  </si>
  <si>
    <t>01176/2024</t>
  </si>
  <si>
    <t>01199/2024</t>
  </si>
  <si>
    <t>01310/2024</t>
  </si>
  <si>
    <t>01329/2024</t>
  </si>
  <si>
    <t>01296/2024</t>
  </si>
  <si>
    <t>01236/2024</t>
  </si>
  <si>
    <t>01237/2024</t>
  </si>
  <si>
    <t>01369/2024</t>
  </si>
  <si>
    <t>01315/2024</t>
  </si>
  <si>
    <t>DAVID PROMOTOS</t>
  </si>
  <si>
    <t>1368/2024</t>
  </si>
  <si>
    <t>01163/2024</t>
  </si>
  <si>
    <t>01372/2024</t>
  </si>
  <si>
    <t>01347/2024</t>
  </si>
  <si>
    <t>01360/2024</t>
  </si>
  <si>
    <t>01335/2024</t>
  </si>
  <si>
    <t>01325/2024</t>
  </si>
  <si>
    <t>01346/2024</t>
  </si>
  <si>
    <t>01294/2024</t>
  </si>
  <si>
    <t>01338/2024</t>
  </si>
  <si>
    <t>F24ES-02625066</t>
  </si>
  <si>
    <t>F24ES-02663065</t>
  </si>
  <si>
    <t>159-833</t>
  </si>
  <si>
    <t>159-834</t>
  </si>
  <si>
    <t>24014219</t>
  </si>
  <si>
    <t>3611-019-344901</t>
  </si>
  <si>
    <t>17UESM9XEP3Q033AN9003A8</t>
  </si>
  <si>
    <t>SUPERCOR SA</t>
  </si>
  <si>
    <t>A78476397</t>
  </si>
  <si>
    <t>VARIOS ( MOET)</t>
  </si>
  <si>
    <t>046-0011-000556</t>
  </si>
  <si>
    <t>602050547</t>
  </si>
  <si>
    <t>243622005875</t>
  </si>
  <si>
    <t>179438</t>
  </si>
  <si>
    <t>S108203/0223738</t>
  </si>
  <si>
    <t>004520024/00004928</t>
  </si>
  <si>
    <t>F-2024-116</t>
  </si>
  <si>
    <t>FV-24-1001401-08</t>
  </si>
  <si>
    <t>S108202/0174555</t>
  </si>
  <si>
    <t>BC/143TCH123VXH</t>
  </si>
  <si>
    <t>HOTEL ORDUÑA PLAZA</t>
  </si>
  <si>
    <t>B95896619</t>
  </si>
  <si>
    <t>HOTEL CLIENTES ??</t>
  </si>
  <si>
    <t>24/13715</t>
  </si>
  <si>
    <t>ESON IMPORT S.L</t>
  </si>
  <si>
    <t>EFECTIVPO</t>
  </si>
  <si>
    <t>096992/A/24/005606</t>
  </si>
  <si>
    <t>REPSOL COMERCIAL DE P`RODUCTOS PETROLIFEROS SA</t>
  </si>
  <si>
    <t>61/2024</t>
  </si>
  <si>
    <t>ELEGANCCE</t>
  </si>
  <si>
    <t>62/2024</t>
  </si>
  <si>
    <t>SERVICIO TRANSPORTE</t>
  </si>
  <si>
    <t>SERVICIOS TRASPORTE</t>
  </si>
  <si>
    <t>FOREXCAR</t>
  </si>
  <si>
    <t>TRAVELLIFE EVENTS DMC, S.L</t>
  </si>
  <si>
    <t>B88593694</t>
  </si>
  <si>
    <t>ELEGANCE</t>
  </si>
  <si>
    <t>01381/2024</t>
  </si>
  <si>
    <t>colb. David</t>
  </si>
  <si>
    <t>01252/2024</t>
  </si>
  <si>
    <t>01354/2024</t>
  </si>
  <si>
    <t>01405/2024</t>
  </si>
  <si>
    <t>01388/2024</t>
  </si>
  <si>
    <t>01384/2024</t>
  </si>
  <si>
    <t>01370/2024</t>
  </si>
  <si>
    <t>01378/2024</t>
  </si>
  <si>
    <t>01283/2024</t>
  </si>
  <si>
    <t>01263/2024</t>
  </si>
  <si>
    <t>01357/2024</t>
  </si>
  <si>
    <t>01387/2024</t>
  </si>
  <si>
    <t>01404/2024</t>
  </si>
  <si>
    <t>01351/2024</t>
  </si>
  <si>
    <t>01291/2024</t>
  </si>
  <si>
    <t>01342/2024</t>
  </si>
  <si>
    <t>01367/2024</t>
  </si>
  <si>
    <t>COLB.MARTIN</t>
  </si>
  <si>
    <t>COLB. RAUL</t>
  </si>
  <si>
    <t>01305/2024</t>
  </si>
  <si>
    <t>COLB.DESPEDIDAS</t>
  </si>
  <si>
    <t>01377/2024</t>
  </si>
  <si>
    <t>01107/2024</t>
  </si>
  <si>
    <t>01336/2024</t>
  </si>
  <si>
    <t>01407/2024</t>
  </si>
  <si>
    <t>01355/2024</t>
  </si>
  <si>
    <t>01396/2024</t>
  </si>
  <si>
    <t xml:space="preserve">REIG Y MARCO SL </t>
  </si>
  <si>
    <t>B87347415</t>
  </si>
  <si>
    <t>ELEGANCE SDAD. COOP. MADRILEÑA</t>
  </si>
  <si>
    <t>COMPRA LINCOLN</t>
  </si>
  <si>
    <t>01425/2024</t>
  </si>
  <si>
    <t>01421/2024</t>
  </si>
  <si>
    <t>01349/2024</t>
  </si>
  <si>
    <t>01416/2024</t>
  </si>
  <si>
    <t>01440/2024</t>
  </si>
  <si>
    <t>01427/2024</t>
  </si>
  <si>
    <t>01431/2024</t>
  </si>
  <si>
    <t>01320/2024</t>
  </si>
  <si>
    <t>01439/2024</t>
  </si>
  <si>
    <t>01380/2024</t>
  </si>
  <si>
    <t>01443/2024</t>
  </si>
  <si>
    <t>01371/2024</t>
  </si>
  <si>
    <t>01193/2024</t>
  </si>
  <si>
    <t>01309/2024</t>
  </si>
  <si>
    <t>01224/2024</t>
  </si>
  <si>
    <t>COLB. DESP.MOLA MOLA</t>
  </si>
  <si>
    <t>COLB. STRIPPER COLLECTION</t>
  </si>
  <si>
    <t>01426/2024</t>
  </si>
  <si>
    <t>01344/2024</t>
  </si>
  <si>
    <t>01319/2024</t>
  </si>
  <si>
    <t>01424/2024</t>
  </si>
  <si>
    <t>01376/2024</t>
  </si>
  <si>
    <t>01382/2024</t>
  </si>
  <si>
    <t>01383/2024</t>
  </si>
  <si>
    <t>01428/2024</t>
  </si>
  <si>
    <t>01364/2024</t>
  </si>
  <si>
    <t>01287/2024</t>
  </si>
  <si>
    <t>01422/2024</t>
  </si>
  <si>
    <t>FS2024XT 001748</t>
  </si>
  <si>
    <t>FS2024XT 001749</t>
  </si>
  <si>
    <t>FS2024XT 001750</t>
  </si>
  <si>
    <t>FS2024XT 001751</t>
  </si>
  <si>
    <t>FS2024XT 001752</t>
  </si>
  <si>
    <t>FS2024XT 001753</t>
  </si>
  <si>
    <t>FS2024XT 001754</t>
  </si>
  <si>
    <t>FS2024XT 001755</t>
  </si>
  <si>
    <t>FS2024XT 001756</t>
  </si>
  <si>
    <t>FS2024XT 001757</t>
  </si>
  <si>
    <t>FS2024XT 001758</t>
  </si>
  <si>
    <t>FS2024XT 001759</t>
  </si>
  <si>
    <t>FS2024XT 001760</t>
  </si>
  <si>
    <t>FS2024XT 001761</t>
  </si>
  <si>
    <t>FS2024XT 001762</t>
  </si>
  <si>
    <t>FS2024XT 001763</t>
  </si>
  <si>
    <t>FS2024XT 001764</t>
  </si>
  <si>
    <t>FS2024XT 001765</t>
  </si>
  <si>
    <t>FS2024XT 001766</t>
  </si>
  <si>
    <t>FS2024XT 001767</t>
  </si>
  <si>
    <t>FS2024XT 001768</t>
  </si>
  <si>
    <t>FS2024XT 001769</t>
  </si>
  <si>
    <t>FS2024XT 001770</t>
  </si>
  <si>
    <t>FS2024XT 001771</t>
  </si>
  <si>
    <t>FS2024XT 001772</t>
  </si>
  <si>
    <t>FS2024XT 001773</t>
  </si>
  <si>
    <t>FS2024XT 001774</t>
  </si>
  <si>
    <t>FS2024XT 001775</t>
  </si>
  <si>
    <t>FS2024XT 001776</t>
  </si>
  <si>
    <t>FS2024XT 001777</t>
  </si>
  <si>
    <t>FS2024XT 001778</t>
  </si>
  <si>
    <t>FS2024XT 001779</t>
  </si>
  <si>
    <t>FS2024XT 001780</t>
  </si>
  <si>
    <t>FS2024XT 001781</t>
  </si>
  <si>
    <t>FS2024XT 001782</t>
  </si>
  <si>
    <t>FS2024XT 001783</t>
  </si>
  <si>
    <t>FS2024XT 001784</t>
  </si>
  <si>
    <t>FS2024XT 001785</t>
  </si>
  <si>
    <t>FS2024XT 001786</t>
  </si>
  <si>
    <t>FS2024XT 001787</t>
  </si>
  <si>
    <t>FS2024XT 001788</t>
  </si>
  <si>
    <t>FS2024XT 001789</t>
  </si>
  <si>
    <t>FS2024XT 001790</t>
  </si>
  <si>
    <t>FS2024XT 001791</t>
  </si>
  <si>
    <t>FS2024XT 001792</t>
  </si>
  <si>
    <t>FS2024XT 001793</t>
  </si>
  <si>
    <t>FS2024XT 001794</t>
  </si>
  <si>
    <t>FS2024XT 001795</t>
  </si>
  <si>
    <t>FS2024XT 001796</t>
  </si>
  <si>
    <t>FS2024XT 001797</t>
  </si>
  <si>
    <t>FS2024XT 001798</t>
  </si>
  <si>
    <t>FS2024XT 001799</t>
  </si>
  <si>
    <t>FS2024XT 001800</t>
  </si>
  <si>
    <t>FS2024XT 001801</t>
  </si>
  <si>
    <t>FS2024XT 001802</t>
  </si>
  <si>
    <t>FS2024XT 001803</t>
  </si>
  <si>
    <t>FS2024XT 001804</t>
  </si>
  <si>
    <t>FS2024XT 001805</t>
  </si>
  <si>
    <t>FS2024XT 001806</t>
  </si>
  <si>
    <t>FS2024XT 001807</t>
  </si>
  <si>
    <t>FS2024XT 001808</t>
  </si>
  <si>
    <t>FS2024XT 001809</t>
  </si>
  <si>
    <t>FS2024XT 001810</t>
  </si>
  <si>
    <t>FS2024XT 001811</t>
  </si>
  <si>
    <t>FS2024XT 001812</t>
  </si>
  <si>
    <t>FS2024XT 001813</t>
  </si>
  <si>
    <t>FS2024XT 001814</t>
  </si>
  <si>
    <t>FS2024XT 001815</t>
  </si>
  <si>
    <t>FS2024XT 001816</t>
  </si>
  <si>
    <t>FS2024XT 001817</t>
  </si>
  <si>
    <t>FS2024XT 001818</t>
  </si>
  <si>
    <t>FS2024XT 001819</t>
  </si>
  <si>
    <t>FS2024XT 001820</t>
  </si>
  <si>
    <t>FS2024XT 001821</t>
  </si>
  <si>
    <t>FS2024XT 001822</t>
  </si>
  <si>
    <t>FS2024XT 001823</t>
  </si>
  <si>
    <t>FS2024XT 001824</t>
  </si>
  <si>
    <t>FS2024XT 001825</t>
  </si>
  <si>
    <t>FS2024XT 001826</t>
  </si>
  <si>
    <t>FS2024XT 001827</t>
  </si>
  <si>
    <t>FS2024XT 001828</t>
  </si>
  <si>
    <t>FS2024XT 001829</t>
  </si>
  <si>
    <t>FS2024XT 001830</t>
  </si>
  <si>
    <t>FS2024XT 001831</t>
  </si>
  <si>
    <t>FS2024XT 001832</t>
  </si>
  <si>
    <t>FS2024XT 001833</t>
  </si>
  <si>
    <t>FS2024XT 001834</t>
  </si>
  <si>
    <t>FS2024XT 001835</t>
  </si>
  <si>
    <t>FS2024XT 001836</t>
  </si>
  <si>
    <t>FS2024XT 001837</t>
  </si>
  <si>
    <t>FS2024XT 001838</t>
  </si>
  <si>
    <t>FS2024XT 001839</t>
  </si>
  <si>
    <t>FS2024XT 001840</t>
  </si>
  <si>
    <t>FS2024XT 001841</t>
  </si>
  <si>
    <t>FS2024XT 001842</t>
  </si>
  <si>
    <t>FS2024XT 001843</t>
  </si>
  <si>
    <t>FS2024XT 001844</t>
  </si>
  <si>
    <t>FS2024XT 001845</t>
  </si>
  <si>
    <t>FS2024XT 001846</t>
  </si>
  <si>
    <t>FS2024XT 001847</t>
  </si>
  <si>
    <t>FS2024XT 001848</t>
  </si>
  <si>
    <t>FS2024XT 001849</t>
  </si>
  <si>
    <t>FS2024XT 001850</t>
  </si>
  <si>
    <t>FS2024XT 001851</t>
  </si>
  <si>
    <t>FS2024XT 001852</t>
  </si>
  <si>
    <t>FS2024XT 001853</t>
  </si>
  <si>
    <t>FS2024XT 001854</t>
  </si>
  <si>
    <t>FS2024XT 001855</t>
  </si>
  <si>
    <t>FS2024XT 001856</t>
  </si>
  <si>
    <t>FS2024XT 001857</t>
  </si>
  <si>
    <t>FS2024XT 001858</t>
  </si>
  <si>
    <t>FS2024XT 001859</t>
  </si>
  <si>
    <t>FS2024XT 001860</t>
  </si>
  <si>
    <t>FS2024XT 001861</t>
  </si>
  <si>
    <t>FS2024XT 001862</t>
  </si>
  <si>
    <t>FS2024XT 001863</t>
  </si>
  <si>
    <t>FS2024XT 001864</t>
  </si>
  <si>
    <t>FS2024XT 001865</t>
  </si>
  <si>
    <t>FS2024XT 001866</t>
  </si>
  <si>
    <t>FS2024XT 001867</t>
  </si>
  <si>
    <t>FS2024XT 001868</t>
  </si>
  <si>
    <t>FS2024XT 001869</t>
  </si>
  <si>
    <t>FS2024XT 001870</t>
  </si>
  <si>
    <t>FS2024XT 001871</t>
  </si>
  <si>
    <t>FS2024XT 001872</t>
  </si>
  <si>
    <t>FS2024XT 001873</t>
  </si>
  <si>
    <t>FS2024XT 001874</t>
  </si>
  <si>
    <t>FS2024XT 001875</t>
  </si>
  <si>
    <t>FS2024XT 001876</t>
  </si>
  <si>
    <t>FS2024XT 001877</t>
  </si>
  <si>
    <t>FS2024XT 001878</t>
  </si>
  <si>
    <t>FS2024XT 001879</t>
  </si>
  <si>
    <t>FS2024XT 001880</t>
  </si>
  <si>
    <t>FS2024XT 001881</t>
  </si>
  <si>
    <t>FS2024XT 001882</t>
  </si>
  <si>
    <t>FS2024XT 001883</t>
  </si>
  <si>
    <t>FS2024XT 001884</t>
  </si>
  <si>
    <t>FS2024XT 001885</t>
  </si>
  <si>
    <t>FS2024XT 001886</t>
  </si>
  <si>
    <t>FS2024XT 001887</t>
  </si>
  <si>
    <t>FS2024XT 001888</t>
  </si>
  <si>
    <t>FS2024XT 001889</t>
  </si>
  <si>
    <t>FS2024XT 001890</t>
  </si>
  <si>
    <t>FS2024XT 001891</t>
  </si>
  <si>
    <t>FS2024XT 001892</t>
  </si>
  <si>
    <t>FS2024XT 001893</t>
  </si>
  <si>
    <t>FS2024XT 001894</t>
  </si>
  <si>
    <t>FS2024XT 001895</t>
  </si>
  <si>
    <t>FS2024XT 001896</t>
  </si>
  <si>
    <t>FS2024XT 001897</t>
  </si>
  <si>
    <t>FS2024XT 001898</t>
  </si>
  <si>
    <t>FS2024XT 001899</t>
  </si>
  <si>
    <t>FS2024XT 001900</t>
  </si>
  <si>
    <t>FS2024XT 001901</t>
  </si>
  <si>
    <t>FS2024XT 001902</t>
  </si>
  <si>
    <t>FS2024XT 001903</t>
  </si>
  <si>
    <t>FS2024XT 001904</t>
  </si>
  <si>
    <t>FS2024XT 001905</t>
  </si>
  <si>
    <t>FS2024XT 001906</t>
  </si>
  <si>
    <t>FS2024XT 001907</t>
  </si>
  <si>
    <t>FS2024XT 001908</t>
  </si>
  <si>
    <t>FS2024XT 001909</t>
  </si>
  <si>
    <t>FS2024XT 001910</t>
  </si>
  <si>
    <t>FS2024XT 001911</t>
  </si>
  <si>
    <t>FS2024XT 001912</t>
  </si>
  <si>
    <t>FS2024XT 001913</t>
  </si>
  <si>
    <t>FS2024XT 001914</t>
  </si>
  <si>
    <t>FS2024XT 001915</t>
  </si>
  <si>
    <t>FS2024XT 001916</t>
  </si>
  <si>
    <t>FS2024XT 001917</t>
  </si>
  <si>
    <t>01446/2024</t>
  </si>
  <si>
    <t>01444/2024</t>
  </si>
  <si>
    <t>PACK DESPEDIDAS</t>
  </si>
  <si>
    <t>PACK</t>
  </si>
  <si>
    <t>24-007721</t>
  </si>
  <si>
    <t>168624</t>
  </si>
  <si>
    <t>243622006118</t>
  </si>
  <si>
    <t>BALLENOIL S.A</t>
  </si>
  <si>
    <t>100682</t>
  </si>
  <si>
    <t>286720120183399</t>
  </si>
  <si>
    <t>APPLUS ITEUVE TECHNOLOGY S.L</t>
  </si>
  <si>
    <t>ITV LIMUSINAS</t>
  </si>
  <si>
    <t>043730024/00014594</t>
  </si>
  <si>
    <t>004520024/00005536</t>
  </si>
  <si>
    <t>CIA ESPANOLA DIST.PETROLEOS S.A</t>
  </si>
  <si>
    <t>243622006274</t>
  </si>
  <si>
    <t>243622006284</t>
  </si>
  <si>
    <t>01462/2024</t>
  </si>
  <si>
    <t>01358/2024</t>
  </si>
  <si>
    <t>01448/2024</t>
  </si>
  <si>
    <t>01470/2024</t>
  </si>
  <si>
    <t>01373/2024</t>
  </si>
  <si>
    <t>01437/2024</t>
  </si>
  <si>
    <t>01441/2024</t>
  </si>
  <si>
    <t>01395/2024</t>
  </si>
  <si>
    <t>01471/2024</t>
  </si>
  <si>
    <t>01219/2024</t>
  </si>
  <si>
    <t>01394/2024</t>
  </si>
  <si>
    <t>01400/2024</t>
  </si>
  <si>
    <t>014085/2024</t>
  </si>
  <si>
    <t>01277/2024</t>
  </si>
  <si>
    <t>01460/2024</t>
  </si>
  <si>
    <t>01458/2024</t>
  </si>
  <si>
    <t>01459/2024</t>
  </si>
  <si>
    <t>01447/2024</t>
  </si>
  <si>
    <t>01464/2024</t>
  </si>
  <si>
    <t>01362/2024</t>
  </si>
  <si>
    <t>COLB.LA SUEGRA</t>
  </si>
  <si>
    <t>01457/2024</t>
  </si>
  <si>
    <t>01345/2024</t>
  </si>
  <si>
    <t>01397/2024</t>
  </si>
  <si>
    <t>01420/2024</t>
  </si>
  <si>
    <t>01454/2024</t>
  </si>
  <si>
    <t>01303/2024</t>
  </si>
  <si>
    <t>01461/2024</t>
  </si>
  <si>
    <t>01449/2024</t>
  </si>
  <si>
    <t>01434/2024</t>
  </si>
  <si>
    <t>01476/2024</t>
  </si>
  <si>
    <t>LABORATORIOS LEO-PHARMA, SA</t>
  </si>
  <si>
    <t>SERVICIO TRALADO 18/12/2024</t>
  </si>
  <si>
    <t>A 58549585</t>
  </si>
  <si>
    <t>01385/2024</t>
  </si>
  <si>
    <t>1474/2024</t>
  </si>
  <si>
    <t>01469/2024</t>
  </si>
  <si>
    <t>01343/2024</t>
  </si>
  <si>
    <t>01412/2024</t>
  </si>
  <si>
    <t>01284/2024</t>
  </si>
  <si>
    <t>01492/2024</t>
  </si>
  <si>
    <t>01491/2024</t>
  </si>
  <si>
    <t>01477/2024</t>
  </si>
  <si>
    <t>01493/2024</t>
  </si>
  <si>
    <t>01433/2024</t>
  </si>
  <si>
    <t>01285/2024</t>
  </si>
  <si>
    <t>01290/2024</t>
  </si>
  <si>
    <t>PACK BOTELLA +CENA</t>
  </si>
  <si>
    <t>01497/2024</t>
  </si>
  <si>
    <t>01478/2024</t>
  </si>
  <si>
    <t>01465/2024</t>
  </si>
  <si>
    <t>01435/2024</t>
  </si>
  <si>
    <t>01466/2024</t>
  </si>
  <si>
    <t>01401/2024</t>
  </si>
  <si>
    <t>01487/2024</t>
  </si>
  <si>
    <t>01500/2024</t>
  </si>
  <si>
    <t>01455/2024</t>
  </si>
  <si>
    <t>REPUESTOS MIGUEL SL</t>
  </si>
  <si>
    <t>043730424/00183517</t>
  </si>
  <si>
    <t>096510/A/24/001983</t>
  </si>
  <si>
    <t>004520424</t>
  </si>
  <si>
    <t>512,003832</t>
  </si>
  <si>
    <t>3611-018-989591</t>
  </si>
  <si>
    <t xml:space="preserve">SUMINISTROS </t>
  </si>
  <si>
    <t>512.003838</t>
  </si>
  <si>
    <t>512.003839</t>
  </si>
  <si>
    <t>24/14997</t>
  </si>
  <si>
    <t>ESON IMPORT EXPOT S.L</t>
  </si>
  <si>
    <t>191/1901309341</t>
  </si>
  <si>
    <t>MEGINO,S.L</t>
  </si>
  <si>
    <t>24015634</t>
  </si>
  <si>
    <t>183279</t>
  </si>
  <si>
    <t>SERVICIOS DIEZ S.L</t>
  </si>
  <si>
    <t>B78402328</t>
  </si>
  <si>
    <t>FV-24-1001978-10</t>
  </si>
  <si>
    <t>ARANICE 22 SLU</t>
  </si>
  <si>
    <t>243622005764</t>
  </si>
  <si>
    <t>161866</t>
  </si>
  <si>
    <t>243622005165</t>
  </si>
  <si>
    <t>01502/2024</t>
  </si>
  <si>
    <t>01490/2024</t>
  </si>
  <si>
    <t>01503/2024</t>
  </si>
  <si>
    <t>01508/2024</t>
  </si>
  <si>
    <t>01512/2024</t>
  </si>
  <si>
    <t>COLB. DAVID</t>
  </si>
  <si>
    <t>01505/2024</t>
  </si>
  <si>
    <t>01479/2024</t>
  </si>
  <si>
    <t>01410/2024</t>
  </si>
  <si>
    <t>01438/2024</t>
  </si>
  <si>
    <t>01411/2024</t>
  </si>
  <si>
    <t>01178/2024</t>
  </si>
  <si>
    <t>01450/2024</t>
  </si>
  <si>
    <t>01468/2024</t>
  </si>
  <si>
    <t>01429/2024</t>
  </si>
  <si>
    <t>01788/2024</t>
  </si>
  <si>
    <t>01423/2024</t>
  </si>
  <si>
    <t>01390/2024</t>
  </si>
  <si>
    <t>01463/2024</t>
  </si>
  <si>
    <t>01275/2024</t>
  </si>
  <si>
    <t>01228/2024</t>
  </si>
  <si>
    <t>01501/2024</t>
  </si>
  <si>
    <t>01483/2024</t>
  </si>
  <si>
    <t>01415/2024</t>
  </si>
  <si>
    <t>01481/2024</t>
  </si>
  <si>
    <t>01506/2024</t>
  </si>
  <si>
    <t>01509/2024</t>
  </si>
  <si>
    <t>01517/2024</t>
  </si>
  <si>
    <t>096697/A/24/001788</t>
  </si>
  <si>
    <t>096670/A/24/010087</t>
  </si>
  <si>
    <t>243622006732</t>
  </si>
  <si>
    <t>004520024/00004882</t>
  </si>
  <si>
    <t>01524/2024</t>
  </si>
  <si>
    <t>01504/2024</t>
  </si>
  <si>
    <t>01430/2024</t>
  </si>
  <si>
    <t>01510/2024</t>
  </si>
  <si>
    <t>01413/2024</t>
  </si>
  <si>
    <t>suplmento navidad+hotel</t>
  </si>
  <si>
    <t>01361/2024</t>
  </si>
  <si>
    <t>01482/2024</t>
  </si>
  <si>
    <t>1522/2024</t>
  </si>
  <si>
    <t>01528/2024</t>
  </si>
  <si>
    <t>01480/2024</t>
  </si>
  <si>
    <t>01498/2024</t>
  </si>
  <si>
    <t>01484/2024</t>
  </si>
  <si>
    <t>01515/2024</t>
  </si>
  <si>
    <t>01486/2024</t>
  </si>
  <si>
    <t>01514/2024</t>
  </si>
  <si>
    <t>01525/2024</t>
  </si>
  <si>
    <t>01535/2024</t>
  </si>
  <si>
    <t>CAVA  ( OCTUBRE)</t>
  </si>
  <si>
    <t>159-858</t>
  </si>
  <si>
    <t>202780742361</t>
  </si>
  <si>
    <t>202780649851</t>
  </si>
  <si>
    <t>202780794483</t>
  </si>
  <si>
    <t>202780822482</t>
  </si>
  <si>
    <t>202780822483</t>
  </si>
  <si>
    <t>202780854584</t>
  </si>
  <si>
    <t>LUZ   C/ ASTURIAS</t>
  </si>
  <si>
    <t>LUZ   C/ CORMORANES</t>
  </si>
  <si>
    <t>GAS C/ ASTURIAS</t>
  </si>
  <si>
    <t>F24ES-02345032</t>
  </si>
  <si>
    <t>F24ES-02377812</t>
  </si>
  <si>
    <t>G24ES-00347245</t>
  </si>
  <si>
    <t>BIPI24-0055428</t>
  </si>
  <si>
    <t>78413871</t>
  </si>
  <si>
    <t>FMPVAJH0035075</t>
  </si>
  <si>
    <t>MMPVAJH0019740</t>
  </si>
  <si>
    <t>202780962045</t>
  </si>
  <si>
    <t>3202781052788</t>
  </si>
  <si>
    <t>202781104641</t>
  </si>
  <si>
    <t>202781131927</t>
  </si>
  <si>
    <t>202781131926</t>
  </si>
  <si>
    <t>202781164511</t>
  </si>
  <si>
    <t>FMPVAKH0034121</t>
  </si>
  <si>
    <t>MMPVAKH0031391</t>
  </si>
  <si>
    <t>SIN IVA</t>
  </si>
  <si>
    <t>78414874</t>
  </si>
  <si>
    <t>BIPÌ24-0063727</t>
  </si>
  <si>
    <t>202781269989</t>
  </si>
  <si>
    <t>202781359958</t>
  </si>
  <si>
    <t>202781411141</t>
  </si>
  <si>
    <t>202781439319</t>
  </si>
  <si>
    <t>202781439320</t>
  </si>
  <si>
    <t>202781472781</t>
  </si>
  <si>
    <t>F24ES-02858155</t>
  </si>
  <si>
    <t>F24-ES-02927997</t>
  </si>
  <si>
    <t>G24ES-00423744</t>
  </si>
  <si>
    <t>FMPVALH0032789</t>
  </si>
  <si>
    <t>MMPVALH0020763</t>
  </si>
  <si>
    <t>2400617</t>
  </si>
  <si>
    <t>AUTOBIKE FACTORY S.L.</t>
  </si>
  <si>
    <t>GLP LIMUSINA</t>
  </si>
  <si>
    <t>043840424/00167362</t>
  </si>
  <si>
    <t>033199/A/24/009101</t>
  </si>
  <si>
    <t>REPSOL COMERCIAL DE PRODUCTOS PETROLIFEROS,S.L</t>
  </si>
  <si>
    <t>2024-724-101076888</t>
  </si>
  <si>
    <t>043730424/00170082</t>
  </si>
  <si>
    <t>243622093051</t>
  </si>
  <si>
    <t>004520024/00005333</t>
  </si>
  <si>
    <t>004520424/00115850</t>
  </si>
  <si>
    <t>004520424/00115979</t>
  </si>
  <si>
    <t>004520424/00117998</t>
  </si>
  <si>
    <t>2024-724-101181816</t>
  </si>
  <si>
    <t>190297</t>
  </si>
  <si>
    <t>034377/A/24/006484</t>
  </si>
  <si>
    <t>01724FI017000000109</t>
  </si>
  <si>
    <t>00/097138</t>
  </si>
  <si>
    <t>ANTILLA HOSTELERIA Y SERVICIOS S.L</t>
  </si>
  <si>
    <t>B39849773</t>
  </si>
  <si>
    <t>RESTAURANTE CLIENTES</t>
  </si>
  <si>
    <t>24362206741</t>
  </si>
  <si>
    <t>EFECTIVO?</t>
  </si>
  <si>
    <t>FS011001042024233117</t>
  </si>
  <si>
    <t>ALDI PINTO SUPERMERCADOS, S.LU</t>
  </si>
  <si>
    <t>B84160233</t>
  </si>
  <si>
    <t>1944832</t>
  </si>
  <si>
    <t>196632</t>
  </si>
  <si>
    <t>01530/2024</t>
  </si>
  <si>
    <t>01529/2024</t>
  </si>
  <si>
    <t>01519/2024</t>
  </si>
  <si>
    <t>01521/2024</t>
  </si>
  <si>
    <t>Purever Coldkit España</t>
  </si>
  <si>
    <t>SERVICIO 03/01/2025</t>
  </si>
  <si>
    <t>B82936162</t>
  </si>
  <si>
    <t>FI0018010</t>
  </si>
  <si>
    <t>E.S. VINHOLAN SA</t>
  </si>
  <si>
    <t>A13118708</t>
  </si>
  <si>
    <t>243622006897</t>
  </si>
  <si>
    <t>ºº</t>
  </si>
  <si>
    <t>240007717036</t>
  </si>
  <si>
    <t>domiciliación</t>
  </si>
  <si>
    <t>2400077029</t>
  </si>
  <si>
    <t>2758</t>
  </si>
  <si>
    <t>TRANSFERENCIA ( ENERO)</t>
  </si>
  <si>
    <t>102086</t>
  </si>
  <si>
    <t>333-2024</t>
  </si>
  <si>
    <t>APARTAMENTOS ONZAMAR, S.L</t>
  </si>
  <si>
    <t>B94129764</t>
  </si>
  <si>
    <t>RESERVA CLIENTES</t>
  </si>
  <si>
    <t>TRANSFERENCIA ( VARIAS)</t>
  </si>
  <si>
    <t>31/11/2024</t>
  </si>
  <si>
    <t>11/2024</t>
  </si>
  <si>
    <t>TRANSFERENCIA (VARIAS)</t>
  </si>
  <si>
    <t>13/2024</t>
  </si>
  <si>
    <t>12/2024</t>
  </si>
  <si>
    <t>14/2024</t>
  </si>
  <si>
    <t>63/2024</t>
  </si>
  <si>
    <t>286720120184185</t>
  </si>
  <si>
    <t>TASAS</t>
  </si>
  <si>
    <t>243622006766</t>
  </si>
  <si>
    <t>24-008818</t>
  </si>
  <si>
    <t>B-80777618</t>
  </si>
  <si>
    <t>FV-24-1001911-10</t>
  </si>
  <si>
    <t>E91777</t>
  </si>
  <si>
    <t>DOLORES FERNANDEZ E HIJOS S.L</t>
  </si>
  <si>
    <t>B36935831</t>
  </si>
  <si>
    <t>24-008417</t>
  </si>
  <si>
    <t>FV-24-1001472-08</t>
  </si>
  <si>
    <t>2400538</t>
  </si>
  <si>
    <t>AUTOBIKE FACTORY S.L</t>
  </si>
  <si>
    <t>CURSO FORMACIÓN</t>
  </si>
  <si>
    <t>035950024/00004817</t>
  </si>
  <si>
    <t>601351903</t>
  </si>
  <si>
    <t>286720120177068</t>
  </si>
  <si>
    <t>APPLUS ITEUVE TECHNOLOGY  SLU</t>
  </si>
  <si>
    <t>LEX CASTELLANA INVERSIONES</t>
  </si>
  <si>
    <t>ABOGADO - ( ANTONIO)</t>
  </si>
  <si>
    <t>2 / 2024</t>
  </si>
  <si>
    <t xml:space="preserve">EFECTIVO </t>
  </si>
  <si>
    <t xml:space="preserve"> ( PAGOS FRACCIONADOS)</t>
  </si>
  <si>
    <t>2024-724-101282400</t>
  </si>
  <si>
    <t>EFECTIVOS ( PAGOS  ALBAREANES MENSUALES)</t>
  </si>
  <si>
    <t>004520424/00120407</t>
  </si>
  <si>
    <t>004520424/00121370</t>
  </si>
  <si>
    <t>004520024/00005771</t>
  </si>
  <si>
    <t>004520424/00126890</t>
  </si>
  <si>
    <t>037907424/00144312</t>
  </si>
  <si>
    <t>004520424/00127235</t>
  </si>
  <si>
    <t>043730424/00195710</t>
  </si>
  <si>
    <t>SIN NUMERACIÓN</t>
  </si>
  <si>
    <t>RESTAURANTE LEUCIOÑA</t>
  </si>
  <si>
    <t>RESTAURANTE EL RINCON DE LUIS</t>
  </si>
  <si>
    <t>TRANSFERENCIAS VARIAS</t>
  </si>
  <si>
    <t>FINANCIAL SERVICES ESPAÑA EFC., SA</t>
  </si>
  <si>
    <t>CMS3942183</t>
  </si>
  <si>
    <t>A78510260</t>
  </si>
  <si>
    <t xml:space="preserve">COMISIÓN APERTURA </t>
  </si>
  <si>
    <t>CMS3943125</t>
  </si>
  <si>
    <t>PRIMERA CUOTA</t>
  </si>
  <si>
    <t>PAGO ENTRADA</t>
  </si>
  <si>
    <t>CMS3943126</t>
  </si>
  <si>
    <t>DS-AEU-INV-ES-2024-27367093</t>
  </si>
  <si>
    <t>AMAZON EU S.a.r. L.</t>
  </si>
  <si>
    <t>DS-AEU-INV-ES-2024-32204289</t>
  </si>
  <si>
    <t>DS-AEU-INV-ES-2024-32220574</t>
  </si>
  <si>
    <t>DS-AEU-INV-ES-2024-32925724</t>
  </si>
  <si>
    <t>DS-AEU-INV-ES-2024-34389973</t>
  </si>
  <si>
    <t>SIM-INV-ES-2024-31788</t>
  </si>
  <si>
    <t>VIDEO OCA SL</t>
  </si>
  <si>
    <t>B61277505</t>
  </si>
  <si>
    <t>402-2569361-3621102</t>
  </si>
  <si>
    <t>LA MAISON CHIC 2011 SRL</t>
  </si>
  <si>
    <t>N0058244E</t>
  </si>
  <si>
    <t>INCLUIDO VAT.</t>
  </si>
  <si>
    <t>DS-AEU-INV-ES-2024-38321377</t>
  </si>
  <si>
    <t>DS-AEU-INV-ES-2024-41174974</t>
  </si>
  <si>
    <t>ES41Y8C7MAEUS</t>
  </si>
  <si>
    <t>W0184081H</t>
  </si>
  <si>
    <t>SIM-INV-ES-503882595-2024-65297</t>
  </si>
  <si>
    <t>PAPELERIA SOMAR, S.L</t>
  </si>
  <si>
    <t>B13634696</t>
  </si>
  <si>
    <t>AMAZON EU S.a.r. L. sucursal en España</t>
  </si>
  <si>
    <t>ES41T4BNNAEUS</t>
  </si>
  <si>
    <t>TAJETA</t>
  </si>
  <si>
    <t>ES41T2PIEAEUS</t>
  </si>
  <si>
    <t>INV2411280217</t>
  </si>
  <si>
    <t>Dingcai Trade Kf</t>
  </si>
  <si>
    <t>HU32392807</t>
  </si>
  <si>
    <t>ES41QYI2IAEUS</t>
  </si>
  <si>
    <t>INV2411290380</t>
  </si>
  <si>
    <t>MAGRI MASSIMILIANO IGNAZIO</t>
  </si>
  <si>
    <t>varios</t>
  </si>
  <si>
    <t>DS-AEU-INV-ES-2024-3827308</t>
  </si>
  <si>
    <t>DS-AEU-INV-ES-2024-38273084</t>
  </si>
  <si>
    <t>DS-AEU-INV-ES-2024-31093639</t>
  </si>
  <si>
    <t>DS-AEU-INV-ES-2024-30911832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</si>
</sst>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&quot; &quot;#,##0.00&quot; &quot;[$€-C0A]&quot; &quot;;&quot;-&quot;#,##0.00&quot; &quot;[$€-C0A]&quot; &quot;;&quot; -&quot;00&quot; &quot;[$€-C0A]&quot; &quot;;&quot; &quot;@&quot; &quot;"/>
    <numFmt numFmtId="165" formatCode="#,##0.00&quot; &quot;[$€-C0A];[Red]&quot;-&quot;#,##0.00&quot; &quot;[$€-C0A]"/>
    <numFmt numFmtId="166" formatCode="#,##0&quot; &quot;[$€-C0A];[Red]&quot;-&quot;#,##0&quot; &quot;[$€-C0A]"/>
    <numFmt numFmtId="167" formatCode="#,##0.00\ _€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3">
    <xf numFmtId="0" fontId="0" fillId="0" borderId="0" xfId="0"/>
    <xf numFmtId="17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4" fontId="4" fillId="0" borderId="1" xfId="1" applyFont="1" applyFill="1" applyBorder="1" applyAlignment="1">
      <alignment horizontal="center" vertical="center" wrapText="1"/>
    </xf>
    <xf numFmtId="44" fontId="4" fillId="0" borderId="2" xfId="1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right" vertical="center" wrapText="1"/>
    </xf>
    <xf numFmtId="49" fontId="0" fillId="0" borderId="1" xfId="0" applyNumberFormat="1" applyBorder="1" applyAlignment="1">
      <alignment horizontal="right" wrapText="1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left"/>
    </xf>
    <xf numFmtId="44" fontId="1" fillId="0" borderId="6" xfId="1" applyFill="1" applyBorder="1"/>
    <xf numFmtId="44" fontId="1" fillId="0" borderId="3" xfId="1" applyFill="1" applyBorder="1"/>
    <xf numFmtId="14" fontId="0" fillId="0" borderId="7" xfId="0" applyNumberFormat="1" applyBorder="1" applyAlignment="1">
      <alignment horizontal="right" vertical="center" wrapText="1"/>
    </xf>
    <xf numFmtId="49" fontId="0" fillId="0" borderId="6" xfId="0" applyNumberFormat="1" applyBorder="1" applyAlignment="1">
      <alignment horizontal="right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/>
    </xf>
    <xf numFmtId="44" fontId="1" fillId="0" borderId="7" xfId="1" applyFill="1" applyBorder="1"/>
    <xf numFmtId="44" fontId="1" fillId="0" borderId="8" xfId="1" applyFill="1" applyBorder="1"/>
    <xf numFmtId="14" fontId="4" fillId="0" borderId="1" xfId="0" applyNumberFormat="1" applyFont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right" wrapText="1"/>
    </xf>
    <xf numFmtId="0" fontId="0" fillId="0" borderId="6" xfId="0" applyBorder="1"/>
    <xf numFmtId="49" fontId="0" fillId="0" borderId="7" xfId="0" applyNumberFormat="1" applyBorder="1" applyAlignment="1">
      <alignment horizontal="right"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44" fontId="1" fillId="0" borderId="7" xfId="1" applyBorder="1"/>
    <xf numFmtId="44" fontId="1" fillId="0" borderId="8" xfId="1" applyBorder="1"/>
    <xf numFmtId="0" fontId="4" fillId="0" borderId="0" xfId="0" applyFont="1" applyAlignment="1">
      <alignment horizontal="left" vertical="center" wrapText="1"/>
    </xf>
    <xf numFmtId="14" fontId="0" fillId="0" borderId="7" xfId="0" applyNumberFormat="1" applyBorder="1"/>
    <xf numFmtId="49" fontId="0" fillId="0" borderId="7" xfId="0" applyNumberForma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7" xfId="0" applyBorder="1"/>
    <xf numFmtId="14" fontId="0" fillId="0" borderId="7" xfId="0" applyNumberFormat="1" applyBorder="1" applyAlignment="1">
      <alignment horizontal="right"/>
    </xf>
    <xf numFmtId="14" fontId="0" fillId="0" borderId="0" xfId="0" applyNumberFormat="1"/>
    <xf numFmtId="0" fontId="0" fillId="0" borderId="7" xfId="0" applyBorder="1" applyAlignment="1">
      <alignment horizontal="center" vertical="center"/>
    </xf>
    <xf numFmtId="164" fontId="0" fillId="0" borderId="7" xfId="0" applyNumberFormat="1" applyBorder="1"/>
    <xf numFmtId="44" fontId="0" fillId="0" borderId="7" xfId="0" applyNumberFormat="1" applyBorder="1"/>
    <xf numFmtId="164" fontId="0" fillId="0" borderId="8" xfId="0" applyNumberFormat="1" applyBorder="1"/>
    <xf numFmtId="164" fontId="0" fillId="0" borderId="1" xfId="0" applyNumberFormat="1" applyBorder="1"/>
    <xf numFmtId="0" fontId="3" fillId="0" borderId="11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49" fontId="0" fillId="0" borderId="8" xfId="0" applyNumberFormat="1" applyBorder="1"/>
    <xf numFmtId="0" fontId="0" fillId="0" borderId="9" xfId="0" applyBorder="1"/>
    <xf numFmtId="44" fontId="1" fillId="0" borderId="1" xfId="1" applyBorder="1"/>
    <xf numFmtId="0" fontId="0" fillId="0" borderId="8" xfId="0" applyBorder="1"/>
    <xf numFmtId="0" fontId="5" fillId="0" borderId="14" xfId="0" applyFont="1" applyBorder="1"/>
    <xf numFmtId="0" fontId="0" fillId="0" borderId="14" xfId="0" applyBorder="1"/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/>
    <xf numFmtId="44" fontId="5" fillId="0" borderId="1" xfId="1" applyFont="1" applyBorder="1"/>
    <xf numFmtId="165" fontId="5" fillId="0" borderId="1" xfId="0" applyNumberFormat="1" applyFont="1" applyBorder="1" applyAlignment="1">
      <alignment horizontal="right" vertical="center"/>
    </xf>
    <xf numFmtId="165" fontId="5" fillId="0" borderId="1" xfId="1" applyNumberFormat="1" applyFont="1" applyBorder="1"/>
    <xf numFmtId="49" fontId="5" fillId="0" borderId="1" xfId="1" applyNumberFormat="1" applyFont="1" applyBorder="1"/>
    <xf numFmtId="44" fontId="1" fillId="0" borderId="9" xfId="1" applyBorder="1"/>
    <xf numFmtId="164" fontId="5" fillId="0" borderId="1" xfId="0" applyNumberFormat="1" applyFont="1" applyBorder="1" applyAlignment="1">
      <alignment horizontal="right" vertical="center"/>
    </xf>
    <xf numFmtId="44" fontId="0" fillId="0" borderId="7" xfId="1" applyFont="1" applyBorder="1"/>
    <xf numFmtId="8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44" fontId="2" fillId="0" borderId="9" xfId="1" applyFont="1" applyBorder="1"/>
    <xf numFmtId="44" fontId="5" fillId="0" borderId="1" xfId="1" applyFont="1" applyBorder="1" applyAlignment="1">
      <alignment vertical="center" wrapText="1"/>
    </xf>
    <xf numFmtId="166" fontId="1" fillId="0" borderId="9" xfId="1" applyNumberFormat="1" applyBorder="1"/>
    <xf numFmtId="166" fontId="1" fillId="0" borderId="7" xfId="1" applyNumberFormat="1" applyBorder="1"/>
    <xf numFmtId="6" fontId="5" fillId="0" borderId="1" xfId="1" applyNumberFormat="1" applyFont="1" applyBorder="1"/>
    <xf numFmtId="14" fontId="5" fillId="0" borderId="1" xfId="0" applyNumberFormat="1" applyFont="1" applyBorder="1"/>
    <xf numFmtId="14" fontId="5" fillId="0" borderId="1" xfId="0" applyNumberFormat="1" applyFont="1" applyBorder="1" applyAlignment="1">
      <alignment horizontal="left" vertical="center" wrapText="1"/>
    </xf>
    <xf numFmtId="44" fontId="5" fillId="0" borderId="1" xfId="1" applyFont="1" applyBorder="1" applyAlignment="1">
      <alignment horizontal="right"/>
    </xf>
    <xf numFmtId="14" fontId="0" fillId="0" borderId="0" xfId="0" applyNumberFormat="1" applyAlignment="1">
      <alignment horizontal="left"/>
    </xf>
    <xf numFmtId="49" fontId="0" fillId="0" borderId="1" xfId="1" applyNumberFormat="1" applyFont="1" applyBorder="1"/>
    <xf numFmtId="44" fontId="0" fillId="0" borderId="1" xfId="1" applyFont="1" applyBorder="1"/>
    <xf numFmtId="14" fontId="5" fillId="0" borderId="1" xfId="1" applyNumberFormat="1" applyFont="1" applyBorder="1" applyAlignment="1">
      <alignment horizontal="left"/>
    </xf>
    <xf numFmtId="166" fontId="5" fillId="0" borderId="1" xfId="0" applyNumberFormat="1" applyFont="1" applyBorder="1"/>
    <xf numFmtId="8" fontId="5" fillId="0" borderId="15" xfId="0" applyNumberFormat="1" applyFont="1" applyBorder="1" applyAlignment="1">
      <alignment vertical="center" wrapText="1"/>
    </xf>
    <xf numFmtId="44" fontId="5" fillId="0" borderId="15" xfId="1" applyFont="1" applyBorder="1"/>
    <xf numFmtId="166" fontId="5" fillId="0" borderId="15" xfId="0" applyNumberFormat="1" applyFont="1" applyBorder="1"/>
    <xf numFmtId="0" fontId="5" fillId="0" borderId="15" xfId="0" applyFont="1" applyBorder="1"/>
    <xf numFmtId="44" fontId="1" fillId="0" borderId="16" xfId="1" applyBorder="1"/>
    <xf numFmtId="44" fontId="1" fillId="0" borderId="14" xfId="1" applyBorder="1"/>
    <xf numFmtId="8" fontId="0" fillId="0" borderId="1" xfId="0" applyNumberFormat="1" applyBorder="1" applyAlignment="1">
      <alignment vertical="center" wrapText="1"/>
    </xf>
    <xf numFmtId="166" fontId="0" fillId="0" borderId="1" xfId="0" applyNumberFormat="1" applyBorder="1"/>
    <xf numFmtId="14" fontId="0" fillId="0" borderId="1" xfId="0" applyNumberFormat="1" applyBorder="1"/>
    <xf numFmtId="6" fontId="1" fillId="0" borderId="1" xfId="1" applyNumberFormat="1" applyBorder="1"/>
    <xf numFmtId="8" fontId="0" fillId="0" borderId="15" xfId="0" applyNumberFormat="1" applyBorder="1" applyAlignment="1">
      <alignment vertical="center" wrapText="1"/>
    </xf>
    <xf numFmtId="44" fontId="5" fillId="0" borderId="15" xfId="1" applyFont="1" applyFill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44" fontId="1" fillId="0" borderId="15" xfId="1" applyBorder="1"/>
    <xf numFmtId="166" fontId="0" fillId="0" borderId="15" xfId="0" applyNumberFormat="1" applyBorder="1"/>
    <xf numFmtId="0" fontId="0" fillId="0" borderId="15" xfId="0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left" vertical="center"/>
    </xf>
    <xf numFmtId="44" fontId="0" fillId="0" borderId="1" xfId="1" applyFont="1" applyBorder="1" applyAlignment="1">
      <alignment horizontal="right" vertical="center"/>
    </xf>
    <xf numFmtId="44" fontId="1" fillId="0" borderId="1" xfId="1" applyFill="1" applyBorder="1"/>
    <xf numFmtId="0" fontId="5" fillId="0" borderId="17" xfId="0" applyFont="1" applyBorder="1"/>
    <xf numFmtId="14" fontId="0" fillId="0" borderId="1" xfId="0" applyNumberFormat="1" applyBorder="1" applyAlignment="1">
      <alignment horizontal="left" vertical="center" wrapText="1"/>
    </xf>
    <xf numFmtId="14" fontId="0" fillId="0" borderId="14" xfId="0" applyNumberFormat="1" applyBorder="1"/>
    <xf numFmtId="0" fontId="0" fillId="0" borderId="14" xfId="0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left"/>
    </xf>
    <xf numFmtId="14" fontId="0" fillId="0" borderId="6" xfId="0" applyNumberFormat="1" applyBorder="1"/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/>
    </xf>
    <xf numFmtId="49" fontId="0" fillId="0" borderId="10" xfId="0" applyNumberFormat="1" applyBorder="1" applyAlignment="1">
      <alignment horizontal="right"/>
    </xf>
    <xf numFmtId="14" fontId="1" fillId="0" borderId="1" xfId="1" applyNumberFormat="1" applyBorder="1" applyAlignment="1">
      <alignment horizontal="left"/>
    </xf>
    <xf numFmtId="49" fontId="5" fillId="3" borderId="1" xfId="1" applyNumberFormat="1" applyFont="1" applyFill="1" applyBorder="1"/>
    <xf numFmtId="0" fontId="5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4" borderId="1" xfId="0" applyFont="1" applyFill="1" applyBorder="1"/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13" fontId="5" fillId="0" borderId="1" xfId="0" applyNumberFormat="1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44" fontId="1" fillId="2" borderId="1" xfId="1" applyFill="1" applyBorder="1"/>
    <xf numFmtId="0" fontId="0" fillId="6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14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/>
    </xf>
    <xf numFmtId="44" fontId="0" fillId="2" borderId="1" xfId="1" applyFont="1" applyFill="1" applyBorder="1"/>
    <xf numFmtId="0" fontId="0" fillId="4" borderId="1" xfId="0" applyFill="1" applyBorder="1"/>
    <xf numFmtId="0" fontId="0" fillId="11" borderId="1" xfId="0" applyFill="1" applyBorder="1"/>
    <xf numFmtId="44" fontId="0" fillId="12" borderId="1" xfId="1" applyFont="1" applyFill="1" applyBorder="1"/>
    <xf numFmtId="49" fontId="5" fillId="0" borderId="1" xfId="1" applyNumberFormat="1" applyFont="1" applyFill="1" applyBorder="1"/>
    <xf numFmtId="44" fontId="5" fillId="0" borderId="1" xfId="1" applyFont="1" applyFill="1" applyBorder="1"/>
    <xf numFmtId="44" fontId="1" fillId="0" borderId="9" xfId="1" applyFill="1" applyBorder="1"/>
    <xf numFmtId="44" fontId="0" fillId="0" borderId="7" xfId="1" applyFont="1" applyFill="1" applyBorder="1"/>
    <xf numFmtId="44" fontId="2" fillId="0" borderId="9" xfId="1" applyFont="1" applyFill="1" applyBorder="1"/>
    <xf numFmtId="166" fontId="1" fillId="0" borderId="9" xfId="1" applyNumberFormat="1" applyFill="1" applyBorder="1"/>
    <xf numFmtId="166" fontId="1" fillId="0" borderId="7" xfId="1" applyNumberFormat="1" applyFill="1" applyBorder="1"/>
    <xf numFmtId="6" fontId="5" fillId="0" borderId="1" xfId="1" applyNumberFormat="1" applyFont="1" applyFill="1" applyBorder="1"/>
    <xf numFmtId="44" fontId="5" fillId="0" borderId="1" xfId="1" applyFont="1" applyFill="1" applyBorder="1" applyAlignment="1">
      <alignment horizontal="right"/>
    </xf>
    <xf numFmtId="49" fontId="0" fillId="0" borderId="1" xfId="1" applyNumberFormat="1" applyFont="1" applyFill="1" applyBorder="1"/>
    <xf numFmtId="44" fontId="0" fillId="0" borderId="1" xfId="1" applyFont="1" applyFill="1" applyBorder="1"/>
    <xf numFmtId="44" fontId="5" fillId="0" borderId="15" xfId="1" applyFont="1" applyFill="1" applyBorder="1"/>
    <xf numFmtId="44" fontId="1" fillId="0" borderId="16" xfId="1" applyFill="1" applyBorder="1"/>
    <xf numFmtId="44" fontId="1" fillId="0" borderId="14" xfId="1" applyFill="1" applyBorder="1"/>
    <xf numFmtId="6" fontId="1" fillId="0" borderId="1" xfId="1" applyNumberFormat="1" applyFill="1" applyBorder="1"/>
    <xf numFmtId="44" fontId="1" fillId="0" borderId="15" xfId="1" applyFill="1" applyBorder="1"/>
    <xf numFmtId="0" fontId="4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7" xfId="0" applyBorder="1" applyAlignment="1">
      <alignment horizontal="right" vertical="center"/>
    </xf>
    <xf numFmtId="14" fontId="0" fillId="0" borderId="7" xfId="0" applyNumberFormat="1" applyBorder="1" applyAlignment="1">
      <alignment horizontal="center"/>
    </xf>
    <xf numFmtId="49" fontId="0" fillId="0" borderId="14" xfId="0" applyNumberFormat="1" applyBorder="1" applyAlignment="1">
      <alignment horizontal="right"/>
    </xf>
    <xf numFmtId="8" fontId="0" fillId="0" borderId="18" xfId="0" applyNumberFormat="1" applyBorder="1" applyAlignment="1">
      <alignment vertical="center" wrapText="1"/>
    </xf>
    <xf numFmtId="14" fontId="0" fillId="0" borderId="1" xfId="0" applyNumberFormat="1" applyBorder="1" applyAlignment="1">
      <alignment horizontal="left"/>
    </xf>
    <xf numFmtId="44" fontId="0" fillId="0" borderId="1" xfId="0" applyNumberFormat="1" applyBorder="1"/>
    <xf numFmtId="0" fontId="0" fillId="0" borderId="3" xfId="0" applyBorder="1"/>
    <xf numFmtId="0" fontId="0" fillId="0" borderId="16" xfId="0" applyBorder="1"/>
    <xf numFmtId="49" fontId="0" fillId="0" borderId="7" xfId="0" applyNumberFormat="1" applyBorder="1"/>
    <xf numFmtId="44" fontId="0" fillId="0" borderId="8" xfId="0" applyNumberFormat="1" applyBorder="1"/>
    <xf numFmtId="14" fontId="0" fillId="0" borderId="7" xfId="0" applyNumberFormat="1" applyBorder="1" applyAlignment="1">
      <alignment horizontal="left"/>
    </xf>
    <xf numFmtId="44" fontId="0" fillId="0" borderId="0" xfId="1" applyFont="1"/>
    <xf numFmtId="14" fontId="0" fillId="2" borderId="7" xfId="0" applyNumberFormat="1" applyFill="1" applyBorder="1"/>
    <xf numFmtId="49" fontId="0" fillId="2" borderId="7" xfId="0" applyNumberFormat="1" applyFill="1" applyBorder="1" applyAlignment="1">
      <alignment horizontal="right"/>
    </xf>
    <xf numFmtId="0" fontId="0" fillId="2" borderId="7" xfId="0" applyFill="1" applyBorder="1" applyAlignment="1">
      <alignment horizontal="center"/>
    </xf>
    <xf numFmtId="0" fontId="0" fillId="2" borderId="7" xfId="0" applyFill="1" applyBorder="1" applyAlignment="1">
      <alignment horizontal="right"/>
    </xf>
    <xf numFmtId="0" fontId="0" fillId="2" borderId="7" xfId="0" applyFill="1" applyBorder="1" applyAlignment="1">
      <alignment horizontal="left"/>
    </xf>
    <xf numFmtId="44" fontId="1" fillId="2" borderId="7" xfId="1" applyFill="1" applyBorder="1"/>
    <xf numFmtId="44" fontId="4" fillId="2" borderId="1" xfId="1" applyFont="1" applyFill="1" applyBorder="1" applyAlignment="1">
      <alignment horizontal="center" vertical="center" wrapText="1"/>
    </xf>
    <xf numFmtId="44" fontId="1" fillId="2" borderId="8" xfId="1" applyFill="1" applyBorder="1"/>
    <xf numFmtId="44" fontId="0" fillId="0" borderId="0" xfId="0" applyNumberFormat="1"/>
    <xf numFmtId="14" fontId="5" fillId="0" borderId="1" xfId="0" applyNumberFormat="1" applyFont="1" applyBorder="1" applyAlignment="1">
      <alignment vertical="center" wrapText="1"/>
    </xf>
    <xf numFmtId="14" fontId="0" fillId="12" borderId="7" xfId="0" applyNumberFormat="1" applyFill="1" applyBorder="1"/>
    <xf numFmtId="0" fontId="0" fillId="12" borderId="7" xfId="0" applyFill="1" applyBorder="1" applyAlignment="1">
      <alignment horizontal="right"/>
    </xf>
    <xf numFmtId="0" fontId="0" fillId="12" borderId="7" xfId="0" applyFill="1" applyBorder="1" applyAlignment="1">
      <alignment horizontal="center"/>
    </xf>
    <xf numFmtId="0" fontId="0" fillId="12" borderId="7" xfId="0" applyFill="1" applyBorder="1"/>
    <xf numFmtId="3" fontId="0" fillId="0" borderId="7" xfId="0" applyNumberFormat="1" applyBorder="1" applyAlignment="1">
      <alignment horizontal="right"/>
    </xf>
    <xf numFmtId="0" fontId="0" fillId="2" borderId="0" xfId="0" applyFill="1"/>
    <xf numFmtId="0" fontId="0" fillId="0" borderId="5" xfId="0" applyBorder="1"/>
    <xf numFmtId="14" fontId="3" fillId="0" borderId="1" xfId="0" applyNumberFormat="1" applyFon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/>
    </xf>
    <xf numFmtId="165" fontId="0" fillId="0" borderId="1" xfId="0" applyNumberFormat="1" applyBorder="1"/>
    <xf numFmtId="0" fontId="0" fillId="0" borderId="18" xfId="0" applyBorder="1"/>
    <xf numFmtId="3" fontId="0" fillId="0" borderId="1" xfId="0" applyNumberFormat="1" applyBorder="1" applyAlignment="1">
      <alignment horizontal="right"/>
    </xf>
    <xf numFmtId="14" fontId="0" fillId="2" borderId="1" xfId="0" applyNumberFormat="1" applyFill="1" applyBorder="1"/>
    <xf numFmtId="0" fontId="5" fillId="2" borderId="1" xfId="0" applyFont="1" applyFill="1" applyBorder="1"/>
    <xf numFmtId="0" fontId="0" fillId="2" borderId="18" xfId="0" applyFill="1" applyBorder="1"/>
    <xf numFmtId="44" fontId="0" fillId="2" borderId="0" xfId="1" applyFont="1" applyFill="1" applyBorder="1"/>
    <xf numFmtId="14" fontId="0" fillId="2" borderId="0" xfId="0" applyNumberFormat="1" applyFill="1"/>
    <xf numFmtId="49" fontId="0" fillId="2" borderId="10" xfId="0" applyNumberFormat="1" applyFill="1" applyBorder="1" applyAlignment="1">
      <alignment horizontal="right"/>
    </xf>
    <xf numFmtId="0" fontId="0" fillId="0" borderId="8" xfId="0" applyBorder="1" applyAlignment="1">
      <alignment horizontal="right"/>
    </xf>
    <xf numFmtId="0" fontId="0" fillId="12" borderId="0" xfId="0" applyFill="1"/>
    <xf numFmtId="49" fontId="0" fillId="2" borderId="7" xfId="0" applyNumberFormat="1" applyFill="1" applyBorder="1" applyAlignment="1">
      <alignment horizontal="center"/>
    </xf>
    <xf numFmtId="14" fontId="0" fillId="0" borderId="10" xfId="0" applyNumberFormat="1" applyBorder="1"/>
    <xf numFmtId="49" fontId="5" fillId="0" borderId="1" xfId="0" applyNumberFormat="1" applyFont="1" applyBorder="1" applyAlignment="1">
      <alignment horizontal="right"/>
    </xf>
    <xf numFmtId="44" fontId="4" fillId="0" borderId="15" xfId="1" applyFont="1" applyFill="1" applyBorder="1" applyAlignment="1">
      <alignment vertical="center" wrapText="1"/>
    </xf>
    <xf numFmtId="3" fontId="0" fillId="0" borderId="6" xfId="0" applyNumberFormat="1" applyBorder="1" applyAlignment="1">
      <alignment horizontal="right"/>
    </xf>
    <xf numFmtId="44" fontId="1" fillId="2" borderId="14" xfId="1" applyFill="1" applyBorder="1"/>
    <xf numFmtId="44" fontId="1" fillId="0" borderId="18" xfId="1" applyFill="1" applyBorder="1"/>
    <xf numFmtId="44" fontId="1" fillId="2" borderId="19" xfId="1" applyFill="1" applyBorder="1"/>
    <xf numFmtId="44" fontId="1" fillId="0" borderId="19" xfId="1" applyFill="1" applyBorder="1"/>
    <xf numFmtId="44" fontId="1" fillId="2" borderId="18" xfId="1" applyFill="1" applyBorder="1"/>
    <xf numFmtId="44" fontId="4" fillId="0" borderId="17" xfId="1" applyFont="1" applyFill="1" applyBorder="1" applyAlignment="1">
      <alignment horizontal="center" vertical="center" wrapText="1"/>
    </xf>
    <xf numFmtId="14" fontId="0" fillId="0" borderId="23" xfId="0" applyNumberFormat="1" applyBorder="1" applyAlignment="1">
      <alignment horizontal="right" vertical="center" wrapText="1"/>
    </xf>
    <xf numFmtId="49" fontId="0" fillId="0" borderId="15" xfId="0" applyNumberFormat="1" applyBorder="1" applyAlignment="1">
      <alignment horizontal="right" wrapText="1"/>
    </xf>
    <xf numFmtId="0" fontId="0" fillId="0" borderId="15" xfId="0" applyBorder="1" applyAlignment="1">
      <alignment horizontal="right"/>
    </xf>
    <xf numFmtId="0" fontId="0" fillId="0" borderId="27" xfId="0" applyBorder="1" applyAlignment="1">
      <alignment horizontal="left"/>
    </xf>
    <xf numFmtId="44" fontId="1" fillId="0" borderId="10" xfId="1" applyFill="1" applyBorder="1"/>
    <xf numFmtId="49" fontId="0" fillId="0" borderId="6" xfId="0" applyNumberFormat="1" applyBorder="1" applyAlignment="1">
      <alignment horizontal="right"/>
    </xf>
    <xf numFmtId="14" fontId="4" fillId="0" borderId="1" xfId="0" applyNumberFormat="1" applyFont="1" applyBorder="1" applyAlignment="1">
      <alignment vertical="center" wrapText="1"/>
    </xf>
    <xf numFmtId="44" fontId="1" fillId="0" borderId="29" xfId="1" applyBorder="1"/>
    <xf numFmtId="49" fontId="4" fillId="0" borderId="1" xfId="0" applyNumberFormat="1" applyFont="1" applyBorder="1" applyAlignment="1">
      <alignment vertical="center" wrapText="1"/>
    </xf>
    <xf numFmtId="44" fontId="4" fillId="0" borderId="1" xfId="1" applyFont="1" applyBorder="1" applyAlignment="1">
      <alignment vertical="center" wrapText="1"/>
    </xf>
    <xf numFmtId="44" fontId="4" fillId="0" borderId="2" xfId="1" applyFont="1" applyBorder="1" applyAlignment="1">
      <alignment vertical="center" wrapText="1"/>
    </xf>
    <xf numFmtId="44" fontId="4" fillId="0" borderId="15" xfId="1" applyFont="1" applyBorder="1" applyAlignment="1">
      <alignment vertical="center" wrapText="1"/>
    </xf>
    <xf numFmtId="44" fontId="4" fillId="0" borderId="19" xfId="1" applyFont="1" applyBorder="1" applyAlignment="1">
      <alignment vertical="center" wrapText="1"/>
    </xf>
    <xf numFmtId="14" fontId="4" fillId="0" borderId="19" xfId="0" applyNumberFormat="1" applyFont="1" applyBorder="1" applyAlignment="1">
      <alignment vertical="center" wrapText="1"/>
    </xf>
    <xf numFmtId="14" fontId="4" fillId="0" borderId="15" xfId="0" applyNumberFormat="1" applyFont="1" applyBorder="1" applyAlignment="1">
      <alignment vertical="center" wrapText="1"/>
    </xf>
    <xf numFmtId="49" fontId="4" fillId="0" borderId="19" xfId="0" applyNumberFormat="1" applyFont="1" applyBorder="1" applyAlignment="1">
      <alignment vertical="center" wrapText="1"/>
    </xf>
    <xf numFmtId="44" fontId="4" fillId="0" borderId="18" xfId="1" applyFont="1" applyBorder="1" applyAlignment="1">
      <alignment vertical="center" wrapText="1"/>
    </xf>
    <xf numFmtId="44" fontId="4" fillId="0" borderId="31" xfId="1" applyFont="1" applyBorder="1" applyAlignment="1">
      <alignment vertical="center" wrapText="1"/>
    </xf>
    <xf numFmtId="44" fontId="4" fillId="0" borderId="30" xfId="1" applyFont="1" applyBorder="1" applyAlignment="1">
      <alignment vertical="center" wrapText="1"/>
    </xf>
    <xf numFmtId="44" fontId="4" fillId="2" borderId="18" xfId="1" applyFont="1" applyFill="1" applyBorder="1" applyAlignment="1">
      <alignment vertical="center" wrapText="1"/>
    </xf>
    <xf numFmtId="44" fontId="1" fillId="0" borderId="31" xfId="1" applyFill="1" applyBorder="1"/>
    <xf numFmtId="44" fontId="1" fillId="0" borderId="32" xfId="1" applyFill="1" applyBorder="1"/>
    <xf numFmtId="0" fontId="0" fillId="0" borderId="0" xfId="0" applyAlignment="1">
      <alignment horizontal="left"/>
    </xf>
    <xf numFmtId="14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49" fontId="0" fillId="0" borderId="7" xfId="0" applyNumberFormat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44" fontId="4" fillId="2" borderId="15" xfId="1" applyFont="1" applyFill="1" applyBorder="1" applyAlignment="1">
      <alignment horizontal="center" vertical="center" wrapText="1"/>
    </xf>
    <xf numFmtId="44" fontId="4" fillId="2" borderId="19" xfId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44" fontId="1" fillId="2" borderId="16" xfId="1" applyFill="1" applyBorder="1"/>
    <xf numFmtId="44" fontId="1" fillId="2" borderId="20" xfId="1" applyFill="1" applyBorder="1"/>
    <xf numFmtId="44" fontId="1" fillId="2" borderId="6" xfId="1" applyFill="1" applyBorder="1"/>
    <xf numFmtId="44" fontId="1" fillId="2" borderId="3" xfId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44" fontId="4" fillId="0" borderId="32" xfId="1" applyFont="1" applyBorder="1" applyAlignment="1">
      <alignment vertical="center" wrapText="1"/>
    </xf>
    <xf numFmtId="44" fontId="4" fillId="2" borderId="1" xfId="1" applyFont="1" applyFill="1" applyBorder="1" applyAlignment="1">
      <alignment vertical="center" wrapText="1"/>
    </xf>
    <xf numFmtId="44" fontId="4" fillId="0" borderId="15" xfId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right" vertical="center" wrapText="1"/>
    </xf>
    <xf numFmtId="44" fontId="4" fillId="0" borderId="1" xfId="1" applyFont="1" applyFill="1" applyBorder="1" applyAlignment="1">
      <alignment vertical="center" wrapText="1"/>
    </xf>
    <xf numFmtId="44" fontId="1" fillId="0" borderId="3" xfId="1" applyBorder="1"/>
    <xf numFmtId="167" fontId="0" fillId="0" borderId="1" xfId="1" applyNumberFormat="1" applyFont="1" applyBorder="1"/>
    <xf numFmtId="44" fontId="4" fillId="0" borderId="19" xfId="1" applyFont="1" applyFill="1" applyBorder="1" applyAlignment="1">
      <alignment horizontal="center" vertical="center" wrapText="1"/>
    </xf>
    <xf numFmtId="10" fontId="0" fillId="0" borderId="0" xfId="0" applyNumberFormat="1"/>
    <xf numFmtId="49" fontId="5" fillId="0" borderId="1" xfId="0" applyNumberFormat="1" applyFont="1" applyBorder="1"/>
    <xf numFmtId="44" fontId="7" fillId="0" borderId="0" xfId="0" applyNumberFormat="1" applyFont="1"/>
    <xf numFmtId="44" fontId="2" fillId="0" borderId="0" xfId="1" applyFont="1"/>
    <xf numFmtId="14" fontId="0" fillId="12" borderId="1" xfId="0" applyNumberFormat="1" applyFill="1" applyBorder="1"/>
    <xf numFmtId="0" fontId="5" fillId="12" borderId="1" xfId="0" applyFont="1" applyFill="1" applyBorder="1"/>
    <xf numFmtId="0" fontId="0" fillId="12" borderId="18" xfId="0" applyFill="1" applyBorder="1"/>
    <xf numFmtId="44" fontId="0" fillId="12" borderId="0" xfId="1" applyFont="1" applyFill="1" applyBorder="1"/>
    <xf numFmtId="44" fontId="7" fillId="0" borderId="0" xfId="1" applyFont="1"/>
    <xf numFmtId="44" fontId="1" fillId="12" borderId="20" xfId="1" applyFill="1" applyBorder="1"/>
    <xf numFmtId="165" fontId="5" fillId="0" borderId="1" xfId="1" applyNumberFormat="1" applyFont="1" applyFill="1" applyBorder="1"/>
    <xf numFmtId="14" fontId="4" fillId="12" borderId="1" xfId="0" applyNumberFormat="1" applyFont="1" applyFill="1" applyBorder="1" applyAlignment="1">
      <alignment vertical="center" wrapText="1"/>
    </xf>
    <xf numFmtId="49" fontId="4" fillId="12" borderId="1" xfId="0" applyNumberFormat="1" applyFont="1" applyFill="1" applyBorder="1" applyAlignment="1">
      <alignment vertical="center" wrapText="1"/>
    </xf>
    <xf numFmtId="14" fontId="4" fillId="12" borderId="1" xfId="0" applyNumberFormat="1" applyFont="1" applyFill="1" applyBorder="1" applyAlignment="1">
      <alignment horizontal="left" vertical="center" wrapText="1"/>
    </xf>
    <xf numFmtId="44" fontId="4" fillId="12" borderId="1" xfId="1" applyFont="1" applyFill="1" applyBorder="1" applyAlignment="1">
      <alignment vertical="center" wrapText="1"/>
    </xf>
    <xf numFmtId="44" fontId="4" fillId="12" borderId="1" xfId="1" applyFont="1" applyFill="1" applyBorder="1" applyAlignment="1">
      <alignment horizontal="center" vertical="center" wrapText="1"/>
    </xf>
    <xf numFmtId="44" fontId="1" fillId="12" borderId="1" xfId="1" applyFill="1" applyBorder="1"/>
    <xf numFmtId="10" fontId="0" fillId="2" borderId="0" xfId="0" applyNumberFormat="1" applyFill="1"/>
    <xf numFmtId="9" fontId="0" fillId="2" borderId="0" xfId="0" applyNumberFormat="1" applyFill="1"/>
    <xf numFmtId="44" fontId="4" fillId="0" borderId="19" xfId="1" applyFont="1" applyFill="1" applyBorder="1" applyAlignment="1">
      <alignment vertical="center" wrapText="1"/>
    </xf>
    <xf numFmtId="44" fontId="4" fillId="0" borderId="0" xfId="1" applyFont="1" applyFill="1" applyBorder="1" applyAlignment="1">
      <alignment vertical="center" wrapText="1"/>
    </xf>
    <xf numFmtId="44" fontId="4" fillId="0" borderId="31" xfId="1" applyFont="1" applyFill="1" applyBorder="1" applyAlignment="1">
      <alignment vertical="center" wrapText="1"/>
    </xf>
    <xf numFmtId="44" fontId="4" fillId="0" borderId="24" xfId="1" applyFont="1" applyFill="1" applyBorder="1" applyAlignment="1">
      <alignment vertical="center" wrapText="1"/>
    </xf>
    <xf numFmtId="44" fontId="4" fillId="0" borderId="30" xfId="1" applyFont="1" applyFill="1" applyBorder="1" applyAlignment="1">
      <alignment vertical="center" wrapText="1"/>
    </xf>
    <xf numFmtId="44" fontId="4" fillId="0" borderId="32" xfId="1" applyFont="1" applyFill="1" applyBorder="1" applyAlignment="1">
      <alignment vertical="center" wrapText="1"/>
    </xf>
    <xf numFmtId="44" fontId="4" fillId="0" borderId="25" xfId="1" applyFont="1" applyFill="1" applyBorder="1" applyAlignment="1">
      <alignment vertical="center" wrapText="1"/>
    </xf>
    <xf numFmtId="44" fontId="1" fillId="0" borderId="19" xfId="1" applyBorder="1"/>
    <xf numFmtId="44" fontId="1" fillId="0" borderId="18" xfId="1" applyBorder="1"/>
    <xf numFmtId="0" fontId="0" fillId="0" borderId="0" xfId="0" applyAlignment="1">
      <alignment vertical="center"/>
    </xf>
    <xf numFmtId="44" fontId="2" fillId="0" borderId="8" xfId="1" applyFont="1" applyBorder="1"/>
    <xf numFmtId="0" fontId="0" fillId="0" borderId="1" xfId="0" applyBorder="1" applyAlignment="1">
      <alignment vertical="center"/>
    </xf>
    <xf numFmtId="0" fontId="0" fillId="0" borderId="20" xfId="0" applyBorder="1"/>
    <xf numFmtId="9" fontId="0" fillId="0" borderId="0" xfId="0" applyNumberFormat="1"/>
    <xf numFmtId="44" fontId="4" fillId="0" borderId="18" xfId="1" applyFont="1" applyFill="1" applyBorder="1" applyAlignment="1">
      <alignment vertical="center" wrapText="1"/>
    </xf>
    <xf numFmtId="44" fontId="4" fillId="2" borderId="19" xfId="1" applyFont="1" applyFill="1" applyBorder="1" applyAlignment="1">
      <alignment vertical="center" wrapText="1"/>
    </xf>
    <xf numFmtId="0" fontId="0" fillId="0" borderId="9" xfId="0" applyBorder="1" applyAlignment="1">
      <alignment horizontal="center"/>
    </xf>
    <xf numFmtId="14" fontId="4" fillId="0" borderId="15" xfId="0" applyNumberFormat="1" applyFont="1" applyBorder="1" applyAlignment="1">
      <alignment horizontal="left" vertical="center" wrapText="1"/>
    </xf>
    <xf numFmtId="44" fontId="4" fillId="0" borderId="39" xfId="1" applyFont="1" applyFill="1" applyBorder="1" applyAlignment="1">
      <alignment vertical="center" wrapText="1"/>
    </xf>
    <xf numFmtId="44" fontId="4" fillId="0" borderId="38" xfId="1" applyFont="1" applyFill="1" applyBorder="1" applyAlignment="1">
      <alignment vertical="center" wrapText="1"/>
    </xf>
    <xf numFmtId="44" fontId="1" fillId="0" borderId="38" xfId="1" applyBorder="1"/>
    <xf numFmtId="44" fontId="1" fillId="0" borderId="39" xfId="1" applyBorder="1"/>
    <xf numFmtId="14" fontId="8" fillId="0" borderId="1" xfId="0" applyNumberFormat="1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5" xfId="0" applyFont="1" applyBorder="1"/>
    <xf numFmtId="44" fontId="5" fillId="0" borderId="7" xfId="1" applyFont="1" applyBorder="1"/>
    <xf numFmtId="0" fontId="0" fillId="0" borderId="27" xfId="0" applyBorder="1"/>
    <xf numFmtId="0" fontId="0" fillId="0" borderId="19" xfId="0" applyBorder="1"/>
    <xf numFmtId="44" fontId="1" fillId="0" borderId="6" xfId="1" applyBorder="1"/>
    <xf numFmtId="44" fontId="1" fillId="0" borderId="23" xfId="1" applyFill="1" applyBorder="1"/>
    <xf numFmtId="14" fontId="4" fillId="0" borderId="1" xfId="1" applyNumberFormat="1" applyFont="1" applyFill="1" applyBorder="1" applyAlignment="1">
      <alignment vertical="center" wrapText="1"/>
    </xf>
    <xf numFmtId="49" fontId="4" fillId="0" borderId="1" xfId="1" applyNumberFormat="1" applyFont="1" applyFill="1" applyBorder="1" applyAlignment="1">
      <alignment vertical="center" wrapText="1"/>
    </xf>
    <xf numFmtId="44" fontId="9" fillId="0" borderId="19" xfId="1" applyFont="1" applyFill="1" applyBorder="1" applyAlignment="1">
      <alignment vertical="center" wrapText="1"/>
    </xf>
    <xf numFmtId="6" fontId="0" fillId="0" borderId="1" xfId="0" applyNumberFormat="1" applyBorder="1"/>
    <xf numFmtId="49" fontId="0" fillId="0" borderId="1" xfId="0" applyNumberFormat="1" applyBorder="1" applyAlignment="1">
      <alignment horizontal="left"/>
    </xf>
    <xf numFmtId="44" fontId="4" fillId="0" borderId="39" xfId="1" applyFont="1" applyFill="1" applyBorder="1" applyAlignment="1">
      <alignment horizontal="center" vertical="center" wrapText="1"/>
    </xf>
    <xf numFmtId="0" fontId="0" fillId="0" borderId="9" xfId="0" applyBorder="1" applyAlignment="1">
      <alignment horizontal="right"/>
    </xf>
    <xf numFmtId="44" fontId="1" fillId="0" borderId="20" xfId="1" applyFill="1" applyBorder="1"/>
    <xf numFmtId="0" fontId="5" fillId="0" borderId="19" xfId="0" applyFont="1" applyBorder="1"/>
    <xf numFmtId="14" fontId="4" fillId="2" borderId="1" xfId="1" applyNumberFormat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vertical="center" wrapText="1"/>
    </xf>
    <xf numFmtId="16" fontId="0" fillId="0" borderId="0" xfId="0" applyNumberFormat="1"/>
    <xf numFmtId="14" fontId="4" fillId="2" borderId="15" xfId="1" applyNumberFormat="1" applyFont="1" applyFill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0" fillId="0" borderId="14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44" fontId="4" fillId="0" borderId="15" xfId="1" applyFont="1" applyFill="1" applyBorder="1" applyAlignment="1">
      <alignment horizontal="center" vertical="center" wrapText="1"/>
    </xf>
    <xf numFmtId="44" fontId="4" fillId="0" borderId="19" xfId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right"/>
    </xf>
    <xf numFmtId="0" fontId="0" fillId="0" borderId="6" xfId="0" applyBorder="1" applyAlignment="1">
      <alignment horizontal="right"/>
    </xf>
    <xf numFmtId="49" fontId="0" fillId="2" borderId="15" xfId="0" applyNumberFormat="1" applyFill="1" applyBorder="1" applyAlignment="1">
      <alignment horizontal="center"/>
    </xf>
    <xf numFmtId="49" fontId="0" fillId="2" borderId="19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14" fontId="0" fillId="2" borderId="14" xfId="0" applyNumberFormat="1" applyFill="1" applyBorder="1" applyAlignment="1">
      <alignment horizontal="center"/>
    </xf>
    <xf numFmtId="14" fontId="0" fillId="2" borderId="6" xfId="0" applyNumberFormat="1" applyFill="1" applyBorder="1" applyAlignment="1">
      <alignment horizontal="center"/>
    </xf>
    <xf numFmtId="14" fontId="0" fillId="2" borderId="36" xfId="0" applyNumberFormat="1" applyFill="1" applyBorder="1" applyAlignment="1">
      <alignment horizontal="center"/>
    </xf>
    <xf numFmtId="14" fontId="0" fillId="2" borderId="25" xfId="0" applyNumberFormat="1" applyFill="1" applyBorder="1" applyAlignment="1">
      <alignment horizontal="center"/>
    </xf>
    <xf numFmtId="49" fontId="0" fillId="2" borderId="14" xfId="0" applyNumberFormat="1" applyFill="1" applyBorder="1" applyAlignment="1">
      <alignment horizontal="center"/>
    </xf>
    <xf numFmtId="49" fontId="0" fillId="2" borderId="6" xfId="0" applyNumberFormat="1" applyFill="1" applyBorder="1" applyAlignment="1">
      <alignment horizontal="center"/>
    </xf>
    <xf numFmtId="44" fontId="4" fillId="2" borderId="15" xfId="1" applyFont="1" applyFill="1" applyBorder="1" applyAlignment="1">
      <alignment horizontal="center" vertical="center" wrapText="1"/>
    </xf>
    <xf numFmtId="44" fontId="4" fillId="2" borderId="19" xfId="1" applyFont="1" applyFill="1" applyBorder="1" applyAlignment="1">
      <alignment horizontal="center" vertical="center" wrapText="1"/>
    </xf>
    <xf numFmtId="14" fontId="0" fillId="2" borderId="38" xfId="0" applyNumberFormat="1" applyFill="1" applyBorder="1" applyAlignment="1">
      <alignment horizontal="center"/>
    </xf>
    <xf numFmtId="14" fontId="0" fillId="2" borderId="39" xfId="0" applyNumberFormat="1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49" fontId="0" fillId="2" borderId="10" xfId="0" applyNumberFormat="1" applyFill="1" applyBorder="1" applyAlignment="1">
      <alignment horizontal="center"/>
    </xf>
    <xf numFmtId="44" fontId="4" fillId="2" borderId="18" xfId="1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/>
    </xf>
    <xf numFmtId="14" fontId="0" fillId="2" borderId="40" xfId="0" applyNumberFormat="1" applyFill="1" applyBorder="1" applyAlignment="1">
      <alignment horizontal="center"/>
    </xf>
    <xf numFmtId="14" fontId="0" fillId="2" borderId="41" xfId="0" applyNumberFormat="1" applyFill="1" applyBorder="1" applyAlignment="1">
      <alignment horizontal="center"/>
    </xf>
    <xf numFmtId="49" fontId="0" fillId="2" borderId="42" xfId="0" applyNumberFormat="1" applyFill="1" applyBorder="1" applyAlignment="1">
      <alignment horizontal="center"/>
    </xf>
    <xf numFmtId="44" fontId="4" fillId="2" borderId="21" xfId="1" applyFont="1" applyFill="1" applyBorder="1" applyAlignment="1">
      <alignment horizontal="center" vertical="center" wrapText="1"/>
    </xf>
    <xf numFmtId="44" fontId="4" fillId="2" borderId="10" xfId="1" applyFont="1" applyFill="1" applyBorder="1" applyAlignment="1">
      <alignment horizontal="center" vertical="center" wrapText="1"/>
    </xf>
    <xf numFmtId="44" fontId="4" fillId="2" borderId="22" xfId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3" xfId="0" applyBorder="1" applyAlignment="1">
      <alignment horizontal="center"/>
    </xf>
    <xf numFmtId="44" fontId="4" fillId="0" borderId="33" xfId="1" applyFont="1" applyFill="1" applyBorder="1" applyAlignment="1">
      <alignment horizontal="center" vertical="center" wrapText="1"/>
    </xf>
    <xf numFmtId="44" fontId="4" fillId="0" borderId="35" xfId="1" applyFont="1" applyFill="1" applyBorder="1" applyAlignment="1">
      <alignment horizontal="center" vertical="center" wrapText="1"/>
    </xf>
    <xf numFmtId="44" fontId="4" fillId="0" borderId="21" xfId="1" applyFont="1" applyFill="1" applyBorder="1" applyAlignment="1">
      <alignment horizontal="center" vertical="center" wrapText="1"/>
    </xf>
    <xf numFmtId="44" fontId="4" fillId="0" borderId="22" xfId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44" fontId="4" fillId="0" borderId="26" xfId="1" applyFont="1" applyFill="1" applyBorder="1" applyAlignment="1">
      <alignment horizontal="center" vertical="center" wrapText="1"/>
    </xf>
    <xf numFmtId="44" fontId="4" fillId="0" borderId="27" xfId="1" applyFont="1" applyFill="1" applyBorder="1" applyAlignment="1">
      <alignment horizontal="center" vertical="center" wrapText="1"/>
    </xf>
    <xf numFmtId="44" fontId="4" fillId="0" borderId="28" xfId="1" applyFont="1" applyFill="1" applyBorder="1" applyAlignment="1">
      <alignment horizontal="center" vertical="center" wrapText="1"/>
    </xf>
    <xf numFmtId="44" fontId="4" fillId="0" borderId="18" xfId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14" fontId="4" fillId="0" borderId="15" xfId="0" applyNumberFormat="1" applyFont="1" applyBorder="1" applyAlignment="1">
      <alignment horizontal="center" vertical="center" wrapText="1"/>
    </xf>
    <xf numFmtId="14" fontId="4" fillId="0" borderId="18" xfId="0" applyNumberFormat="1" applyFont="1" applyBorder="1" applyAlignment="1">
      <alignment horizontal="center" vertical="center" wrapText="1"/>
    </xf>
    <xf numFmtId="14" fontId="4" fillId="0" borderId="19" xfId="0" applyNumberFormat="1" applyFont="1" applyBorder="1" applyAlignment="1">
      <alignment horizontal="center" vertical="center" wrapText="1"/>
    </xf>
    <xf numFmtId="14" fontId="4" fillId="0" borderId="15" xfId="0" applyNumberFormat="1" applyFont="1" applyBorder="1" applyAlignment="1">
      <alignment horizontal="left" vertical="center" wrapText="1"/>
    </xf>
    <xf numFmtId="14" fontId="4" fillId="0" borderId="19" xfId="0" applyNumberFormat="1" applyFont="1" applyBorder="1" applyAlignment="1">
      <alignment horizontal="left" vertical="center" wrapText="1"/>
    </xf>
    <xf numFmtId="14" fontId="4" fillId="0" borderId="31" xfId="0" applyNumberFormat="1" applyFont="1" applyBorder="1" applyAlignment="1">
      <alignment horizontal="center" vertical="center" wrapText="1"/>
    </xf>
    <xf numFmtId="14" fontId="4" fillId="0" borderId="32" xfId="0" applyNumberFormat="1" applyFont="1" applyBorder="1" applyAlignment="1">
      <alignment horizontal="center" vertical="center" wrapText="1"/>
    </xf>
    <xf numFmtId="14" fontId="4" fillId="0" borderId="18" xfId="0" applyNumberFormat="1" applyFont="1" applyBorder="1" applyAlignment="1">
      <alignment horizontal="left" vertical="center" wrapText="1"/>
    </xf>
    <xf numFmtId="0" fontId="0" fillId="0" borderId="30" xfId="0" applyBorder="1" applyAlignment="1">
      <alignment horizontal="center"/>
    </xf>
    <xf numFmtId="14" fontId="4" fillId="0" borderId="30" xfId="0" applyNumberFormat="1" applyFont="1" applyBorder="1" applyAlignment="1">
      <alignment horizontal="center" vertical="center" wrapText="1"/>
    </xf>
    <xf numFmtId="44" fontId="4" fillId="0" borderId="34" xfId="1" applyFont="1" applyFill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 wrapText="1"/>
    </xf>
    <xf numFmtId="44" fontId="4" fillId="0" borderId="31" xfId="1" applyFont="1" applyFill="1" applyBorder="1" applyAlignment="1">
      <alignment horizontal="center" vertical="center" wrapText="1"/>
    </xf>
    <xf numFmtId="44" fontId="4" fillId="0" borderId="32" xfId="1" applyFont="1" applyFill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14" fontId="0" fillId="0" borderId="15" xfId="0" applyNumberForma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14" fontId="0" fillId="0" borderId="15" xfId="0" applyNumberFormat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 wrapText="1"/>
    </xf>
    <xf numFmtId="14" fontId="0" fillId="0" borderId="19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wrapText="1"/>
    </xf>
    <xf numFmtId="49" fontId="0" fillId="0" borderId="18" xfId="0" applyNumberFormat="1" applyBorder="1" applyAlignment="1">
      <alignment horizontal="center" wrapText="1"/>
    </xf>
    <xf numFmtId="49" fontId="0" fillId="0" borderId="19" xfId="0" applyNumberFormat="1" applyBorder="1" applyAlignment="1">
      <alignment horizontal="center" wrapText="1"/>
    </xf>
    <xf numFmtId="0" fontId="0" fillId="0" borderId="18" xfId="0" applyBorder="1" applyAlignment="1">
      <alignment horizontal="center"/>
    </xf>
    <xf numFmtId="44" fontId="4" fillId="0" borderId="30" xfId="1" applyFont="1" applyFill="1" applyBorder="1" applyAlignment="1">
      <alignment horizontal="center" vertical="center" wrapText="1"/>
    </xf>
    <xf numFmtId="44" fontId="4" fillId="0" borderId="38" xfId="1" applyFont="1" applyFill="1" applyBorder="1" applyAlignment="1">
      <alignment horizontal="center" vertical="center" wrapText="1"/>
    </xf>
    <xf numFmtId="44" fontId="4" fillId="0" borderId="39" xfId="1" applyFont="1" applyFill="1" applyBorder="1" applyAlignment="1">
      <alignment horizontal="center" vertical="center" wrapText="1"/>
    </xf>
    <xf numFmtId="14" fontId="4" fillId="0" borderId="15" xfId="1" applyNumberFormat="1" applyFont="1" applyFill="1" applyBorder="1" applyAlignment="1">
      <alignment horizontal="center" vertical="center" wrapText="1"/>
    </xf>
    <xf numFmtId="14" fontId="4" fillId="0" borderId="19" xfId="1" applyNumberFormat="1" applyFont="1" applyFill="1" applyBorder="1" applyAlignment="1">
      <alignment horizontal="center" vertical="center" wrapText="1"/>
    </xf>
    <xf numFmtId="49" fontId="4" fillId="0" borderId="15" xfId="1" applyNumberFormat="1" applyFont="1" applyFill="1" applyBorder="1" applyAlignment="1">
      <alignment horizontal="center" vertical="center" wrapText="1"/>
    </xf>
    <xf numFmtId="49" fontId="4" fillId="0" borderId="19" xfId="1" applyNumberFormat="1" applyFont="1" applyFill="1" applyBorder="1" applyAlignment="1">
      <alignment horizontal="center" vertical="center" wrapText="1"/>
    </xf>
    <xf numFmtId="49" fontId="4" fillId="0" borderId="18" xfId="1" applyNumberFormat="1" applyFont="1" applyFill="1" applyBorder="1" applyAlignment="1">
      <alignment horizontal="center" vertical="center" wrapText="1"/>
    </xf>
    <xf numFmtId="14" fontId="4" fillId="0" borderId="18" xfId="1" applyNumberFormat="1" applyFont="1" applyFill="1" applyBorder="1" applyAlignment="1">
      <alignment horizontal="center" vertical="center" wrapText="1"/>
    </xf>
    <xf numFmtId="44" fontId="4" fillId="0" borderId="24" xfId="1" applyFont="1" applyFill="1" applyBorder="1" applyAlignment="1">
      <alignment horizontal="center" vertical="center" wrapText="1"/>
    </xf>
    <xf numFmtId="44" fontId="4" fillId="0" borderId="25" xfId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171"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00FF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5FD2-D7CF-45D4-9B19-AF9DC47C9661}">
  <dimension ref="A1:M148"/>
  <sheetViews>
    <sheetView topLeftCell="A118" workbookViewId="0">
      <selection activeCell="C142" sqref="C142"/>
    </sheetView>
  </sheetViews>
  <sheetFormatPr baseColWidth="10" defaultRowHeight="15" x14ac:dyDescent="0.25"/>
  <cols>
    <col min="1" max="1" width="14.140625" customWidth="1"/>
    <col min="2" max="2" width="22.42578125" customWidth="1"/>
    <col min="3" max="3" width="45.42578125" customWidth="1"/>
    <col min="4" max="4" width="15.85546875" customWidth="1"/>
    <col min="5" max="5" width="40" customWidth="1"/>
  </cols>
  <sheetData>
    <row r="1" spans="1:12" x14ac:dyDescent="0.25">
      <c r="A1" t="s">
        <v>0</v>
      </c>
      <c r="B1" s="1">
        <v>45292</v>
      </c>
    </row>
    <row r="3" spans="1:12" ht="30" x14ac:dyDescent="0.2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2" x14ac:dyDescent="0.25">
      <c r="A4" s="5"/>
      <c r="B4" s="6"/>
      <c r="C4" s="7"/>
      <c r="D4" s="7"/>
      <c r="E4" s="8"/>
      <c r="F4" s="9"/>
      <c r="G4" s="9"/>
      <c r="H4" s="9"/>
      <c r="I4" s="9"/>
      <c r="J4" s="10"/>
      <c r="K4" s="9"/>
    </row>
    <row r="5" spans="1:12" x14ac:dyDescent="0.25">
      <c r="A5" s="11">
        <v>45292</v>
      </c>
      <c r="B5" s="12" t="s">
        <v>31</v>
      </c>
      <c r="C5" s="13" t="s">
        <v>12</v>
      </c>
      <c r="D5" s="14" t="s">
        <v>13</v>
      </c>
      <c r="E5" s="15" t="s">
        <v>14</v>
      </c>
      <c r="F5" s="16">
        <v>1650</v>
      </c>
      <c r="G5" s="16"/>
      <c r="H5" s="16"/>
      <c r="I5" s="9">
        <f t="shared" ref="I5:I135" si="0">G5+H5</f>
        <v>0</v>
      </c>
      <c r="J5" s="17"/>
      <c r="K5" s="9">
        <f t="shared" ref="K5:K135" si="1">F5+I5-J5</f>
        <v>1650</v>
      </c>
      <c r="L5" t="s">
        <v>41</v>
      </c>
    </row>
    <row r="6" spans="1:12" ht="15" customHeight="1" x14ac:dyDescent="0.25">
      <c r="A6" s="18">
        <v>45292</v>
      </c>
      <c r="B6" s="19" t="s">
        <v>255</v>
      </c>
      <c r="C6" s="20" t="s">
        <v>256</v>
      </c>
      <c r="D6" s="14" t="s">
        <v>16</v>
      </c>
      <c r="E6" s="21" t="s">
        <v>17</v>
      </c>
      <c r="F6" s="22">
        <v>41.32</v>
      </c>
      <c r="G6" s="22">
        <v>8.68</v>
      </c>
      <c r="H6" s="22"/>
      <c r="I6" s="9">
        <f t="shared" si="0"/>
        <v>8.68</v>
      </c>
      <c r="J6" s="23"/>
      <c r="K6" s="9">
        <f t="shared" si="1"/>
        <v>50</v>
      </c>
      <c r="L6" t="s">
        <v>42</v>
      </c>
    </row>
    <row r="7" spans="1:12" ht="15" customHeight="1" x14ac:dyDescent="0.25">
      <c r="A7" s="24">
        <v>45292</v>
      </c>
      <c r="B7" s="25" t="s">
        <v>257</v>
      </c>
      <c r="C7" s="7" t="s">
        <v>256</v>
      </c>
      <c r="D7" s="26" t="s">
        <v>16</v>
      </c>
      <c r="E7" s="8" t="s">
        <v>17</v>
      </c>
      <c r="F7" s="9">
        <v>63.56</v>
      </c>
      <c r="G7" s="9">
        <v>13.35</v>
      </c>
      <c r="H7" s="22"/>
      <c r="I7" s="9">
        <f t="shared" si="0"/>
        <v>13.35</v>
      </c>
      <c r="J7" s="23"/>
      <c r="K7" s="9">
        <f t="shared" si="1"/>
        <v>76.91</v>
      </c>
      <c r="L7" t="s">
        <v>42</v>
      </c>
    </row>
    <row r="8" spans="1:12" ht="15" customHeight="1" x14ac:dyDescent="0.25">
      <c r="A8" s="18">
        <v>45293</v>
      </c>
      <c r="B8" s="27" t="s">
        <v>258</v>
      </c>
      <c r="C8" s="28" t="s">
        <v>259</v>
      </c>
      <c r="D8" s="8" t="s">
        <v>24</v>
      </c>
      <c r="E8" s="29" t="s">
        <v>25</v>
      </c>
      <c r="F8" s="30">
        <v>15.27</v>
      </c>
      <c r="G8" s="30"/>
      <c r="H8" s="30">
        <v>1.53</v>
      </c>
      <c r="I8" s="9">
        <f t="shared" si="0"/>
        <v>1.53</v>
      </c>
      <c r="J8" s="31"/>
      <c r="K8" s="9">
        <f t="shared" si="1"/>
        <v>16.8</v>
      </c>
      <c r="L8" t="s">
        <v>42</v>
      </c>
    </row>
    <row r="9" spans="1:12" ht="15" customHeight="1" x14ac:dyDescent="0.25">
      <c r="A9" s="18">
        <v>45293</v>
      </c>
      <c r="B9" s="27" t="s">
        <v>260</v>
      </c>
      <c r="C9" s="28" t="s">
        <v>261</v>
      </c>
      <c r="D9" s="32" t="s">
        <v>20</v>
      </c>
      <c r="E9" s="29" t="s">
        <v>17</v>
      </c>
      <c r="F9" s="30">
        <v>33.07</v>
      </c>
      <c r="G9" s="30">
        <v>6.94</v>
      </c>
      <c r="H9" s="30"/>
      <c r="I9" s="9">
        <f t="shared" si="0"/>
        <v>6.94</v>
      </c>
      <c r="J9" s="31"/>
      <c r="K9" s="9">
        <f t="shared" si="1"/>
        <v>40.01</v>
      </c>
      <c r="L9" t="s">
        <v>42</v>
      </c>
    </row>
    <row r="10" spans="1:12" x14ac:dyDescent="0.25">
      <c r="A10" s="18">
        <v>45293</v>
      </c>
      <c r="B10" s="27" t="s">
        <v>262</v>
      </c>
      <c r="C10" s="20" t="s">
        <v>18</v>
      </c>
      <c r="D10" s="8" t="s">
        <v>19</v>
      </c>
      <c r="E10" s="21" t="s">
        <v>17</v>
      </c>
      <c r="F10" s="30">
        <v>45.46</v>
      </c>
      <c r="G10" s="30">
        <v>9.5399999999999991</v>
      </c>
      <c r="H10" s="30"/>
      <c r="I10" s="9">
        <f t="shared" si="0"/>
        <v>9.5399999999999991</v>
      </c>
      <c r="J10" s="31"/>
      <c r="K10" s="9">
        <f t="shared" si="1"/>
        <v>55</v>
      </c>
      <c r="L10" t="s">
        <v>42</v>
      </c>
    </row>
    <row r="11" spans="1:12" x14ac:dyDescent="0.25">
      <c r="A11" s="33">
        <v>45294</v>
      </c>
      <c r="B11" s="34" t="s">
        <v>263</v>
      </c>
      <c r="C11" s="28" t="s">
        <v>256</v>
      </c>
      <c r="D11" s="26" t="s">
        <v>16</v>
      </c>
      <c r="E11" s="29" t="s">
        <v>17</v>
      </c>
      <c r="F11" s="30">
        <v>31.21</v>
      </c>
      <c r="G11" s="30">
        <v>6.56</v>
      </c>
      <c r="H11" s="30"/>
      <c r="I11" s="9">
        <f t="shared" si="0"/>
        <v>6.56</v>
      </c>
      <c r="J11" s="31"/>
      <c r="K11" s="9">
        <f t="shared" si="1"/>
        <v>37.770000000000003</v>
      </c>
      <c r="L11" t="s">
        <v>42</v>
      </c>
    </row>
    <row r="12" spans="1:12" x14ac:dyDescent="0.25">
      <c r="A12" s="33">
        <v>45296</v>
      </c>
      <c r="B12" s="35" t="s">
        <v>264</v>
      </c>
      <c r="C12" s="28" t="s">
        <v>265</v>
      </c>
      <c r="D12" s="36" t="s">
        <v>21</v>
      </c>
      <c r="E12" s="29" t="s">
        <v>266</v>
      </c>
      <c r="F12" s="30">
        <v>80.36</v>
      </c>
      <c r="G12" s="30">
        <v>16.68</v>
      </c>
      <c r="H12" s="30"/>
      <c r="I12" s="9">
        <f t="shared" si="0"/>
        <v>16.68</v>
      </c>
      <c r="J12" s="31"/>
      <c r="K12" s="9">
        <f t="shared" si="1"/>
        <v>97.039999999999992</v>
      </c>
      <c r="L12" t="s">
        <v>267</v>
      </c>
    </row>
    <row r="13" spans="1:12" x14ac:dyDescent="0.25">
      <c r="A13" s="33">
        <v>45296</v>
      </c>
      <c r="B13" s="35" t="s">
        <v>268</v>
      </c>
      <c r="C13" s="28" t="s">
        <v>22</v>
      </c>
      <c r="D13" s="36" t="s">
        <v>23</v>
      </c>
      <c r="E13" s="29" t="s">
        <v>15</v>
      </c>
      <c r="F13" s="30">
        <v>44.12</v>
      </c>
      <c r="G13" s="30">
        <v>5.8</v>
      </c>
      <c r="H13" s="30"/>
      <c r="I13" s="9">
        <f t="shared" si="0"/>
        <v>5.8</v>
      </c>
      <c r="J13" s="31"/>
      <c r="K13" s="9">
        <f t="shared" si="1"/>
        <v>49.919999999999995</v>
      </c>
      <c r="L13" t="s">
        <v>267</v>
      </c>
    </row>
    <row r="14" spans="1:12" x14ac:dyDescent="0.25">
      <c r="A14" s="100">
        <v>45297</v>
      </c>
      <c r="B14" s="101" t="s">
        <v>269</v>
      </c>
      <c r="C14" s="102" t="s">
        <v>256</v>
      </c>
      <c r="D14" s="53" t="s">
        <v>16</v>
      </c>
      <c r="E14" s="103" t="s">
        <v>17</v>
      </c>
      <c r="F14" s="30">
        <v>56.61</v>
      </c>
      <c r="G14" s="30">
        <v>11.89</v>
      </c>
      <c r="H14" s="30"/>
      <c r="I14" s="9">
        <f t="shared" si="0"/>
        <v>11.89</v>
      </c>
      <c r="J14" s="31"/>
      <c r="K14" s="9">
        <f t="shared" si="1"/>
        <v>68.5</v>
      </c>
      <c r="L14" t="s">
        <v>42</v>
      </c>
    </row>
    <row r="15" spans="1:12" x14ac:dyDescent="0.25">
      <c r="A15" s="86">
        <v>45297</v>
      </c>
      <c r="B15" s="14">
        <v>24236200134</v>
      </c>
      <c r="C15" s="109" t="s">
        <v>270</v>
      </c>
      <c r="D15" s="14" t="s">
        <v>271</v>
      </c>
      <c r="E15" s="14" t="s">
        <v>17</v>
      </c>
      <c r="F15" s="60">
        <v>41.32</v>
      </c>
      <c r="G15" s="30">
        <v>8.68</v>
      </c>
      <c r="H15" s="30"/>
      <c r="I15" s="9">
        <f t="shared" si="0"/>
        <v>8.68</v>
      </c>
      <c r="J15" s="31"/>
      <c r="K15" s="9">
        <f t="shared" si="1"/>
        <v>50</v>
      </c>
      <c r="L15" t="s">
        <v>42</v>
      </c>
    </row>
    <row r="16" spans="1:12" x14ac:dyDescent="0.25">
      <c r="A16" s="86">
        <v>45297</v>
      </c>
      <c r="B16" s="108" t="s">
        <v>273</v>
      </c>
      <c r="C16" s="109" t="s">
        <v>274</v>
      </c>
      <c r="D16" s="14" t="s">
        <v>275</v>
      </c>
      <c r="E16" s="14" t="s">
        <v>276</v>
      </c>
      <c r="F16" s="60">
        <v>46.36</v>
      </c>
      <c r="G16" s="30"/>
      <c r="H16" s="30">
        <v>4.6399999999999997</v>
      </c>
      <c r="I16" s="9">
        <f t="shared" si="0"/>
        <v>4.6399999999999997</v>
      </c>
      <c r="J16" s="31"/>
      <c r="K16" s="9">
        <f t="shared" si="1"/>
        <v>51</v>
      </c>
      <c r="L16" t="s">
        <v>42</v>
      </c>
    </row>
    <row r="17" spans="1:12" x14ac:dyDescent="0.25">
      <c r="A17" s="86">
        <v>44933</v>
      </c>
      <c r="B17" s="108" t="s">
        <v>277</v>
      </c>
      <c r="C17" s="109" t="s">
        <v>256</v>
      </c>
      <c r="D17" s="14" t="s">
        <v>16</v>
      </c>
      <c r="E17" s="14" t="s">
        <v>17</v>
      </c>
      <c r="F17" s="60">
        <v>61.01</v>
      </c>
      <c r="G17" s="30">
        <v>12.81</v>
      </c>
      <c r="H17" s="30"/>
      <c r="I17" s="9">
        <f t="shared" si="0"/>
        <v>12.81</v>
      </c>
      <c r="J17" s="31"/>
      <c r="K17" s="9">
        <f t="shared" si="1"/>
        <v>73.819999999999993</v>
      </c>
      <c r="L17" t="s">
        <v>42</v>
      </c>
    </row>
    <row r="18" spans="1:12" x14ac:dyDescent="0.25">
      <c r="A18" s="86">
        <v>44933</v>
      </c>
      <c r="B18" s="108">
        <v>24236200141</v>
      </c>
      <c r="C18" s="109" t="s">
        <v>270</v>
      </c>
      <c r="D18" s="14" t="s">
        <v>271</v>
      </c>
      <c r="E18" s="14" t="s">
        <v>17</v>
      </c>
      <c r="F18" s="60">
        <v>41.32</v>
      </c>
      <c r="G18" s="30">
        <v>8.68</v>
      </c>
      <c r="H18" s="30"/>
      <c r="I18" s="9">
        <f t="shared" si="0"/>
        <v>8.68</v>
      </c>
      <c r="J18" s="31"/>
      <c r="K18" s="9">
        <f t="shared" si="1"/>
        <v>50</v>
      </c>
      <c r="L18" t="s">
        <v>42</v>
      </c>
    </row>
    <row r="19" spans="1:12" x14ac:dyDescent="0.25">
      <c r="A19" s="86">
        <v>44933</v>
      </c>
      <c r="B19" s="111" t="s">
        <v>279</v>
      </c>
      <c r="C19" s="109" t="s">
        <v>270</v>
      </c>
      <c r="D19" s="14" t="s">
        <v>271</v>
      </c>
      <c r="E19" s="110" t="s">
        <v>17</v>
      </c>
      <c r="F19" s="60">
        <v>12.4</v>
      </c>
      <c r="G19" s="30">
        <v>2.6</v>
      </c>
      <c r="H19" s="30"/>
      <c r="I19" s="9">
        <f t="shared" si="0"/>
        <v>2.6</v>
      </c>
      <c r="J19" s="31"/>
      <c r="K19" s="9">
        <f t="shared" si="1"/>
        <v>15</v>
      </c>
      <c r="L19" t="s">
        <v>42</v>
      </c>
    </row>
    <row r="20" spans="1:12" x14ac:dyDescent="0.25">
      <c r="A20" s="104">
        <v>45299</v>
      </c>
      <c r="B20" s="105">
        <v>24236200150</v>
      </c>
      <c r="C20" s="106" t="s">
        <v>270</v>
      </c>
      <c r="D20" s="26" t="s">
        <v>271</v>
      </c>
      <c r="E20" s="107" t="s">
        <v>17</v>
      </c>
      <c r="F20" s="30">
        <v>38.729999999999997</v>
      </c>
      <c r="G20" s="30">
        <v>8.1300000000000008</v>
      </c>
      <c r="H20" s="30"/>
      <c r="I20" s="9">
        <f t="shared" si="0"/>
        <v>8.1300000000000008</v>
      </c>
      <c r="J20" s="31"/>
      <c r="K20" s="9">
        <f t="shared" si="1"/>
        <v>46.86</v>
      </c>
      <c r="L20" t="s">
        <v>42</v>
      </c>
    </row>
    <row r="21" spans="1:12" x14ac:dyDescent="0.25">
      <c r="A21" s="33">
        <v>45299</v>
      </c>
      <c r="B21" s="35">
        <v>24236200151</v>
      </c>
      <c r="C21" s="28" t="s">
        <v>270</v>
      </c>
      <c r="D21" s="36" t="s">
        <v>271</v>
      </c>
      <c r="E21" s="29" t="s">
        <v>17</v>
      </c>
      <c r="F21" s="30">
        <v>49.59</v>
      </c>
      <c r="G21" s="30">
        <v>10.41</v>
      </c>
      <c r="H21" s="30"/>
      <c r="I21" s="9">
        <f t="shared" si="0"/>
        <v>10.41</v>
      </c>
      <c r="J21" s="31"/>
      <c r="K21" s="9">
        <f t="shared" si="1"/>
        <v>60</v>
      </c>
      <c r="L21" t="s">
        <v>42</v>
      </c>
    </row>
    <row r="22" spans="1:12" x14ac:dyDescent="0.25">
      <c r="A22" s="33">
        <v>45299</v>
      </c>
      <c r="B22" s="34" t="s">
        <v>272</v>
      </c>
      <c r="C22" s="28" t="s">
        <v>270</v>
      </c>
      <c r="D22" s="36" t="s">
        <v>271</v>
      </c>
      <c r="E22" s="29" t="s">
        <v>17</v>
      </c>
      <c r="F22" s="30">
        <v>66.12</v>
      </c>
      <c r="G22" s="30">
        <v>13.88</v>
      </c>
      <c r="H22" s="30"/>
      <c r="I22" s="9">
        <f t="shared" si="0"/>
        <v>13.88</v>
      </c>
      <c r="J22" s="31"/>
      <c r="K22" s="9">
        <f t="shared" si="1"/>
        <v>80</v>
      </c>
      <c r="L22" t="s">
        <v>42</v>
      </c>
    </row>
    <row r="23" spans="1:12" x14ac:dyDescent="0.25">
      <c r="A23" s="33">
        <v>45299</v>
      </c>
      <c r="B23" s="35">
        <v>24236200153</v>
      </c>
      <c r="C23" s="28" t="s">
        <v>270</v>
      </c>
      <c r="D23" s="36" t="s">
        <v>271</v>
      </c>
      <c r="E23" s="29" t="s">
        <v>17</v>
      </c>
      <c r="F23" s="30">
        <v>33.39</v>
      </c>
      <c r="G23" s="30">
        <v>7.01</v>
      </c>
      <c r="H23" s="30"/>
      <c r="I23" s="9">
        <f t="shared" si="0"/>
        <v>7.01</v>
      </c>
      <c r="J23" s="31"/>
      <c r="K23" s="9">
        <f t="shared" si="1"/>
        <v>40.4</v>
      </c>
      <c r="L23" t="s">
        <v>42</v>
      </c>
    </row>
    <row r="24" spans="1:12" x14ac:dyDescent="0.25">
      <c r="A24" s="33">
        <v>45299</v>
      </c>
      <c r="B24" s="35">
        <v>24236200154</v>
      </c>
      <c r="C24" s="28" t="s">
        <v>270</v>
      </c>
      <c r="D24" s="36" t="s">
        <v>271</v>
      </c>
      <c r="E24" s="29" t="s">
        <v>17</v>
      </c>
      <c r="F24" s="30">
        <v>39.909999999999997</v>
      </c>
      <c r="G24" s="30">
        <v>8.3800000000000008</v>
      </c>
      <c r="H24" s="30"/>
      <c r="I24" s="9">
        <f t="shared" si="0"/>
        <v>8.3800000000000008</v>
      </c>
      <c r="J24" s="31"/>
      <c r="K24" s="9">
        <f t="shared" si="1"/>
        <v>48.29</v>
      </c>
      <c r="L24" t="s">
        <v>42</v>
      </c>
    </row>
    <row r="25" spans="1:12" x14ac:dyDescent="0.25">
      <c r="A25" s="33">
        <v>45299</v>
      </c>
      <c r="B25" s="35">
        <v>65855</v>
      </c>
      <c r="C25" s="28" t="s">
        <v>278</v>
      </c>
      <c r="D25" s="36" t="s">
        <v>280</v>
      </c>
      <c r="E25" s="29" t="s">
        <v>281</v>
      </c>
      <c r="F25" s="30">
        <v>16.489999999999998</v>
      </c>
      <c r="G25" s="30">
        <v>3.46</v>
      </c>
      <c r="H25" s="30"/>
      <c r="I25" s="9">
        <f t="shared" si="0"/>
        <v>3.46</v>
      </c>
      <c r="J25" s="31"/>
      <c r="K25" s="9">
        <f t="shared" si="1"/>
        <v>19.95</v>
      </c>
      <c r="L25" t="s">
        <v>42</v>
      </c>
    </row>
    <row r="26" spans="1:12" x14ac:dyDescent="0.25">
      <c r="A26" s="33">
        <v>45300</v>
      </c>
      <c r="B26" s="35" t="s">
        <v>282</v>
      </c>
      <c r="C26" s="28" t="s">
        <v>259</v>
      </c>
      <c r="D26" s="36" t="s">
        <v>24</v>
      </c>
      <c r="E26" s="29" t="s">
        <v>25</v>
      </c>
      <c r="F26" s="30">
        <v>11.45</v>
      </c>
      <c r="G26" s="30"/>
      <c r="H26" s="30">
        <v>1.1499999999999999</v>
      </c>
      <c r="I26" s="9">
        <f t="shared" si="0"/>
        <v>1.1499999999999999</v>
      </c>
      <c r="J26" s="31"/>
      <c r="K26" s="9">
        <f t="shared" si="1"/>
        <v>12.6</v>
      </c>
      <c r="L26" t="s">
        <v>42</v>
      </c>
    </row>
    <row r="27" spans="1:12" x14ac:dyDescent="0.25">
      <c r="A27" s="33">
        <v>45301</v>
      </c>
      <c r="B27" s="35">
        <v>29637</v>
      </c>
      <c r="C27" s="28" t="s">
        <v>283</v>
      </c>
      <c r="D27" s="36" t="s">
        <v>284</v>
      </c>
      <c r="E27" s="29" t="s">
        <v>15</v>
      </c>
      <c r="F27" s="30">
        <v>37.5</v>
      </c>
      <c r="G27" s="30">
        <v>7.49</v>
      </c>
      <c r="H27" s="30">
        <v>0.18</v>
      </c>
      <c r="I27" s="9">
        <f t="shared" si="0"/>
        <v>7.67</v>
      </c>
      <c r="J27" s="31"/>
      <c r="K27" s="9">
        <f t="shared" si="1"/>
        <v>45.17</v>
      </c>
      <c r="L27" t="s">
        <v>42</v>
      </c>
    </row>
    <row r="28" spans="1:12" x14ac:dyDescent="0.25">
      <c r="A28" s="33">
        <v>45298</v>
      </c>
      <c r="B28" s="35" t="s">
        <v>287</v>
      </c>
      <c r="C28" s="28" t="s">
        <v>288</v>
      </c>
      <c r="D28" s="36" t="s">
        <v>289</v>
      </c>
      <c r="E28" s="29" t="s">
        <v>290</v>
      </c>
      <c r="F28" s="30"/>
      <c r="G28" s="30"/>
      <c r="H28" s="30"/>
      <c r="I28" s="9">
        <f t="shared" si="0"/>
        <v>0</v>
      </c>
      <c r="J28" s="31"/>
      <c r="K28" s="9">
        <f t="shared" si="1"/>
        <v>0</v>
      </c>
      <c r="L28" t="s">
        <v>295</v>
      </c>
    </row>
    <row r="29" spans="1:12" x14ac:dyDescent="0.25">
      <c r="A29" s="33">
        <v>45299</v>
      </c>
      <c r="B29" s="35" t="s">
        <v>291</v>
      </c>
      <c r="C29" s="28" t="s">
        <v>292</v>
      </c>
      <c r="D29" s="36" t="s">
        <v>293</v>
      </c>
      <c r="E29" s="29" t="s">
        <v>294</v>
      </c>
      <c r="F29" s="30">
        <v>148.81</v>
      </c>
      <c r="G29" s="30">
        <v>31.25</v>
      </c>
      <c r="H29" s="30"/>
      <c r="I29" s="9">
        <f t="shared" si="0"/>
        <v>31.25</v>
      </c>
      <c r="J29" s="31"/>
      <c r="K29" s="9">
        <f t="shared" si="1"/>
        <v>180.06</v>
      </c>
      <c r="L29" t="s">
        <v>295</v>
      </c>
    </row>
    <row r="30" spans="1:12" x14ac:dyDescent="0.25">
      <c r="A30" s="33">
        <v>45294</v>
      </c>
      <c r="B30" s="34" t="s">
        <v>296</v>
      </c>
      <c r="C30" s="28" t="s">
        <v>292</v>
      </c>
      <c r="D30" s="36" t="s">
        <v>293</v>
      </c>
      <c r="E30" s="29" t="s">
        <v>294</v>
      </c>
      <c r="F30" s="30">
        <v>187.91</v>
      </c>
      <c r="G30" s="30"/>
      <c r="H30" s="30">
        <v>18.79</v>
      </c>
      <c r="I30" s="9">
        <f t="shared" si="0"/>
        <v>18.79</v>
      </c>
      <c r="J30" s="31"/>
      <c r="K30" s="9">
        <f t="shared" si="1"/>
        <v>206.7</v>
      </c>
      <c r="L30" t="s">
        <v>295</v>
      </c>
    </row>
    <row r="31" spans="1:12" x14ac:dyDescent="0.25">
      <c r="A31" s="33">
        <v>45295</v>
      </c>
      <c r="B31" s="35">
        <v>64359</v>
      </c>
      <c r="C31" s="28" t="s">
        <v>278</v>
      </c>
      <c r="D31" s="36" t="s">
        <v>280</v>
      </c>
      <c r="E31" s="29" t="s">
        <v>281</v>
      </c>
      <c r="F31" s="30">
        <v>7.93</v>
      </c>
      <c r="G31" s="30">
        <v>1.67</v>
      </c>
      <c r="H31" s="30"/>
      <c r="I31" s="9">
        <f t="shared" si="0"/>
        <v>1.67</v>
      </c>
      <c r="J31" s="31"/>
      <c r="K31" s="9">
        <f t="shared" si="1"/>
        <v>9.6</v>
      </c>
      <c r="L31" t="s">
        <v>42</v>
      </c>
    </row>
    <row r="32" spans="1:12" x14ac:dyDescent="0.25">
      <c r="A32" s="33">
        <v>45299</v>
      </c>
      <c r="B32" s="34" t="s">
        <v>297</v>
      </c>
      <c r="C32" s="28" t="s">
        <v>298</v>
      </c>
      <c r="D32" s="36" t="s">
        <v>299</v>
      </c>
      <c r="E32" s="29" t="s">
        <v>300</v>
      </c>
      <c r="F32" s="30">
        <v>780.96</v>
      </c>
      <c r="G32" s="30">
        <v>164</v>
      </c>
      <c r="H32" s="30"/>
      <c r="I32" s="9">
        <f t="shared" si="0"/>
        <v>164</v>
      </c>
      <c r="J32" s="23"/>
      <c r="K32" s="9">
        <f>F32+I32+J32</f>
        <v>944.96</v>
      </c>
      <c r="L32" t="s">
        <v>267</v>
      </c>
    </row>
    <row r="33" spans="1:13" x14ac:dyDescent="0.25">
      <c r="A33" s="33">
        <v>45302</v>
      </c>
      <c r="B33" s="34" t="s">
        <v>301</v>
      </c>
      <c r="C33" s="28" t="s">
        <v>302</v>
      </c>
      <c r="D33" s="36" t="s">
        <v>303</v>
      </c>
      <c r="E33" s="29" t="s">
        <v>304</v>
      </c>
      <c r="F33" s="30">
        <v>15</v>
      </c>
      <c r="G33" s="30">
        <v>3.15</v>
      </c>
      <c r="H33" s="30"/>
      <c r="I33" s="9">
        <f t="shared" si="0"/>
        <v>3.15</v>
      </c>
      <c r="J33" s="31"/>
      <c r="K33" s="9">
        <f t="shared" si="1"/>
        <v>18.149999999999999</v>
      </c>
      <c r="L33" t="s">
        <v>295</v>
      </c>
    </row>
    <row r="34" spans="1:13" x14ac:dyDescent="0.25">
      <c r="A34" s="33">
        <v>45305</v>
      </c>
      <c r="B34" s="34" t="s">
        <v>305</v>
      </c>
      <c r="C34" s="28" t="s">
        <v>302</v>
      </c>
      <c r="D34" s="36" t="s">
        <v>303</v>
      </c>
      <c r="E34" s="29" t="s">
        <v>304</v>
      </c>
      <c r="F34" s="30">
        <v>19.989999999999998</v>
      </c>
      <c r="G34" s="30">
        <v>4.2</v>
      </c>
      <c r="H34" s="30"/>
      <c r="I34" s="9">
        <f t="shared" si="0"/>
        <v>4.2</v>
      </c>
      <c r="J34" s="31"/>
      <c r="K34" s="9">
        <f t="shared" si="1"/>
        <v>24.189999999999998</v>
      </c>
      <c r="L34" t="s">
        <v>295</v>
      </c>
    </row>
    <row r="35" spans="1:13" x14ac:dyDescent="0.25">
      <c r="A35" s="33">
        <v>44938</v>
      </c>
      <c r="B35" s="34" t="s">
        <v>306</v>
      </c>
      <c r="C35" s="28" t="s">
        <v>22</v>
      </c>
      <c r="D35" s="36" t="s">
        <v>23</v>
      </c>
      <c r="E35" s="29" t="s">
        <v>15</v>
      </c>
      <c r="F35" s="30">
        <v>34.770000000000003</v>
      </c>
      <c r="G35" s="30">
        <v>5.5</v>
      </c>
      <c r="H35" s="30"/>
      <c r="I35" s="9">
        <f t="shared" si="0"/>
        <v>5.5</v>
      </c>
      <c r="J35" s="31"/>
      <c r="K35" s="9">
        <f t="shared" si="1"/>
        <v>40.270000000000003</v>
      </c>
      <c r="L35" t="s">
        <v>42</v>
      </c>
    </row>
    <row r="36" spans="1:13" x14ac:dyDescent="0.25">
      <c r="A36" s="33">
        <v>45303</v>
      </c>
      <c r="B36" s="34" t="s">
        <v>307</v>
      </c>
      <c r="C36" s="28" t="s">
        <v>310</v>
      </c>
      <c r="D36" s="36" t="s">
        <v>311</v>
      </c>
      <c r="E36" s="29" t="s">
        <v>15</v>
      </c>
      <c r="F36" s="30">
        <v>88.38</v>
      </c>
      <c r="G36" s="30">
        <v>15.62</v>
      </c>
      <c r="H36" s="30">
        <v>1.25</v>
      </c>
      <c r="I36" s="9">
        <f t="shared" si="0"/>
        <v>16.869999999999997</v>
      </c>
      <c r="J36" s="31"/>
      <c r="K36" s="9">
        <f t="shared" si="1"/>
        <v>105.25</v>
      </c>
      <c r="L36" t="s">
        <v>42</v>
      </c>
    </row>
    <row r="37" spans="1:13" x14ac:dyDescent="0.25">
      <c r="A37" s="33">
        <v>45303</v>
      </c>
      <c r="B37" s="34" t="s">
        <v>308</v>
      </c>
      <c r="C37" s="28" t="s">
        <v>310</v>
      </c>
      <c r="D37" s="36" t="s">
        <v>311</v>
      </c>
      <c r="E37" s="29" t="s">
        <v>15</v>
      </c>
      <c r="F37" s="30">
        <v>83.08</v>
      </c>
      <c r="G37" s="30">
        <v>14.58</v>
      </c>
      <c r="H37" s="30">
        <v>1.36</v>
      </c>
      <c r="I37" s="9">
        <f t="shared" si="0"/>
        <v>15.94</v>
      </c>
      <c r="J37" s="31"/>
      <c r="K37" s="9">
        <f t="shared" si="1"/>
        <v>99.02</v>
      </c>
      <c r="L37" t="s">
        <v>42</v>
      </c>
    </row>
    <row r="38" spans="1:13" x14ac:dyDescent="0.25">
      <c r="A38" s="33">
        <v>45303</v>
      </c>
      <c r="B38" s="34" t="s">
        <v>309</v>
      </c>
      <c r="C38" s="28" t="s">
        <v>22</v>
      </c>
      <c r="D38" s="36" t="s">
        <v>23</v>
      </c>
      <c r="E38" s="29" t="s">
        <v>15</v>
      </c>
      <c r="F38" s="30">
        <v>15.39</v>
      </c>
      <c r="G38" s="30">
        <v>0.03</v>
      </c>
      <c r="H38" s="30">
        <v>1.53</v>
      </c>
      <c r="I38" s="9">
        <f t="shared" si="0"/>
        <v>1.56</v>
      </c>
      <c r="J38" s="31"/>
      <c r="K38" s="9">
        <f t="shared" si="1"/>
        <v>16.95</v>
      </c>
      <c r="L38" t="s">
        <v>42</v>
      </c>
    </row>
    <row r="39" spans="1:13" x14ac:dyDescent="0.25">
      <c r="A39" s="33">
        <v>45303</v>
      </c>
      <c r="B39" s="34" t="s">
        <v>312</v>
      </c>
      <c r="C39" s="28" t="s">
        <v>278</v>
      </c>
      <c r="D39" s="36" t="s">
        <v>280</v>
      </c>
      <c r="E39" s="29" t="s">
        <v>281</v>
      </c>
      <c r="F39" s="30">
        <v>14.71</v>
      </c>
      <c r="G39" s="30">
        <v>3.09</v>
      </c>
      <c r="H39" s="30"/>
      <c r="I39" s="9">
        <f t="shared" si="0"/>
        <v>3.09</v>
      </c>
      <c r="J39" s="31"/>
      <c r="K39" s="9">
        <f t="shared" si="1"/>
        <v>17.8</v>
      </c>
      <c r="L39" t="s">
        <v>42</v>
      </c>
    </row>
    <row r="40" spans="1:13" x14ac:dyDescent="0.25">
      <c r="A40" s="33">
        <v>45304</v>
      </c>
      <c r="B40" s="34" t="s">
        <v>313</v>
      </c>
      <c r="C40" s="28" t="s">
        <v>256</v>
      </c>
      <c r="D40" s="36" t="s">
        <v>16</v>
      </c>
      <c r="E40" s="29" t="s">
        <v>17</v>
      </c>
      <c r="F40" s="30">
        <v>101.36</v>
      </c>
      <c r="G40" s="30">
        <v>21.28</v>
      </c>
      <c r="H40" s="30"/>
      <c r="I40" s="9">
        <f t="shared" si="0"/>
        <v>21.28</v>
      </c>
      <c r="J40" s="31"/>
      <c r="K40" s="9">
        <f t="shared" si="1"/>
        <v>122.64</v>
      </c>
      <c r="L40" t="s">
        <v>42</v>
      </c>
    </row>
    <row r="41" spans="1:13" x14ac:dyDescent="0.25">
      <c r="A41" s="33">
        <v>45304</v>
      </c>
      <c r="B41" s="34" t="s">
        <v>314</v>
      </c>
      <c r="C41" s="28" t="s">
        <v>256</v>
      </c>
      <c r="D41" s="36" t="s">
        <v>16</v>
      </c>
      <c r="E41" s="29" t="s">
        <v>17</v>
      </c>
      <c r="F41" s="30">
        <v>70.13</v>
      </c>
      <c r="G41" s="30">
        <v>57.96</v>
      </c>
      <c r="H41" s="30"/>
      <c r="I41" s="9">
        <f t="shared" si="0"/>
        <v>57.96</v>
      </c>
      <c r="J41" s="31"/>
      <c r="K41" s="9">
        <f t="shared" si="1"/>
        <v>128.09</v>
      </c>
      <c r="L41" t="s">
        <v>42</v>
      </c>
    </row>
    <row r="42" spans="1:13" x14ac:dyDescent="0.25">
      <c r="A42" s="33">
        <v>45304</v>
      </c>
      <c r="B42" s="34" t="s">
        <v>315</v>
      </c>
      <c r="C42" s="28" t="s">
        <v>261</v>
      </c>
      <c r="D42" s="36" t="s">
        <v>20</v>
      </c>
      <c r="E42" s="29" t="s">
        <v>17</v>
      </c>
      <c r="F42" s="30">
        <v>47.97</v>
      </c>
      <c r="G42" s="30">
        <v>10.07</v>
      </c>
      <c r="H42" s="30"/>
      <c r="I42" s="9">
        <f t="shared" si="0"/>
        <v>10.07</v>
      </c>
      <c r="J42" s="31"/>
      <c r="K42" s="9">
        <f t="shared" si="1"/>
        <v>58.04</v>
      </c>
      <c r="L42" t="s">
        <v>42</v>
      </c>
    </row>
    <row r="43" spans="1:13" x14ac:dyDescent="0.25">
      <c r="A43" s="33">
        <v>45306</v>
      </c>
      <c r="B43" s="34" t="s">
        <v>316</v>
      </c>
      <c r="C43" s="28" t="s">
        <v>317</v>
      </c>
      <c r="D43" s="36" t="s">
        <v>318</v>
      </c>
      <c r="E43" s="29" t="s">
        <v>319</v>
      </c>
      <c r="F43" s="30">
        <v>355.44</v>
      </c>
      <c r="G43" s="30">
        <v>74.64</v>
      </c>
      <c r="H43" s="30"/>
      <c r="I43" s="9">
        <f t="shared" si="0"/>
        <v>74.64</v>
      </c>
      <c r="J43" s="31"/>
      <c r="K43" s="9">
        <f t="shared" si="1"/>
        <v>430.08</v>
      </c>
      <c r="L43" t="s">
        <v>42</v>
      </c>
      <c r="M43" t="s">
        <v>320</v>
      </c>
    </row>
    <row r="44" spans="1:13" x14ac:dyDescent="0.25">
      <c r="A44" s="33">
        <v>45306</v>
      </c>
      <c r="B44" s="34" t="s">
        <v>321</v>
      </c>
      <c r="C44" s="28" t="s">
        <v>322</v>
      </c>
      <c r="D44" s="36" t="s">
        <v>323</v>
      </c>
      <c r="E44" s="29" t="s">
        <v>17</v>
      </c>
      <c r="F44" s="30">
        <v>33.06</v>
      </c>
      <c r="G44" s="30">
        <v>6.94</v>
      </c>
      <c r="H44" s="30"/>
      <c r="I44" s="9">
        <f t="shared" si="0"/>
        <v>6.94</v>
      </c>
      <c r="J44" s="31"/>
      <c r="K44" s="9">
        <f t="shared" si="1"/>
        <v>40</v>
      </c>
      <c r="L44" t="s">
        <v>42</v>
      </c>
    </row>
    <row r="45" spans="1:13" x14ac:dyDescent="0.25">
      <c r="A45" s="33">
        <v>45296</v>
      </c>
      <c r="B45" s="34" t="s">
        <v>324</v>
      </c>
      <c r="C45" s="28" t="s">
        <v>325</v>
      </c>
      <c r="D45" s="36" t="s">
        <v>326</v>
      </c>
      <c r="E45" s="29" t="s">
        <v>290</v>
      </c>
      <c r="F45" s="30">
        <v>76.78</v>
      </c>
      <c r="G45" s="30">
        <v>16.12</v>
      </c>
      <c r="H45" s="30"/>
      <c r="I45" s="9">
        <f t="shared" si="0"/>
        <v>16.12</v>
      </c>
      <c r="J45" s="31"/>
      <c r="K45" s="9">
        <f t="shared" si="1"/>
        <v>92.9</v>
      </c>
      <c r="L45" t="s">
        <v>295</v>
      </c>
    </row>
    <row r="46" spans="1:13" x14ac:dyDescent="0.25">
      <c r="A46" s="33">
        <v>45306</v>
      </c>
      <c r="B46" s="34" t="s">
        <v>327</v>
      </c>
      <c r="C46" s="28" t="s">
        <v>261</v>
      </c>
      <c r="D46" s="36" t="s">
        <v>20</v>
      </c>
      <c r="E46" s="29" t="s">
        <v>17</v>
      </c>
      <c r="F46" s="30">
        <v>49.59</v>
      </c>
      <c r="G46" s="30">
        <v>10.41</v>
      </c>
      <c r="H46" s="30"/>
      <c r="I46" s="9">
        <f t="shared" si="0"/>
        <v>10.41</v>
      </c>
      <c r="J46" s="31"/>
      <c r="K46" s="9">
        <f t="shared" si="1"/>
        <v>60</v>
      </c>
      <c r="L46" t="s">
        <v>42</v>
      </c>
    </row>
    <row r="47" spans="1:13" x14ac:dyDescent="0.25">
      <c r="A47" s="33">
        <v>45307</v>
      </c>
      <c r="B47" s="34" t="s">
        <v>328</v>
      </c>
      <c r="C47" s="28" t="s">
        <v>259</v>
      </c>
      <c r="D47" s="36" t="s">
        <v>24</v>
      </c>
      <c r="E47" s="29" t="s">
        <v>25</v>
      </c>
      <c r="F47" s="30">
        <v>11.45</v>
      </c>
      <c r="G47" s="30"/>
      <c r="H47" s="30">
        <v>1.1499999999999999</v>
      </c>
      <c r="I47" s="9">
        <f t="shared" si="0"/>
        <v>1.1499999999999999</v>
      </c>
      <c r="J47" s="31"/>
      <c r="K47" s="9">
        <f t="shared" si="1"/>
        <v>12.6</v>
      </c>
      <c r="L47" t="s">
        <v>42</v>
      </c>
    </row>
    <row r="48" spans="1:13" x14ac:dyDescent="0.25">
      <c r="A48" s="33">
        <v>45307</v>
      </c>
      <c r="B48" s="34" t="s">
        <v>329</v>
      </c>
      <c r="C48" s="28" t="s">
        <v>22</v>
      </c>
      <c r="D48" s="36" t="s">
        <v>23</v>
      </c>
      <c r="E48" s="29" t="s">
        <v>15</v>
      </c>
      <c r="F48" s="30">
        <v>32.020000000000003</v>
      </c>
      <c r="G48" s="30">
        <v>0.03</v>
      </c>
      <c r="H48" s="30">
        <v>3</v>
      </c>
      <c r="I48" s="9">
        <f t="shared" si="0"/>
        <v>3.03</v>
      </c>
      <c r="J48" s="31"/>
      <c r="K48" s="9">
        <f t="shared" si="1"/>
        <v>35.050000000000004</v>
      </c>
      <c r="L48" t="s">
        <v>42</v>
      </c>
    </row>
    <row r="49" spans="1:12" x14ac:dyDescent="0.25">
      <c r="A49" s="33">
        <v>45308</v>
      </c>
      <c r="B49" s="34" t="s">
        <v>330</v>
      </c>
      <c r="C49" s="28" t="s">
        <v>310</v>
      </c>
      <c r="D49" s="36" t="s">
        <v>311</v>
      </c>
      <c r="E49" s="29" t="s">
        <v>15</v>
      </c>
      <c r="F49" s="30">
        <v>33.380000000000003</v>
      </c>
      <c r="G49" s="30">
        <v>5.9</v>
      </c>
      <c r="H49" s="30">
        <v>0.38</v>
      </c>
      <c r="I49" s="9">
        <f t="shared" si="0"/>
        <v>6.28</v>
      </c>
      <c r="J49" s="31"/>
      <c r="K49" s="9">
        <f t="shared" si="1"/>
        <v>39.660000000000004</v>
      </c>
      <c r="L49" t="s">
        <v>267</v>
      </c>
    </row>
    <row r="50" spans="1:12" x14ac:dyDescent="0.25">
      <c r="A50" s="33">
        <v>45308</v>
      </c>
      <c r="B50" s="34" t="s">
        <v>331</v>
      </c>
      <c r="C50" s="28" t="s">
        <v>310</v>
      </c>
      <c r="D50" s="36" t="s">
        <v>311</v>
      </c>
      <c r="E50" s="29" t="s">
        <v>15</v>
      </c>
      <c r="F50" s="30">
        <v>285.74</v>
      </c>
      <c r="G50" s="30">
        <v>57.5</v>
      </c>
      <c r="H50" s="30">
        <v>1.2</v>
      </c>
      <c r="I50" s="9">
        <f t="shared" si="0"/>
        <v>58.7</v>
      </c>
      <c r="J50" s="31"/>
      <c r="K50" s="9">
        <f t="shared" si="1"/>
        <v>344.44</v>
      </c>
      <c r="L50" t="s">
        <v>267</v>
      </c>
    </row>
    <row r="51" spans="1:12" x14ac:dyDescent="0.25">
      <c r="A51" s="33">
        <v>45310</v>
      </c>
      <c r="B51" s="34" t="s">
        <v>371</v>
      </c>
      <c r="C51" s="28" t="s">
        <v>283</v>
      </c>
      <c r="D51" s="36" t="s">
        <v>284</v>
      </c>
      <c r="E51" s="29" t="s">
        <v>15</v>
      </c>
      <c r="F51" s="30">
        <v>24.78</v>
      </c>
      <c r="G51" s="30">
        <v>5.2</v>
      </c>
      <c r="H51" s="30"/>
      <c r="I51" s="9">
        <f t="shared" si="0"/>
        <v>5.2</v>
      </c>
      <c r="J51" s="31"/>
      <c r="K51" s="9">
        <f t="shared" si="1"/>
        <v>29.98</v>
      </c>
      <c r="L51" t="s">
        <v>42</v>
      </c>
    </row>
    <row r="52" spans="1:12" x14ac:dyDescent="0.25">
      <c r="A52" s="33">
        <v>45310</v>
      </c>
      <c r="B52" s="34" t="s">
        <v>372</v>
      </c>
      <c r="C52" s="28" t="s">
        <v>261</v>
      </c>
      <c r="D52" s="36" t="s">
        <v>20</v>
      </c>
      <c r="E52" s="29" t="s">
        <v>17</v>
      </c>
      <c r="F52" s="30">
        <v>27.27</v>
      </c>
      <c r="G52" s="30">
        <v>5.73</v>
      </c>
      <c r="H52" s="30"/>
      <c r="I52" s="9">
        <f t="shared" si="0"/>
        <v>5.73</v>
      </c>
      <c r="J52" s="31"/>
      <c r="K52" s="9">
        <f t="shared" si="1"/>
        <v>33</v>
      </c>
      <c r="L52" t="s">
        <v>42</v>
      </c>
    </row>
    <row r="53" spans="1:12" x14ac:dyDescent="0.25">
      <c r="A53" s="38">
        <v>45311</v>
      </c>
      <c r="B53" s="34" t="s">
        <v>373</v>
      </c>
      <c r="C53" s="28" t="s">
        <v>375</v>
      </c>
      <c r="D53" s="36" t="s">
        <v>374</v>
      </c>
      <c r="E53" s="29" t="s">
        <v>281</v>
      </c>
      <c r="F53" s="30">
        <v>70.91</v>
      </c>
      <c r="G53" s="30"/>
      <c r="H53" s="30">
        <v>7.09</v>
      </c>
      <c r="I53" s="9">
        <f t="shared" si="0"/>
        <v>7.09</v>
      </c>
      <c r="J53" s="31"/>
      <c r="K53" s="9">
        <f t="shared" si="1"/>
        <v>78</v>
      </c>
      <c r="L53" t="s">
        <v>42</v>
      </c>
    </row>
    <row r="54" spans="1:12" x14ac:dyDescent="0.25">
      <c r="A54" s="33">
        <v>45310</v>
      </c>
      <c r="B54" s="112" t="s">
        <v>376</v>
      </c>
      <c r="C54" s="28" t="s">
        <v>256</v>
      </c>
      <c r="D54" s="36" t="s">
        <v>16</v>
      </c>
      <c r="E54" s="29" t="s">
        <v>17</v>
      </c>
      <c r="F54" s="30">
        <v>22.76</v>
      </c>
      <c r="G54" s="30">
        <v>4.78</v>
      </c>
      <c r="H54" s="30"/>
      <c r="I54" s="9">
        <f t="shared" si="0"/>
        <v>4.78</v>
      </c>
      <c r="J54" s="31"/>
      <c r="K54" s="9">
        <f t="shared" si="1"/>
        <v>27.540000000000003</v>
      </c>
      <c r="L54" t="s">
        <v>42</v>
      </c>
    </row>
    <row r="55" spans="1:12" x14ac:dyDescent="0.25">
      <c r="A55" s="33">
        <v>45314</v>
      </c>
      <c r="B55" s="34" t="s">
        <v>377</v>
      </c>
      <c r="C55" s="28" t="s">
        <v>259</v>
      </c>
      <c r="D55" s="36" t="s">
        <v>24</v>
      </c>
      <c r="E55" s="29" t="s">
        <v>25</v>
      </c>
      <c r="F55" s="30">
        <v>22.940999999999999</v>
      </c>
      <c r="G55" s="30"/>
      <c r="H55" s="30">
        <v>2.29</v>
      </c>
      <c r="I55" s="9">
        <f t="shared" si="0"/>
        <v>2.29</v>
      </c>
      <c r="J55" s="31"/>
      <c r="K55" s="9">
        <f t="shared" si="1"/>
        <v>25.230999999999998</v>
      </c>
      <c r="L55" t="s">
        <v>42</v>
      </c>
    </row>
    <row r="56" spans="1:12" x14ac:dyDescent="0.25">
      <c r="A56" s="33">
        <v>45302</v>
      </c>
      <c r="B56" s="34" t="s">
        <v>301</v>
      </c>
      <c r="C56" s="28" t="s">
        <v>302</v>
      </c>
      <c r="D56" s="36" t="s">
        <v>386</v>
      </c>
      <c r="E56" s="29" t="s">
        <v>304</v>
      </c>
      <c r="F56" s="30">
        <v>15</v>
      </c>
      <c r="G56" s="30">
        <v>3.15</v>
      </c>
      <c r="H56" s="30"/>
      <c r="I56" s="9">
        <f t="shared" si="0"/>
        <v>3.15</v>
      </c>
      <c r="J56" s="31"/>
      <c r="K56" s="9">
        <f t="shared" si="1"/>
        <v>18.149999999999999</v>
      </c>
      <c r="L56" t="s">
        <v>295</v>
      </c>
    </row>
    <row r="57" spans="1:12" x14ac:dyDescent="0.25">
      <c r="A57" s="33">
        <v>45306</v>
      </c>
      <c r="B57" s="34" t="s">
        <v>305</v>
      </c>
      <c r="C57" s="28" t="s">
        <v>302</v>
      </c>
      <c r="D57" s="36" t="s">
        <v>386</v>
      </c>
      <c r="E57" s="29" t="s">
        <v>304</v>
      </c>
      <c r="F57" s="30">
        <v>19.989999999999998</v>
      </c>
      <c r="G57" s="30">
        <v>4.2</v>
      </c>
      <c r="H57" s="30"/>
      <c r="I57" s="9">
        <f t="shared" si="0"/>
        <v>4.2</v>
      </c>
      <c r="J57" s="31"/>
      <c r="K57" s="9">
        <f t="shared" si="1"/>
        <v>24.189999999999998</v>
      </c>
      <c r="L57" t="s">
        <v>295</v>
      </c>
    </row>
    <row r="58" spans="1:12" x14ac:dyDescent="0.25">
      <c r="A58" s="33">
        <v>45308</v>
      </c>
      <c r="B58" s="34" t="s">
        <v>378</v>
      </c>
      <c r="C58" s="28" t="s">
        <v>302</v>
      </c>
      <c r="D58" s="36" t="s">
        <v>386</v>
      </c>
      <c r="E58" s="29" t="s">
        <v>304</v>
      </c>
      <c r="F58" s="30">
        <v>4.4000000000000004</v>
      </c>
      <c r="G58" s="30">
        <v>0.92</v>
      </c>
      <c r="H58" s="30"/>
      <c r="I58" s="9">
        <f t="shared" si="0"/>
        <v>0.92</v>
      </c>
      <c r="J58" s="31"/>
      <c r="K58" s="9">
        <f t="shared" si="1"/>
        <v>5.32</v>
      </c>
      <c r="L58" t="s">
        <v>295</v>
      </c>
    </row>
    <row r="59" spans="1:12" x14ac:dyDescent="0.25">
      <c r="A59" s="33">
        <v>45310</v>
      </c>
      <c r="B59" s="34" t="s">
        <v>379</v>
      </c>
      <c r="C59" s="28" t="s">
        <v>302</v>
      </c>
      <c r="D59" s="36" t="s">
        <v>386</v>
      </c>
      <c r="E59" s="29" t="s">
        <v>304</v>
      </c>
      <c r="F59" s="30">
        <v>29.99</v>
      </c>
      <c r="G59" s="30">
        <v>6.3</v>
      </c>
      <c r="H59" s="30"/>
      <c r="I59" s="9">
        <f t="shared" si="0"/>
        <v>6.3</v>
      </c>
      <c r="J59" s="31"/>
      <c r="K59" s="9">
        <f t="shared" si="1"/>
        <v>36.29</v>
      </c>
      <c r="L59" t="s">
        <v>295</v>
      </c>
    </row>
    <row r="60" spans="1:12" x14ac:dyDescent="0.25">
      <c r="A60" s="33">
        <v>45310</v>
      </c>
      <c r="B60" s="34" t="s">
        <v>380</v>
      </c>
      <c r="C60" s="28" t="s">
        <v>302</v>
      </c>
      <c r="D60" s="36" t="s">
        <v>386</v>
      </c>
      <c r="E60" s="29" t="s">
        <v>304</v>
      </c>
      <c r="F60" s="30">
        <v>29.99</v>
      </c>
      <c r="G60" s="30">
        <v>6.3</v>
      </c>
      <c r="H60" s="30"/>
      <c r="I60" s="9">
        <f t="shared" si="0"/>
        <v>6.3</v>
      </c>
      <c r="J60" s="31"/>
      <c r="K60" s="9">
        <f t="shared" si="1"/>
        <v>36.29</v>
      </c>
      <c r="L60" t="s">
        <v>295</v>
      </c>
    </row>
    <row r="61" spans="1:12" x14ac:dyDescent="0.25">
      <c r="A61" s="33">
        <v>45311</v>
      </c>
      <c r="B61" s="34" t="s">
        <v>381</v>
      </c>
      <c r="C61" s="28" t="s">
        <v>384</v>
      </c>
      <c r="D61" s="36" t="s">
        <v>387</v>
      </c>
      <c r="E61" s="29" t="s">
        <v>389</v>
      </c>
      <c r="F61" s="30">
        <v>387.6</v>
      </c>
      <c r="G61" s="30">
        <v>81.400000000000006</v>
      </c>
      <c r="H61" s="30"/>
      <c r="I61" s="9">
        <f t="shared" si="0"/>
        <v>81.400000000000006</v>
      </c>
      <c r="J61" s="31"/>
      <c r="K61" s="9">
        <f t="shared" si="1"/>
        <v>469</v>
      </c>
      <c r="L61" t="s">
        <v>295</v>
      </c>
    </row>
    <row r="62" spans="1:12" x14ac:dyDescent="0.25">
      <c r="A62" s="33">
        <v>45311</v>
      </c>
      <c r="B62" s="34" t="s">
        <v>382</v>
      </c>
      <c r="C62" s="28" t="s">
        <v>385</v>
      </c>
      <c r="D62" s="36" t="s">
        <v>388</v>
      </c>
      <c r="E62" s="29" t="s">
        <v>389</v>
      </c>
      <c r="F62" s="30">
        <v>4.95</v>
      </c>
      <c r="G62" s="30">
        <v>1.04</v>
      </c>
      <c r="H62" s="30"/>
      <c r="I62" s="9">
        <f t="shared" si="0"/>
        <v>1.04</v>
      </c>
      <c r="J62" s="31"/>
      <c r="K62" s="9">
        <f t="shared" si="1"/>
        <v>5.99</v>
      </c>
      <c r="L62" t="s">
        <v>295</v>
      </c>
    </row>
    <row r="63" spans="1:12" x14ac:dyDescent="0.25">
      <c r="A63" s="33">
        <v>45313</v>
      </c>
      <c r="B63" s="34" t="s">
        <v>383</v>
      </c>
      <c r="C63" s="28" t="s">
        <v>302</v>
      </c>
      <c r="D63" s="36" t="s">
        <v>386</v>
      </c>
      <c r="E63" s="29" t="s">
        <v>304</v>
      </c>
      <c r="F63" s="30">
        <v>29.99</v>
      </c>
      <c r="G63" s="30">
        <v>6.3</v>
      </c>
      <c r="H63" s="30"/>
      <c r="I63" s="9">
        <f t="shared" si="0"/>
        <v>6.3</v>
      </c>
      <c r="J63" s="31"/>
      <c r="K63" s="9">
        <f t="shared" si="1"/>
        <v>36.29</v>
      </c>
      <c r="L63" t="s">
        <v>295</v>
      </c>
    </row>
    <row r="64" spans="1:12" x14ac:dyDescent="0.25">
      <c r="A64" s="33">
        <v>45316</v>
      </c>
      <c r="B64" s="34" t="s">
        <v>390</v>
      </c>
      <c r="C64" s="28" t="s">
        <v>288</v>
      </c>
      <c r="D64" s="36" t="s">
        <v>289</v>
      </c>
      <c r="E64" s="29" t="s">
        <v>290</v>
      </c>
      <c r="F64" s="30">
        <v>149.41999999999999</v>
      </c>
      <c r="G64" s="30">
        <v>31.38</v>
      </c>
      <c r="H64" s="30"/>
      <c r="I64" s="9">
        <f t="shared" si="0"/>
        <v>31.38</v>
      </c>
      <c r="J64" s="31"/>
      <c r="K64" s="9">
        <f t="shared" si="1"/>
        <v>180.79999999999998</v>
      </c>
      <c r="L64" t="s">
        <v>295</v>
      </c>
    </row>
    <row r="65" spans="1:12" x14ac:dyDescent="0.25">
      <c r="A65" s="33">
        <v>45316</v>
      </c>
      <c r="B65" s="34" t="s">
        <v>391</v>
      </c>
      <c r="C65" s="28" t="s">
        <v>288</v>
      </c>
      <c r="D65" s="36" t="s">
        <v>289</v>
      </c>
      <c r="E65" s="29" t="s">
        <v>290</v>
      </c>
      <c r="F65" s="30">
        <v>21.02</v>
      </c>
      <c r="G65" s="30">
        <v>4.42</v>
      </c>
      <c r="H65" s="30"/>
      <c r="I65" s="9">
        <f t="shared" si="0"/>
        <v>4.42</v>
      </c>
      <c r="J65" s="31"/>
      <c r="K65" s="9">
        <f t="shared" si="1"/>
        <v>25.439999999999998</v>
      </c>
      <c r="L65" t="s">
        <v>295</v>
      </c>
    </row>
    <row r="66" spans="1:12" x14ac:dyDescent="0.25">
      <c r="A66" s="33">
        <v>45303</v>
      </c>
      <c r="B66" s="34" t="s">
        <v>312</v>
      </c>
      <c r="C66" s="28" t="s">
        <v>278</v>
      </c>
      <c r="D66" s="36" t="s">
        <v>280</v>
      </c>
      <c r="E66" s="29" t="s">
        <v>281</v>
      </c>
      <c r="F66" s="30">
        <v>14.71</v>
      </c>
      <c r="G66" s="30">
        <v>3.09</v>
      </c>
      <c r="H66" s="30"/>
      <c r="I66" s="9">
        <f t="shared" si="0"/>
        <v>3.09</v>
      </c>
      <c r="J66" s="31"/>
      <c r="K66" s="9">
        <f t="shared" si="1"/>
        <v>17.8</v>
      </c>
      <c r="L66" t="s">
        <v>42</v>
      </c>
    </row>
    <row r="67" spans="1:12" x14ac:dyDescent="0.25">
      <c r="A67" s="33">
        <v>45314</v>
      </c>
      <c r="B67" s="34" t="s">
        <v>392</v>
      </c>
      <c r="C67" s="28" t="s">
        <v>393</v>
      </c>
      <c r="D67" s="36" t="s">
        <v>394</v>
      </c>
      <c r="E67" s="29" t="s">
        <v>395</v>
      </c>
      <c r="F67" s="30">
        <v>1500</v>
      </c>
      <c r="G67" s="30">
        <v>150</v>
      </c>
      <c r="H67" s="30"/>
      <c r="I67" s="9">
        <f t="shared" si="0"/>
        <v>150</v>
      </c>
      <c r="J67" s="31"/>
      <c r="K67" s="9">
        <f t="shared" si="1"/>
        <v>1650</v>
      </c>
      <c r="L67" t="s">
        <v>41</v>
      </c>
    </row>
    <row r="68" spans="1:12" x14ac:dyDescent="0.25">
      <c r="A68" s="33">
        <v>45314</v>
      </c>
      <c r="B68" s="34" t="s">
        <v>396</v>
      </c>
      <c r="C68" s="28" t="s">
        <v>397</v>
      </c>
      <c r="D68" s="36" t="s">
        <v>21</v>
      </c>
      <c r="E68" s="29" t="s">
        <v>281</v>
      </c>
      <c r="F68" s="30">
        <v>102.29</v>
      </c>
      <c r="G68" s="30">
        <v>21.48</v>
      </c>
      <c r="H68" s="30"/>
      <c r="I68" s="9">
        <f t="shared" si="0"/>
        <v>21.48</v>
      </c>
      <c r="J68" s="31"/>
      <c r="K68" s="9">
        <f t="shared" si="1"/>
        <v>123.77000000000001</v>
      </c>
      <c r="L68" t="s">
        <v>42</v>
      </c>
    </row>
    <row r="69" spans="1:12" x14ac:dyDescent="0.25">
      <c r="A69" s="33">
        <v>45315</v>
      </c>
      <c r="B69" s="34" t="s">
        <v>398</v>
      </c>
      <c r="C69" s="28" t="s">
        <v>397</v>
      </c>
      <c r="D69" s="36" t="s">
        <v>21</v>
      </c>
      <c r="E69" s="29" t="s">
        <v>281</v>
      </c>
      <c r="F69" s="30">
        <v>27.22</v>
      </c>
      <c r="G69" s="30">
        <v>5.72</v>
      </c>
      <c r="H69" s="30"/>
      <c r="I69" s="9">
        <f t="shared" si="0"/>
        <v>5.72</v>
      </c>
      <c r="J69" s="31"/>
      <c r="K69" s="9">
        <f t="shared" si="1"/>
        <v>32.94</v>
      </c>
      <c r="L69" t="s">
        <v>42</v>
      </c>
    </row>
    <row r="70" spans="1:12" x14ac:dyDescent="0.25">
      <c r="A70" s="33">
        <v>45315</v>
      </c>
      <c r="B70" s="34" t="s">
        <v>399</v>
      </c>
      <c r="C70" s="28" t="s">
        <v>400</v>
      </c>
      <c r="D70" s="36" t="s">
        <v>401</v>
      </c>
      <c r="E70" s="29" t="s">
        <v>402</v>
      </c>
      <c r="F70" s="30">
        <v>223.33</v>
      </c>
      <c r="G70" s="30">
        <v>46.9</v>
      </c>
      <c r="H70" s="30"/>
      <c r="I70" s="9">
        <f t="shared" si="0"/>
        <v>46.9</v>
      </c>
      <c r="J70" s="31"/>
      <c r="K70" s="9">
        <f t="shared" si="1"/>
        <v>270.23</v>
      </c>
      <c r="L70" t="s">
        <v>42</v>
      </c>
    </row>
    <row r="71" spans="1:12" x14ac:dyDescent="0.25">
      <c r="A71" s="33">
        <v>45315</v>
      </c>
      <c r="B71" s="34" t="s">
        <v>403</v>
      </c>
      <c r="C71" s="28" t="s">
        <v>322</v>
      </c>
      <c r="D71" s="36" t="s">
        <v>323</v>
      </c>
      <c r="E71" s="29" t="s">
        <v>17</v>
      </c>
      <c r="F71" s="30">
        <v>52.36</v>
      </c>
      <c r="G71" s="30">
        <v>11</v>
      </c>
      <c r="H71" s="30"/>
      <c r="I71" s="9">
        <f t="shared" si="0"/>
        <v>11</v>
      </c>
      <c r="J71" s="31"/>
      <c r="K71" s="9">
        <f t="shared" si="1"/>
        <v>63.36</v>
      </c>
      <c r="L71" t="s">
        <v>267</v>
      </c>
    </row>
    <row r="72" spans="1:12" x14ac:dyDescent="0.25">
      <c r="A72" s="33">
        <v>45315</v>
      </c>
      <c r="B72" s="34" t="s">
        <v>404</v>
      </c>
      <c r="C72" s="28" t="s">
        <v>400</v>
      </c>
      <c r="D72" s="36" t="s">
        <v>401</v>
      </c>
      <c r="E72" s="29" t="s">
        <v>402</v>
      </c>
      <c r="F72" s="30">
        <v>-81.19</v>
      </c>
      <c r="G72" s="30">
        <v>-17.05</v>
      </c>
      <c r="H72" s="30"/>
      <c r="I72" s="9">
        <f t="shared" si="0"/>
        <v>-17.05</v>
      </c>
      <c r="J72" s="31"/>
      <c r="K72" s="9">
        <f t="shared" si="1"/>
        <v>-98.24</v>
      </c>
      <c r="L72" t="s">
        <v>42</v>
      </c>
    </row>
    <row r="73" spans="1:12" x14ac:dyDescent="0.25">
      <c r="A73" s="33">
        <v>45315</v>
      </c>
      <c r="B73" s="34" t="s">
        <v>405</v>
      </c>
      <c r="C73" s="28" t="s">
        <v>278</v>
      </c>
      <c r="D73" s="36" t="s">
        <v>280</v>
      </c>
      <c r="E73" s="29" t="s">
        <v>281</v>
      </c>
      <c r="F73" s="30">
        <v>7.52</v>
      </c>
      <c r="G73" s="30">
        <v>1.58</v>
      </c>
      <c r="H73" s="30"/>
      <c r="I73" s="9">
        <f t="shared" si="0"/>
        <v>1.58</v>
      </c>
      <c r="J73" s="31"/>
      <c r="K73" s="9">
        <f t="shared" si="1"/>
        <v>9.1</v>
      </c>
      <c r="L73" t="s">
        <v>42</v>
      </c>
    </row>
    <row r="74" spans="1:12" x14ac:dyDescent="0.25">
      <c r="A74" s="33">
        <v>45316</v>
      </c>
      <c r="B74" s="34" t="s">
        <v>406</v>
      </c>
      <c r="C74" s="28" t="s">
        <v>278</v>
      </c>
      <c r="D74" s="36" t="s">
        <v>280</v>
      </c>
      <c r="E74" s="29" t="s">
        <v>281</v>
      </c>
      <c r="F74" s="30">
        <v>13.84</v>
      </c>
      <c r="G74" s="30">
        <v>2.91</v>
      </c>
      <c r="H74" s="30"/>
      <c r="I74" s="9">
        <f t="shared" si="0"/>
        <v>2.91</v>
      </c>
      <c r="J74" s="31"/>
      <c r="K74" s="9">
        <f t="shared" si="1"/>
        <v>16.75</v>
      </c>
      <c r="L74" t="s">
        <v>42</v>
      </c>
    </row>
    <row r="75" spans="1:12" x14ac:dyDescent="0.25">
      <c r="A75" s="33">
        <v>45317</v>
      </c>
      <c r="B75" s="34" t="s">
        <v>407</v>
      </c>
      <c r="C75" s="28" t="s">
        <v>310</v>
      </c>
      <c r="D75" s="36" t="s">
        <v>311</v>
      </c>
      <c r="E75" s="29" t="s">
        <v>15</v>
      </c>
      <c r="F75" s="30">
        <v>29.22</v>
      </c>
      <c r="G75" s="30">
        <v>5.31</v>
      </c>
      <c r="H75" s="30">
        <v>0.39</v>
      </c>
      <c r="I75" s="9">
        <f t="shared" si="0"/>
        <v>5.6999999999999993</v>
      </c>
      <c r="J75" s="31"/>
      <c r="K75" s="9">
        <f t="shared" si="1"/>
        <v>34.92</v>
      </c>
      <c r="L75" t="s">
        <v>42</v>
      </c>
    </row>
    <row r="76" spans="1:12" x14ac:dyDescent="0.25">
      <c r="A76" s="33">
        <v>45317</v>
      </c>
      <c r="B76" s="34" t="s">
        <v>428</v>
      </c>
      <c r="C76" s="28" t="s">
        <v>278</v>
      </c>
      <c r="D76" s="36" t="s">
        <v>280</v>
      </c>
      <c r="E76" s="29" t="s">
        <v>281</v>
      </c>
      <c r="F76" s="30">
        <v>4.05</v>
      </c>
      <c r="G76" s="30">
        <v>0.85</v>
      </c>
      <c r="H76" s="30"/>
      <c r="I76" s="9">
        <f t="shared" si="0"/>
        <v>0.85</v>
      </c>
      <c r="J76" s="31"/>
      <c r="K76" s="9">
        <f t="shared" si="1"/>
        <v>4.8999999999999995</v>
      </c>
      <c r="L76" t="s">
        <v>42</v>
      </c>
    </row>
    <row r="77" spans="1:12" x14ac:dyDescent="0.25">
      <c r="A77" s="33">
        <v>45319</v>
      </c>
      <c r="B77" s="34" t="s">
        <v>429</v>
      </c>
      <c r="C77" s="28" t="s">
        <v>256</v>
      </c>
      <c r="D77" s="36" t="s">
        <v>16</v>
      </c>
      <c r="E77" s="29" t="s">
        <v>17</v>
      </c>
      <c r="F77" s="30">
        <v>63.67</v>
      </c>
      <c r="G77" s="30">
        <v>13.37</v>
      </c>
      <c r="H77" s="30"/>
      <c r="I77" s="9">
        <f t="shared" si="0"/>
        <v>13.37</v>
      </c>
      <c r="J77" s="31"/>
      <c r="K77" s="9">
        <f t="shared" si="1"/>
        <v>77.040000000000006</v>
      </c>
      <c r="L77" t="s">
        <v>42</v>
      </c>
    </row>
    <row r="78" spans="1:12" x14ac:dyDescent="0.25">
      <c r="A78" s="33">
        <v>45321</v>
      </c>
      <c r="B78" s="34" t="s">
        <v>430</v>
      </c>
      <c r="C78" s="28" t="s">
        <v>261</v>
      </c>
      <c r="D78" s="36" t="s">
        <v>20</v>
      </c>
      <c r="E78" s="29" t="s">
        <v>17</v>
      </c>
      <c r="F78" s="30">
        <v>16.53</v>
      </c>
      <c r="G78" s="30">
        <v>3.47</v>
      </c>
      <c r="H78" s="30"/>
      <c r="I78" s="9">
        <f t="shared" si="0"/>
        <v>3.47</v>
      </c>
      <c r="J78" s="31"/>
      <c r="K78" s="9">
        <f t="shared" si="1"/>
        <v>20</v>
      </c>
      <c r="L78" t="s">
        <v>42</v>
      </c>
    </row>
    <row r="79" spans="1:12" x14ac:dyDescent="0.25">
      <c r="A79" s="33">
        <v>45321</v>
      </c>
      <c r="B79" s="34" t="s">
        <v>431</v>
      </c>
      <c r="C79" s="28" t="s">
        <v>259</v>
      </c>
      <c r="D79" s="36" t="s">
        <v>280</v>
      </c>
      <c r="E79" s="29" t="s">
        <v>25</v>
      </c>
      <c r="F79" s="30">
        <v>19.09</v>
      </c>
      <c r="G79" s="30"/>
      <c r="H79" s="30">
        <v>1.91</v>
      </c>
      <c r="I79" s="9">
        <f t="shared" si="0"/>
        <v>1.91</v>
      </c>
      <c r="J79" s="31"/>
      <c r="K79" s="9">
        <f t="shared" si="1"/>
        <v>21</v>
      </c>
      <c r="L79" t="s">
        <v>42</v>
      </c>
    </row>
    <row r="80" spans="1:12" x14ac:dyDescent="0.25">
      <c r="A80" s="33">
        <v>45322</v>
      </c>
      <c r="B80" s="34" t="s">
        <v>434</v>
      </c>
      <c r="C80" s="28" t="s">
        <v>278</v>
      </c>
      <c r="D80" s="36" t="s">
        <v>280</v>
      </c>
      <c r="E80" s="29" t="s">
        <v>281</v>
      </c>
      <c r="F80" s="30">
        <v>14.83</v>
      </c>
      <c r="G80" s="30">
        <v>3.12</v>
      </c>
      <c r="H80" s="30"/>
      <c r="I80" s="9">
        <f t="shared" si="0"/>
        <v>3.12</v>
      </c>
      <c r="J80" s="31"/>
      <c r="K80" s="9">
        <f t="shared" si="1"/>
        <v>17.95</v>
      </c>
      <c r="L80" t="s">
        <v>267</v>
      </c>
    </row>
    <row r="81" spans="1:13" x14ac:dyDescent="0.25">
      <c r="A81" s="33">
        <v>45322</v>
      </c>
      <c r="B81">
        <v>4908950205</v>
      </c>
      <c r="C81" s="28" t="s">
        <v>436</v>
      </c>
      <c r="D81" t="s">
        <v>437</v>
      </c>
      <c r="E81" s="29" t="s">
        <v>438</v>
      </c>
      <c r="F81" s="30">
        <v>448.47</v>
      </c>
      <c r="G81" s="30">
        <v>8.9700000000000006</v>
      </c>
      <c r="H81" s="30"/>
      <c r="I81" s="9">
        <f t="shared" si="0"/>
        <v>8.9700000000000006</v>
      </c>
      <c r="J81" s="31"/>
      <c r="K81" s="9">
        <f t="shared" si="1"/>
        <v>457.44000000000005</v>
      </c>
      <c r="L81" t="s">
        <v>295</v>
      </c>
      <c r="M81" t="s">
        <v>435</v>
      </c>
    </row>
    <row r="82" spans="1:13" x14ac:dyDescent="0.25">
      <c r="A82" s="33">
        <v>45310</v>
      </c>
      <c r="B82" s="34" t="s">
        <v>532</v>
      </c>
      <c r="C82" s="28" t="s">
        <v>278</v>
      </c>
      <c r="D82" s="36" t="s">
        <v>280</v>
      </c>
      <c r="E82" s="29" t="s">
        <v>281</v>
      </c>
      <c r="F82" s="30">
        <v>46.12</v>
      </c>
      <c r="G82" s="30">
        <v>9.68</v>
      </c>
      <c r="H82" s="30"/>
      <c r="I82" s="9">
        <f t="shared" si="0"/>
        <v>9.68</v>
      </c>
      <c r="J82" s="31"/>
      <c r="K82" s="9">
        <f t="shared" si="1"/>
        <v>55.8</v>
      </c>
      <c r="L82" t="s">
        <v>42</v>
      </c>
    </row>
    <row r="83" spans="1:13" x14ac:dyDescent="0.25">
      <c r="A83" s="33">
        <v>45316</v>
      </c>
      <c r="B83" s="34" t="s">
        <v>533</v>
      </c>
      <c r="C83" s="28" t="s">
        <v>310</v>
      </c>
      <c r="D83" s="36" t="s">
        <v>311</v>
      </c>
      <c r="E83" s="29" t="s">
        <v>15</v>
      </c>
      <c r="F83" s="30">
        <v>29.45</v>
      </c>
      <c r="G83" s="30">
        <v>3.68</v>
      </c>
      <c r="H83" s="30">
        <v>1.19</v>
      </c>
      <c r="I83" s="9">
        <f t="shared" si="0"/>
        <v>4.87</v>
      </c>
      <c r="J83" s="31"/>
      <c r="K83" s="9">
        <f t="shared" si="1"/>
        <v>34.32</v>
      </c>
      <c r="L83" t="s">
        <v>42</v>
      </c>
    </row>
    <row r="84" spans="1:13" x14ac:dyDescent="0.25">
      <c r="A84" s="33">
        <v>45321</v>
      </c>
      <c r="B84" s="34" t="s">
        <v>534</v>
      </c>
      <c r="C84" s="28" t="s">
        <v>278</v>
      </c>
      <c r="D84" s="36" t="s">
        <v>280</v>
      </c>
      <c r="E84" s="29" t="s">
        <v>281</v>
      </c>
      <c r="F84" s="30">
        <v>5.66</v>
      </c>
      <c r="G84" s="30">
        <v>1.19</v>
      </c>
      <c r="H84" s="30"/>
      <c r="I84" s="9">
        <f t="shared" si="0"/>
        <v>1.19</v>
      </c>
      <c r="J84" s="31"/>
      <c r="K84" s="9">
        <f t="shared" si="1"/>
        <v>6.85</v>
      </c>
      <c r="L84" t="s">
        <v>42</v>
      </c>
    </row>
    <row r="85" spans="1:13" x14ac:dyDescent="0.25">
      <c r="A85" s="33">
        <v>45322</v>
      </c>
      <c r="B85" s="34" t="s">
        <v>540</v>
      </c>
      <c r="C85" s="28" t="s">
        <v>541</v>
      </c>
      <c r="D85" s="28" t="s">
        <v>542</v>
      </c>
      <c r="E85" s="29" t="s">
        <v>17</v>
      </c>
      <c r="F85" s="30">
        <v>1288.21</v>
      </c>
      <c r="G85" s="30">
        <v>270.52</v>
      </c>
      <c r="H85" s="30"/>
      <c r="I85" s="9">
        <f t="shared" si="0"/>
        <v>270.52</v>
      </c>
      <c r="J85" s="31"/>
      <c r="K85" s="9">
        <f t="shared" si="1"/>
        <v>1558.73</v>
      </c>
      <c r="L85" t="s">
        <v>42</v>
      </c>
    </row>
    <row r="86" spans="1:13" x14ac:dyDescent="0.25">
      <c r="A86" s="33">
        <v>45322</v>
      </c>
      <c r="B86" s="34" t="s">
        <v>546</v>
      </c>
      <c r="C86" s="28" t="s">
        <v>292</v>
      </c>
      <c r="D86" s="36" t="s">
        <v>293</v>
      </c>
      <c r="E86" s="29" t="s">
        <v>547</v>
      </c>
      <c r="F86" s="30">
        <v>409.37</v>
      </c>
      <c r="G86" s="30">
        <v>40.94</v>
      </c>
      <c r="H86" s="30"/>
      <c r="I86" s="9">
        <f t="shared" si="0"/>
        <v>40.94</v>
      </c>
      <c r="J86" s="31"/>
      <c r="K86" s="9">
        <f t="shared" si="1"/>
        <v>450.31</v>
      </c>
      <c r="L86" t="s">
        <v>295</v>
      </c>
    </row>
    <row r="87" spans="1:13" x14ac:dyDescent="0.25">
      <c r="A87" s="33">
        <v>45292</v>
      </c>
      <c r="B87" s="34" t="s">
        <v>339</v>
      </c>
      <c r="C87" s="28" t="s">
        <v>1101</v>
      </c>
      <c r="D87" s="36" t="s">
        <v>1102</v>
      </c>
      <c r="E87" s="29" t="s">
        <v>1103</v>
      </c>
      <c r="F87" s="30">
        <v>900</v>
      </c>
      <c r="G87" s="30">
        <v>189</v>
      </c>
      <c r="H87" s="30"/>
      <c r="I87" s="9">
        <f t="shared" si="0"/>
        <v>189</v>
      </c>
      <c r="J87" s="31">
        <v>171</v>
      </c>
      <c r="K87" s="9">
        <f t="shared" si="1"/>
        <v>918</v>
      </c>
    </row>
    <row r="88" spans="1:13" x14ac:dyDescent="0.25">
      <c r="A88" s="33"/>
      <c r="B88" s="34"/>
      <c r="C88" s="28"/>
      <c r="D88" s="36"/>
      <c r="E88" s="29"/>
      <c r="F88" s="30"/>
      <c r="G88" s="30"/>
      <c r="H88" s="30"/>
      <c r="I88" s="9">
        <f t="shared" si="0"/>
        <v>0</v>
      </c>
      <c r="J88" s="31"/>
      <c r="K88" s="9">
        <f t="shared" si="1"/>
        <v>0</v>
      </c>
    </row>
    <row r="89" spans="1:13" x14ac:dyDescent="0.25">
      <c r="A89" s="33"/>
      <c r="B89" s="34"/>
      <c r="C89" s="28"/>
      <c r="D89" s="36"/>
      <c r="E89" s="29"/>
      <c r="F89" s="30"/>
      <c r="G89" s="30"/>
      <c r="H89" s="30"/>
      <c r="I89" s="9">
        <f t="shared" si="0"/>
        <v>0</v>
      </c>
      <c r="J89" s="31"/>
      <c r="K89" s="9">
        <f t="shared" si="1"/>
        <v>0</v>
      </c>
    </row>
    <row r="90" spans="1:13" x14ac:dyDescent="0.25">
      <c r="A90" s="33"/>
      <c r="B90" s="34"/>
      <c r="C90" s="28"/>
      <c r="D90" s="36"/>
      <c r="E90" s="29"/>
      <c r="F90" s="30"/>
      <c r="G90" s="30"/>
      <c r="H90" s="30"/>
      <c r="I90" s="9">
        <f t="shared" si="0"/>
        <v>0</v>
      </c>
      <c r="J90" s="31"/>
      <c r="K90" s="9">
        <f t="shared" si="1"/>
        <v>0</v>
      </c>
    </row>
    <row r="91" spans="1:13" x14ac:dyDescent="0.25">
      <c r="A91" s="33"/>
      <c r="B91" s="34"/>
      <c r="C91" s="28"/>
      <c r="D91" s="36"/>
      <c r="E91" s="29"/>
      <c r="F91" s="30"/>
      <c r="G91" s="30"/>
      <c r="H91" s="30"/>
      <c r="I91" s="9">
        <f t="shared" si="0"/>
        <v>0</v>
      </c>
      <c r="J91" s="31"/>
      <c r="K91" s="9">
        <f t="shared" si="1"/>
        <v>0</v>
      </c>
    </row>
    <row r="92" spans="1:13" x14ac:dyDescent="0.25">
      <c r="A92" s="33"/>
      <c r="B92" s="34"/>
      <c r="C92" s="28"/>
      <c r="D92" s="36"/>
      <c r="E92" s="29"/>
      <c r="F92" s="30"/>
      <c r="G92" s="30"/>
      <c r="H92" s="30"/>
      <c r="I92" s="9">
        <f t="shared" si="0"/>
        <v>0</v>
      </c>
      <c r="J92" s="31"/>
      <c r="K92" s="9">
        <f t="shared" si="1"/>
        <v>0</v>
      </c>
    </row>
    <row r="93" spans="1:13" x14ac:dyDescent="0.25">
      <c r="A93" s="33"/>
      <c r="B93" s="35"/>
      <c r="C93" s="28"/>
      <c r="D93" s="36"/>
      <c r="E93" s="29"/>
      <c r="F93" s="30"/>
      <c r="G93" s="30"/>
      <c r="H93" s="30"/>
      <c r="I93" s="9">
        <f t="shared" si="0"/>
        <v>0</v>
      </c>
      <c r="J93" s="31"/>
      <c r="K93" s="9">
        <f t="shared" si="1"/>
        <v>0</v>
      </c>
    </row>
    <row r="94" spans="1:13" x14ac:dyDescent="0.25">
      <c r="A94" s="33"/>
      <c r="B94" s="35"/>
      <c r="C94" s="28"/>
      <c r="D94" s="36"/>
      <c r="E94" s="29"/>
      <c r="F94" s="30"/>
      <c r="G94" s="30"/>
      <c r="H94" s="30"/>
      <c r="I94" s="9">
        <f t="shared" si="0"/>
        <v>0</v>
      </c>
      <c r="J94" s="31"/>
      <c r="K94" s="9">
        <f t="shared" si="1"/>
        <v>0</v>
      </c>
    </row>
    <row r="95" spans="1:13" x14ac:dyDescent="0.25">
      <c r="A95" s="33"/>
      <c r="B95" s="35"/>
      <c r="C95" s="28"/>
      <c r="D95" s="36"/>
      <c r="E95" s="29"/>
      <c r="F95" s="30"/>
      <c r="G95" s="30"/>
      <c r="H95" s="30"/>
      <c r="I95" s="9">
        <f t="shared" si="0"/>
        <v>0</v>
      </c>
      <c r="J95" s="31"/>
      <c r="K95" s="9">
        <f t="shared" si="1"/>
        <v>0</v>
      </c>
    </row>
    <row r="96" spans="1:13" x14ac:dyDescent="0.25">
      <c r="A96" s="33"/>
      <c r="B96" s="35"/>
      <c r="C96" s="28"/>
      <c r="D96" s="36"/>
      <c r="E96" s="29"/>
      <c r="F96" s="30"/>
      <c r="G96" s="30"/>
      <c r="H96" s="30"/>
      <c r="I96" s="9">
        <f t="shared" si="0"/>
        <v>0</v>
      </c>
      <c r="J96" s="31"/>
      <c r="K96" s="9">
        <f t="shared" si="1"/>
        <v>0</v>
      </c>
    </row>
    <row r="97" spans="1:11" x14ac:dyDescent="0.25">
      <c r="A97" s="33"/>
      <c r="B97" s="35"/>
      <c r="C97" s="28"/>
      <c r="D97" s="36"/>
      <c r="E97" s="29"/>
      <c r="F97" s="30"/>
      <c r="G97" s="30"/>
      <c r="H97" s="30"/>
      <c r="I97" s="9">
        <f t="shared" si="0"/>
        <v>0</v>
      </c>
      <c r="J97" s="31"/>
      <c r="K97" s="9">
        <f t="shared" si="1"/>
        <v>0</v>
      </c>
    </row>
    <row r="98" spans="1:11" x14ac:dyDescent="0.25">
      <c r="A98" s="33"/>
      <c r="B98" s="35"/>
      <c r="C98" s="28"/>
      <c r="D98" s="36"/>
      <c r="E98" s="29"/>
      <c r="F98" s="30"/>
      <c r="G98" s="30"/>
      <c r="H98" s="30"/>
      <c r="I98" s="9">
        <f t="shared" si="0"/>
        <v>0</v>
      </c>
      <c r="J98" s="31"/>
      <c r="K98" s="9">
        <f t="shared" si="1"/>
        <v>0</v>
      </c>
    </row>
    <row r="99" spans="1:11" x14ac:dyDescent="0.25">
      <c r="A99" s="33"/>
      <c r="B99" s="35"/>
      <c r="C99" s="28"/>
      <c r="D99" s="36"/>
      <c r="E99" s="29"/>
      <c r="F99" s="30"/>
      <c r="G99" s="30"/>
      <c r="H99" s="30"/>
      <c r="I99" s="9">
        <f t="shared" si="0"/>
        <v>0</v>
      </c>
      <c r="J99" s="31"/>
      <c r="K99" s="9">
        <f t="shared" si="1"/>
        <v>0</v>
      </c>
    </row>
    <row r="100" spans="1:11" x14ac:dyDescent="0.25">
      <c r="A100" s="33"/>
      <c r="B100" s="35"/>
      <c r="C100" s="28"/>
      <c r="D100" s="36"/>
      <c r="E100" s="29"/>
      <c r="F100" s="30"/>
      <c r="G100" s="30"/>
      <c r="H100" s="30"/>
      <c r="I100" s="9">
        <f t="shared" si="0"/>
        <v>0</v>
      </c>
      <c r="J100" s="31"/>
      <c r="K100" s="9">
        <f t="shared" si="1"/>
        <v>0</v>
      </c>
    </row>
    <row r="101" spans="1:11" x14ac:dyDescent="0.25">
      <c r="A101" s="33"/>
      <c r="B101" s="35"/>
      <c r="C101" s="28"/>
      <c r="D101" s="36"/>
      <c r="E101" s="29"/>
      <c r="F101" s="30"/>
      <c r="G101" s="30"/>
      <c r="H101" s="30"/>
      <c r="I101" s="9">
        <f t="shared" si="0"/>
        <v>0</v>
      </c>
      <c r="J101" s="31"/>
      <c r="K101" s="9">
        <f t="shared" si="1"/>
        <v>0</v>
      </c>
    </row>
    <row r="102" spans="1:11" x14ac:dyDescent="0.25">
      <c r="A102" s="33"/>
      <c r="B102" s="35"/>
      <c r="C102" s="28"/>
      <c r="D102" s="36"/>
      <c r="E102" s="29"/>
      <c r="F102" s="30"/>
      <c r="G102" s="30"/>
      <c r="H102" s="30"/>
      <c r="I102" s="9">
        <f t="shared" si="0"/>
        <v>0</v>
      </c>
      <c r="J102" s="31"/>
      <c r="K102" s="9">
        <f t="shared" si="1"/>
        <v>0</v>
      </c>
    </row>
    <row r="103" spans="1:11" x14ac:dyDescent="0.25">
      <c r="A103" s="33"/>
      <c r="B103" s="35"/>
      <c r="C103" s="28"/>
      <c r="D103" s="36"/>
      <c r="E103" s="29"/>
      <c r="F103" s="30"/>
      <c r="G103" s="30"/>
      <c r="H103" s="30"/>
      <c r="I103" s="9">
        <f t="shared" si="0"/>
        <v>0</v>
      </c>
      <c r="J103" s="31"/>
      <c r="K103" s="9">
        <f t="shared" si="1"/>
        <v>0</v>
      </c>
    </row>
    <row r="104" spans="1:11" x14ac:dyDescent="0.25">
      <c r="A104" s="33"/>
      <c r="B104" s="34"/>
      <c r="C104" s="28"/>
      <c r="D104" s="36"/>
      <c r="E104" s="29"/>
      <c r="F104" s="30"/>
      <c r="G104" s="30"/>
      <c r="H104" s="30"/>
      <c r="I104" s="9">
        <f t="shared" si="0"/>
        <v>0</v>
      </c>
      <c r="J104" s="31"/>
      <c r="K104" s="9">
        <f t="shared" si="1"/>
        <v>0</v>
      </c>
    </row>
    <row r="105" spans="1:11" x14ac:dyDescent="0.25">
      <c r="A105" s="33"/>
      <c r="B105" s="35"/>
      <c r="C105" s="28"/>
      <c r="D105" s="36"/>
      <c r="E105" s="29"/>
      <c r="F105" s="30"/>
      <c r="G105" s="30"/>
      <c r="H105" s="30"/>
      <c r="I105" s="9">
        <f t="shared" si="0"/>
        <v>0</v>
      </c>
      <c r="J105" s="31"/>
      <c r="K105" s="9">
        <f t="shared" si="1"/>
        <v>0</v>
      </c>
    </row>
    <row r="106" spans="1:11" x14ac:dyDescent="0.25">
      <c r="A106" s="33"/>
      <c r="B106" s="35"/>
      <c r="C106" s="28"/>
      <c r="D106" s="36"/>
      <c r="E106" s="29"/>
      <c r="F106" s="30"/>
      <c r="G106" s="30"/>
      <c r="H106" s="30"/>
      <c r="I106" s="9">
        <f t="shared" si="0"/>
        <v>0</v>
      </c>
      <c r="J106" s="31"/>
      <c r="K106" s="9">
        <f t="shared" si="1"/>
        <v>0</v>
      </c>
    </row>
    <row r="107" spans="1:11" x14ac:dyDescent="0.25">
      <c r="A107" s="37"/>
      <c r="B107" s="37"/>
      <c r="C107" s="28"/>
      <c r="D107" s="36"/>
      <c r="E107" s="29"/>
      <c r="F107" s="30"/>
      <c r="G107" s="30"/>
      <c r="H107" s="30"/>
      <c r="I107" s="9">
        <f t="shared" si="0"/>
        <v>0</v>
      </c>
      <c r="J107" s="23"/>
      <c r="K107" s="9">
        <f>F107+I107+J107</f>
        <v>0</v>
      </c>
    </row>
    <row r="108" spans="1:11" x14ac:dyDescent="0.25">
      <c r="A108" s="33"/>
      <c r="B108" s="34"/>
      <c r="C108" s="28"/>
      <c r="D108" s="36"/>
      <c r="E108" s="29"/>
      <c r="F108" s="30"/>
      <c r="G108" s="30"/>
      <c r="H108" s="30"/>
      <c r="I108" s="9">
        <f t="shared" si="0"/>
        <v>0</v>
      </c>
      <c r="J108" s="31"/>
      <c r="K108" s="9">
        <f t="shared" si="1"/>
        <v>0</v>
      </c>
    </row>
    <row r="109" spans="1:11" x14ac:dyDescent="0.25">
      <c r="A109" s="33"/>
      <c r="B109" s="34"/>
      <c r="C109" s="28"/>
      <c r="D109" s="36"/>
      <c r="E109" s="29"/>
      <c r="F109" s="30"/>
      <c r="G109" s="30"/>
      <c r="H109" s="30"/>
      <c r="I109" s="9">
        <f t="shared" si="0"/>
        <v>0</v>
      </c>
      <c r="J109" s="31"/>
      <c r="K109" s="9">
        <f t="shared" si="1"/>
        <v>0</v>
      </c>
    </row>
    <row r="110" spans="1:11" x14ac:dyDescent="0.25">
      <c r="A110" s="33"/>
      <c r="B110" s="35"/>
      <c r="C110" s="28"/>
      <c r="D110" s="36"/>
      <c r="E110" s="29"/>
      <c r="F110" s="30"/>
      <c r="G110" s="30"/>
      <c r="H110" s="30"/>
      <c r="I110" s="9">
        <f t="shared" si="0"/>
        <v>0</v>
      </c>
      <c r="J110" s="31"/>
      <c r="K110" s="9">
        <f t="shared" si="1"/>
        <v>0</v>
      </c>
    </row>
    <row r="111" spans="1:11" x14ac:dyDescent="0.25">
      <c r="A111" s="33"/>
      <c r="B111" s="34"/>
      <c r="C111" s="28"/>
      <c r="D111" s="36"/>
      <c r="E111" s="29"/>
      <c r="F111" s="30"/>
      <c r="G111" s="30"/>
      <c r="H111" s="30"/>
      <c r="I111" s="9">
        <f t="shared" si="0"/>
        <v>0</v>
      </c>
      <c r="J111" s="31"/>
      <c r="K111" s="9">
        <f t="shared" si="1"/>
        <v>0</v>
      </c>
    </row>
    <row r="112" spans="1:11" x14ac:dyDescent="0.25">
      <c r="A112" s="33"/>
      <c r="B112" s="34"/>
      <c r="C112" s="28"/>
      <c r="D112" s="36"/>
      <c r="E112" s="29"/>
      <c r="F112" s="30"/>
      <c r="G112" s="30"/>
      <c r="H112" s="30"/>
      <c r="I112" s="9">
        <f t="shared" si="0"/>
        <v>0</v>
      </c>
      <c r="J112" s="31"/>
      <c r="K112" s="9">
        <f t="shared" si="1"/>
        <v>0</v>
      </c>
    </row>
    <row r="113" spans="1:11" x14ac:dyDescent="0.25">
      <c r="A113" s="33"/>
      <c r="B113" s="34"/>
      <c r="C113" s="28"/>
      <c r="D113" s="36"/>
      <c r="E113" s="29"/>
      <c r="F113" s="30"/>
      <c r="G113" s="30"/>
      <c r="H113" s="30"/>
      <c r="I113" s="9">
        <f t="shared" si="0"/>
        <v>0</v>
      </c>
      <c r="J113" s="31"/>
      <c r="K113" s="9">
        <f t="shared" si="1"/>
        <v>0</v>
      </c>
    </row>
    <row r="114" spans="1:11" x14ac:dyDescent="0.25">
      <c r="A114" s="33"/>
      <c r="B114" s="34"/>
      <c r="C114" s="28"/>
      <c r="D114" s="36"/>
      <c r="E114" s="29"/>
      <c r="F114" s="30"/>
      <c r="G114" s="30"/>
      <c r="H114" s="30"/>
      <c r="I114" s="9">
        <f t="shared" si="0"/>
        <v>0</v>
      </c>
      <c r="J114" s="31"/>
      <c r="K114" s="9">
        <f t="shared" si="1"/>
        <v>0</v>
      </c>
    </row>
    <row r="115" spans="1:11" x14ac:dyDescent="0.25">
      <c r="A115" s="33"/>
      <c r="B115" s="34"/>
      <c r="C115" s="28"/>
      <c r="D115" s="36"/>
      <c r="E115" s="29"/>
      <c r="F115" s="30"/>
      <c r="G115" s="30"/>
      <c r="H115" s="30"/>
      <c r="I115" s="9">
        <f t="shared" si="0"/>
        <v>0</v>
      </c>
      <c r="J115" s="31"/>
      <c r="K115" s="9">
        <f t="shared" si="1"/>
        <v>0</v>
      </c>
    </row>
    <row r="116" spans="1:11" x14ac:dyDescent="0.25">
      <c r="A116" s="33"/>
      <c r="B116" s="34"/>
      <c r="C116" s="28"/>
      <c r="D116" s="36"/>
      <c r="E116" s="29"/>
      <c r="F116" s="30"/>
      <c r="G116" s="30"/>
      <c r="H116" s="30"/>
      <c r="I116" s="9">
        <f t="shared" si="0"/>
        <v>0</v>
      </c>
      <c r="J116" s="31"/>
      <c r="K116" s="9">
        <f t="shared" si="1"/>
        <v>0</v>
      </c>
    </row>
    <row r="117" spans="1:11" x14ac:dyDescent="0.25">
      <c r="A117" s="33"/>
      <c r="B117" s="34"/>
      <c r="C117" s="28"/>
      <c r="D117" s="36"/>
      <c r="E117" s="29"/>
      <c r="F117" s="30"/>
      <c r="G117" s="30"/>
      <c r="H117" s="30"/>
      <c r="I117" s="9">
        <f t="shared" si="0"/>
        <v>0</v>
      </c>
      <c r="J117" s="31"/>
      <c r="K117" s="9">
        <f t="shared" si="1"/>
        <v>0</v>
      </c>
    </row>
    <row r="118" spans="1:11" x14ac:dyDescent="0.25">
      <c r="A118" s="33"/>
      <c r="B118" s="34"/>
      <c r="C118" s="28"/>
      <c r="D118" s="36"/>
      <c r="E118" s="29"/>
      <c r="F118" s="30"/>
      <c r="G118" s="30"/>
      <c r="H118" s="30"/>
      <c r="I118" s="9">
        <f t="shared" si="0"/>
        <v>0</v>
      </c>
      <c r="J118" s="31"/>
      <c r="K118" s="9">
        <f t="shared" si="1"/>
        <v>0</v>
      </c>
    </row>
    <row r="119" spans="1:11" x14ac:dyDescent="0.25">
      <c r="A119" s="33"/>
      <c r="B119" s="34"/>
      <c r="C119" s="28"/>
      <c r="D119" s="36"/>
      <c r="E119" s="29"/>
      <c r="F119" s="30"/>
      <c r="G119" s="30"/>
      <c r="H119" s="30"/>
      <c r="I119" s="9">
        <f t="shared" si="0"/>
        <v>0</v>
      </c>
      <c r="J119" s="31"/>
      <c r="K119" s="9">
        <f t="shared" si="1"/>
        <v>0</v>
      </c>
    </row>
    <row r="120" spans="1:11" x14ac:dyDescent="0.25">
      <c r="A120" s="33"/>
      <c r="B120" s="34"/>
      <c r="C120" s="28"/>
      <c r="D120" s="36"/>
      <c r="E120" s="29"/>
      <c r="F120" s="30"/>
      <c r="G120" s="30"/>
      <c r="H120" s="30"/>
      <c r="I120" s="9">
        <f t="shared" si="0"/>
        <v>0</v>
      </c>
      <c r="J120" s="31"/>
      <c r="K120" s="9">
        <f t="shared" si="1"/>
        <v>0</v>
      </c>
    </row>
    <row r="121" spans="1:11" x14ac:dyDescent="0.25">
      <c r="A121" s="33"/>
      <c r="B121" s="34"/>
      <c r="C121" s="28"/>
      <c r="D121" s="36"/>
      <c r="E121" s="29"/>
      <c r="F121" s="30"/>
      <c r="G121" s="30"/>
      <c r="H121" s="30"/>
      <c r="I121" s="9">
        <f t="shared" si="0"/>
        <v>0</v>
      </c>
      <c r="J121" s="31"/>
      <c r="K121" s="9">
        <f t="shared" si="1"/>
        <v>0</v>
      </c>
    </row>
    <row r="122" spans="1:11" x14ac:dyDescent="0.25">
      <c r="A122" s="33"/>
      <c r="B122" s="34"/>
      <c r="C122" s="28"/>
      <c r="D122" s="36"/>
      <c r="E122" s="29"/>
      <c r="F122" s="30"/>
      <c r="G122" s="30"/>
      <c r="H122" s="30"/>
      <c r="I122" s="9">
        <f t="shared" si="0"/>
        <v>0</v>
      </c>
      <c r="J122" s="31"/>
      <c r="K122" s="9">
        <f t="shared" si="1"/>
        <v>0</v>
      </c>
    </row>
    <row r="123" spans="1:11" x14ac:dyDescent="0.25">
      <c r="A123" s="33"/>
      <c r="B123" s="34"/>
      <c r="C123" s="28"/>
      <c r="D123" s="36"/>
      <c r="E123" s="29"/>
      <c r="F123" s="30"/>
      <c r="G123" s="30"/>
      <c r="H123" s="30"/>
      <c r="I123" s="9">
        <f t="shared" si="0"/>
        <v>0</v>
      </c>
      <c r="J123" s="31"/>
      <c r="K123" s="9">
        <f t="shared" si="1"/>
        <v>0</v>
      </c>
    </row>
    <row r="124" spans="1:11" x14ac:dyDescent="0.25">
      <c r="A124" s="33"/>
      <c r="B124" s="35"/>
      <c r="C124" s="28"/>
      <c r="D124" s="36"/>
      <c r="E124" s="29"/>
      <c r="F124" s="30"/>
      <c r="G124" s="30"/>
      <c r="H124" s="30"/>
      <c r="I124" s="9">
        <f t="shared" si="0"/>
        <v>0</v>
      </c>
      <c r="J124" s="31"/>
      <c r="K124" s="9">
        <f t="shared" si="1"/>
        <v>0</v>
      </c>
    </row>
    <row r="125" spans="1:11" x14ac:dyDescent="0.25">
      <c r="A125" s="33"/>
      <c r="B125" s="34"/>
      <c r="C125" s="28"/>
      <c r="D125" s="36"/>
      <c r="E125" s="29"/>
      <c r="F125" s="30"/>
      <c r="G125" s="30"/>
      <c r="H125" s="30"/>
      <c r="I125" s="9">
        <f t="shared" si="0"/>
        <v>0</v>
      </c>
      <c r="J125" s="31"/>
      <c r="K125" s="9">
        <f t="shared" si="1"/>
        <v>0</v>
      </c>
    </row>
    <row r="126" spans="1:11" x14ac:dyDescent="0.25">
      <c r="A126" s="33"/>
      <c r="B126" s="35"/>
      <c r="C126" s="28"/>
      <c r="D126" s="36"/>
      <c r="E126" s="29"/>
      <c r="F126" s="30"/>
      <c r="G126" s="30"/>
      <c r="H126" s="30"/>
      <c r="I126" s="9">
        <f t="shared" si="0"/>
        <v>0</v>
      </c>
      <c r="J126" s="31"/>
      <c r="K126" s="9">
        <f t="shared" si="1"/>
        <v>0</v>
      </c>
    </row>
    <row r="127" spans="1:11" x14ac:dyDescent="0.25">
      <c r="A127" s="33"/>
      <c r="B127" s="35"/>
      <c r="C127" s="28"/>
      <c r="D127" s="36"/>
      <c r="E127" s="29"/>
      <c r="F127" s="30"/>
      <c r="G127" s="30"/>
      <c r="H127" s="30"/>
      <c r="I127" s="9">
        <f t="shared" si="0"/>
        <v>0</v>
      </c>
      <c r="J127" s="31"/>
      <c r="K127" s="9">
        <f t="shared" si="1"/>
        <v>0</v>
      </c>
    </row>
    <row r="128" spans="1:11" x14ac:dyDescent="0.25">
      <c r="A128" s="33"/>
      <c r="B128" s="34"/>
      <c r="C128" s="28"/>
      <c r="D128" s="36"/>
      <c r="E128" s="29"/>
      <c r="F128" s="30"/>
      <c r="G128" s="30"/>
      <c r="H128" s="30"/>
      <c r="I128" s="9">
        <f t="shared" si="0"/>
        <v>0</v>
      </c>
      <c r="J128" s="31"/>
      <c r="K128" s="9">
        <f t="shared" si="1"/>
        <v>0</v>
      </c>
    </row>
    <row r="129" spans="1:11" x14ac:dyDescent="0.25">
      <c r="A129" s="33"/>
      <c r="B129" s="35"/>
      <c r="C129" s="28"/>
      <c r="D129" s="36"/>
      <c r="E129" s="29"/>
      <c r="F129" s="30"/>
      <c r="G129" s="30"/>
      <c r="H129" s="30"/>
      <c r="I129" s="9">
        <f t="shared" si="0"/>
        <v>0</v>
      </c>
      <c r="J129" s="31"/>
      <c r="K129" s="9">
        <f t="shared" si="1"/>
        <v>0</v>
      </c>
    </row>
    <row r="130" spans="1:11" x14ac:dyDescent="0.25">
      <c r="A130" s="33"/>
      <c r="B130" s="35"/>
      <c r="C130" s="28"/>
      <c r="D130" s="36"/>
      <c r="E130" s="29"/>
      <c r="F130" s="30"/>
      <c r="G130" s="30"/>
      <c r="H130" s="30"/>
      <c r="I130" s="9">
        <f t="shared" si="0"/>
        <v>0</v>
      </c>
      <c r="J130" s="31"/>
      <c r="K130" s="9">
        <f t="shared" si="1"/>
        <v>0</v>
      </c>
    </row>
    <row r="131" spans="1:11" x14ac:dyDescent="0.25">
      <c r="A131" s="33"/>
      <c r="B131" s="35"/>
      <c r="C131" s="28"/>
      <c r="D131" s="36"/>
      <c r="E131" s="29"/>
      <c r="F131" s="30"/>
      <c r="G131" s="30"/>
      <c r="H131" s="30"/>
      <c r="I131" s="9">
        <f t="shared" si="0"/>
        <v>0</v>
      </c>
      <c r="J131" s="31"/>
      <c r="K131" s="9">
        <f t="shared" si="1"/>
        <v>0</v>
      </c>
    </row>
    <row r="132" spans="1:11" x14ac:dyDescent="0.25">
      <c r="A132" s="33"/>
      <c r="B132" s="35"/>
      <c r="C132" s="28"/>
      <c r="D132" s="36"/>
      <c r="E132" s="29"/>
      <c r="F132" s="30"/>
      <c r="G132" s="30"/>
      <c r="H132" s="30"/>
      <c r="I132" s="9">
        <f t="shared" si="0"/>
        <v>0</v>
      </c>
      <c r="J132" s="31"/>
      <c r="K132" s="9">
        <f t="shared" si="1"/>
        <v>0</v>
      </c>
    </row>
    <row r="133" spans="1:11" x14ac:dyDescent="0.25">
      <c r="A133" s="33"/>
      <c r="B133" s="35"/>
      <c r="C133" s="28"/>
      <c r="D133" s="36"/>
      <c r="E133" s="29"/>
      <c r="F133" s="30"/>
      <c r="G133" s="30"/>
      <c r="H133" s="30"/>
      <c r="I133" s="9">
        <f t="shared" si="0"/>
        <v>0</v>
      </c>
      <c r="J133" s="31"/>
      <c r="K133" s="9">
        <f t="shared" si="1"/>
        <v>0</v>
      </c>
    </row>
    <row r="134" spans="1:11" x14ac:dyDescent="0.25">
      <c r="A134" s="33"/>
      <c r="B134" s="35"/>
      <c r="C134" s="28"/>
      <c r="D134" s="36"/>
      <c r="E134" s="29"/>
      <c r="F134" s="30"/>
      <c r="G134" s="30"/>
      <c r="H134" s="30"/>
      <c r="I134" s="9">
        <f t="shared" si="0"/>
        <v>0</v>
      </c>
      <c r="J134" s="31"/>
      <c r="K134" s="9">
        <f t="shared" si="1"/>
        <v>0</v>
      </c>
    </row>
    <row r="135" spans="1:11" x14ac:dyDescent="0.25">
      <c r="A135" s="33"/>
      <c r="B135" s="35"/>
      <c r="C135" s="28"/>
      <c r="E135" s="29"/>
      <c r="F135" s="30"/>
      <c r="G135" s="30"/>
      <c r="H135" s="30"/>
      <c r="I135" s="9">
        <f t="shared" si="0"/>
        <v>0</v>
      </c>
      <c r="J135" s="31"/>
      <c r="K135" s="9">
        <f t="shared" si="1"/>
        <v>0</v>
      </c>
    </row>
    <row r="136" spans="1:11" x14ac:dyDescent="0.25">
      <c r="A136" s="39" t="s">
        <v>11</v>
      </c>
      <c r="B136" s="39"/>
      <c r="C136" s="39"/>
      <c r="D136" s="39"/>
      <c r="E136" s="39"/>
      <c r="F136" s="40">
        <f>SUM(F5:F135)</f>
        <v>11046.181000000002</v>
      </c>
      <c r="G136" s="41">
        <f>SUM(G5:G135)</f>
        <v>1611.7599999999998</v>
      </c>
      <c r="H136" s="41">
        <f>SUM(H4:H135)</f>
        <v>49.029999999999994</v>
      </c>
      <c r="I136" s="40">
        <f>SUM(I5:I135)</f>
        <v>1660.79</v>
      </c>
      <c r="J136" s="42">
        <f>SUM(J5:J134)</f>
        <v>171</v>
      </c>
      <c r="K136" s="43">
        <f>SUM(K5:K135)</f>
        <v>12535.971000000001</v>
      </c>
    </row>
    <row r="139" spans="1:11" ht="15.75" thickBot="1" x14ac:dyDescent="0.3"/>
    <row r="140" spans="1:11" ht="30" x14ac:dyDescent="0.25">
      <c r="A140" s="44" t="s">
        <v>1</v>
      </c>
      <c r="B140" s="45" t="s">
        <v>2</v>
      </c>
      <c r="C140" s="46" t="s">
        <v>26</v>
      </c>
      <c r="D140" s="46" t="s">
        <v>4</v>
      </c>
      <c r="E140" s="46" t="s">
        <v>5</v>
      </c>
      <c r="F140" s="46" t="s">
        <v>6</v>
      </c>
      <c r="G140" s="46" t="s">
        <v>7</v>
      </c>
      <c r="H140" s="46" t="s">
        <v>8</v>
      </c>
      <c r="I140" s="46" t="s">
        <v>9</v>
      </c>
      <c r="J140" s="47" t="s">
        <v>10</v>
      </c>
      <c r="K140" s="2" t="s">
        <v>11</v>
      </c>
    </row>
    <row r="141" spans="1:11" x14ac:dyDescent="0.25">
      <c r="A141" s="33">
        <v>45292</v>
      </c>
      <c r="B141" s="48" t="s">
        <v>339</v>
      </c>
      <c r="C141" s="14" t="s">
        <v>27</v>
      </c>
      <c r="D141" s="49" t="s">
        <v>28</v>
      </c>
      <c r="E141" s="36" t="s">
        <v>29</v>
      </c>
      <c r="F141" s="30">
        <v>1400</v>
      </c>
      <c r="G141" s="30">
        <f>F141*21/100</f>
        <v>294</v>
      </c>
      <c r="H141" s="30"/>
      <c r="I141" s="30">
        <f t="shared" ref="I141:I147" si="2">G141+H141</f>
        <v>294</v>
      </c>
      <c r="J141" s="31">
        <f>F141*19/100</f>
        <v>266</v>
      </c>
      <c r="K141" s="50">
        <f>F141+I141-J141</f>
        <v>1428</v>
      </c>
    </row>
    <row r="142" spans="1:11" x14ac:dyDescent="0.25">
      <c r="A142" s="33">
        <v>45299</v>
      </c>
      <c r="B142" s="36" t="s">
        <v>1060</v>
      </c>
      <c r="C142" s="26" t="s">
        <v>1061</v>
      </c>
      <c r="D142" t="s">
        <v>1062</v>
      </c>
      <c r="E142" s="36" t="s">
        <v>30</v>
      </c>
      <c r="F142" s="30">
        <v>320</v>
      </c>
      <c r="G142" s="30">
        <v>67.2</v>
      </c>
      <c r="H142" s="30"/>
      <c r="I142" s="30">
        <f t="shared" si="2"/>
        <v>67.2</v>
      </c>
      <c r="J142" s="31"/>
      <c r="K142" s="50">
        <f t="shared" ref="K142:K147" si="3">F142+I142-J142</f>
        <v>387.2</v>
      </c>
    </row>
    <row r="143" spans="1:11" x14ac:dyDescent="0.25">
      <c r="A143" s="33">
        <v>45302</v>
      </c>
      <c r="B143" s="36" t="s">
        <v>335</v>
      </c>
      <c r="C143" s="36" t="s">
        <v>1063</v>
      </c>
      <c r="D143" s="36" t="s">
        <v>1064</v>
      </c>
      <c r="E143" s="36" t="s">
        <v>30</v>
      </c>
      <c r="F143" s="30">
        <v>310</v>
      </c>
      <c r="G143" s="30">
        <v>65.099999999999994</v>
      </c>
      <c r="H143" s="30"/>
      <c r="I143" s="30">
        <f t="shared" si="2"/>
        <v>65.099999999999994</v>
      </c>
      <c r="J143" s="31"/>
      <c r="K143" s="50">
        <f t="shared" si="3"/>
        <v>375.1</v>
      </c>
    </row>
    <row r="144" spans="1:11" x14ac:dyDescent="0.25">
      <c r="A144" s="33">
        <v>45302</v>
      </c>
      <c r="B144" s="36" t="s">
        <v>332</v>
      </c>
      <c r="C144" s="36" t="s">
        <v>1065</v>
      </c>
      <c r="D144" s="36" t="s">
        <v>1066</v>
      </c>
      <c r="E144" s="36" t="s">
        <v>30</v>
      </c>
      <c r="F144" s="30">
        <v>350</v>
      </c>
      <c r="G144" s="30">
        <v>73.5</v>
      </c>
      <c r="H144" s="30"/>
      <c r="I144" s="30">
        <f t="shared" si="2"/>
        <v>73.5</v>
      </c>
      <c r="J144" s="31"/>
      <c r="K144" s="50">
        <f t="shared" si="3"/>
        <v>423.5</v>
      </c>
    </row>
    <row r="145" spans="1:11" x14ac:dyDescent="0.25">
      <c r="A145" s="33">
        <v>45309</v>
      </c>
      <c r="B145" s="36" t="s">
        <v>1067</v>
      </c>
      <c r="C145" s="36" t="s">
        <v>1068</v>
      </c>
      <c r="D145" s="36" t="s">
        <v>1069</v>
      </c>
      <c r="E145" s="36" t="s">
        <v>30</v>
      </c>
      <c r="F145" s="30">
        <v>220</v>
      </c>
      <c r="G145" s="30">
        <v>46.2</v>
      </c>
      <c r="H145" s="30"/>
      <c r="I145" s="30">
        <f t="shared" si="2"/>
        <v>46.2</v>
      </c>
      <c r="J145" s="31"/>
      <c r="K145" s="50">
        <f t="shared" si="3"/>
        <v>266.2</v>
      </c>
    </row>
    <row r="146" spans="1:11" x14ac:dyDescent="0.25">
      <c r="A146" s="33">
        <v>45322</v>
      </c>
      <c r="B146" s="36" t="s">
        <v>1070</v>
      </c>
      <c r="C146" s="36" t="s">
        <v>27</v>
      </c>
      <c r="D146" s="36" t="s">
        <v>1071</v>
      </c>
      <c r="E146" s="36" t="s">
        <v>29</v>
      </c>
      <c r="F146" s="30">
        <v>1400</v>
      </c>
      <c r="G146" s="30">
        <v>294</v>
      </c>
      <c r="H146" s="30"/>
      <c r="I146" s="30">
        <f t="shared" si="2"/>
        <v>294</v>
      </c>
      <c r="J146" s="31"/>
      <c r="K146" s="50">
        <f t="shared" si="3"/>
        <v>1694</v>
      </c>
    </row>
    <row r="147" spans="1:11" x14ac:dyDescent="0.25">
      <c r="A147" s="33">
        <v>45322</v>
      </c>
      <c r="B147" s="36" t="s">
        <v>1072</v>
      </c>
      <c r="C147" s="36" t="s">
        <v>1073</v>
      </c>
      <c r="D147" s="36" t="s">
        <v>1074</v>
      </c>
      <c r="E147" s="36" t="s">
        <v>30</v>
      </c>
      <c r="F147" s="30">
        <v>350</v>
      </c>
      <c r="G147" s="30">
        <v>73.5</v>
      </c>
      <c r="H147" s="30"/>
      <c r="I147" s="30">
        <f t="shared" si="2"/>
        <v>73.5</v>
      </c>
      <c r="J147" s="31"/>
      <c r="K147" s="50">
        <f t="shared" si="3"/>
        <v>423.5</v>
      </c>
    </row>
    <row r="148" spans="1:11" x14ac:dyDescent="0.25">
      <c r="A148" s="319" t="s">
        <v>11</v>
      </c>
      <c r="B148" s="319"/>
      <c r="C148" s="319"/>
      <c r="D148" s="319"/>
      <c r="E148" s="319"/>
      <c r="F148" s="40">
        <f>SUM(F141:F147)</f>
        <v>4350</v>
      </c>
      <c r="G148" s="41">
        <f>SUM(G141:G147)</f>
        <v>913.5</v>
      </c>
      <c r="H148" s="36"/>
      <c r="I148" s="40">
        <f>SUM(I141:I147)</f>
        <v>913.5</v>
      </c>
      <c r="J148" s="51"/>
      <c r="K148" s="160">
        <f>SUM(K141:K147)</f>
        <v>4997.5</v>
      </c>
    </row>
  </sheetData>
  <mergeCells count="1">
    <mergeCell ref="A148:E1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1C9D-59AB-492C-AA96-0A2CAF49DCC9}">
  <dimension ref="A1:O199"/>
  <sheetViews>
    <sheetView topLeftCell="A90" workbookViewId="0">
      <selection activeCell="D115" sqref="D115"/>
    </sheetView>
  </sheetViews>
  <sheetFormatPr baseColWidth="10" defaultRowHeight="15" x14ac:dyDescent="0.25"/>
  <cols>
    <col min="1" max="1" width="14.5703125" customWidth="1"/>
    <col min="2" max="2" width="18.42578125" customWidth="1"/>
    <col min="3" max="3" width="37" customWidth="1"/>
    <col min="4" max="4" width="15.5703125" customWidth="1"/>
    <col min="7" max="7" width="15.85546875" customWidth="1"/>
    <col min="9" max="9" width="24" customWidth="1"/>
    <col min="12" max="12" width="13.7109375" customWidth="1"/>
  </cols>
  <sheetData>
    <row r="1" spans="1:15" x14ac:dyDescent="0.25">
      <c r="A1" s="319" t="s">
        <v>1</v>
      </c>
      <c r="B1" s="319" t="s">
        <v>2</v>
      </c>
      <c r="C1" s="319" t="s">
        <v>32</v>
      </c>
      <c r="D1" s="319" t="s">
        <v>33</v>
      </c>
      <c r="E1" s="319" t="s">
        <v>408</v>
      </c>
      <c r="F1" s="319" t="s">
        <v>11</v>
      </c>
      <c r="G1" s="319" t="s">
        <v>34</v>
      </c>
      <c r="H1" s="319"/>
      <c r="I1" s="319" t="s">
        <v>35</v>
      </c>
      <c r="J1" s="319" t="s">
        <v>36</v>
      </c>
      <c r="K1" s="319" t="s">
        <v>37</v>
      </c>
      <c r="L1" s="319" t="s">
        <v>38</v>
      </c>
      <c r="M1" s="319" t="s">
        <v>39</v>
      </c>
      <c r="N1" s="320" t="s">
        <v>38</v>
      </c>
      <c r="O1" s="319" t="s">
        <v>40</v>
      </c>
    </row>
    <row r="2" spans="1:15" x14ac:dyDescent="0.25">
      <c r="A2" s="320"/>
      <c r="B2" s="320"/>
      <c r="C2" s="320"/>
      <c r="D2" s="320"/>
      <c r="E2" s="320"/>
      <c r="F2" s="320"/>
      <c r="G2" s="52" t="s">
        <v>41</v>
      </c>
      <c r="H2" s="53" t="s">
        <v>42</v>
      </c>
      <c r="I2" s="320"/>
      <c r="J2" s="320"/>
      <c r="K2" s="320"/>
      <c r="L2" s="320"/>
      <c r="M2" s="319"/>
      <c r="N2" s="321"/>
      <c r="O2" s="319"/>
    </row>
    <row r="3" spans="1:15" x14ac:dyDescent="0.25">
      <c r="A3" s="54">
        <v>45292</v>
      </c>
      <c r="B3" s="55" t="s">
        <v>46</v>
      </c>
      <c r="C3" s="55" t="s">
        <v>43</v>
      </c>
      <c r="D3" s="56">
        <f t="shared" ref="D3:D66" si="0">F3/1.21</f>
        <v>223.14049586776861</v>
      </c>
      <c r="E3" s="56">
        <f>D3*10/100</f>
        <v>22.314049586776861</v>
      </c>
      <c r="F3" s="57">
        <v>270</v>
      </c>
      <c r="G3" s="56">
        <v>50</v>
      </c>
      <c r="H3" s="58">
        <v>220</v>
      </c>
      <c r="I3" s="59" t="s">
        <v>243</v>
      </c>
      <c r="J3" s="56">
        <v>270</v>
      </c>
      <c r="K3" s="56"/>
      <c r="L3" s="55"/>
      <c r="M3" s="60"/>
      <c r="N3" s="30"/>
      <c r="O3" s="30"/>
    </row>
    <row r="4" spans="1:15" x14ac:dyDescent="0.25">
      <c r="A4" s="54">
        <v>45293</v>
      </c>
      <c r="B4" s="55" t="s">
        <v>47</v>
      </c>
      <c r="C4" s="55" t="s">
        <v>43</v>
      </c>
      <c r="D4" s="56">
        <f t="shared" si="0"/>
        <v>256.198347107438</v>
      </c>
      <c r="E4" s="56">
        <f t="shared" ref="E4:E67" si="1">D4*10/100</f>
        <v>25.619834710743799</v>
      </c>
      <c r="F4" s="61">
        <v>310</v>
      </c>
      <c r="G4" s="56">
        <v>50</v>
      </c>
      <c r="H4" s="58">
        <f>F4-G4</f>
        <v>260</v>
      </c>
      <c r="I4" s="59" t="s">
        <v>244</v>
      </c>
      <c r="J4" s="56">
        <v>270</v>
      </c>
      <c r="K4" s="56">
        <v>40</v>
      </c>
      <c r="L4" s="55" t="s">
        <v>45</v>
      </c>
      <c r="M4" s="60"/>
      <c r="N4" s="30"/>
      <c r="O4" s="30"/>
    </row>
    <row r="5" spans="1:15" x14ac:dyDescent="0.25">
      <c r="A5" s="54">
        <v>45293</v>
      </c>
      <c r="B5" s="55" t="s">
        <v>48</v>
      </c>
      <c r="C5" s="55" t="s">
        <v>43</v>
      </c>
      <c r="D5" s="56">
        <f t="shared" si="0"/>
        <v>140.49586776859505</v>
      </c>
      <c r="E5" s="56">
        <f t="shared" si="1"/>
        <v>14.049586776859506</v>
      </c>
      <c r="F5" s="61">
        <v>170</v>
      </c>
      <c r="G5" s="56">
        <v>50</v>
      </c>
      <c r="H5" s="58">
        <f t="shared" ref="H5:H68" si="2">F5-G5</f>
        <v>120</v>
      </c>
      <c r="I5" s="59" t="s">
        <v>245</v>
      </c>
      <c r="J5" s="56">
        <v>170</v>
      </c>
      <c r="K5" s="56"/>
      <c r="L5" s="55"/>
      <c r="M5" s="60"/>
      <c r="N5" s="30"/>
      <c r="O5" s="30"/>
    </row>
    <row r="6" spans="1:15" x14ac:dyDescent="0.25">
      <c r="A6" s="54">
        <v>45293</v>
      </c>
      <c r="B6" s="55" t="s">
        <v>49</v>
      </c>
      <c r="C6" s="55" t="s">
        <v>43</v>
      </c>
      <c r="D6" s="56">
        <f t="shared" si="0"/>
        <v>115.70247933884298</v>
      </c>
      <c r="E6" s="56">
        <f t="shared" si="1"/>
        <v>11.570247933884298</v>
      </c>
      <c r="F6" s="61">
        <v>140</v>
      </c>
      <c r="G6" s="56"/>
      <c r="H6" s="58">
        <f t="shared" si="2"/>
        <v>140</v>
      </c>
      <c r="I6" s="59" t="s">
        <v>246</v>
      </c>
      <c r="J6" s="56">
        <v>140</v>
      </c>
      <c r="K6" s="56"/>
      <c r="L6" s="55"/>
      <c r="M6" s="60"/>
      <c r="N6" s="30"/>
      <c r="O6" s="30"/>
    </row>
    <row r="7" spans="1:15" x14ac:dyDescent="0.25">
      <c r="A7" s="54">
        <v>45293</v>
      </c>
      <c r="B7" s="55" t="s">
        <v>50</v>
      </c>
      <c r="C7" s="55" t="s">
        <v>43</v>
      </c>
      <c r="D7" s="56">
        <f t="shared" si="0"/>
        <v>330.57851239669424</v>
      </c>
      <c r="E7" s="56">
        <f t="shared" si="1"/>
        <v>33.057851239669425</v>
      </c>
      <c r="F7" s="61">
        <v>400</v>
      </c>
      <c r="G7" s="56"/>
      <c r="H7" s="58">
        <f t="shared" si="2"/>
        <v>400</v>
      </c>
      <c r="I7" s="59" t="s">
        <v>246</v>
      </c>
      <c r="J7" s="56">
        <v>400</v>
      </c>
      <c r="K7" s="56"/>
      <c r="L7" s="55"/>
      <c r="M7" s="60"/>
      <c r="N7" s="62"/>
      <c r="O7" s="30"/>
    </row>
    <row r="8" spans="1:15" x14ac:dyDescent="0.25">
      <c r="A8" s="54">
        <v>45297</v>
      </c>
      <c r="B8" s="55" t="s">
        <v>51</v>
      </c>
      <c r="C8" s="55" t="s">
        <v>43</v>
      </c>
      <c r="D8" s="56">
        <f t="shared" si="0"/>
        <v>297.52066115702479</v>
      </c>
      <c r="E8" s="56">
        <f t="shared" si="1"/>
        <v>29.752066115702476</v>
      </c>
      <c r="F8" s="57">
        <v>360</v>
      </c>
      <c r="G8" s="56">
        <v>50</v>
      </c>
      <c r="H8" s="58">
        <f t="shared" si="2"/>
        <v>310</v>
      </c>
      <c r="I8" s="59" t="s">
        <v>247</v>
      </c>
      <c r="J8" s="56">
        <v>360</v>
      </c>
      <c r="K8" s="56"/>
      <c r="L8" s="55"/>
      <c r="M8" s="60"/>
      <c r="N8" s="30"/>
      <c r="O8" s="30"/>
    </row>
    <row r="9" spans="1:15" x14ac:dyDescent="0.25">
      <c r="A9" s="54">
        <v>45297</v>
      </c>
      <c r="B9" s="55" t="s">
        <v>52</v>
      </c>
      <c r="C9" s="55" t="s">
        <v>43</v>
      </c>
      <c r="D9" s="56">
        <f t="shared" si="0"/>
        <v>181.81818181818181</v>
      </c>
      <c r="E9" s="56">
        <f t="shared" si="1"/>
        <v>18.18181818181818</v>
      </c>
      <c r="F9" s="63">
        <v>220</v>
      </c>
      <c r="G9" s="63">
        <v>50</v>
      </c>
      <c r="H9" s="58">
        <f t="shared" si="2"/>
        <v>170</v>
      </c>
      <c r="I9" s="64" t="s">
        <v>248</v>
      </c>
      <c r="J9" s="56">
        <v>220</v>
      </c>
      <c r="K9" s="56"/>
      <c r="L9" s="55"/>
      <c r="M9" s="60"/>
      <c r="N9" s="30"/>
      <c r="O9" s="30"/>
    </row>
    <row r="10" spans="1:15" x14ac:dyDescent="0.25">
      <c r="A10" s="54">
        <v>45297</v>
      </c>
      <c r="B10" s="55" t="s">
        <v>53</v>
      </c>
      <c r="C10" s="55" t="s">
        <v>43</v>
      </c>
      <c r="D10" s="56">
        <f t="shared" si="0"/>
        <v>181.81818181818181</v>
      </c>
      <c r="E10" s="56">
        <f t="shared" si="1"/>
        <v>18.18181818181818</v>
      </c>
      <c r="F10" s="63">
        <v>220</v>
      </c>
      <c r="G10" s="63">
        <v>50</v>
      </c>
      <c r="H10" s="58">
        <f t="shared" si="2"/>
        <v>170</v>
      </c>
      <c r="I10" s="64" t="s">
        <v>249</v>
      </c>
      <c r="J10" s="56">
        <v>220</v>
      </c>
      <c r="K10" s="56"/>
      <c r="L10" s="55"/>
      <c r="M10" s="60"/>
      <c r="N10" s="30"/>
      <c r="O10" s="30"/>
    </row>
    <row r="11" spans="1:15" x14ac:dyDescent="0.25">
      <c r="A11" s="54">
        <v>45297</v>
      </c>
      <c r="B11" s="55" t="s">
        <v>54</v>
      </c>
      <c r="C11" s="55" t="s">
        <v>43</v>
      </c>
      <c r="D11" s="56">
        <f t="shared" si="0"/>
        <v>181.81818181818181</v>
      </c>
      <c r="E11" s="56">
        <f t="shared" si="1"/>
        <v>18.18181818181818</v>
      </c>
      <c r="F11" s="63">
        <v>220</v>
      </c>
      <c r="G11" s="63">
        <v>50</v>
      </c>
      <c r="H11" s="58">
        <f t="shared" si="2"/>
        <v>170</v>
      </c>
      <c r="I11" s="64" t="s">
        <v>250</v>
      </c>
      <c r="J11" s="56">
        <v>220</v>
      </c>
      <c r="K11" s="56"/>
      <c r="L11" s="55"/>
      <c r="M11" s="60"/>
      <c r="N11" s="30"/>
      <c r="O11" s="30"/>
    </row>
    <row r="12" spans="1:15" x14ac:dyDescent="0.25">
      <c r="A12" s="54">
        <v>45297</v>
      </c>
      <c r="B12" s="55" t="s">
        <v>55</v>
      </c>
      <c r="C12" s="55" t="s">
        <v>43</v>
      </c>
      <c r="D12" s="56">
        <f t="shared" si="0"/>
        <v>107.43801652892563</v>
      </c>
      <c r="E12" s="56">
        <f t="shared" si="1"/>
        <v>10.743801652892563</v>
      </c>
      <c r="F12" s="63">
        <v>130</v>
      </c>
      <c r="G12" s="63"/>
      <c r="H12" s="58">
        <f t="shared" si="2"/>
        <v>130</v>
      </c>
      <c r="I12" s="64" t="s">
        <v>44</v>
      </c>
      <c r="J12" s="56">
        <v>130</v>
      </c>
      <c r="K12" s="56"/>
      <c r="L12" s="55"/>
      <c r="M12" s="60"/>
      <c r="N12" s="30"/>
      <c r="O12" s="30"/>
    </row>
    <row r="13" spans="1:15" x14ac:dyDescent="0.25">
      <c r="A13" s="54">
        <v>45297</v>
      </c>
      <c r="B13" s="55" t="s">
        <v>56</v>
      </c>
      <c r="C13" s="55" t="s">
        <v>43</v>
      </c>
      <c r="D13" s="56">
        <f t="shared" si="0"/>
        <v>107.43801652892563</v>
      </c>
      <c r="E13" s="56">
        <f t="shared" si="1"/>
        <v>10.743801652892563</v>
      </c>
      <c r="F13" s="63">
        <v>130</v>
      </c>
      <c r="G13" s="63"/>
      <c r="H13" s="58">
        <f t="shared" si="2"/>
        <v>130</v>
      </c>
      <c r="I13" s="64" t="s">
        <v>44</v>
      </c>
      <c r="J13" s="56">
        <v>130</v>
      </c>
      <c r="K13" s="56"/>
      <c r="L13" s="55"/>
      <c r="M13" s="60"/>
      <c r="N13" s="30"/>
      <c r="O13" s="30"/>
    </row>
    <row r="14" spans="1:15" x14ac:dyDescent="0.25">
      <c r="A14" s="54">
        <v>45297</v>
      </c>
      <c r="B14" s="55" t="s">
        <v>57</v>
      </c>
      <c r="C14" s="55" t="s">
        <v>43</v>
      </c>
      <c r="D14" s="56">
        <f t="shared" si="0"/>
        <v>165.28925619834712</v>
      </c>
      <c r="E14" s="56">
        <f t="shared" si="1"/>
        <v>16.528925619834713</v>
      </c>
      <c r="F14" s="63">
        <v>200</v>
      </c>
      <c r="G14" s="63">
        <v>200</v>
      </c>
      <c r="H14" s="58">
        <f t="shared" si="2"/>
        <v>0</v>
      </c>
      <c r="I14" s="64" t="s">
        <v>44</v>
      </c>
      <c r="J14" s="56">
        <v>200</v>
      </c>
      <c r="K14" s="56"/>
      <c r="L14" s="55"/>
      <c r="M14" s="60"/>
      <c r="N14" s="30"/>
      <c r="O14" s="30"/>
    </row>
    <row r="15" spans="1:15" x14ac:dyDescent="0.25">
      <c r="A15" s="54">
        <v>45297</v>
      </c>
      <c r="B15" s="55" t="s">
        <v>58</v>
      </c>
      <c r="C15" s="55" t="s">
        <v>43</v>
      </c>
      <c r="D15" s="56">
        <f t="shared" si="0"/>
        <v>272.72727272727275</v>
      </c>
      <c r="E15" s="56">
        <f t="shared" si="1"/>
        <v>27.272727272727273</v>
      </c>
      <c r="F15" s="63">
        <v>330</v>
      </c>
      <c r="G15" s="63">
        <v>50</v>
      </c>
      <c r="H15" s="58">
        <f t="shared" si="2"/>
        <v>280</v>
      </c>
      <c r="I15" s="64" t="s">
        <v>251</v>
      </c>
      <c r="J15" s="56">
        <v>270</v>
      </c>
      <c r="K15" s="56">
        <v>20</v>
      </c>
      <c r="L15" s="55" t="s">
        <v>252</v>
      </c>
      <c r="M15" s="60">
        <v>40</v>
      </c>
      <c r="N15" s="30" t="s">
        <v>45</v>
      </c>
      <c r="O15" s="30"/>
    </row>
    <row r="16" spans="1:15" x14ac:dyDescent="0.25">
      <c r="A16" s="54">
        <v>45298</v>
      </c>
      <c r="B16" s="55" t="s">
        <v>59</v>
      </c>
      <c r="C16" s="55" t="s">
        <v>43</v>
      </c>
      <c r="D16" s="56">
        <f t="shared" si="0"/>
        <v>173.55371900826447</v>
      </c>
      <c r="E16" s="56">
        <f t="shared" si="1"/>
        <v>17.355371900826448</v>
      </c>
      <c r="F16" s="63">
        <v>210</v>
      </c>
      <c r="G16" s="63">
        <v>50</v>
      </c>
      <c r="H16" s="58">
        <f t="shared" si="2"/>
        <v>160</v>
      </c>
      <c r="I16" s="64" t="s">
        <v>253</v>
      </c>
      <c r="J16" s="56">
        <v>170</v>
      </c>
      <c r="K16" s="56">
        <v>30</v>
      </c>
      <c r="L16" s="55" t="s">
        <v>252</v>
      </c>
      <c r="M16" s="65"/>
      <c r="N16" s="30"/>
      <c r="O16" s="30"/>
    </row>
    <row r="17" spans="1:15" x14ac:dyDescent="0.25">
      <c r="A17" s="54">
        <v>45298</v>
      </c>
      <c r="B17" s="55" t="s">
        <v>60</v>
      </c>
      <c r="C17" s="55" t="s">
        <v>43</v>
      </c>
      <c r="D17" s="56">
        <f t="shared" si="0"/>
        <v>140.49586776859505</v>
      </c>
      <c r="E17" s="56">
        <f t="shared" si="1"/>
        <v>14.049586776859506</v>
      </c>
      <c r="F17" s="63">
        <v>170</v>
      </c>
      <c r="G17" s="63">
        <v>50</v>
      </c>
      <c r="H17" s="58">
        <f t="shared" si="2"/>
        <v>120</v>
      </c>
      <c r="I17" s="64" t="s">
        <v>254</v>
      </c>
      <c r="J17" s="56">
        <v>170</v>
      </c>
      <c r="K17" s="56"/>
      <c r="L17" s="55"/>
      <c r="M17" s="60"/>
      <c r="N17" s="30"/>
      <c r="O17" s="30"/>
    </row>
    <row r="18" spans="1:15" x14ac:dyDescent="0.25">
      <c r="A18" s="54">
        <v>45301</v>
      </c>
      <c r="B18" s="55" t="s">
        <v>61</v>
      </c>
      <c r="C18" s="55" t="s">
        <v>43</v>
      </c>
      <c r="D18" s="56">
        <f t="shared" si="0"/>
        <v>283.47107438016531</v>
      </c>
      <c r="E18" s="56">
        <f t="shared" si="1"/>
        <v>28.347107438016529</v>
      </c>
      <c r="F18" s="63">
        <v>343</v>
      </c>
      <c r="G18" s="63">
        <v>50</v>
      </c>
      <c r="H18" s="58">
        <f t="shared" si="2"/>
        <v>293</v>
      </c>
      <c r="I18" s="64" t="s">
        <v>285</v>
      </c>
      <c r="J18" s="56">
        <v>220</v>
      </c>
      <c r="K18" s="56">
        <v>40</v>
      </c>
      <c r="L18" s="55" t="s">
        <v>45</v>
      </c>
      <c r="M18" s="60">
        <v>83</v>
      </c>
      <c r="N18" s="30" t="s">
        <v>286</v>
      </c>
      <c r="O18" s="30"/>
    </row>
    <row r="19" spans="1:15" x14ac:dyDescent="0.25">
      <c r="A19" s="54">
        <v>45303</v>
      </c>
      <c r="B19" s="55" t="s">
        <v>62</v>
      </c>
      <c r="C19" s="55" t="s">
        <v>43</v>
      </c>
      <c r="D19" s="56">
        <f t="shared" si="0"/>
        <v>148.7603305785124</v>
      </c>
      <c r="E19" s="56">
        <f t="shared" si="1"/>
        <v>14.876033057851238</v>
      </c>
      <c r="F19" s="63">
        <v>180</v>
      </c>
      <c r="G19" s="63"/>
      <c r="H19" s="58">
        <f t="shared" si="2"/>
        <v>180</v>
      </c>
      <c r="I19" s="64" t="s">
        <v>44</v>
      </c>
      <c r="J19" s="56">
        <v>180</v>
      </c>
      <c r="K19" s="56"/>
      <c r="L19" s="55"/>
      <c r="M19" s="60"/>
      <c r="N19" s="30"/>
      <c r="O19" s="30"/>
    </row>
    <row r="20" spans="1:15" x14ac:dyDescent="0.25">
      <c r="A20" s="54">
        <v>45303</v>
      </c>
      <c r="B20" s="55" t="s">
        <v>63</v>
      </c>
      <c r="C20" s="55" t="s">
        <v>43</v>
      </c>
      <c r="D20" s="56">
        <f t="shared" si="0"/>
        <v>247.93388429752068</v>
      </c>
      <c r="E20" s="56">
        <f t="shared" si="1"/>
        <v>24.793388429752067</v>
      </c>
      <c r="F20" s="63">
        <v>300</v>
      </c>
      <c r="G20" s="63">
        <v>50</v>
      </c>
      <c r="H20" s="58">
        <f t="shared" si="2"/>
        <v>250</v>
      </c>
      <c r="I20" s="64" t="s">
        <v>332</v>
      </c>
      <c r="J20" s="56">
        <v>270</v>
      </c>
      <c r="K20" s="56">
        <v>30</v>
      </c>
      <c r="L20" s="55" t="s">
        <v>252</v>
      </c>
      <c r="M20" s="60"/>
      <c r="N20" s="30"/>
      <c r="O20" s="30"/>
    </row>
    <row r="21" spans="1:15" x14ac:dyDescent="0.25">
      <c r="A21" s="54">
        <v>45303</v>
      </c>
      <c r="B21" s="55" t="s">
        <v>64</v>
      </c>
      <c r="C21" s="55" t="s">
        <v>43</v>
      </c>
      <c r="D21" s="56">
        <f t="shared" si="0"/>
        <v>148.7603305785124</v>
      </c>
      <c r="E21" s="56">
        <f t="shared" si="1"/>
        <v>14.876033057851238</v>
      </c>
      <c r="F21" s="63">
        <v>180</v>
      </c>
      <c r="G21" s="66"/>
      <c r="H21" s="58">
        <f t="shared" si="2"/>
        <v>180</v>
      </c>
      <c r="I21" s="64" t="s">
        <v>44</v>
      </c>
      <c r="J21" s="56">
        <v>180</v>
      </c>
      <c r="K21" s="56"/>
      <c r="L21" s="55"/>
      <c r="M21" s="60"/>
      <c r="N21" s="30"/>
      <c r="O21" s="30"/>
    </row>
    <row r="22" spans="1:15" x14ac:dyDescent="0.25">
      <c r="A22" s="54">
        <v>45303</v>
      </c>
      <c r="B22" s="55" t="s">
        <v>65</v>
      </c>
      <c r="C22" s="55" t="s">
        <v>43</v>
      </c>
      <c r="D22" s="56">
        <f t="shared" si="0"/>
        <v>239.6694214876033</v>
      </c>
      <c r="E22" s="56">
        <f t="shared" si="1"/>
        <v>23.966942148760332</v>
      </c>
      <c r="F22" s="63">
        <v>290</v>
      </c>
      <c r="G22" s="56">
        <v>50</v>
      </c>
      <c r="H22" s="58">
        <f t="shared" si="2"/>
        <v>240</v>
      </c>
      <c r="I22" s="64" t="s">
        <v>333</v>
      </c>
      <c r="J22" s="56">
        <v>270</v>
      </c>
      <c r="K22" s="56">
        <v>20</v>
      </c>
      <c r="L22" s="55" t="s">
        <v>252</v>
      </c>
      <c r="M22" s="60"/>
      <c r="N22" s="30"/>
      <c r="O22" s="30"/>
    </row>
    <row r="23" spans="1:15" x14ac:dyDescent="0.25">
      <c r="A23" s="54">
        <v>45303</v>
      </c>
      <c r="B23" s="55" t="s">
        <v>66</v>
      </c>
      <c r="C23" s="55" t="s">
        <v>43</v>
      </c>
      <c r="D23" s="56">
        <f t="shared" si="0"/>
        <v>223.14049586776861</v>
      </c>
      <c r="E23" s="56">
        <f t="shared" si="1"/>
        <v>22.314049586776861</v>
      </c>
      <c r="F23" s="63">
        <v>270</v>
      </c>
      <c r="G23" s="56">
        <v>50</v>
      </c>
      <c r="H23" s="58">
        <f t="shared" si="2"/>
        <v>220</v>
      </c>
      <c r="I23" s="64" t="s">
        <v>334</v>
      </c>
      <c r="J23" s="56">
        <v>270</v>
      </c>
      <c r="K23" s="56"/>
      <c r="L23" s="55"/>
      <c r="M23" s="60"/>
      <c r="N23" s="30"/>
      <c r="O23" s="30"/>
    </row>
    <row r="24" spans="1:15" x14ac:dyDescent="0.25">
      <c r="A24" s="54">
        <v>45303</v>
      </c>
      <c r="B24" s="55" t="s">
        <v>67</v>
      </c>
      <c r="C24" s="55" t="s">
        <v>43</v>
      </c>
      <c r="D24" s="56">
        <f t="shared" si="0"/>
        <v>256.198347107438</v>
      </c>
      <c r="E24" s="56">
        <f t="shared" si="1"/>
        <v>25.619834710743799</v>
      </c>
      <c r="F24" s="63">
        <v>310</v>
      </c>
      <c r="G24" s="56">
        <v>50</v>
      </c>
      <c r="H24" s="58">
        <f t="shared" si="2"/>
        <v>260</v>
      </c>
      <c r="I24" s="64" t="s">
        <v>335</v>
      </c>
      <c r="J24" s="56">
        <v>270</v>
      </c>
      <c r="K24" s="56">
        <v>40</v>
      </c>
      <c r="L24" s="55" t="s">
        <v>45</v>
      </c>
      <c r="M24" s="60"/>
      <c r="N24" s="30"/>
      <c r="O24" s="30"/>
    </row>
    <row r="25" spans="1:15" x14ac:dyDescent="0.25">
      <c r="A25" s="54">
        <v>45303</v>
      </c>
      <c r="B25" s="55" t="s">
        <v>68</v>
      </c>
      <c r="C25" s="55" t="s">
        <v>43</v>
      </c>
      <c r="D25" s="56">
        <f t="shared" si="0"/>
        <v>148.7603305785124</v>
      </c>
      <c r="E25" s="56">
        <f t="shared" si="1"/>
        <v>14.876033057851238</v>
      </c>
      <c r="F25" s="63">
        <v>180</v>
      </c>
      <c r="G25" s="56"/>
      <c r="H25" s="58">
        <f t="shared" si="2"/>
        <v>180</v>
      </c>
      <c r="I25" s="64" t="s">
        <v>44</v>
      </c>
      <c r="J25" s="56">
        <v>180</v>
      </c>
      <c r="K25" s="56"/>
      <c r="L25" s="55"/>
      <c r="M25" s="60"/>
      <c r="N25" s="30"/>
      <c r="O25" s="30"/>
    </row>
    <row r="26" spans="1:15" x14ac:dyDescent="0.25">
      <c r="A26" s="54">
        <v>45303</v>
      </c>
      <c r="B26" s="55" t="s">
        <v>69</v>
      </c>
      <c r="C26" s="55" t="s">
        <v>43</v>
      </c>
      <c r="D26" s="56">
        <f t="shared" si="0"/>
        <v>132.2314049586777</v>
      </c>
      <c r="E26" s="56">
        <f t="shared" si="1"/>
        <v>13.223140495867769</v>
      </c>
      <c r="F26" s="61">
        <v>160</v>
      </c>
      <c r="G26" s="56"/>
      <c r="H26" s="58">
        <f t="shared" si="2"/>
        <v>160</v>
      </c>
      <c r="I26" s="64" t="s">
        <v>44</v>
      </c>
      <c r="J26" s="56">
        <v>160</v>
      </c>
      <c r="K26" s="56"/>
      <c r="L26" s="55"/>
      <c r="M26" s="67"/>
      <c r="N26" s="68"/>
      <c r="O26" s="68"/>
    </row>
    <row r="27" spans="1:15" x14ac:dyDescent="0.25">
      <c r="A27" s="54">
        <v>45303</v>
      </c>
      <c r="B27" s="55" t="s">
        <v>70</v>
      </c>
      <c r="C27" s="55" t="s">
        <v>43</v>
      </c>
      <c r="D27" s="56">
        <f t="shared" si="0"/>
        <v>140.49586776859505</v>
      </c>
      <c r="E27" s="56">
        <f t="shared" si="1"/>
        <v>14.049586776859506</v>
      </c>
      <c r="F27" s="61">
        <v>170</v>
      </c>
      <c r="G27" s="56">
        <v>50</v>
      </c>
      <c r="H27" s="58">
        <f t="shared" si="2"/>
        <v>120</v>
      </c>
      <c r="I27" s="64" t="s">
        <v>336</v>
      </c>
      <c r="J27" s="56">
        <v>170</v>
      </c>
      <c r="K27" s="69"/>
      <c r="L27" s="70"/>
      <c r="M27" s="60"/>
      <c r="N27" s="30"/>
      <c r="O27" s="30"/>
    </row>
    <row r="28" spans="1:15" x14ac:dyDescent="0.25">
      <c r="A28" s="54">
        <v>45303</v>
      </c>
      <c r="B28" s="55" t="s">
        <v>71</v>
      </c>
      <c r="C28" s="55" t="s">
        <v>43</v>
      </c>
      <c r="D28" s="56">
        <f t="shared" si="0"/>
        <v>442.14876033057851</v>
      </c>
      <c r="E28" s="56">
        <f t="shared" si="1"/>
        <v>44.214876033057855</v>
      </c>
      <c r="F28" s="61">
        <v>535</v>
      </c>
      <c r="G28" s="56">
        <v>100</v>
      </c>
      <c r="H28" s="58">
        <f t="shared" si="2"/>
        <v>435</v>
      </c>
      <c r="I28" s="59" t="s">
        <v>337</v>
      </c>
      <c r="J28" s="56">
        <v>270</v>
      </c>
      <c r="K28" s="56">
        <v>40</v>
      </c>
      <c r="L28" s="70" t="s">
        <v>45</v>
      </c>
      <c r="M28" s="60">
        <v>225</v>
      </c>
      <c r="N28" s="30" t="s">
        <v>338</v>
      </c>
      <c r="O28" s="30"/>
    </row>
    <row r="29" spans="1:15" x14ac:dyDescent="0.25">
      <c r="A29" s="54">
        <v>45303</v>
      </c>
      <c r="B29" s="55" t="s">
        <v>72</v>
      </c>
      <c r="C29" s="55" t="s">
        <v>43</v>
      </c>
      <c r="D29" s="56">
        <f t="shared" si="0"/>
        <v>140.49586776859505</v>
      </c>
      <c r="E29" s="56">
        <f t="shared" si="1"/>
        <v>14.049586776859506</v>
      </c>
      <c r="F29" s="61">
        <v>170</v>
      </c>
      <c r="G29" s="56">
        <v>50</v>
      </c>
      <c r="H29" s="58">
        <f t="shared" si="2"/>
        <v>120</v>
      </c>
      <c r="I29" s="55" t="s">
        <v>339</v>
      </c>
      <c r="J29" s="56">
        <v>170</v>
      </c>
      <c r="K29" s="56"/>
      <c r="L29" s="55"/>
      <c r="M29" s="60"/>
      <c r="N29" s="30"/>
      <c r="O29" s="30"/>
    </row>
    <row r="30" spans="1:15" x14ac:dyDescent="0.25">
      <c r="A30" s="54">
        <v>45303</v>
      </c>
      <c r="B30" s="55" t="s">
        <v>73</v>
      </c>
      <c r="C30" s="55" t="s">
        <v>43</v>
      </c>
      <c r="D30" s="56">
        <f t="shared" si="0"/>
        <v>198.34710743801654</v>
      </c>
      <c r="E30" s="56">
        <f t="shared" si="1"/>
        <v>19.834710743801654</v>
      </c>
      <c r="F30" s="61">
        <v>240</v>
      </c>
      <c r="G30" s="56">
        <v>50</v>
      </c>
      <c r="H30" s="58">
        <f t="shared" si="2"/>
        <v>190</v>
      </c>
      <c r="I30" s="64" t="s">
        <v>340</v>
      </c>
      <c r="J30" s="56">
        <v>240</v>
      </c>
      <c r="K30" s="56"/>
      <c r="L30" s="55"/>
      <c r="M30" s="60"/>
      <c r="N30" s="30"/>
      <c r="O30" s="30"/>
    </row>
    <row r="31" spans="1:15" x14ac:dyDescent="0.25">
      <c r="A31" s="54">
        <v>45303</v>
      </c>
      <c r="B31" s="55" t="s">
        <v>74</v>
      </c>
      <c r="C31" s="55" t="s">
        <v>43</v>
      </c>
      <c r="D31" s="56">
        <f t="shared" si="0"/>
        <v>115.70247933884298</v>
      </c>
      <c r="E31" s="56">
        <f t="shared" si="1"/>
        <v>11.570247933884298</v>
      </c>
      <c r="F31" s="61">
        <v>140</v>
      </c>
      <c r="G31" s="56"/>
      <c r="H31" s="58">
        <f t="shared" si="2"/>
        <v>140</v>
      </c>
      <c r="I31" s="64" t="s">
        <v>44</v>
      </c>
      <c r="J31" s="56">
        <v>140</v>
      </c>
      <c r="K31" s="56"/>
      <c r="L31" s="55"/>
      <c r="M31" s="60"/>
      <c r="N31" s="30"/>
      <c r="O31" s="30"/>
    </row>
    <row r="32" spans="1:15" x14ac:dyDescent="0.25">
      <c r="A32" s="54">
        <v>45303</v>
      </c>
      <c r="B32" s="55" t="s">
        <v>75</v>
      </c>
      <c r="C32" s="55" t="s">
        <v>43</v>
      </c>
      <c r="D32" s="56">
        <f t="shared" si="0"/>
        <v>157.02479338842977</v>
      </c>
      <c r="E32" s="56">
        <f t="shared" si="1"/>
        <v>15.702479338842977</v>
      </c>
      <c r="F32" s="61">
        <v>190</v>
      </c>
      <c r="G32" s="56">
        <v>50</v>
      </c>
      <c r="H32" s="58">
        <f t="shared" si="2"/>
        <v>140</v>
      </c>
      <c r="I32" s="59" t="s">
        <v>341</v>
      </c>
      <c r="J32" s="56">
        <v>170</v>
      </c>
      <c r="K32" s="56">
        <v>20</v>
      </c>
      <c r="L32" s="55" t="s">
        <v>252</v>
      </c>
      <c r="M32" s="60"/>
      <c r="N32" s="30"/>
      <c r="O32" s="30"/>
    </row>
    <row r="33" spans="1:15" x14ac:dyDescent="0.25">
      <c r="A33" s="54">
        <v>45304</v>
      </c>
      <c r="B33" s="55" t="s">
        <v>76</v>
      </c>
      <c r="C33" s="55" t="s">
        <v>43</v>
      </c>
      <c r="D33" s="56">
        <f t="shared" si="0"/>
        <v>148.7603305785124</v>
      </c>
      <c r="E33" s="56">
        <f t="shared" si="1"/>
        <v>14.876033057851238</v>
      </c>
      <c r="F33" s="61">
        <v>180</v>
      </c>
      <c r="G33" s="56"/>
      <c r="H33" s="58">
        <f t="shared" si="2"/>
        <v>180</v>
      </c>
      <c r="I33" s="59" t="s">
        <v>44</v>
      </c>
      <c r="J33" s="56">
        <v>180</v>
      </c>
      <c r="K33" s="56"/>
      <c r="L33" s="55"/>
      <c r="M33" s="60"/>
      <c r="N33" s="30"/>
      <c r="O33" s="30"/>
    </row>
    <row r="34" spans="1:15" x14ac:dyDescent="0.25">
      <c r="A34" s="54">
        <v>45304</v>
      </c>
      <c r="B34" s="55" t="s">
        <v>77</v>
      </c>
      <c r="C34" s="55" t="s">
        <v>43</v>
      </c>
      <c r="D34" s="56">
        <f t="shared" si="0"/>
        <v>123.96694214876034</v>
      </c>
      <c r="E34" s="56">
        <f t="shared" si="1"/>
        <v>12.396694214876034</v>
      </c>
      <c r="F34" s="61">
        <v>150</v>
      </c>
      <c r="G34" s="56"/>
      <c r="H34" s="58">
        <f t="shared" si="2"/>
        <v>150</v>
      </c>
      <c r="I34" s="59" t="s">
        <v>44</v>
      </c>
      <c r="J34" s="56">
        <v>150</v>
      </c>
      <c r="K34" s="56"/>
      <c r="L34" s="55"/>
      <c r="M34" s="60"/>
      <c r="N34" s="30"/>
      <c r="O34" s="30"/>
    </row>
    <row r="35" spans="1:15" x14ac:dyDescent="0.25">
      <c r="A35" s="54">
        <v>45304</v>
      </c>
      <c r="B35" s="55" t="s">
        <v>78</v>
      </c>
      <c r="C35" s="55" t="s">
        <v>43</v>
      </c>
      <c r="D35" s="56">
        <f t="shared" si="0"/>
        <v>173.55371900826447</v>
      </c>
      <c r="E35" s="56">
        <f t="shared" si="1"/>
        <v>17.355371900826448</v>
      </c>
      <c r="F35" s="61">
        <v>210</v>
      </c>
      <c r="G35" s="56">
        <v>50</v>
      </c>
      <c r="H35" s="58">
        <f t="shared" si="2"/>
        <v>160</v>
      </c>
      <c r="I35" s="59" t="s">
        <v>342</v>
      </c>
      <c r="J35" s="56">
        <v>170</v>
      </c>
      <c r="K35" s="56">
        <v>40</v>
      </c>
      <c r="L35" s="55" t="s">
        <v>45</v>
      </c>
      <c r="M35" s="60"/>
      <c r="N35" s="30"/>
      <c r="O35" s="30"/>
    </row>
    <row r="36" spans="1:15" x14ac:dyDescent="0.25">
      <c r="A36" s="54">
        <v>45304</v>
      </c>
      <c r="B36" s="55" t="s">
        <v>79</v>
      </c>
      <c r="C36" s="55" t="s">
        <v>43</v>
      </c>
      <c r="D36" s="56">
        <f t="shared" si="0"/>
        <v>157.02479338842977</v>
      </c>
      <c r="E36" s="56">
        <f t="shared" si="1"/>
        <v>15.702479338842977</v>
      </c>
      <c r="F36" s="61">
        <v>190</v>
      </c>
      <c r="G36" s="56">
        <v>50</v>
      </c>
      <c r="H36" s="58">
        <f t="shared" si="2"/>
        <v>140</v>
      </c>
      <c r="I36" s="64" t="s">
        <v>343</v>
      </c>
      <c r="J36" s="56">
        <v>170</v>
      </c>
      <c r="K36" s="56">
        <v>20</v>
      </c>
      <c r="L36" s="55" t="s">
        <v>252</v>
      </c>
      <c r="M36" s="60"/>
      <c r="N36" s="30"/>
      <c r="O36" s="30"/>
    </row>
    <row r="37" spans="1:15" x14ac:dyDescent="0.25">
      <c r="A37" s="54">
        <v>45304</v>
      </c>
      <c r="B37" s="55" t="s">
        <v>80</v>
      </c>
      <c r="C37" s="55" t="s">
        <v>43</v>
      </c>
      <c r="D37" s="56">
        <f t="shared" si="0"/>
        <v>148.7603305785124</v>
      </c>
      <c r="E37" s="56">
        <f t="shared" si="1"/>
        <v>14.876033057851238</v>
      </c>
      <c r="F37" s="61">
        <v>180</v>
      </c>
      <c r="G37" s="56"/>
      <c r="H37" s="58">
        <f t="shared" si="2"/>
        <v>180</v>
      </c>
      <c r="I37" s="64" t="s">
        <v>44</v>
      </c>
      <c r="J37" s="56">
        <v>180</v>
      </c>
      <c r="K37" s="56"/>
      <c r="L37" s="55"/>
      <c r="M37" s="60"/>
      <c r="N37" s="30"/>
      <c r="O37" s="30"/>
    </row>
    <row r="38" spans="1:15" x14ac:dyDescent="0.25">
      <c r="A38" s="71">
        <v>45305</v>
      </c>
      <c r="B38" s="55" t="s">
        <v>81</v>
      </c>
      <c r="C38" s="55" t="s">
        <v>43</v>
      </c>
      <c r="D38" s="56">
        <f t="shared" si="0"/>
        <v>243.801652892562</v>
      </c>
      <c r="E38" s="56">
        <f t="shared" si="1"/>
        <v>24.380165289256201</v>
      </c>
      <c r="F38" s="63">
        <v>295</v>
      </c>
      <c r="G38" s="63"/>
      <c r="H38" s="58">
        <f t="shared" si="2"/>
        <v>295</v>
      </c>
      <c r="I38" s="64" t="s">
        <v>344</v>
      </c>
      <c r="J38" s="56">
        <v>295</v>
      </c>
      <c r="K38" s="72"/>
      <c r="L38" s="55"/>
      <c r="M38" s="60"/>
      <c r="N38" s="30"/>
      <c r="O38" s="30"/>
    </row>
    <row r="39" spans="1:15" x14ac:dyDescent="0.25">
      <c r="A39" s="71">
        <v>45305</v>
      </c>
      <c r="B39" s="55" t="s">
        <v>82</v>
      </c>
      <c r="C39" s="55" t="s">
        <v>43</v>
      </c>
      <c r="D39" s="56">
        <f t="shared" si="0"/>
        <v>165.28925619834712</v>
      </c>
      <c r="E39" s="56">
        <f t="shared" si="1"/>
        <v>16.528925619834713</v>
      </c>
      <c r="F39" s="63">
        <v>200</v>
      </c>
      <c r="G39" s="63"/>
      <c r="H39" s="58">
        <f t="shared" si="2"/>
        <v>200</v>
      </c>
      <c r="I39" s="64" t="s">
        <v>44</v>
      </c>
      <c r="J39" s="56">
        <v>200</v>
      </c>
      <c r="K39" s="56"/>
      <c r="L39" s="55"/>
      <c r="M39" s="60"/>
      <c r="N39" s="30"/>
      <c r="O39" s="30"/>
    </row>
    <row r="40" spans="1:15" x14ac:dyDescent="0.25">
      <c r="A40" s="71">
        <v>45305</v>
      </c>
      <c r="B40" s="55" t="s">
        <v>83</v>
      </c>
      <c r="C40" s="55" t="s">
        <v>43</v>
      </c>
      <c r="D40" s="56">
        <f t="shared" si="0"/>
        <v>173.55371900826447</v>
      </c>
      <c r="E40" s="56">
        <f t="shared" si="1"/>
        <v>17.355371900826448</v>
      </c>
      <c r="F40" s="63">
        <v>210</v>
      </c>
      <c r="G40" s="63">
        <v>50</v>
      </c>
      <c r="H40" s="58">
        <f t="shared" si="2"/>
        <v>160</v>
      </c>
      <c r="I40" s="64" t="s">
        <v>345</v>
      </c>
      <c r="J40" s="56">
        <v>160</v>
      </c>
      <c r="K40" s="56">
        <v>40</v>
      </c>
      <c r="L40" s="55" t="s">
        <v>45</v>
      </c>
      <c r="M40" s="60"/>
      <c r="N40" s="30"/>
      <c r="O40" s="30"/>
    </row>
    <row r="41" spans="1:15" x14ac:dyDescent="0.25">
      <c r="A41" s="71">
        <v>45306</v>
      </c>
      <c r="B41" s="55" t="s">
        <v>84</v>
      </c>
      <c r="C41" s="55" t="s">
        <v>43</v>
      </c>
      <c r="D41" s="56">
        <f t="shared" si="0"/>
        <v>157.02479338842977</v>
      </c>
      <c r="E41" s="56">
        <f t="shared" si="1"/>
        <v>15.702479338842977</v>
      </c>
      <c r="F41" s="63">
        <v>190</v>
      </c>
      <c r="G41" s="63"/>
      <c r="H41" s="58">
        <f t="shared" si="2"/>
        <v>190</v>
      </c>
      <c r="I41" s="64" t="s">
        <v>44</v>
      </c>
      <c r="J41" s="56">
        <v>190</v>
      </c>
      <c r="K41" s="56"/>
      <c r="L41" s="55"/>
      <c r="M41" s="60"/>
      <c r="N41" s="30"/>
      <c r="O41" s="30"/>
    </row>
    <row r="42" spans="1:15" x14ac:dyDescent="0.25">
      <c r="A42" s="71">
        <v>45309</v>
      </c>
      <c r="B42" s="55" t="s">
        <v>85</v>
      </c>
      <c r="C42" s="55" t="s">
        <v>43</v>
      </c>
      <c r="D42" s="56">
        <f t="shared" si="0"/>
        <v>115.70247933884298</v>
      </c>
      <c r="E42" s="56">
        <f t="shared" si="1"/>
        <v>11.570247933884298</v>
      </c>
      <c r="F42" s="63">
        <v>140</v>
      </c>
      <c r="G42" s="63"/>
      <c r="H42" s="58">
        <f t="shared" si="2"/>
        <v>140</v>
      </c>
      <c r="I42" s="64" t="s">
        <v>44</v>
      </c>
      <c r="J42" s="56">
        <v>140</v>
      </c>
      <c r="K42" s="56"/>
      <c r="L42" s="55"/>
      <c r="M42" s="60"/>
      <c r="N42" s="30"/>
      <c r="O42" s="30"/>
    </row>
    <row r="43" spans="1:15" x14ac:dyDescent="0.25">
      <c r="A43" s="71">
        <v>45309</v>
      </c>
      <c r="B43" s="55" t="s">
        <v>86</v>
      </c>
      <c r="C43" s="55" t="s">
        <v>43</v>
      </c>
      <c r="D43" s="56">
        <f t="shared" si="0"/>
        <v>322.31404958677689</v>
      </c>
      <c r="E43" s="56">
        <f t="shared" si="1"/>
        <v>32.231404958677693</v>
      </c>
      <c r="F43" s="63">
        <v>390</v>
      </c>
      <c r="G43" s="63"/>
      <c r="H43" s="58">
        <f t="shared" si="2"/>
        <v>390</v>
      </c>
      <c r="I43" s="64" t="s">
        <v>44</v>
      </c>
      <c r="J43" s="56">
        <v>390</v>
      </c>
      <c r="K43" s="56"/>
      <c r="L43" s="55"/>
      <c r="M43" s="60"/>
      <c r="N43" s="30"/>
      <c r="O43" s="30"/>
    </row>
    <row r="44" spans="1:15" x14ac:dyDescent="0.25">
      <c r="A44" s="71">
        <v>45310</v>
      </c>
      <c r="B44" s="55" t="s">
        <v>87</v>
      </c>
      <c r="C44" s="55" t="s">
        <v>43</v>
      </c>
      <c r="D44" s="56">
        <f t="shared" si="0"/>
        <v>173.55371900826447</v>
      </c>
      <c r="E44" s="56">
        <f t="shared" si="1"/>
        <v>17.355371900826448</v>
      </c>
      <c r="F44" s="63">
        <v>210</v>
      </c>
      <c r="G44" s="63">
        <v>50</v>
      </c>
      <c r="H44" s="58">
        <f t="shared" si="2"/>
        <v>160</v>
      </c>
      <c r="I44" s="64" t="s">
        <v>346</v>
      </c>
      <c r="J44" s="56">
        <v>210</v>
      </c>
      <c r="K44" s="56"/>
      <c r="L44" s="55"/>
      <c r="M44" s="60"/>
      <c r="N44" s="30"/>
      <c r="O44" s="30"/>
    </row>
    <row r="45" spans="1:15" x14ac:dyDescent="0.25">
      <c r="A45" s="71">
        <v>45310</v>
      </c>
      <c r="B45" s="55" t="s">
        <v>88</v>
      </c>
      <c r="C45" s="55" t="s">
        <v>43</v>
      </c>
      <c r="D45" s="56">
        <f t="shared" si="0"/>
        <v>297.52066115702479</v>
      </c>
      <c r="E45" s="56">
        <f t="shared" si="1"/>
        <v>29.752066115702476</v>
      </c>
      <c r="F45" s="63">
        <v>360</v>
      </c>
      <c r="G45" s="63"/>
      <c r="H45" s="58">
        <f t="shared" si="2"/>
        <v>360</v>
      </c>
      <c r="I45" s="64" t="s">
        <v>44</v>
      </c>
      <c r="J45" s="56">
        <v>360</v>
      </c>
      <c r="K45" s="56"/>
      <c r="L45" s="55"/>
      <c r="M45" s="60"/>
      <c r="N45" s="30"/>
      <c r="O45" s="30"/>
    </row>
    <row r="46" spans="1:15" x14ac:dyDescent="0.25">
      <c r="A46" s="71">
        <v>45310</v>
      </c>
      <c r="B46" s="55" t="s">
        <v>89</v>
      </c>
      <c r="C46" s="55" t="s">
        <v>43</v>
      </c>
      <c r="D46" s="56">
        <f t="shared" si="0"/>
        <v>177.68595041322314</v>
      </c>
      <c r="E46" s="56">
        <f t="shared" si="1"/>
        <v>17.768595041322314</v>
      </c>
      <c r="F46" s="63">
        <v>215</v>
      </c>
      <c r="G46" s="63">
        <v>50</v>
      </c>
      <c r="H46" s="58">
        <f t="shared" si="2"/>
        <v>165</v>
      </c>
      <c r="I46" s="64" t="s">
        <v>347</v>
      </c>
      <c r="J46" s="56">
        <v>170</v>
      </c>
      <c r="K46" s="56">
        <v>45</v>
      </c>
      <c r="L46" s="55" t="s">
        <v>45</v>
      </c>
      <c r="M46" s="60"/>
      <c r="N46" s="30"/>
      <c r="O46" s="30"/>
    </row>
    <row r="47" spans="1:15" x14ac:dyDescent="0.25">
      <c r="A47" s="71">
        <v>45310</v>
      </c>
      <c r="B47" s="55" t="s">
        <v>90</v>
      </c>
      <c r="C47" s="55" t="s">
        <v>43</v>
      </c>
      <c r="D47" s="56">
        <f t="shared" si="0"/>
        <v>177.68595041322314</v>
      </c>
      <c r="E47" s="56">
        <f t="shared" si="1"/>
        <v>17.768595041322314</v>
      </c>
      <c r="F47" s="63">
        <v>215</v>
      </c>
      <c r="G47" s="63">
        <v>50</v>
      </c>
      <c r="H47" s="58">
        <f t="shared" si="2"/>
        <v>165</v>
      </c>
      <c r="I47" s="64" t="s">
        <v>348</v>
      </c>
      <c r="J47" s="56">
        <v>170</v>
      </c>
      <c r="K47" s="56">
        <v>45</v>
      </c>
      <c r="L47" s="55" t="s">
        <v>45</v>
      </c>
      <c r="M47" s="60"/>
      <c r="N47" s="30"/>
      <c r="O47" s="30"/>
    </row>
    <row r="48" spans="1:15" x14ac:dyDescent="0.25">
      <c r="A48" s="71">
        <v>45310</v>
      </c>
      <c r="B48" s="55" t="s">
        <v>91</v>
      </c>
      <c r="C48" s="55" t="s">
        <v>43</v>
      </c>
      <c r="D48" s="56">
        <f t="shared" si="0"/>
        <v>173.55371900826447</v>
      </c>
      <c r="E48" s="56">
        <f t="shared" si="1"/>
        <v>17.355371900826448</v>
      </c>
      <c r="F48" s="63">
        <v>210</v>
      </c>
      <c r="G48" s="63">
        <v>50</v>
      </c>
      <c r="H48" s="58">
        <f t="shared" si="2"/>
        <v>160</v>
      </c>
      <c r="I48" s="64" t="s">
        <v>349</v>
      </c>
      <c r="J48" s="56">
        <v>170</v>
      </c>
      <c r="K48" s="56">
        <v>40</v>
      </c>
      <c r="L48" s="55" t="s">
        <v>252</v>
      </c>
      <c r="M48" s="60"/>
      <c r="N48" s="30"/>
      <c r="O48" s="30"/>
    </row>
    <row r="49" spans="1:15" x14ac:dyDescent="0.25">
      <c r="A49" s="71">
        <v>45310</v>
      </c>
      <c r="B49" s="55" t="s">
        <v>92</v>
      </c>
      <c r="C49" s="55" t="s">
        <v>43</v>
      </c>
      <c r="D49" s="56">
        <f t="shared" si="0"/>
        <v>177.68595041322314</v>
      </c>
      <c r="E49" s="56">
        <f t="shared" si="1"/>
        <v>17.768595041322314</v>
      </c>
      <c r="F49" s="63">
        <v>215</v>
      </c>
      <c r="G49" s="63"/>
      <c r="H49" s="58">
        <f t="shared" si="2"/>
        <v>215</v>
      </c>
      <c r="I49" s="64" t="s">
        <v>350</v>
      </c>
      <c r="J49" s="56">
        <v>170</v>
      </c>
      <c r="K49" s="56">
        <v>45</v>
      </c>
      <c r="L49" s="55" t="s">
        <v>351</v>
      </c>
      <c r="M49" s="60"/>
      <c r="N49" s="30"/>
      <c r="O49" s="30"/>
    </row>
    <row r="50" spans="1:15" x14ac:dyDescent="0.25">
      <c r="A50" s="71">
        <v>45311</v>
      </c>
      <c r="B50" s="55" t="s">
        <v>93</v>
      </c>
      <c r="C50" s="55" t="s">
        <v>43</v>
      </c>
      <c r="D50" s="56">
        <f t="shared" si="0"/>
        <v>190.08264462809919</v>
      </c>
      <c r="E50" s="56">
        <f t="shared" si="1"/>
        <v>19.008264462809919</v>
      </c>
      <c r="F50" s="63">
        <v>230</v>
      </c>
      <c r="G50" s="63">
        <v>50</v>
      </c>
      <c r="H50" s="58">
        <f t="shared" si="2"/>
        <v>180</v>
      </c>
      <c r="I50" s="64" t="s">
        <v>352</v>
      </c>
      <c r="J50" s="56">
        <v>170</v>
      </c>
      <c r="K50" s="56">
        <v>60</v>
      </c>
      <c r="L50" s="55" t="s">
        <v>252</v>
      </c>
      <c r="M50" s="60"/>
      <c r="N50" s="30"/>
      <c r="O50" s="30"/>
    </row>
    <row r="51" spans="1:15" x14ac:dyDescent="0.25">
      <c r="A51" s="71">
        <v>45311</v>
      </c>
      <c r="B51" s="55" t="s">
        <v>94</v>
      </c>
      <c r="C51" s="55" t="s">
        <v>43</v>
      </c>
      <c r="D51" s="56">
        <f t="shared" si="0"/>
        <v>115.70247933884298</v>
      </c>
      <c r="E51" s="56">
        <f t="shared" si="1"/>
        <v>11.570247933884298</v>
      </c>
      <c r="F51" s="63">
        <v>140</v>
      </c>
      <c r="G51" s="63"/>
      <c r="H51" s="58">
        <f t="shared" si="2"/>
        <v>140</v>
      </c>
      <c r="I51" s="64" t="s">
        <v>44</v>
      </c>
      <c r="J51" s="56">
        <v>140</v>
      </c>
      <c r="K51" s="56"/>
      <c r="L51" s="55"/>
      <c r="M51" s="60"/>
      <c r="N51" s="30"/>
      <c r="O51" s="30"/>
    </row>
    <row r="52" spans="1:15" x14ac:dyDescent="0.25">
      <c r="A52" s="73">
        <v>45311</v>
      </c>
      <c r="B52" s="55" t="s">
        <v>95</v>
      </c>
      <c r="C52" s="55" t="s">
        <v>43</v>
      </c>
      <c r="D52" s="56">
        <f t="shared" si="0"/>
        <v>173.55371900826447</v>
      </c>
      <c r="E52" s="56">
        <f t="shared" si="1"/>
        <v>17.355371900826448</v>
      </c>
      <c r="F52" s="63">
        <v>210</v>
      </c>
      <c r="G52" s="63">
        <v>50</v>
      </c>
      <c r="H52" s="58">
        <f t="shared" si="2"/>
        <v>160</v>
      </c>
      <c r="I52" s="74" t="s">
        <v>353</v>
      </c>
      <c r="J52" s="75">
        <v>170</v>
      </c>
      <c r="K52" s="75">
        <v>40</v>
      </c>
      <c r="L52" s="14" t="s">
        <v>45</v>
      </c>
      <c r="M52" s="60"/>
      <c r="N52" s="30"/>
      <c r="O52" s="68"/>
    </row>
    <row r="53" spans="1:15" x14ac:dyDescent="0.25">
      <c r="A53" s="71">
        <v>45311</v>
      </c>
      <c r="B53" s="55" t="s">
        <v>96</v>
      </c>
      <c r="C53" s="55" t="s">
        <v>43</v>
      </c>
      <c r="D53" s="56">
        <f t="shared" si="0"/>
        <v>115.70247933884298</v>
      </c>
      <c r="E53" s="56">
        <f t="shared" si="1"/>
        <v>11.570247933884298</v>
      </c>
      <c r="F53" s="63">
        <v>140</v>
      </c>
      <c r="G53" s="63"/>
      <c r="H53" s="58">
        <f t="shared" si="2"/>
        <v>140</v>
      </c>
      <c r="I53" s="64" t="s">
        <v>44</v>
      </c>
      <c r="J53" s="56">
        <v>140</v>
      </c>
      <c r="K53" s="56"/>
      <c r="L53" s="55"/>
      <c r="M53" s="60"/>
      <c r="N53" s="30"/>
      <c r="O53" s="30"/>
    </row>
    <row r="54" spans="1:15" x14ac:dyDescent="0.25">
      <c r="A54" s="71">
        <v>45311</v>
      </c>
      <c r="B54" s="55" t="s">
        <v>97</v>
      </c>
      <c r="C54" s="55" t="s">
        <v>43</v>
      </c>
      <c r="D54" s="56">
        <f t="shared" si="0"/>
        <v>140.49586776859505</v>
      </c>
      <c r="E54" s="56">
        <f t="shared" si="1"/>
        <v>14.049586776859506</v>
      </c>
      <c r="F54" s="63">
        <v>170</v>
      </c>
      <c r="G54" s="63">
        <v>50</v>
      </c>
      <c r="H54" s="58">
        <f t="shared" si="2"/>
        <v>120</v>
      </c>
      <c r="I54" s="64" t="s">
        <v>354</v>
      </c>
      <c r="J54" s="56">
        <v>170</v>
      </c>
      <c r="K54" s="56"/>
      <c r="L54" s="55"/>
      <c r="M54" s="60"/>
      <c r="N54" s="30"/>
      <c r="O54" s="30"/>
    </row>
    <row r="55" spans="1:15" x14ac:dyDescent="0.25">
      <c r="A55" s="71">
        <v>45311</v>
      </c>
      <c r="B55" s="55" t="s">
        <v>98</v>
      </c>
      <c r="C55" s="55" t="s">
        <v>43</v>
      </c>
      <c r="D55" s="56">
        <f t="shared" si="0"/>
        <v>177.68595041322314</v>
      </c>
      <c r="E55" s="56">
        <f t="shared" si="1"/>
        <v>17.768595041322314</v>
      </c>
      <c r="F55" s="63">
        <v>215</v>
      </c>
      <c r="G55" s="63">
        <v>50</v>
      </c>
      <c r="H55" s="58">
        <f t="shared" si="2"/>
        <v>165</v>
      </c>
      <c r="I55" s="64" t="s">
        <v>355</v>
      </c>
      <c r="J55" s="56">
        <v>170</v>
      </c>
      <c r="K55" s="56">
        <v>45</v>
      </c>
      <c r="L55" s="55" t="s">
        <v>45</v>
      </c>
      <c r="M55" s="60"/>
      <c r="N55" s="30"/>
      <c r="O55" s="30"/>
    </row>
    <row r="56" spans="1:15" x14ac:dyDescent="0.25">
      <c r="A56" s="71">
        <v>45311</v>
      </c>
      <c r="B56" s="55" t="s">
        <v>99</v>
      </c>
      <c r="C56" s="55" t="s">
        <v>43</v>
      </c>
      <c r="D56" s="56">
        <f t="shared" si="0"/>
        <v>177.68595041322314</v>
      </c>
      <c r="E56" s="56">
        <f t="shared" si="1"/>
        <v>17.768595041322314</v>
      </c>
      <c r="F56" s="63">
        <v>215</v>
      </c>
      <c r="G56" s="63">
        <v>50</v>
      </c>
      <c r="H56" s="58">
        <f t="shared" si="2"/>
        <v>165</v>
      </c>
      <c r="I56" s="64" t="s">
        <v>356</v>
      </c>
      <c r="J56" s="56">
        <v>170</v>
      </c>
      <c r="K56" s="56">
        <v>45</v>
      </c>
      <c r="L56" s="55" t="s">
        <v>45</v>
      </c>
      <c r="M56" s="60"/>
      <c r="N56" s="30"/>
      <c r="O56" s="30"/>
    </row>
    <row r="57" spans="1:15" x14ac:dyDescent="0.25">
      <c r="A57" s="71">
        <v>45311</v>
      </c>
      <c r="B57" s="55" t="s">
        <v>100</v>
      </c>
      <c r="C57" s="55" t="s">
        <v>43</v>
      </c>
      <c r="D57" s="56">
        <f t="shared" si="0"/>
        <v>140.49586776859505</v>
      </c>
      <c r="E57" s="56">
        <f t="shared" si="1"/>
        <v>14.049586776859506</v>
      </c>
      <c r="F57" s="63">
        <v>170</v>
      </c>
      <c r="G57" s="63">
        <v>50</v>
      </c>
      <c r="H57" s="58">
        <f t="shared" si="2"/>
        <v>120</v>
      </c>
      <c r="I57" s="64" t="s">
        <v>357</v>
      </c>
      <c r="J57" s="56">
        <v>170</v>
      </c>
      <c r="K57" s="56"/>
      <c r="L57" s="55"/>
      <c r="M57" s="60"/>
      <c r="N57" s="30"/>
      <c r="O57" s="30"/>
    </row>
    <row r="58" spans="1:15" x14ac:dyDescent="0.25">
      <c r="A58" s="71">
        <v>45311</v>
      </c>
      <c r="B58" s="55" t="s">
        <v>101</v>
      </c>
      <c r="C58" s="55" t="s">
        <v>43</v>
      </c>
      <c r="D58" s="56">
        <f t="shared" si="0"/>
        <v>140.49586776859505</v>
      </c>
      <c r="E58" s="56">
        <f t="shared" si="1"/>
        <v>14.049586776859506</v>
      </c>
      <c r="F58" s="63">
        <v>170</v>
      </c>
      <c r="G58" s="63">
        <v>50</v>
      </c>
      <c r="H58" s="58">
        <f t="shared" si="2"/>
        <v>120</v>
      </c>
      <c r="I58" s="64" t="s">
        <v>358</v>
      </c>
      <c r="J58" s="56">
        <v>170</v>
      </c>
      <c r="K58" s="56"/>
      <c r="L58" s="55"/>
      <c r="M58" s="60"/>
      <c r="N58" s="30"/>
      <c r="O58" s="30"/>
    </row>
    <row r="59" spans="1:15" x14ac:dyDescent="0.25">
      <c r="A59" s="71">
        <v>45311</v>
      </c>
      <c r="B59" s="55" t="s">
        <v>102</v>
      </c>
      <c r="C59" s="55" t="s">
        <v>43</v>
      </c>
      <c r="D59" s="56">
        <f t="shared" si="0"/>
        <v>123.96694214876034</v>
      </c>
      <c r="E59" s="56">
        <f t="shared" si="1"/>
        <v>12.396694214876034</v>
      </c>
      <c r="F59" s="63">
        <v>150</v>
      </c>
      <c r="G59" s="63"/>
      <c r="H59" s="58">
        <f t="shared" si="2"/>
        <v>150</v>
      </c>
      <c r="I59" s="64" t="s">
        <v>44</v>
      </c>
      <c r="J59" s="56">
        <v>150</v>
      </c>
      <c r="K59" s="56"/>
      <c r="L59" s="55"/>
      <c r="M59" s="60"/>
      <c r="N59" s="30"/>
      <c r="O59" s="30"/>
    </row>
    <row r="60" spans="1:15" x14ac:dyDescent="0.25">
      <c r="A60" s="71">
        <v>45311</v>
      </c>
      <c r="B60" s="55" t="s">
        <v>103</v>
      </c>
      <c r="C60" s="55" t="s">
        <v>43</v>
      </c>
      <c r="D60" s="56">
        <f t="shared" si="0"/>
        <v>181.81818181818181</v>
      </c>
      <c r="E60" s="56">
        <f t="shared" si="1"/>
        <v>18.18181818181818</v>
      </c>
      <c r="F60" s="63">
        <v>220</v>
      </c>
      <c r="G60" s="63">
        <v>50</v>
      </c>
      <c r="H60" s="58">
        <f t="shared" si="2"/>
        <v>170</v>
      </c>
      <c r="I60" s="64" t="s">
        <v>359</v>
      </c>
      <c r="J60" s="56">
        <v>220</v>
      </c>
      <c r="K60" s="56"/>
      <c r="L60" s="55"/>
      <c r="M60" s="60"/>
      <c r="N60" s="30"/>
      <c r="O60" s="30"/>
    </row>
    <row r="61" spans="1:15" x14ac:dyDescent="0.25">
      <c r="A61" s="71">
        <v>45311</v>
      </c>
      <c r="B61" s="55" t="s">
        <v>104</v>
      </c>
      <c r="C61" s="55" t="s">
        <v>43</v>
      </c>
      <c r="D61" s="56">
        <f t="shared" si="0"/>
        <v>214.87603305785126</v>
      </c>
      <c r="E61" s="56">
        <f t="shared" si="1"/>
        <v>21.487603305785125</v>
      </c>
      <c r="F61" s="63">
        <v>260</v>
      </c>
      <c r="G61" s="63">
        <v>50</v>
      </c>
      <c r="H61" s="58">
        <f t="shared" si="2"/>
        <v>210</v>
      </c>
      <c r="I61" s="64" t="s">
        <v>360</v>
      </c>
      <c r="J61" s="56">
        <v>220</v>
      </c>
      <c r="K61" s="56">
        <v>40</v>
      </c>
      <c r="L61" s="55" t="s">
        <v>252</v>
      </c>
      <c r="M61" s="60"/>
      <c r="N61" s="30"/>
      <c r="O61" s="30"/>
    </row>
    <row r="62" spans="1:15" x14ac:dyDescent="0.25">
      <c r="A62" s="71">
        <v>45311</v>
      </c>
      <c r="B62" s="55" t="s">
        <v>105</v>
      </c>
      <c r="C62" s="55" t="s">
        <v>43</v>
      </c>
      <c r="D62" s="56">
        <f t="shared" si="0"/>
        <v>181.81818181818181</v>
      </c>
      <c r="E62" s="56">
        <f t="shared" si="1"/>
        <v>18.18181818181818</v>
      </c>
      <c r="F62" s="63">
        <v>220</v>
      </c>
      <c r="G62" s="63">
        <v>50</v>
      </c>
      <c r="H62" s="58">
        <f t="shared" si="2"/>
        <v>170</v>
      </c>
      <c r="I62" s="64" t="s">
        <v>361</v>
      </c>
      <c r="J62" s="56">
        <v>220</v>
      </c>
      <c r="K62" s="56"/>
      <c r="L62" s="55"/>
      <c r="M62" s="60"/>
      <c r="N62" s="30"/>
      <c r="O62" s="30"/>
    </row>
    <row r="63" spans="1:15" x14ac:dyDescent="0.25">
      <c r="A63" s="76">
        <v>45311</v>
      </c>
      <c r="B63" s="55" t="s">
        <v>106</v>
      </c>
      <c r="C63" s="55" t="s">
        <v>43</v>
      </c>
      <c r="D63" s="56">
        <f t="shared" si="0"/>
        <v>165.28925619834712</v>
      </c>
      <c r="E63" s="56">
        <f t="shared" si="1"/>
        <v>16.528925619834713</v>
      </c>
      <c r="F63" s="63">
        <v>200</v>
      </c>
      <c r="G63" s="63"/>
      <c r="H63" s="58">
        <f t="shared" si="2"/>
        <v>200</v>
      </c>
      <c r="I63" s="64" t="s">
        <v>44</v>
      </c>
      <c r="J63" s="56">
        <v>200</v>
      </c>
      <c r="K63" s="56"/>
      <c r="L63" s="55"/>
      <c r="M63" s="60"/>
      <c r="N63" s="30"/>
      <c r="O63" s="30"/>
    </row>
    <row r="64" spans="1:15" x14ac:dyDescent="0.25">
      <c r="A64" s="76">
        <v>45311</v>
      </c>
      <c r="B64" s="55" t="s">
        <v>107</v>
      </c>
      <c r="C64" s="55" t="s">
        <v>43</v>
      </c>
      <c r="D64" s="56">
        <f t="shared" si="0"/>
        <v>239.6694214876033</v>
      </c>
      <c r="E64" s="56">
        <f t="shared" si="1"/>
        <v>23.966942148760332</v>
      </c>
      <c r="F64" s="63">
        <v>290</v>
      </c>
      <c r="G64" s="63"/>
      <c r="H64" s="58">
        <f t="shared" si="2"/>
        <v>290</v>
      </c>
      <c r="I64" s="64" t="s">
        <v>362</v>
      </c>
      <c r="J64" s="56">
        <v>270</v>
      </c>
      <c r="K64" s="56">
        <v>20</v>
      </c>
      <c r="L64" s="55" t="s">
        <v>252</v>
      </c>
      <c r="M64" s="60"/>
      <c r="N64" s="30"/>
      <c r="O64" s="30"/>
    </row>
    <row r="65" spans="1:15" x14ac:dyDescent="0.25">
      <c r="A65" s="76">
        <v>45311</v>
      </c>
      <c r="B65" s="55" t="s">
        <v>108</v>
      </c>
      <c r="C65" s="55" t="s">
        <v>43</v>
      </c>
      <c r="D65" s="56">
        <f t="shared" si="0"/>
        <v>173.55371900826447</v>
      </c>
      <c r="E65" s="56">
        <f t="shared" si="1"/>
        <v>17.355371900826448</v>
      </c>
      <c r="F65" s="63">
        <v>210</v>
      </c>
      <c r="G65" s="63"/>
      <c r="H65" s="58">
        <f t="shared" si="2"/>
        <v>210</v>
      </c>
      <c r="I65" s="64" t="s">
        <v>44</v>
      </c>
      <c r="J65" s="56">
        <v>210</v>
      </c>
      <c r="K65" s="56"/>
      <c r="L65" s="55"/>
      <c r="M65" s="60"/>
      <c r="N65" s="30"/>
      <c r="O65" s="30"/>
    </row>
    <row r="66" spans="1:15" x14ac:dyDescent="0.25">
      <c r="A66" s="76">
        <v>45311</v>
      </c>
      <c r="B66" s="55" t="s">
        <v>109</v>
      </c>
      <c r="C66" s="55" t="s">
        <v>43</v>
      </c>
      <c r="D66" s="56">
        <f t="shared" si="0"/>
        <v>256.198347107438</v>
      </c>
      <c r="E66" s="56">
        <f t="shared" si="1"/>
        <v>25.619834710743799</v>
      </c>
      <c r="F66" s="63">
        <v>310</v>
      </c>
      <c r="G66" s="63"/>
      <c r="H66" s="58">
        <f t="shared" si="2"/>
        <v>310</v>
      </c>
      <c r="I66" s="64" t="s">
        <v>363</v>
      </c>
      <c r="J66" s="56">
        <v>270</v>
      </c>
      <c r="K66" s="56">
        <v>40</v>
      </c>
      <c r="L66" s="55" t="s">
        <v>45</v>
      </c>
      <c r="M66" s="60"/>
      <c r="N66" s="30"/>
      <c r="O66" s="30"/>
    </row>
    <row r="67" spans="1:15" x14ac:dyDescent="0.25">
      <c r="A67" s="71">
        <v>45311</v>
      </c>
      <c r="B67" s="55" t="s">
        <v>110</v>
      </c>
      <c r="C67" s="55" t="s">
        <v>43</v>
      </c>
      <c r="D67" s="56">
        <f t="shared" ref="D67:D108" si="3">F67/1.21</f>
        <v>181.81818181818181</v>
      </c>
      <c r="E67" s="56">
        <f t="shared" si="1"/>
        <v>18.18181818181818</v>
      </c>
      <c r="F67" s="63">
        <v>220</v>
      </c>
      <c r="G67" s="63"/>
      <c r="H67" s="58">
        <f t="shared" si="2"/>
        <v>220</v>
      </c>
      <c r="I67" s="64" t="s">
        <v>364</v>
      </c>
      <c r="J67" s="56">
        <v>220</v>
      </c>
      <c r="K67" s="56"/>
      <c r="L67" s="55"/>
      <c r="M67" s="60"/>
      <c r="N67" s="30"/>
      <c r="O67" s="30"/>
    </row>
    <row r="68" spans="1:15" x14ac:dyDescent="0.25">
      <c r="A68" s="71">
        <v>45311</v>
      </c>
      <c r="B68" s="55" t="s">
        <v>111</v>
      </c>
      <c r="C68" s="55" t="s">
        <v>43</v>
      </c>
      <c r="D68" s="56">
        <f t="shared" si="3"/>
        <v>239.6694214876033</v>
      </c>
      <c r="E68" s="56">
        <f t="shared" ref="E68:E108" si="4">D68*10/100</f>
        <v>23.966942148760332</v>
      </c>
      <c r="F68" s="63">
        <v>290</v>
      </c>
      <c r="G68" s="63">
        <v>290</v>
      </c>
      <c r="H68" s="58">
        <f t="shared" si="2"/>
        <v>0</v>
      </c>
      <c r="I68" s="64" t="s">
        <v>365</v>
      </c>
      <c r="J68" s="56">
        <v>270</v>
      </c>
      <c r="K68" s="56">
        <v>20</v>
      </c>
      <c r="L68" s="55" t="s">
        <v>252</v>
      </c>
      <c r="M68" s="60"/>
      <c r="N68" s="30"/>
      <c r="O68" s="30"/>
    </row>
    <row r="69" spans="1:15" x14ac:dyDescent="0.25">
      <c r="A69" s="71">
        <v>45311</v>
      </c>
      <c r="B69" s="55" t="s">
        <v>112</v>
      </c>
      <c r="C69" s="55" t="s">
        <v>43</v>
      </c>
      <c r="D69" s="56">
        <f t="shared" si="3"/>
        <v>165.28925619834712</v>
      </c>
      <c r="E69" s="56">
        <f t="shared" si="4"/>
        <v>16.528925619834713</v>
      </c>
      <c r="F69" s="63">
        <v>200</v>
      </c>
      <c r="G69" s="63">
        <v>50</v>
      </c>
      <c r="H69" s="58">
        <f t="shared" ref="H69:H108" si="5">F69-G69</f>
        <v>150</v>
      </c>
      <c r="I69" s="64" t="s">
        <v>366</v>
      </c>
      <c r="J69" s="56">
        <v>200</v>
      </c>
      <c r="K69" s="56"/>
      <c r="L69" s="55"/>
      <c r="M69" s="60"/>
      <c r="N69" s="30"/>
      <c r="O69" s="30"/>
    </row>
    <row r="70" spans="1:15" x14ac:dyDescent="0.25">
      <c r="A70" s="71">
        <v>45311</v>
      </c>
      <c r="B70" s="55" t="s">
        <v>113</v>
      </c>
      <c r="C70" s="55" t="s">
        <v>43</v>
      </c>
      <c r="D70" s="56">
        <f t="shared" si="3"/>
        <v>165.28925619834712</v>
      </c>
      <c r="E70" s="56">
        <f t="shared" si="4"/>
        <v>16.528925619834713</v>
      </c>
      <c r="F70" s="63">
        <v>200</v>
      </c>
      <c r="G70" s="63"/>
      <c r="H70" s="58">
        <f t="shared" si="5"/>
        <v>200</v>
      </c>
      <c r="I70" s="64" t="s">
        <v>44</v>
      </c>
      <c r="J70" s="56">
        <v>180</v>
      </c>
      <c r="K70" s="56"/>
      <c r="L70" s="55"/>
      <c r="M70" s="60"/>
      <c r="N70" s="30"/>
      <c r="O70" s="30"/>
    </row>
    <row r="71" spans="1:15" x14ac:dyDescent="0.25">
      <c r="A71" s="71">
        <v>45311</v>
      </c>
      <c r="B71" s="55" t="s">
        <v>114</v>
      </c>
      <c r="C71" s="55" t="s">
        <v>43</v>
      </c>
      <c r="D71" s="56">
        <f t="shared" si="3"/>
        <v>235.53719008264463</v>
      </c>
      <c r="E71" s="56">
        <f t="shared" si="4"/>
        <v>23.553719008264462</v>
      </c>
      <c r="F71" s="63">
        <v>285</v>
      </c>
      <c r="G71" s="63">
        <v>150</v>
      </c>
      <c r="H71" s="58">
        <f t="shared" si="5"/>
        <v>135</v>
      </c>
      <c r="I71" s="64" t="s">
        <v>367</v>
      </c>
      <c r="J71" s="56">
        <v>220</v>
      </c>
      <c r="K71" s="56">
        <v>45</v>
      </c>
      <c r="L71" s="55" t="s">
        <v>45</v>
      </c>
      <c r="M71" s="60">
        <v>20</v>
      </c>
      <c r="N71" s="30" t="s">
        <v>252</v>
      </c>
      <c r="O71" s="30"/>
    </row>
    <row r="72" spans="1:15" x14ac:dyDescent="0.25">
      <c r="A72" s="71">
        <v>45311</v>
      </c>
      <c r="B72" s="55" t="s">
        <v>115</v>
      </c>
      <c r="C72" s="55" t="s">
        <v>43</v>
      </c>
      <c r="D72" s="56">
        <f t="shared" si="3"/>
        <v>181.81818181818181</v>
      </c>
      <c r="E72" s="56">
        <f t="shared" si="4"/>
        <v>18.18181818181818</v>
      </c>
      <c r="F72" s="63">
        <v>220</v>
      </c>
      <c r="G72" s="63">
        <v>50</v>
      </c>
      <c r="H72" s="58">
        <f t="shared" si="5"/>
        <v>170</v>
      </c>
      <c r="I72" s="64" t="s">
        <v>368</v>
      </c>
      <c r="J72" s="56">
        <v>220</v>
      </c>
      <c r="K72" s="56"/>
      <c r="L72" s="55"/>
      <c r="M72" s="60"/>
      <c r="N72" s="30"/>
      <c r="O72" s="30"/>
    </row>
    <row r="73" spans="1:15" x14ac:dyDescent="0.25">
      <c r="A73" s="71">
        <v>45312</v>
      </c>
      <c r="B73" s="55" t="s">
        <v>116</v>
      </c>
      <c r="C73" s="55" t="s">
        <v>43</v>
      </c>
      <c r="D73" s="56">
        <f t="shared" si="3"/>
        <v>148.7603305785124</v>
      </c>
      <c r="E73" s="56">
        <f t="shared" si="4"/>
        <v>14.876033057851238</v>
      </c>
      <c r="F73" s="63">
        <v>180</v>
      </c>
      <c r="G73" s="63"/>
      <c r="H73" s="58">
        <f t="shared" si="5"/>
        <v>180</v>
      </c>
      <c r="I73" s="64" t="s">
        <v>44</v>
      </c>
      <c r="J73" s="56">
        <v>180</v>
      </c>
      <c r="K73" s="56"/>
      <c r="L73" s="55"/>
      <c r="M73" s="60"/>
      <c r="N73" s="30"/>
      <c r="O73" s="30"/>
    </row>
    <row r="74" spans="1:15" x14ac:dyDescent="0.25">
      <c r="A74" s="71">
        <v>45312</v>
      </c>
      <c r="B74" s="55" t="s">
        <v>117</v>
      </c>
      <c r="C74" s="55" t="s">
        <v>43</v>
      </c>
      <c r="D74" s="56">
        <f t="shared" si="3"/>
        <v>132.2314049586777</v>
      </c>
      <c r="E74" s="56">
        <f t="shared" si="4"/>
        <v>13.223140495867769</v>
      </c>
      <c r="F74" s="63">
        <v>160</v>
      </c>
      <c r="G74" s="63"/>
      <c r="H74" s="58">
        <f t="shared" si="5"/>
        <v>160</v>
      </c>
      <c r="I74" s="64" t="s">
        <v>44</v>
      </c>
      <c r="J74" s="56">
        <v>160</v>
      </c>
      <c r="K74" s="56"/>
      <c r="L74" s="55"/>
      <c r="M74" s="60"/>
      <c r="N74" s="30"/>
      <c r="O74" s="30"/>
    </row>
    <row r="75" spans="1:15" x14ac:dyDescent="0.25">
      <c r="A75" s="71">
        <v>45312</v>
      </c>
      <c r="B75" s="55" t="s">
        <v>118</v>
      </c>
      <c r="C75" s="55" t="s">
        <v>43</v>
      </c>
      <c r="D75" s="56">
        <f t="shared" si="3"/>
        <v>264.4628099173554</v>
      </c>
      <c r="E75" s="56">
        <f t="shared" si="4"/>
        <v>26.446280991735538</v>
      </c>
      <c r="F75" s="63">
        <v>320</v>
      </c>
      <c r="G75" s="66">
        <v>50</v>
      </c>
      <c r="H75" s="58">
        <f t="shared" si="5"/>
        <v>270</v>
      </c>
      <c r="I75" s="64" t="s">
        <v>369</v>
      </c>
      <c r="J75" s="56">
        <v>320</v>
      </c>
      <c r="K75" s="56"/>
      <c r="L75" s="55"/>
      <c r="M75" s="60"/>
      <c r="N75" s="30"/>
      <c r="O75" s="30"/>
    </row>
    <row r="76" spans="1:15" x14ac:dyDescent="0.25">
      <c r="A76" s="71">
        <v>45312</v>
      </c>
      <c r="B76" s="55" t="s">
        <v>119</v>
      </c>
      <c r="C76" s="55" t="s">
        <v>43</v>
      </c>
      <c r="D76" s="56">
        <f t="shared" si="3"/>
        <v>140.49586776859505</v>
      </c>
      <c r="E76" s="56">
        <f t="shared" si="4"/>
        <v>14.049586776859506</v>
      </c>
      <c r="F76" s="63">
        <v>170</v>
      </c>
      <c r="G76" s="63">
        <v>50</v>
      </c>
      <c r="H76" s="58">
        <f t="shared" si="5"/>
        <v>120</v>
      </c>
      <c r="I76" s="64" t="s">
        <v>370</v>
      </c>
      <c r="J76" s="56">
        <v>170</v>
      </c>
      <c r="K76" s="56"/>
      <c r="L76" s="55"/>
      <c r="M76" s="60"/>
      <c r="N76" s="30"/>
      <c r="O76" s="30"/>
    </row>
    <row r="77" spans="1:15" x14ac:dyDescent="0.25">
      <c r="A77" s="71">
        <v>45317</v>
      </c>
      <c r="B77" s="55" t="s">
        <v>120</v>
      </c>
      <c r="C77" s="55" t="s">
        <v>43</v>
      </c>
      <c r="D77" s="56">
        <f t="shared" si="3"/>
        <v>177.68595041322314</v>
      </c>
      <c r="E77" s="56">
        <f t="shared" si="4"/>
        <v>17.768595041322314</v>
      </c>
      <c r="F77" s="63">
        <v>215</v>
      </c>
      <c r="G77" s="63">
        <v>50</v>
      </c>
      <c r="H77" s="58">
        <f t="shared" si="5"/>
        <v>165</v>
      </c>
      <c r="I77" s="64" t="s">
        <v>409</v>
      </c>
      <c r="J77" s="56">
        <v>170</v>
      </c>
      <c r="K77" s="77">
        <v>45</v>
      </c>
      <c r="L77" s="55" t="s">
        <v>45</v>
      </c>
      <c r="M77" s="60"/>
      <c r="N77" s="30"/>
      <c r="O77" s="30"/>
    </row>
    <row r="78" spans="1:15" x14ac:dyDescent="0.25">
      <c r="A78" s="71">
        <v>45317</v>
      </c>
      <c r="B78" s="55" t="s">
        <v>121</v>
      </c>
      <c r="C78" s="55" t="s">
        <v>43</v>
      </c>
      <c r="D78" s="56">
        <f t="shared" si="3"/>
        <v>115.70247933884298</v>
      </c>
      <c r="E78" s="56">
        <f t="shared" si="4"/>
        <v>11.570247933884298</v>
      </c>
      <c r="F78" s="78">
        <v>140</v>
      </c>
      <c r="G78" s="78"/>
      <c r="H78" s="58">
        <f t="shared" si="5"/>
        <v>140</v>
      </c>
      <c r="I78" s="64" t="s">
        <v>44</v>
      </c>
      <c r="J78" s="79">
        <v>140</v>
      </c>
      <c r="K78" s="80"/>
      <c r="L78" s="81"/>
      <c r="M78" s="82"/>
      <c r="N78" s="83"/>
      <c r="O78" s="83"/>
    </row>
    <row r="79" spans="1:15" x14ac:dyDescent="0.25">
      <c r="A79" s="71">
        <v>45317</v>
      </c>
      <c r="B79" s="55" t="s">
        <v>122</v>
      </c>
      <c r="C79" s="55" t="s">
        <v>43</v>
      </c>
      <c r="D79" s="56">
        <f t="shared" si="3"/>
        <v>181.81818181818181</v>
      </c>
      <c r="E79" s="56">
        <f t="shared" si="4"/>
        <v>18.18181818181818</v>
      </c>
      <c r="F79" s="84">
        <v>220</v>
      </c>
      <c r="G79" s="63"/>
      <c r="H79" s="58">
        <f t="shared" si="5"/>
        <v>220</v>
      </c>
      <c r="I79" s="64"/>
      <c r="J79" s="50">
        <v>220</v>
      </c>
      <c r="K79" s="85"/>
      <c r="L79" s="14"/>
      <c r="M79" s="50"/>
      <c r="N79" s="50"/>
      <c r="O79" s="50"/>
    </row>
    <row r="80" spans="1:15" x14ac:dyDescent="0.25">
      <c r="A80" s="71">
        <v>45317</v>
      </c>
      <c r="B80" s="55" t="s">
        <v>123</v>
      </c>
      <c r="C80" s="55" t="s">
        <v>43</v>
      </c>
      <c r="D80" s="56">
        <f t="shared" si="3"/>
        <v>140.49586776859505</v>
      </c>
      <c r="E80" s="56">
        <f t="shared" si="4"/>
        <v>14.049586776859506</v>
      </c>
      <c r="F80" s="84">
        <v>170</v>
      </c>
      <c r="G80" s="63">
        <v>50</v>
      </c>
      <c r="H80" s="58">
        <f t="shared" si="5"/>
        <v>120</v>
      </c>
      <c r="I80" s="64" t="s">
        <v>410</v>
      </c>
      <c r="J80" s="50">
        <v>170</v>
      </c>
      <c r="K80" s="85"/>
      <c r="L80" s="14"/>
      <c r="M80" s="50"/>
      <c r="N80" s="50"/>
      <c r="O80" s="50"/>
    </row>
    <row r="81" spans="1:15" x14ac:dyDescent="0.25">
      <c r="A81" s="71">
        <v>45318</v>
      </c>
      <c r="B81" s="55" t="s">
        <v>124</v>
      </c>
      <c r="C81" s="55" t="s">
        <v>43</v>
      </c>
      <c r="D81" s="56">
        <f t="shared" si="3"/>
        <v>206.61157024793388</v>
      </c>
      <c r="E81" s="56">
        <f t="shared" si="4"/>
        <v>20.661157024793386</v>
      </c>
      <c r="F81" s="84">
        <v>250</v>
      </c>
      <c r="G81" s="63">
        <v>50</v>
      </c>
      <c r="H81" s="58">
        <f t="shared" si="5"/>
        <v>200</v>
      </c>
      <c r="I81" s="64" t="s">
        <v>411</v>
      </c>
      <c r="J81" s="50">
        <v>250</v>
      </c>
      <c r="K81" s="85"/>
      <c r="L81" s="14"/>
      <c r="M81" s="50"/>
      <c r="N81" s="50"/>
      <c r="O81" s="50"/>
    </row>
    <row r="82" spans="1:15" x14ac:dyDescent="0.25">
      <c r="A82" s="71">
        <v>45318</v>
      </c>
      <c r="B82" s="55" t="s">
        <v>125</v>
      </c>
      <c r="C82" s="55" t="s">
        <v>43</v>
      </c>
      <c r="D82" s="56">
        <f t="shared" si="3"/>
        <v>157.02479338842977</v>
      </c>
      <c r="E82" s="56">
        <f t="shared" si="4"/>
        <v>15.702479338842977</v>
      </c>
      <c r="F82" s="84">
        <v>190</v>
      </c>
      <c r="G82" s="63"/>
      <c r="H82" s="58">
        <f t="shared" si="5"/>
        <v>190</v>
      </c>
      <c r="I82" s="64" t="s">
        <v>44</v>
      </c>
      <c r="J82" s="50">
        <v>190</v>
      </c>
      <c r="K82" s="85"/>
      <c r="L82" s="14"/>
      <c r="M82" s="50"/>
      <c r="N82" s="50"/>
      <c r="O82" s="50"/>
    </row>
    <row r="83" spans="1:15" x14ac:dyDescent="0.25">
      <c r="A83" s="71">
        <v>45318</v>
      </c>
      <c r="B83" s="55" t="s">
        <v>126</v>
      </c>
      <c r="C83" s="55" t="s">
        <v>43</v>
      </c>
      <c r="D83" s="56">
        <f t="shared" si="3"/>
        <v>148.7603305785124</v>
      </c>
      <c r="E83" s="56">
        <f t="shared" si="4"/>
        <v>14.876033057851238</v>
      </c>
      <c r="F83" s="84">
        <v>180</v>
      </c>
      <c r="G83" s="66"/>
      <c r="H83" s="58">
        <f t="shared" si="5"/>
        <v>180</v>
      </c>
      <c r="I83" s="64" t="s">
        <v>44</v>
      </c>
      <c r="J83" s="50">
        <v>180</v>
      </c>
      <c r="K83" s="85"/>
      <c r="L83" s="14"/>
      <c r="M83" s="50"/>
      <c r="N83" s="50"/>
      <c r="O83" s="50"/>
    </row>
    <row r="84" spans="1:15" x14ac:dyDescent="0.25">
      <c r="A84" s="71">
        <v>45318</v>
      </c>
      <c r="B84" s="55" t="s">
        <v>127</v>
      </c>
      <c r="C84" s="55" t="s">
        <v>43</v>
      </c>
      <c r="D84" s="56">
        <f t="shared" si="3"/>
        <v>181.81818181818181</v>
      </c>
      <c r="E84" s="56">
        <f t="shared" si="4"/>
        <v>18.18181818181818</v>
      </c>
      <c r="F84" s="84">
        <v>220</v>
      </c>
      <c r="G84" s="63">
        <v>50</v>
      </c>
      <c r="H84" s="58">
        <f t="shared" si="5"/>
        <v>170</v>
      </c>
      <c r="I84" s="64" t="s">
        <v>412</v>
      </c>
      <c r="J84" s="50">
        <v>220</v>
      </c>
      <c r="K84" s="85"/>
      <c r="L84" s="14"/>
      <c r="M84" s="50"/>
      <c r="N84" s="50"/>
      <c r="O84" s="50"/>
    </row>
    <row r="85" spans="1:15" x14ac:dyDescent="0.25">
      <c r="A85" s="71">
        <v>45318</v>
      </c>
      <c r="B85" s="98" t="s">
        <v>128</v>
      </c>
      <c r="C85" s="55" t="s">
        <v>43</v>
      </c>
      <c r="D85" s="56">
        <f t="shared" si="3"/>
        <v>140.49586776859505</v>
      </c>
      <c r="E85" s="56">
        <f t="shared" si="4"/>
        <v>14.049586776859506</v>
      </c>
      <c r="F85" s="84">
        <v>170</v>
      </c>
      <c r="G85" s="63">
        <v>50</v>
      </c>
      <c r="H85" s="58">
        <f t="shared" si="5"/>
        <v>120</v>
      </c>
      <c r="I85" s="64" t="s">
        <v>413</v>
      </c>
      <c r="J85" s="50">
        <v>170</v>
      </c>
      <c r="K85" s="85"/>
      <c r="L85" s="14"/>
      <c r="M85" s="50"/>
      <c r="N85" s="50"/>
      <c r="O85" s="50"/>
    </row>
    <row r="86" spans="1:15" x14ac:dyDescent="0.25">
      <c r="A86" s="99">
        <v>45318</v>
      </c>
      <c r="B86" s="98" t="s">
        <v>129</v>
      </c>
      <c r="C86" s="55" t="s">
        <v>43</v>
      </c>
      <c r="D86" s="56">
        <f t="shared" si="3"/>
        <v>177.68595041322314</v>
      </c>
      <c r="E86" s="56">
        <f t="shared" si="4"/>
        <v>17.768595041322314</v>
      </c>
      <c r="F86" s="84">
        <v>215</v>
      </c>
      <c r="G86" s="63">
        <v>50</v>
      </c>
      <c r="H86" s="58">
        <f t="shared" si="5"/>
        <v>165</v>
      </c>
      <c r="I86" s="64" t="s">
        <v>414</v>
      </c>
      <c r="J86" s="50">
        <v>170</v>
      </c>
      <c r="K86" s="85">
        <v>45</v>
      </c>
      <c r="L86" s="14" t="s">
        <v>45</v>
      </c>
      <c r="M86" s="50"/>
      <c r="N86" s="50"/>
      <c r="O86" s="50"/>
    </row>
    <row r="87" spans="1:15" x14ac:dyDescent="0.25">
      <c r="A87" s="99">
        <v>45318</v>
      </c>
      <c r="B87" s="98" t="s">
        <v>130</v>
      </c>
      <c r="C87" s="55" t="s">
        <v>43</v>
      </c>
      <c r="D87" s="56">
        <f t="shared" si="3"/>
        <v>99.173553719008268</v>
      </c>
      <c r="E87" s="56">
        <f t="shared" si="4"/>
        <v>9.9173553719008272</v>
      </c>
      <c r="F87" s="84">
        <v>120</v>
      </c>
      <c r="G87" s="63">
        <v>50</v>
      </c>
      <c r="H87" s="58">
        <f t="shared" si="5"/>
        <v>70</v>
      </c>
      <c r="I87" s="64" t="s">
        <v>415</v>
      </c>
      <c r="J87" s="50">
        <v>120</v>
      </c>
      <c r="K87" s="85"/>
      <c r="L87" s="86"/>
      <c r="M87" s="50"/>
      <c r="N87" s="50"/>
      <c r="O87" s="50"/>
    </row>
    <row r="88" spans="1:15" x14ac:dyDescent="0.25">
      <c r="A88" s="99">
        <v>45318</v>
      </c>
      <c r="B88" s="98" t="s">
        <v>131</v>
      </c>
      <c r="C88" s="55" t="s">
        <v>43</v>
      </c>
      <c r="D88" s="56">
        <f t="shared" si="3"/>
        <v>140.49586776859505</v>
      </c>
      <c r="E88" s="56">
        <f t="shared" si="4"/>
        <v>14.049586776859506</v>
      </c>
      <c r="F88" s="84">
        <v>170</v>
      </c>
      <c r="G88" s="63">
        <v>50</v>
      </c>
      <c r="H88" s="58">
        <f t="shared" si="5"/>
        <v>120</v>
      </c>
      <c r="I88" s="64" t="s">
        <v>416</v>
      </c>
      <c r="J88" s="50">
        <v>170</v>
      </c>
      <c r="K88" s="85"/>
      <c r="L88" s="14"/>
      <c r="M88" s="87"/>
      <c r="N88" s="50"/>
      <c r="O88" s="50"/>
    </row>
    <row r="89" spans="1:15" x14ac:dyDescent="0.25">
      <c r="A89" s="99">
        <v>45318</v>
      </c>
      <c r="B89" s="98" t="s">
        <v>132</v>
      </c>
      <c r="C89" s="55" t="s">
        <v>43</v>
      </c>
      <c r="D89" s="56">
        <f t="shared" si="3"/>
        <v>173.55371900826447</v>
      </c>
      <c r="E89" s="56">
        <f t="shared" si="4"/>
        <v>17.355371900826448</v>
      </c>
      <c r="F89" s="84">
        <v>210</v>
      </c>
      <c r="G89" s="63"/>
      <c r="H89" s="58">
        <f t="shared" si="5"/>
        <v>210</v>
      </c>
      <c r="I89" s="64" t="s">
        <v>44</v>
      </c>
      <c r="J89" s="50">
        <v>210</v>
      </c>
      <c r="K89" s="85"/>
      <c r="L89" s="14"/>
      <c r="M89" s="50"/>
      <c r="N89" s="50"/>
      <c r="O89" s="50"/>
    </row>
    <row r="90" spans="1:15" x14ac:dyDescent="0.25">
      <c r="A90" s="99">
        <v>45318</v>
      </c>
      <c r="B90" s="98" t="s">
        <v>133</v>
      </c>
      <c r="C90" s="55" t="s">
        <v>43</v>
      </c>
      <c r="D90" s="56">
        <f t="shared" si="3"/>
        <v>157.02479338842977</v>
      </c>
      <c r="E90" s="56">
        <f t="shared" si="4"/>
        <v>15.702479338842977</v>
      </c>
      <c r="F90" s="84">
        <v>190</v>
      </c>
      <c r="G90" s="63"/>
      <c r="H90" s="58">
        <f t="shared" si="5"/>
        <v>190</v>
      </c>
      <c r="I90" s="64" t="s">
        <v>44</v>
      </c>
      <c r="J90" s="50">
        <v>190</v>
      </c>
      <c r="K90" s="85"/>
      <c r="L90" s="14"/>
      <c r="M90" s="50"/>
      <c r="N90" s="50"/>
      <c r="O90" s="50"/>
    </row>
    <row r="91" spans="1:15" x14ac:dyDescent="0.25">
      <c r="A91" s="99">
        <v>45318</v>
      </c>
      <c r="B91" s="98" t="s">
        <v>134</v>
      </c>
      <c r="C91" s="55" t="s">
        <v>43</v>
      </c>
      <c r="D91" s="56">
        <f t="shared" si="3"/>
        <v>363.63636363636363</v>
      </c>
      <c r="E91" s="56">
        <f t="shared" si="4"/>
        <v>36.36363636363636</v>
      </c>
      <c r="F91" s="84">
        <v>440</v>
      </c>
      <c r="G91" s="63">
        <v>100</v>
      </c>
      <c r="H91" s="58">
        <f t="shared" si="5"/>
        <v>340</v>
      </c>
      <c r="I91" s="64" t="s">
        <v>418</v>
      </c>
      <c r="J91" s="50">
        <v>220</v>
      </c>
      <c r="K91" s="85">
        <v>45</v>
      </c>
      <c r="L91" s="14" t="s">
        <v>45</v>
      </c>
      <c r="M91" s="50">
        <v>175</v>
      </c>
      <c r="N91" s="50" t="s">
        <v>420</v>
      </c>
      <c r="O91" s="50"/>
    </row>
    <row r="92" spans="1:15" x14ac:dyDescent="0.25">
      <c r="A92" s="99">
        <v>45318</v>
      </c>
      <c r="B92" s="98" t="s">
        <v>135</v>
      </c>
      <c r="C92" s="55" t="s">
        <v>43</v>
      </c>
      <c r="D92" s="56">
        <f t="shared" si="3"/>
        <v>223.14049586776861</v>
      </c>
      <c r="E92" s="56">
        <f t="shared" si="4"/>
        <v>22.314049586776861</v>
      </c>
      <c r="F92" s="84">
        <v>270</v>
      </c>
      <c r="G92" s="63">
        <v>50</v>
      </c>
      <c r="H92" s="58">
        <f t="shared" si="5"/>
        <v>220</v>
      </c>
      <c r="I92" s="64" t="s">
        <v>417</v>
      </c>
      <c r="J92" s="50">
        <v>270</v>
      </c>
      <c r="K92" s="85"/>
      <c r="L92" s="14"/>
      <c r="M92" s="50"/>
      <c r="N92" s="50"/>
      <c r="O92" s="50"/>
    </row>
    <row r="93" spans="1:15" x14ac:dyDescent="0.25">
      <c r="A93" s="99">
        <v>45318</v>
      </c>
      <c r="B93" s="98" t="s">
        <v>136</v>
      </c>
      <c r="C93" s="55" t="s">
        <v>43</v>
      </c>
      <c r="D93" s="56">
        <f t="shared" si="3"/>
        <v>223.14049586776861</v>
      </c>
      <c r="E93" s="56">
        <f t="shared" si="4"/>
        <v>22.314049586776861</v>
      </c>
      <c r="F93" s="84">
        <v>270</v>
      </c>
      <c r="G93" s="63">
        <v>50</v>
      </c>
      <c r="H93" s="58">
        <f t="shared" si="5"/>
        <v>220</v>
      </c>
      <c r="I93" s="64" t="s">
        <v>419</v>
      </c>
      <c r="J93" s="50">
        <v>270</v>
      </c>
      <c r="K93" s="85"/>
      <c r="L93" s="14"/>
      <c r="M93" s="50"/>
      <c r="N93" s="50"/>
      <c r="O93" s="50"/>
    </row>
    <row r="94" spans="1:15" x14ac:dyDescent="0.25">
      <c r="A94" s="99">
        <v>45318</v>
      </c>
      <c r="B94" s="98" t="s">
        <v>137</v>
      </c>
      <c r="C94" s="55" t="s">
        <v>43</v>
      </c>
      <c r="D94" s="56">
        <f t="shared" si="3"/>
        <v>280.9917355371901</v>
      </c>
      <c r="E94" s="56">
        <f t="shared" si="4"/>
        <v>28.099173553719012</v>
      </c>
      <c r="F94" s="84">
        <v>340</v>
      </c>
      <c r="G94" s="63">
        <v>50</v>
      </c>
      <c r="H94" s="58">
        <f t="shared" si="5"/>
        <v>290</v>
      </c>
      <c r="I94" s="64" t="s">
        <v>421</v>
      </c>
      <c r="J94" s="50">
        <v>340</v>
      </c>
      <c r="K94" s="85"/>
      <c r="L94" s="14"/>
      <c r="M94" s="50"/>
      <c r="N94" s="50"/>
      <c r="O94" s="50"/>
    </row>
    <row r="95" spans="1:15" x14ac:dyDescent="0.25">
      <c r="A95" s="99">
        <v>45318</v>
      </c>
      <c r="B95" s="98" t="s">
        <v>138</v>
      </c>
      <c r="C95" s="55" t="s">
        <v>43</v>
      </c>
      <c r="D95" s="56">
        <f t="shared" si="3"/>
        <v>202.47933884297521</v>
      </c>
      <c r="E95" s="56">
        <f t="shared" si="4"/>
        <v>20.247933884297524</v>
      </c>
      <c r="F95" s="84">
        <v>245</v>
      </c>
      <c r="G95" s="63">
        <v>50</v>
      </c>
      <c r="H95" s="58">
        <f t="shared" si="5"/>
        <v>195</v>
      </c>
      <c r="I95" s="64" t="s">
        <v>422</v>
      </c>
      <c r="J95" s="50">
        <v>170</v>
      </c>
      <c r="K95" s="85">
        <v>45</v>
      </c>
      <c r="L95" s="14" t="s">
        <v>45</v>
      </c>
      <c r="M95" s="50">
        <v>30</v>
      </c>
      <c r="N95" s="50" t="s">
        <v>252</v>
      </c>
      <c r="O95" s="50"/>
    </row>
    <row r="96" spans="1:15" x14ac:dyDescent="0.25">
      <c r="A96" s="99">
        <v>45318</v>
      </c>
      <c r="B96" s="98" t="s">
        <v>139</v>
      </c>
      <c r="C96" s="55" t="s">
        <v>43</v>
      </c>
      <c r="D96" s="56">
        <f t="shared" si="3"/>
        <v>132.2314049586777</v>
      </c>
      <c r="E96" s="56">
        <f t="shared" si="4"/>
        <v>13.223140495867769</v>
      </c>
      <c r="F96" s="84">
        <v>160</v>
      </c>
      <c r="G96" s="63"/>
      <c r="H96" s="58">
        <f t="shared" si="5"/>
        <v>160</v>
      </c>
      <c r="I96" s="64" t="s">
        <v>44</v>
      </c>
      <c r="J96" s="50">
        <v>160</v>
      </c>
      <c r="K96" s="85"/>
      <c r="L96" s="14"/>
      <c r="M96" s="50"/>
      <c r="N96" s="50"/>
      <c r="O96" s="50"/>
    </row>
    <row r="97" spans="1:15" x14ac:dyDescent="0.25">
      <c r="A97" s="99">
        <v>45318</v>
      </c>
      <c r="B97" s="98" t="s">
        <v>140</v>
      </c>
      <c r="C97" s="55" t="s">
        <v>43</v>
      </c>
      <c r="D97" s="56">
        <f t="shared" si="3"/>
        <v>115.70247933884298</v>
      </c>
      <c r="E97" s="56">
        <f t="shared" si="4"/>
        <v>11.570247933884298</v>
      </c>
      <c r="F97" s="88">
        <v>140</v>
      </c>
      <c r="G97" s="89"/>
      <c r="H97" s="58">
        <f t="shared" si="5"/>
        <v>140</v>
      </c>
      <c r="I97" s="90" t="s">
        <v>44</v>
      </c>
      <c r="J97" s="91">
        <v>140</v>
      </c>
      <c r="K97" s="92"/>
      <c r="L97" s="93"/>
      <c r="M97" s="91"/>
      <c r="N97" s="91"/>
      <c r="O97" s="91"/>
    </row>
    <row r="98" spans="1:15" x14ac:dyDescent="0.25">
      <c r="A98" s="99">
        <v>45318</v>
      </c>
      <c r="B98" s="98" t="s">
        <v>141</v>
      </c>
      <c r="C98" s="55" t="s">
        <v>43</v>
      </c>
      <c r="D98" s="56">
        <f t="shared" si="3"/>
        <v>165.28925619834712</v>
      </c>
      <c r="E98" s="56">
        <f t="shared" si="4"/>
        <v>16.528925619834713</v>
      </c>
      <c r="F98" s="75">
        <v>200</v>
      </c>
      <c r="G98" s="75">
        <v>50</v>
      </c>
      <c r="H98" s="58">
        <f t="shared" si="5"/>
        <v>150</v>
      </c>
      <c r="I98" s="94" t="s">
        <v>423</v>
      </c>
      <c r="J98" s="50">
        <v>170</v>
      </c>
      <c r="K98" s="85">
        <v>30</v>
      </c>
      <c r="L98" s="14" t="s">
        <v>252</v>
      </c>
      <c r="M98" s="50"/>
      <c r="N98" s="50"/>
      <c r="O98" s="50"/>
    </row>
    <row r="99" spans="1:15" x14ac:dyDescent="0.25">
      <c r="A99" s="99">
        <v>45318</v>
      </c>
      <c r="B99" s="98" t="s">
        <v>142</v>
      </c>
      <c r="C99" s="55" t="s">
        <v>43</v>
      </c>
      <c r="D99" s="56">
        <f t="shared" si="3"/>
        <v>115.70247933884298</v>
      </c>
      <c r="E99" s="56">
        <f t="shared" si="4"/>
        <v>11.570247933884298</v>
      </c>
      <c r="F99" s="75">
        <v>140</v>
      </c>
      <c r="G99" s="75"/>
      <c r="H99" s="58">
        <f t="shared" si="5"/>
        <v>140</v>
      </c>
      <c r="I99" s="94" t="s">
        <v>44</v>
      </c>
      <c r="J99" s="50">
        <v>140</v>
      </c>
      <c r="K99" s="85"/>
      <c r="L99" s="14"/>
      <c r="M99" s="50"/>
      <c r="N99" s="50"/>
      <c r="O99" s="50"/>
    </row>
    <row r="100" spans="1:15" x14ac:dyDescent="0.25">
      <c r="A100" s="95">
        <v>45318</v>
      </c>
      <c r="B100" s="98" t="s">
        <v>143</v>
      </c>
      <c r="C100" s="55" t="s">
        <v>43</v>
      </c>
      <c r="D100" s="56">
        <f t="shared" si="3"/>
        <v>214.87603305785126</v>
      </c>
      <c r="E100" s="56">
        <f t="shared" si="4"/>
        <v>21.487603305785125</v>
      </c>
      <c r="F100" s="96">
        <v>260</v>
      </c>
      <c r="G100" s="50">
        <v>50</v>
      </c>
      <c r="H100" s="58">
        <f t="shared" si="5"/>
        <v>210</v>
      </c>
      <c r="I100" s="94" t="s">
        <v>424</v>
      </c>
      <c r="J100" s="50">
        <v>220</v>
      </c>
      <c r="K100" s="85">
        <v>40</v>
      </c>
      <c r="L100" s="14" t="s">
        <v>45</v>
      </c>
      <c r="M100" s="50"/>
      <c r="N100" s="50"/>
      <c r="O100" s="50"/>
    </row>
    <row r="101" spans="1:15" x14ac:dyDescent="0.25">
      <c r="A101" s="95">
        <v>45318</v>
      </c>
      <c r="B101" s="55" t="s">
        <v>144</v>
      </c>
      <c r="C101" s="55" t="s">
        <v>43</v>
      </c>
      <c r="D101" s="56">
        <f t="shared" si="3"/>
        <v>148.7603305785124</v>
      </c>
      <c r="E101" s="56">
        <f t="shared" si="4"/>
        <v>14.876033057851238</v>
      </c>
      <c r="F101" s="96">
        <v>180</v>
      </c>
      <c r="G101" s="50"/>
      <c r="H101" s="58">
        <f t="shared" si="5"/>
        <v>180</v>
      </c>
      <c r="I101" s="94" t="s">
        <v>44</v>
      </c>
      <c r="J101" s="50">
        <v>180</v>
      </c>
      <c r="K101" s="85"/>
      <c r="L101" s="14"/>
      <c r="M101" s="50"/>
      <c r="N101" s="50"/>
      <c r="O101" s="50"/>
    </row>
    <row r="102" spans="1:15" x14ac:dyDescent="0.25">
      <c r="A102" s="95">
        <v>45319</v>
      </c>
      <c r="B102" s="55" t="s">
        <v>145</v>
      </c>
      <c r="C102" s="55" t="s">
        <v>43</v>
      </c>
      <c r="D102" s="56">
        <f t="shared" si="3"/>
        <v>177.68595041322314</v>
      </c>
      <c r="E102" s="56">
        <f t="shared" si="4"/>
        <v>17.768595041322314</v>
      </c>
      <c r="F102" s="96">
        <v>215</v>
      </c>
      <c r="G102" s="50">
        <v>50</v>
      </c>
      <c r="H102" s="58">
        <f t="shared" si="5"/>
        <v>165</v>
      </c>
      <c r="I102" s="94" t="s">
        <v>425</v>
      </c>
      <c r="J102" s="50">
        <v>170</v>
      </c>
      <c r="K102" s="85">
        <v>45</v>
      </c>
      <c r="L102" s="14" t="s">
        <v>45</v>
      </c>
      <c r="M102" s="50"/>
      <c r="N102" s="97"/>
      <c r="O102" s="50"/>
    </row>
    <row r="103" spans="1:15" x14ac:dyDescent="0.25">
      <c r="A103" s="95">
        <v>45319</v>
      </c>
      <c r="B103" s="55" t="s">
        <v>146</v>
      </c>
      <c r="C103" s="55" t="s">
        <v>43</v>
      </c>
      <c r="D103" s="56">
        <f t="shared" si="3"/>
        <v>322.31404958677689</v>
      </c>
      <c r="E103" s="56">
        <f t="shared" si="4"/>
        <v>32.231404958677693</v>
      </c>
      <c r="F103" s="96">
        <v>390</v>
      </c>
      <c r="G103" s="50">
        <v>50</v>
      </c>
      <c r="H103" s="58">
        <f t="shared" si="5"/>
        <v>340</v>
      </c>
      <c r="I103" s="94" t="s">
        <v>426</v>
      </c>
      <c r="J103" s="50">
        <v>390</v>
      </c>
      <c r="K103" s="85"/>
      <c r="L103" s="14"/>
      <c r="M103" s="50"/>
      <c r="N103" s="50"/>
      <c r="O103" s="50"/>
    </row>
    <row r="104" spans="1:15" x14ac:dyDescent="0.25">
      <c r="A104" s="95">
        <v>45319</v>
      </c>
      <c r="B104" s="55" t="s">
        <v>147</v>
      </c>
      <c r="C104" s="55" t="s">
        <v>43</v>
      </c>
      <c r="D104" s="56">
        <f t="shared" si="3"/>
        <v>173.55371900826447</v>
      </c>
      <c r="E104" s="56">
        <f t="shared" si="4"/>
        <v>17.355371900826448</v>
      </c>
      <c r="F104" s="96">
        <v>210</v>
      </c>
      <c r="G104" s="50">
        <v>50</v>
      </c>
      <c r="H104" s="58">
        <f t="shared" si="5"/>
        <v>160</v>
      </c>
      <c r="I104" s="94" t="s">
        <v>368</v>
      </c>
      <c r="J104" s="50">
        <v>170</v>
      </c>
      <c r="K104" s="85">
        <v>40</v>
      </c>
      <c r="L104" s="14" t="s">
        <v>252</v>
      </c>
      <c r="M104" s="50"/>
      <c r="N104" s="50"/>
      <c r="O104" s="50"/>
    </row>
    <row r="105" spans="1:15" x14ac:dyDescent="0.25">
      <c r="A105" s="95">
        <v>45319</v>
      </c>
      <c r="B105" s="55" t="s">
        <v>148</v>
      </c>
      <c r="C105" s="55" t="s">
        <v>43</v>
      </c>
      <c r="D105" s="56">
        <f t="shared" si="3"/>
        <v>235.53719008264463</v>
      </c>
      <c r="E105" s="56">
        <f t="shared" si="4"/>
        <v>23.553719008264462</v>
      </c>
      <c r="F105" s="96">
        <v>285</v>
      </c>
      <c r="G105" s="50">
        <v>50</v>
      </c>
      <c r="H105" s="58">
        <f t="shared" si="5"/>
        <v>235</v>
      </c>
      <c r="I105" s="94" t="s">
        <v>427</v>
      </c>
      <c r="J105" s="50">
        <v>270</v>
      </c>
      <c r="K105" s="85">
        <v>15</v>
      </c>
      <c r="L105" s="14" t="s">
        <v>252</v>
      </c>
      <c r="M105" s="50"/>
      <c r="N105" s="50"/>
      <c r="O105" s="50"/>
    </row>
    <row r="106" spans="1:15" x14ac:dyDescent="0.25">
      <c r="A106" s="95">
        <v>45320</v>
      </c>
      <c r="B106" s="55" t="s">
        <v>149</v>
      </c>
      <c r="C106" s="55" t="s">
        <v>43</v>
      </c>
      <c r="D106" s="56">
        <f t="shared" si="3"/>
        <v>165.28925619834712</v>
      </c>
      <c r="E106" s="56">
        <f t="shared" si="4"/>
        <v>16.528925619834713</v>
      </c>
      <c r="F106" s="96">
        <v>200</v>
      </c>
      <c r="G106" s="50"/>
      <c r="H106" s="58">
        <f t="shared" si="5"/>
        <v>200</v>
      </c>
      <c r="I106" s="94" t="s">
        <v>44</v>
      </c>
      <c r="J106" s="50">
        <v>200</v>
      </c>
      <c r="K106" s="85"/>
      <c r="L106" s="14"/>
      <c r="M106" s="50"/>
      <c r="N106" s="50"/>
      <c r="O106" s="50"/>
    </row>
    <row r="107" spans="1:15" x14ac:dyDescent="0.25">
      <c r="A107" s="95">
        <v>45321</v>
      </c>
      <c r="B107" s="55" t="s">
        <v>150</v>
      </c>
      <c r="C107" s="55" t="s">
        <v>43</v>
      </c>
      <c r="D107" s="56">
        <f t="shared" si="3"/>
        <v>140.49586776859505</v>
      </c>
      <c r="E107" s="56">
        <f t="shared" si="4"/>
        <v>14.049586776859506</v>
      </c>
      <c r="F107" s="96">
        <v>170</v>
      </c>
      <c r="G107" s="50">
        <v>50</v>
      </c>
      <c r="H107" s="58">
        <f t="shared" si="5"/>
        <v>120</v>
      </c>
      <c r="I107" s="94" t="s">
        <v>432</v>
      </c>
      <c r="J107" s="50">
        <v>170</v>
      </c>
      <c r="K107" s="85"/>
      <c r="L107" s="14"/>
      <c r="M107" s="50"/>
      <c r="N107" s="50"/>
      <c r="O107" s="50"/>
    </row>
    <row r="108" spans="1:15" x14ac:dyDescent="0.25">
      <c r="A108" s="113">
        <v>45321</v>
      </c>
      <c r="B108" s="55" t="s">
        <v>151</v>
      </c>
      <c r="C108" s="55" t="s">
        <v>43</v>
      </c>
      <c r="D108" s="56">
        <f t="shared" si="3"/>
        <v>247.93388429752068</v>
      </c>
      <c r="E108" s="56">
        <f t="shared" si="4"/>
        <v>24.793388429752067</v>
      </c>
      <c r="F108" s="96">
        <v>300</v>
      </c>
      <c r="G108" s="50">
        <v>100</v>
      </c>
      <c r="H108" s="58">
        <f t="shared" si="5"/>
        <v>200</v>
      </c>
      <c r="I108" s="94" t="s">
        <v>433</v>
      </c>
      <c r="J108" s="50">
        <v>300</v>
      </c>
      <c r="K108" s="85"/>
      <c r="L108" s="14"/>
      <c r="M108" s="50"/>
      <c r="N108" s="50"/>
      <c r="O108" s="50"/>
    </row>
    <row r="109" spans="1:15" x14ac:dyDescent="0.25">
      <c r="A109" s="95"/>
      <c r="B109" s="55"/>
      <c r="C109" s="55"/>
      <c r="D109" s="56"/>
      <c r="E109" s="56"/>
      <c r="F109" s="96"/>
      <c r="G109" s="50"/>
      <c r="H109" s="58"/>
      <c r="I109" s="94"/>
      <c r="J109" s="50"/>
      <c r="K109" s="85"/>
      <c r="L109" s="14"/>
      <c r="M109" s="50"/>
      <c r="N109" s="50"/>
      <c r="O109" s="50"/>
    </row>
    <row r="110" spans="1:15" x14ac:dyDescent="0.25">
      <c r="A110" s="95"/>
      <c r="B110" s="55"/>
      <c r="C110" s="55"/>
      <c r="D110" s="56"/>
      <c r="E110" s="56"/>
      <c r="F110" s="96"/>
      <c r="G110" s="50"/>
      <c r="H110" s="58"/>
      <c r="I110" s="94"/>
      <c r="J110" s="50"/>
      <c r="K110" s="85"/>
      <c r="L110" s="14"/>
      <c r="M110" s="50"/>
      <c r="N110" s="50"/>
      <c r="O110" s="50"/>
    </row>
    <row r="111" spans="1:15" x14ac:dyDescent="0.25">
      <c r="A111" s="95"/>
      <c r="B111" s="55"/>
      <c r="C111" s="55"/>
      <c r="D111" s="56"/>
      <c r="E111" s="56"/>
      <c r="F111" s="96"/>
      <c r="G111" s="50"/>
      <c r="H111" s="58"/>
      <c r="I111" s="94"/>
      <c r="J111" s="50"/>
      <c r="K111" s="85"/>
      <c r="L111" s="14"/>
      <c r="M111" s="50"/>
      <c r="N111" s="50"/>
      <c r="O111" s="50"/>
    </row>
    <row r="112" spans="1:15" x14ac:dyDescent="0.25">
      <c r="A112" s="95"/>
      <c r="B112" s="55"/>
      <c r="C112" s="55"/>
      <c r="D112" s="56"/>
      <c r="E112" s="56"/>
      <c r="F112" s="96"/>
      <c r="G112" s="50"/>
      <c r="H112" s="58"/>
      <c r="I112" s="94"/>
      <c r="J112" s="50"/>
      <c r="K112" s="85"/>
      <c r="L112" s="14"/>
      <c r="M112" s="50"/>
      <c r="N112" s="50"/>
      <c r="O112" s="50"/>
    </row>
    <row r="113" spans="1:15" x14ac:dyDescent="0.25">
      <c r="A113" s="95"/>
      <c r="B113" s="55"/>
      <c r="C113" s="55"/>
      <c r="D113" s="56"/>
      <c r="E113" s="56"/>
      <c r="F113" s="96"/>
      <c r="G113" s="50"/>
      <c r="H113" s="58"/>
      <c r="I113" s="94"/>
      <c r="J113" s="50"/>
      <c r="K113" s="85"/>
      <c r="L113" s="14"/>
      <c r="M113" s="50"/>
      <c r="N113" s="50"/>
      <c r="O113" s="50"/>
    </row>
    <row r="114" spans="1:15" x14ac:dyDescent="0.25">
      <c r="A114" s="95"/>
      <c r="B114" s="55"/>
      <c r="C114" s="55"/>
      <c r="D114" s="56">
        <f>SUM(D3:D113)</f>
        <v>19618.181818181816</v>
      </c>
      <c r="E114" s="56"/>
      <c r="F114" s="96"/>
      <c r="G114" s="50"/>
      <c r="H114" s="58"/>
      <c r="I114" s="94"/>
      <c r="J114" s="50"/>
      <c r="K114" s="85"/>
      <c r="L114" s="14"/>
      <c r="M114" s="50"/>
      <c r="N114" s="50"/>
      <c r="O114" s="50"/>
    </row>
    <row r="115" spans="1:15" x14ac:dyDescent="0.25">
      <c r="A115" s="95"/>
      <c r="B115" s="55"/>
      <c r="C115" s="55"/>
      <c r="D115" s="56"/>
      <c r="E115" s="56"/>
      <c r="F115" s="96"/>
      <c r="G115" s="50"/>
      <c r="H115" s="58"/>
      <c r="I115" s="94"/>
      <c r="J115" s="50"/>
      <c r="K115" s="85"/>
      <c r="L115" s="14"/>
      <c r="M115" s="50"/>
      <c r="N115" s="50"/>
      <c r="O115" s="50"/>
    </row>
    <row r="116" spans="1:15" x14ac:dyDescent="0.25">
      <c r="A116" s="95"/>
      <c r="B116" s="55"/>
      <c r="C116" s="55"/>
      <c r="D116" s="56"/>
      <c r="E116" s="56"/>
      <c r="F116" s="96"/>
      <c r="G116" s="50"/>
      <c r="H116" s="58"/>
      <c r="I116" s="94"/>
      <c r="J116" s="50"/>
      <c r="K116" s="85"/>
      <c r="L116" s="14"/>
      <c r="M116" s="50"/>
      <c r="N116" s="50"/>
      <c r="O116" s="50"/>
    </row>
    <row r="117" spans="1:15" x14ac:dyDescent="0.25">
      <c r="A117" s="95"/>
      <c r="B117" s="55"/>
      <c r="C117" s="55"/>
      <c r="D117" s="56"/>
      <c r="E117" s="56"/>
      <c r="F117" s="96"/>
      <c r="G117" s="50"/>
      <c r="H117" s="58"/>
      <c r="I117" s="94"/>
      <c r="J117" s="50"/>
      <c r="K117" s="85"/>
      <c r="L117" s="14"/>
      <c r="M117" s="50"/>
      <c r="N117" s="50"/>
      <c r="O117" s="50"/>
    </row>
    <row r="118" spans="1:15" x14ac:dyDescent="0.25">
      <c r="A118" s="95"/>
      <c r="B118" s="55"/>
      <c r="C118" s="55"/>
      <c r="D118" s="56"/>
      <c r="E118" s="56"/>
      <c r="F118" s="96"/>
      <c r="G118" s="50"/>
      <c r="H118" s="58"/>
      <c r="I118" s="94"/>
      <c r="J118" s="50"/>
      <c r="K118" s="85"/>
      <c r="L118" s="14"/>
      <c r="M118" s="50"/>
      <c r="N118" s="50"/>
      <c r="O118" s="50"/>
    </row>
    <row r="119" spans="1:15" x14ac:dyDescent="0.25">
      <c r="A119" s="95"/>
      <c r="B119" s="55"/>
      <c r="C119" s="55"/>
      <c r="D119" s="56"/>
      <c r="E119" s="56"/>
      <c r="F119" s="96"/>
      <c r="G119" s="50"/>
      <c r="H119" s="58"/>
      <c r="I119" s="94"/>
      <c r="J119" s="50"/>
      <c r="K119" s="85"/>
      <c r="L119" s="14"/>
      <c r="M119" s="50"/>
      <c r="N119" s="50"/>
      <c r="O119" s="50"/>
    </row>
    <row r="120" spans="1:15" x14ac:dyDescent="0.25">
      <c r="A120" s="95"/>
      <c r="B120" s="55"/>
      <c r="C120" s="55"/>
      <c r="D120" s="56"/>
      <c r="E120" s="56"/>
      <c r="F120" s="96"/>
      <c r="G120" s="50"/>
      <c r="H120" s="58"/>
      <c r="I120" s="94"/>
      <c r="J120" s="50"/>
      <c r="K120" s="85"/>
      <c r="L120" s="14"/>
      <c r="M120" s="50"/>
      <c r="N120" s="50"/>
      <c r="O120" s="50"/>
    </row>
    <row r="121" spans="1:15" x14ac:dyDescent="0.25">
      <c r="A121" s="95"/>
      <c r="B121" s="55"/>
      <c r="C121" s="55"/>
      <c r="D121" s="56"/>
      <c r="E121" s="56"/>
      <c r="F121" s="96"/>
      <c r="G121" s="50"/>
      <c r="H121" s="58"/>
      <c r="I121" s="94"/>
      <c r="J121" s="50"/>
      <c r="K121" s="85"/>
      <c r="L121" s="14"/>
      <c r="M121" s="50"/>
      <c r="N121" s="50"/>
      <c r="O121" s="50"/>
    </row>
    <row r="122" spans="1:15" x14ac:dyDescent="0.25">
      <c r="A122" s="95"/>
      <c r="B122" s="55"/>
      <c r="C122" s="55"/>
      <c r="D122" s="56"/>
      <c r="E122" s="56"/>
      <c r="F122" s="96"/>
      <c r="G122" s="50"/>
      <c r="H122" s="58"/>
      <c r="I122" s="94"/>
      <c r="J122" s="50"/>
      <c r="K122" s="85"/>
      <c r="L122" s="14"/>
      <c r="M122" s="50"/>
      <c r="N122" s="50"/>
      <c r="O122" s="50"/>
    </row>
    <row r="123" spans="1:15" x14ac:dyDescent="0.25">
      <c r="A123" s="95"/>
      <c r="B123" s="55"/>
      <c r="C123" s="55"/>
      <c r="D123" s="56"/>
      <c r="E123" s="56"/>
      <c r="F123" s="96"/>
      <c r="G123" s="50"/>
      <c r="H123" s="58"/>
      <c r="I123" s="94"/>
      <c r="J123" s="50"/>
      <c r="K123" s="85"/>
      <c r="L123" s="14"/>
      <c r="M123" s="50"/>
      <c r="N123" s="50"/>
      <c r="O123" s="50"/>
    </row>
    <row r="124" spans="1:15" x14ac:dyDescent="0.25">
      <c r="A124" s="95"/>
      <c r="B124" s="55"/>
      <c r="C124" s="55"/>
      <c r="D124" s="56"/>
      <c r="E124" s="56"/>
      <c r="F124" s="96"/>
      <c r="G124" s="50"/>
      <c r="H124" s="58"/>
      <c r="I124" s="94"/>
      <c r="J124" s="50"/>
      <c r="K124" s="85"/>
      <c r="L124" s="14"/>
      <c r="M124" s="50"/>
      <c r="N124" s="50"/>
      <c r="O124" s="50"/>
    </row>
    <row r="125" spans="1:15" x14ac:dyDescent="0.25">
      <c r="A125" s="95"/>
      <c r="B125" s="55"/>
      <c r="C125" s="55"/>
      <c r="D125" s="56"/>
      <c r="E125" s="56"/>
      <c r="F125" s="96"/>
      <c r="G125" s="50"/>
      <c r="H125" s="58"/>
      <c r="I125" s="94"/>
      <c r="J125" s="50"/>
      <c r="K125" s="85"/>
      <c r="L125" s="14"/>
      <c r="M125" s="50"/>
      <c r="N125" s="50"/>
      <c r="O125" s="50"/>
    </row>
    <row r="126" spans="1:15" x14ac:dyDescent="0.25">
      <c r="A126" s="95"/>
      <c r="B126" s="55"/>
      <c r="C126" s="55"/>
      <c r="D126" s="56"/>
      <c r="E126" s="56"/>
      <c r="F126" s="96"/>
      <c r="G126" s="50"/>
      <c r="H126" s="58"/>
      <c r="I126" s="94"/>
      <c r="J126" s="50"/>
      <c r="K126" s="85"/>
      <c r="L126" s="14"/>
      <c r="M126" s="50"/>
      <c r="N126" s="50"/>
      <c r="O126" s="50"/>
    </row>
    <row r="127" spans="1:15" x14ac:dyDescent="0.25">
      <c r="A127" s="86"/>
      <c r="B127" s="55"/>
      <c r="C127" s="55"/>
      <c r="D127" s="56"/>
      <c r="E127" s="56"/>
      <c r="F127" s="75"/>
      <c r="G127" s="75"/>
      <c r="H127" s="58"/>
      <c r="I127" s="14"/>
      <c r="J127" s="75"/>
      <c r="K127" s="75"/>
      <c r="L127" s="14"/>
      <c r="M127" s="14"/>
      <c r="N127" s="14"/>
      <c r="O127" s="14"/>
    </row>
    <row r="128" spans="1:15" x14ac:dyDescent="0.25">
      <c r="A128" s="86"/>
      <c r="B128" s="55"/>
      <c r="C128" s="55"/>
      <c r="D128" s="56"/>
      <c r="E128" s="56"/>
      <c r="F128" s="75"/>
      <c r="G128" s="75"/>
      <c r="H128" s="58"/>
      <c r="I128" s="14"/>
      <c r="J128" s="75"/>
      <c r="K128" s="75"/>
      <c r="L128" s="14"/>
      <c r="M128" s="14"/>
      <c r="N128" s="14"/>
      <c r="O128" s="14"/>
    </row>
    <row r="129" spans="1:15" x14ac:dyDescent="0.25">
      <c r="A129" s="86"/>
      <c r="B129" s="55"/>
      <c r="C129" s="55"/>
      <c r="D129" s="56"/>
      <c r="E129" s="56"/>
      <c r="F129" s="75"/>
      <c r="G129" s="75"/>
      <c r="H129" s="58"/>
      <c r="I129" s="14"/>
      <c r="J129" s="75"/>
      <c r="K129" s="75"/>
      <c r="L129" s="14"/>
      <c r="M129" s="14"/>
      <c r="N129" s="14"/>
      <c r="O129" s="14"/>
    </row>
    <row r="130" spans="1:15" x14ac:dyDescent="0.25">
      <c r="A130" s="86"/>
      <c r="B130" s="55"/>
      <c r="C130" s="55"/>
      <c r="D130" s="56"/>
      <c r="E130" s="56"/>
      <c r="F130" s="75"/>
      <c r="G130" s="75"/>
      <c r="H130" s="58"/>
      <c r="I130" s="14"/>
      <c r="J130" s="75"/>
      <c r="K130" s="75"/>
      <c r="L130" s="14"/>
      <c r="M130" s="14"/>
      <c r="N130" s="14"/>
      <c r="O130" s="14"/>
    </row>
    <row r="131" spans="1:15" x14ac:dyDescent="0.25">
      <c r="A131" s="86"/>
      <c r="B131" s="55"/>
      <c r="C131" s="55"/>
      <c r="D131" s="56"/>
      <c r="E131" s="56"/>
      <c r="F131" s="75"/>
      <c r="G131" s="75"/>
      <c r="H131" s="58"/>
      <c r="I131" s="14"/>
      <c r="J131" s="75"/>
      <c r="K131" s="75"/>
      <c r="L131" s="14"/>
      <c r="M131" s="14"/>
      <c r="N131" s="14"/>
      <c r="O131" s="14"/>
    </row>
    <row r="132" spans="1:15" x14ac:dyDescent="0.25">
      <c r="A132" s="86"/>
      <c r="B132" s="55"/>
      <c r="C132" s="55"/>
      <c r="D132" s="56"/>
      <c r="E132" s="56"/>
      <c r="F132" s="75"/>
      <c r="G132" s="75"/>
      <c r="H132" s="58"/>
      <c r="I132" s="14"/>
      <c r="J132" s="75"/>
      <c r="K132" s="75"/>
      <c r="L132" s="14"/>
      <c r="M132" s="14"/>
      <c r="N132" s="14"/>
      <c r="O132" s="14"/>
    </row>
    <row r="133" spans="1:15" x14ac:dyDescent="0.25">
      <c r="A133" s="86"/>
      <c r="B133" s="55"/>
      <c r="C133" s="55"/>
      <c r="D133" s="56"/>
      <c r="E133" s="56"/>
      <c r="F133" s="75"/>
      <c r="G133" s="75"/>
      <c r="H133" s="58"/>
      <c r="I133" s="14"/>
      <c r="J133" s="75"/>
      <c r="K133" s="75"/>
      <c r="L133" s="14"/>
      <c r="M133" s="14"/>
      <c r="N133" s="14"/>
      <c r="O133" s="14"/>
    </row>
    <row r="134" spans="1:15" x14ac:dyDescent="0.25">
      <c r="A134" s="86"/>
      <c r="B134" s="55"/>
      <c r="C134" s="55"/>
      <c r="D134" s="56"/>
      <c r="E134" s="56"/>
      <c r="F134" s="75"/>
      <c r="G134" s="75"/>
      <c r="H134" s="58"/>
      <c r="I134" s="14"/>
      <c r="J134" s="75"/>
      <c r="K134" s="75"/>
      <c r="L134" s="14"/>
      <c r="M134" s="14"/>
      <c r="N134" s="14"/>
      <c r="O134" s="14"/>
    </row>
    <row r="135" spans="1:15" x14ac:dyDescent="0.25">
      <c r="A135" s="86"/>
      <c r="B135" s="55"/>
      <c r="C135" s="55"/>
      <c r="D135" s="56"/>
      <c r="E135" s="56"/>
      <c r="F135" s="75"/>
      <c r="G135" s="75"/>
      <c r="H135" s="58"/>
      <c r="I135" s="14"/>
      <c r="J135" s="75"/>
      <c r="K135" s="75"/>
      <c r="L135" s="14"/>
      <c r="M135" s="14"/>
      <c r="N135" s="14"/>
      <c r="O135" s="14"/>
    </row>
    <row r="136" spans="1:15" x14ac:dyDescent="0.25">
      <c r="A136" s="86"/>
      <c r="B136" s="55"/>
      <c r="C136" s="55"/>
      <c r="D136" s="56"/>
      <c r="E136" s="56"/>
      <c r="F136" s="75"/>
      <c r="G136" s="75"/>
      <c r="H136" s="58"/>
      <c r="I136" s="14"/>
      <c r="J136" s="75"/>
      <c r="K136" s="75"/>
      <c r="L136" s="14"/>
      <c r="M136" s="14"/>
      <c r="N136" s="14"/>
      <c r="O136" s="14"/>
    </row>
    <row r="137" spans="1:15" x14ac:dyDescent="0.25">
      <c r="A137" s="86"/>
      <c r="B137" s="55"/>
      <c r="C137" s="55"/>
      <c r="D137" s="56"/>
      <c r="E137" s="56"/>
      <c r="F137" s="75"/>
      <c r="G137" s="75"/>
      <c r="H137" s="58"/>
      <c r="I137" s="14"/>
      <c r="J137" s="75"/>
      <c r="K137" s="75"/>
      <c r="L137" s="14"/>
      <c r="M137" s="14"/>
      <c r="N137" s="14"/>
      <c r="O137" s="14"/>
    </row>
    <row r="138" spans="1:15" x14ac:dyDescent="0.25">
      <c r="A138" s="86"/>
      <c r="B138" s="55"/>
      <c r="C138" s="55"/>
      <c r="D138" s="56"/>
      <c r="E138" s="56"/>
      <c r="F138" s="75"/>
      <c r="G138" s="75"/>
      <c r="H138" s="58"/>
      <c r="I138" s="14"/>
      <c r="J138" s="75"/>
      <c r="K138" s="75"/>
      <c r="L138" s="14"/>
      <c r="M138" s="14"/>
      <c r="N138" s="14"/>
      <c r="O138" s="14"/>
    </row>
    <row r="139" spans="1:15" x14ac:dyDescent="0.25">
      <c r="A139" s="86"/>
      <c r="B139" s="55"/>
      <c r="C139" s="55"/>
      <c r="D139" s="56"/>
      <c r="E139" s="56"/>
      <c r="F139" s="75"/>
      <c r="G139" s="75"/>
      <c r="H139" s="58"/>
      <c r="I139" s="14"/>
      <c r="J139" s="75"/>
      <c r="K139" s="75"/>
      <c r="L139" s="14"/>
      <c r="M139" s="14"/>
      <c r="N139" s="14"/>
      <c r="O139" s="14"/>
    </row>
    <row r="140" spans="1:15" x14ac:dyDescent="0.25">
      <c r="A140" s="86"/>
      <c r="B140" s="55"/>
      <c r="C140" s="55"/>
      <c r="D140" s="56"/>
      <c r="E140" s="56"/>
      <c r="F140" s="75"/>
      <c r="G140" s="75"/>
      <c r="H140" s="58"/>
      <c r="I140" s="14"/>
      <c r="J140" s="75"/>
      <c r="K140" s="75"/>
      <c r="L140" s="14"/>
      <c r="M140" s="14"/>
      <c r="N140" s="14"/>
      <c r="O140" s="14"/>
    </row>
    <row r="141" spans="1:15" x14ac:dyDescent="0.25">
      <c r="A141" s="86"/>
      <c r="B141" s="55"/>
      <c r="C141" s="55"/>
      <c r="D141" s="56"/>
      <c r="E141" s="56"/>
      <c r="F141" s="75"/>
      <c r="G141" s="75"/>
      <c r="H141" s="58"/>
      <c r="I141" s="14"/>
      <c r="J141" s="75"/>
      <c r="K141" s="75"/>
      <c r="L141" s="14"/>
      <c r="M141" s="14"/>
      <c r="N141" s="14"/>
      <c r="O141" s="14"/>
    </row>
    <row r="142" spans="1:15" x14ac:dyDescent="0.25">
      <c r="A142" s="86"/>
      <c r="B142" s="55"/>
      <c r="C142" s="55"/>
      <c r="D142" s="56"/>
      <c r="E142" s="56"/>
      <c r="F142" s="75"/>
      <c r="G142" s="75"/>
      <c r="H142" s="58"/>
      <c r="I142" s="14"/>
      <c r="J142" s="75"/>
      <c r="K142" s="75"/>
      <c r="L142" s="14"/>
      <c r="M142" s="14"/>
      <c r="N142" s="14"/>
      <c r="O142" s="14"/>
    </row>
    <row r="143" spans="1:15" x14ac:dyDescent="0.25">
      <c r="A143" s="86"/>
      <c r="B143" s="55"/>
      <c r="C143" s="55"/>
      <c r="D143" s="56"/>
      <c r="E143" s="56"/>
      <c r="F143" s="75"/>
      <c r="G143" s="75"/>
      <c r="H143" s="58"/>
      <c r="I143" s="14"/>
      <c r="J143" s="75"/>
      <c r="K143" s="75"/>
      <c r="L143" s="14"/>
      <c r="M143" s="14"/>
      <c r="N143" s="14"/>
      <c r="O143" s="14"/>
    </row>
    <row r="144" spans="1:15" x14ac:dyDescent="0.25">
      <c r="A144" s="86"/>
      <c r="B144" s="55"/>
      <c r="C144" s="55"/>
      <c r="D144" s="56"/>
      <c r="E144" s="56"/>
      <c r="F144" s="75"/>
      <c r="G144" s="75"/>
      <c r="H144" s="58"/>
      <c r="I144" s="14"/>
      <c r="J144" s="75"/>
      <c r="K144" s="75"/>
      <c r="L144" s="14"/>
      <c r="M144" s="14"/>
      <c r="N144" s="14"/>
      <c r="O144" s="14"/>
    </row>
    <row r="145" spans="1:15" x14ac:dyDescent="0.25">
      <c r="A145" s="86"/>
      <c r="B145" s="55"/>
      <c r="C145" s="55"/>
      <c r="D145" s="56"/>
      <c r="E145" s="56"/>
      <c r="F145" s="75"/>
      <c r="G145" s="75"/>
      <c r="H145" s="58"/>
      <c r="I145" s="14"/>
      <c r="J145" s="75"/>
      <c r="K145" s="14"/>
      <c r="L145" s="14"/>
      <c r="M145" s="14"/>
      <c r="N145" s="14"/>
      <c r="O145" s="14"/>
    </row>
    <row r="146" spans="1:15" x14ac:dyDescent="0.25">
      <c r="A146" s="86"/>
      <c r="B146" s="55"/>
      <c r="C146" s="55"/>
      <c r="D146" s="56"/>
      <c r="E146" s="56"/>
      <c r="F146" s="75"/>
      <c r="G146" s="75"/>
      <c r="H146" s="58"/>
      <c r="I146" s="14"/>
      <c r="J146" s="75"/>
      <c r="K146" s="14"/>
      <c r="L146" s="14"/>
      <c r="M146" s="14"/>
      <c r="N146" s="14"/>
      <c r="O146" s="14"/>
    </row>
    <row r="147" spans="1:15" x14ac:dyDescent="0.25">
      <c r="A147" s="86"/>
      <c r="B147" s="55"/>
      <c r="C147" s="55"/>
      <c r="D147" s="56"/>
      <c r="E147" s="56"/>
      <c r="F147" s="75"/>
      <c r="G147" s="75"/>
      <c r="H147" s="58"/>
      <c r="I147" s="14"/>
      <c r="J147" s="75"/>
      <c r="K147" s="14"/>
      <c r="L147" s="14"/>
      <c r="M147" s="14"/>
      <c r="N147" s="14"/>
      <c r="O147" s="14"/>
    </row>
    <row r="148" spans="1:15" x14ac:dyDescent="0.25">
      <c r="A148" s="86"/>
      <c r="B148" s="55"/>
      <c r="C148" s="55"/>
      <c r="D148" s="56"/>
      <c r="E148" s="56"/>
      <c r="F148" s="75"/>
      <c r="G148" s="75"/>
      <c r="H148" s="58"/>
      <c r="I148" s="14"/>
      <c r="J148" s="75"/>
      <c r="K148" s="14"/>
      <c r="L148" s="14"/>
      <c r="M148" s="14"/>
      <c r="N148" s="14"/>
      <c r="O148" s="14"/>
    </row>
    <row r="149" spans="1:15" x14ac:dyDescent="0.25">
      <c r="A149" s="86"/>
      <c r="B149" s="55"/>
      <c r="C149" s="55"/>
      <c r="D149" s="56"/>
      <c r="E149" s="56"/>
      <c r="F149" s="75"/>
      <c r="G149" s="75"/>
      <c r="H149" s="58"/>
      <c r="I149" s="14"/>
      <c r="J149" s="75"/>
      <c r="K149" s="14"/>
      <c r="L149" s="14"/>
      <c r="M149" s="14"/>
      <c r="N149" s="14"/>
      <c r="O149" s="14"/>
    </row>
    <row r="150" spans="1:15" x14ac:dyDescent="0.25">
      <c r="A150" s="86"/>
      <c r="B150" s="55"/>
      <c r="C150" s="55"/>
      <c r="D150" s="56"/>
      <c r="E150" s="56"/>
      <c r="F150" s="75"/>
      <c r="G150" s="75"/>
      <c r="H150" s="58"/>
      <c r="I150" s="14"/>
      <c r="J150" s="75"/>
      <c r="K150" s="14"/>
      <c r="L150" s="14"/>
      <c r="M150" s="14"/>
      <c r="N150" s="14"/>
      <c r="O150" s="14"/>
    </row>
    <row r="151" spans="1:15" x14ac:dyDescent="0.25">
      <c r="A151" s="86"/>
      <c r="B151" s="55"/>
      <c r="C151" s="55"/>
      <c r="D151" s="56"/>
      <c r="E151" s="56"/>
      <c r="F151" s="75"/>
      <c r="G151" s="75"/>
      <c r="H151" s="58"/>
      <c r="I151" s="14"/>
      <c r="J151" s="75"/>
      <c r="K151" s="14"/>
      <c r="L151" s="14"/>
      <c r="M151" s="14"/>
      <c r="N151" s="14"/>
      <c r="O151" s="14"/>
    </row>
    <row r="152" spans="1:15" x14ac:dyDescent="0.25">
      <c r="A152" s="86"/>
      <c r="B152" s="55"/>
      <c r="C152" s="55"/>
      <c r="D152" s="56"/>
      <c r="E152" s="56"/>
      <c r="F152" s="75"/>
      <c r="G152" s="75"/>
      <c r="H152" s="58"/>
      <c r="I152" s="14"/>
      <c r="J152" s="75"/>
      <c r="K152" s="14"/>
      <c r="L152" s="14"/>
      <c r="M152" s="14"/>
      <c r="N152" s="14"/>
      <c r="O152" s="14"/>
    </row>
    <row r="153" spans="1:15" x14ac:dyDescent="0.25">
      <c r="A153" s="86"/>
      <c r="B153" s="55"/>
      <c r="C153" s="55"/>
      <c r="D153" s="56"/>
      <c r="E153" s="56"/>
      <c r="F153" s="75"/>
      <c r="G153" s="75"/>
      <c r="H153" s="58"/>
      <c r="I153" s="14"/>
      <c r="J153" s="75"/>
      <c r="K153" s="14"/>
      <c r="L153" s="14"/>
      <c r="M153" s="14"/>
      <c r="N153" s="14"/>
      <c r="O153" s="14"/>
    </row>
    <row r="154" spans="1:15" x14ac:dyDescent="0.25">
      <c r="A154" s="86"/>
      <c r="B154" s="55"/>
      <c r="C154" s="55"/>
      <c r="D154" s="56"/>
      <c r="E154" s="56"/>
      <c r="F154" s="75"/>
      <c r="G154" s="75"/>
      <c r="H154" s="58"/>
      <c r="I154" s="14"/>
      <c r="J154" s="75"/>
      <c r="K154" s="14"/>
      <c r="L154" s="14"/>
      <c r="M154" s="14"/>
      <c r="N154" s="14"/>
      <c r="O154" s="14"/>
    </row>
    <row r="155" spans="1:15" x14ac:dyDescent="0.25">
      <c r="A155" s="86"/>
      <c r="B155" s="55"/>
      <c r="C155" s="55"/>
      <c r="D155" s="56"/>
      <c r="E155" s="56"/>
      <c r="F155" s="75"/>
      <c r="G155" s="75"/>
      <c r="H155" s="58"/>
      <c r="I155" s="14"/>
      <c r="J155" s="75"/>
      <c r="K155" s="14"/>
      <c r="L155" s="14"/>
      <c r="M155" s="14"/>
      <c r="N155" s="14"/>
      <c r="O155" s="14"/>
    </row>
    <row r="156" spans="1:15" x14ac:dyDescent="0.25">
      <c r="A156" s="86"/>
      <c r="B156" s="55"/>
      <c r="C156" s="55"/>
      <c r="D156" s="56"/>
      <c r="E156" s="56"/>
      <c r="F156" s="75"/>
      <c r="G156" s="75"/>
      <c r="H156" s="58"/>
      <c r="I156" s="14"/>
      <c r="J156" s="75"/>
      <c r="K156" s="14"/>
      <c r="L156" s="14"/>
      <c r="M156" s="14"/>
      <c r="N156" s="14"/>
      <c r="O156" s="14"/>
    </row>
    <row r="157" spans="1:15" x14ac:dyDescent="0.25">
      <c r="A157" s="86"/>
      <c r="B157" s="55"/>
      <c r="C157" s="55"/>
      <c r="D157" s="56"/>
      <c r="E157" s="56"/>
      <c r="F157" s="75"/>
      <c r="G157" s="75"/>
      <c r="H157" s="58"/>
      <c r="I157" s="14"/>
      <c r="J157" s="75"/>
      <c r="K157" s="14"/>
      <c r="L157" s="14"/>
      <c r="M157" s="14"/>
      <c r="N157" s="14"/>
      <c r="O157" s="14"/>
    </row>
    <row r="158" spans="1:15" x14ac:dyDescent="0.25">
      <c r="A158" s="86"/>
      <c r="B158" s="55"/>
      <c r="C158" s="55"/>
      <c r="D158" s="56"/>
      <c r="E158" s="56"/>
      <c r="F158" s="75"/>
      <c r="G158" s="75"/>
      <c r="H158" s="58"/>
      <c r="I158" s="14"/>
      <c r="J158" s="75"/>
      <c r="K158" s="14"/>
      <c r="L158" s="14"/>
      <c r="M158" s="14"/>
      <c r="N158" s="14"/>
      <c r="O158" s="14"/>
    </row>
    <row r="159" spans="1:15" x14ac:dyDescent="0.25">
      <c r="A159" s="86"/>
      <c r="B159" s="55"/>
      <c r="C159" s="55"/>
      <c r="D159" s="56"/>
      <c r="E159" s="56"/>
      <c r="F159" s="75"/>
      <c r="G159" s="75"/>
      <c r="H159" s="58"/>
      <c r="I159" s="14"/>
      <c r="J159" s="75"/>
      <c r="K159" s="14"/>
      <c r="L159" s="14"/>
      <c r="M159" s="14"/>
      <c r="N159" s="14"/>
      <c r="O159" s="14"/>
    </row>
    <row r="160" spans="1:15" x14ac:dyDescent="0.25">
      <c r="A160" s="86"/>
      <c r="B160" s="55"/>
      <c r="C160" s="55"/>
      <c r="D160" s="56"/>
      <c r="E160" s="56"/>
      <c r="F160" s="75"/>
      <c r="G160" s="75"/>
      <c r="H160" s="58"/>
      <c r="I160" s="14"/>
      <c r="J160" s="75"/>
      <c r="K160" s="14"/>
      <c r="L160" s="14"/>
      <c r="M160" s="14"/>
      <c r="N160" s="14"/>
      <c r="O160" s="14"/>
    </row>
    <row r="161" spans="1:15" x14ac:dyDescent="0.25">
      <c r="A161" s="86"/>
      <c r="B161" s="55"/>
      <c r="C161" s="55"/>
      <c r="D161" s="56"/>
      <c r="E161" s="56"/>
      <c r="F161" s="75"/>
      <c r="G161" s="75"/>
      <c r="H161" s="58"/>
      <c r="I161" s="14"/>
      <c r="J161" s="75"/>
      <c r="K161" s="14"/>
      <c r="L161" s="14"/>
      <c r="M161" s="14"/>
      <c r="N161" s="14"/>
      <c r="O161" s="14"/>
    </row>
    <row r="162" spans="1:15" x14ac:dyDescent="0.25">
      <c r="A162" s="86"/>
      <c r="B162" s="55"/>
      <c r="C162" s="55"/>
      <c r="D162" s="56"/>
      <c r="E162" s="56"/>
      <c r="F162" s="75"/>
      <c r="G162" s="75"/>
      <c r="H162" s="58"/>
      <c r="I162" s="14"/>
      <c r="J162" s="75"/>
      <c r="K162" s="14"/>
      <c r="L162" s="14"/>
      <c r="M162" s="14"/>
      <c r="N162" s="14"/>
      <c r="O162" s="14"/>
    </row>
    <row r="163" spans="1:15" x14ac:dyDescent="0.25">
      <c r="A163" s="86"/>
      <c r="B163" s="55"/>
      <c r="C163" s="55"/>
      <c r="D163" s="56"/>
      <c r="E163" s="56"/>
      <c r="F163" s="75"/>
      <c r="G163" s="75"/>
      <c r="H163" s="58"/>
      <c r="I163" s="14"/>
      <c r="J163" s="75"/>
      <c r="K163" s="14"/>
      <c r="L163" s="14"/>
      <c r="M163" s="14"/>
      <c r="N163" s="14"/>
      <c r="O163" s="14"/>
    </row>
    <row r="164" spans="1:15" x14ac:dyDescent="0.25">
      <c r="A164" s="86"/>
      <c r="B164" s="55"/>
      <c r="C164" s="55"/>
      <c r="D164" s="56"/>
      <c r="E164" s="56"/>
      <c r="F164" s="75"/>
      <c r="G164" s="75"/>
      <c r="H164" s="58"/>
      <c r="I164" s="14"/>
      <c r="J164" s="75"/>
      <c r="K164" s="14"/>
      <c r="L164" s="14"/>
      <c r="M164" s="14"/>
      <c r="N164" s="14"/>
      <c r="O164" s="14"/>
    </row>
    <row r="165" spans="1:15" x14ac:dyDescent="0.25">
      <c r="A165" s="86"/>
      <c r="B165" s="55"/>
      <c r="C165" s="55"/>
      <c r="D165" s="56"/>
      <c r="E165" s="56"/>
      <c r="F165" s="75"/>
      <c r="G165" s="75"/>
      <c r="H165" s="58"/>
      <c r="I165" s="14"/>
      <c r="J165" s="75"/>
      <c r="K165" s="14"/>
      <c r="L165" s="14"/>
      <c r="M165" s="14"/>
      <c r="N165" s="14"/>
      <c r="O165" s="14"/>
    </row>
    <row r="166" spans="1:15" x14ac:dyDescent="0.25">
      <c r="A166" s="86"/>
      <c r="B166" s="55"/>
      <c r="C166" s="55"/>
      <c r="D166" s="56"/>
      <c r="E166" s="56"/>
      <c r="F166" s="75"/>
      <c r="G166" s="75"/>
      <c r="H166" s="58"/>
      <c r="I166" s="14"/>
      <c r="J166" s="75"/>
      <c r="K166" s="14"/>
      <c r="L166" s="14"/>
      <c r="M166" s="14"/>
      <c r="N166" s="14"/>
      <c r="O166" s="14"/>
    </row>
    <row r="167" spans="1:15" x14ac:dyDescent="0.25">
      <c r="A167" s="86"/>
      <c r="B167" s="55"/>
      <c r="C167" s="55"/>
      <c r="D167" s="56"/>
      <c r="E167" s="56"/>
      <c r="F167" s="75"/>
      <c r="G167" s="75"/>
      <c r="H167" s="58"/>
      <c r="I167" s="14"/>
      <c r="J167" s="75"/>
      <c r="K167" s="14"/>
      <c r="L167" s="14"/>
      <c r="M167" s="14"/>
      <c r="N167" s="14"/>
      <c r="O167" s="14"/>
    </row>
    <row r="168" spans="1:15" x14ac:dyDescent="0.25">
      <c r="A168" s="86"/>
      <c r="B168" s="55"/>
      <c r="C168" s="55"/>
      <c r="D168" s="56"/>
      <c r="E168" s="56"/>
      <c r="F168" s="75"/>
      <c r="G168" s="75"/>
      <c r="H168" s="58"/>
      <c r="I168" s="14"/>
      <c r="J168" s="75"/>
      <c r="K168" s="14"/>
      <c r="L168" s="14"/>
      <c r="M168" s="14"/>
      <c r="N168" s="14"/>
      <c r="O168" s="14"/>
    </row>
    <row r="169" spans="1:15" x14ac:dyDescent="0.25">
      <c r="A169" s="86"/>
      <c r="B169" s="55"/>
      <c r="C169" s="55"/>
      <c r="D169" s="56"/>
      <c r="E169" s="56"/>
      <c r="F169" s="75"/>
      <c r="G169" s="75"/>
      <c r="H169" s="58"/>
      <c r="I169" s="14"/>
      <c r="J169" s="75"/>
      <c r="K169" s="14"/>
      <c r="L169" s="14"/>
      <c r="M169" s="14"/>
      <c r="N169" s="14"/>
      <c r="O169" s="14"/>
    </row>
    <row r="170" spans="1:15" x14ac:dyDescent="0.25">
      <c r="A170" s="86"/>
      <c r="B170" s="55"/>
      <c r="C170" s="55"/>
      <c r="D170" s="56"/>
      <c r="E170" s="56"/>
      <c r="F170" s="75"/>
      <c r="G170" s="75"/>
      <c r="H170" s="58"/>
      <c r="I170" s="14"/>
      <c r="J170" s="75"/>
      <c r="K170" s="14"/>
      <c r="L170" s="14"/>
      <c r="M170" s="14"/>
      <c r="N170" s="14"/>
      <c r="O170" s="14"/>
    </row>
    <row r="171" spans="1:15" x14ac:dyDescent="0.25">
      <c r="A171" s="86"/>
      <c r="B171" s="55"/>
      <c r="C171" s="55"/>
      <c r="D171" s="56"/>
      <c r="E171" s="56"/>
      <c r="F171" s="75"/>
      <c r="G171" s="75"/>
      <c r="H171" s="58"/>
      <c r="I171" s="14"/>
      <c r="J171" s="75"/>
      <c r="K171" s="14"/>
      <c r="L171" s="14"/>
      <c r="M171" s="14"/>
      <c r="N171" s="14"/>
      <c r="O171" s="14"/>
    </row>
    <row r="172" spans="1:15" x14ac:dyDescent="0.25">
      <c r="A172" s="86"/>
      <c r="B172" s="55"/>
      <c r="C172" s="55"/>
      <c r="D172" s="56"/>
      <c r="E172" s="56"/>
      <c r="F172" s="75"/>
      <c r="G172" s="75"/>
      <c r="H172" s="58"/>
      <c r="I172" s="14"/>
      <c r="J172" s="75"/>
      <c r="K172" s="14"/>
      <c r="L172" s="14"/>
      <c r="M172" s="14"/>
      <c r="N172" s="14"/>
      <c r="O172" s="14"/>
    </row>
    <row r="173" spans="1:15" x14ac:dyDescent="0.25">
      <c r="A173" s="86"/>
      <c r="B173" s="55"/>
      <c r="C173" s="55"/>
      <c r="D173" s="56"/>
      <c r="E173" s="56"/>
      <c r="F173" s="75"/>
      <c r="G173" s="75"/>
      <c r="H173" s="58"/>
      <c r="I173" s="14"/>
      <c r="J173" s="75"/>
      <c r="K173" s="14"/>
      <c r="L173" s="14"/>
      <c r="M173" s="14"/>
      <c r="N173" s="14"/>
      <c r="O173" s="14"/>
    </row>
    <row r="174" spans="1:15" x14ac:dyDescent="0.25">
      <c r="A174" s="86"/>
      <c r="B174" s="55"/>
      <c r="C174" s="55"/>
      <c r="D174" s="56"/>
      <c r="E174" s="56"/>
      <c r="F174" s="75"/>
      <c r="G174" s="75"/>
      <c r="H174" s="58"/>
      <c r="I174" s="14"/>
      <c r="J174" s="75"/>
      <c r="K174" s="14"/>
      <c r="L174" s="14"/>
      <c r="M174" s="14"/>
      <c r="N174" s="14"/>
      <c r="O174" s="14"/>
    </row>
    <row r="175" spans="1:15" x14ac:dyDescent="0.25">
      <c r="A175" s="86"/>
      <c r="B175" s="55"/>
      <c r="C175" s="55"/>
      <c r="D175" s="56"/>
      <c r="E175" s="56"/>
      <c r="F175" s="75"/>
      <c r="G175" s="75"/>
      <c r="H175" s="58"/>
      <c r="I175" s="14"/>
      <c r="J175" s="75"/>
      <c r="K175" s="14"/>
      <c r="L175" s="14"/>
      <c r="M175" s="14"/>
      <c r="N175" s="14"/>
      <c r="O175" s="14"/>
    </row>
    <row r="176" spans="1:15" x14ac:dyDescent="0.25">
      <c r="A176" s="86"/>
      <c r="B176" s="55"/>
      <c r="C176" s="55"/>
      <c r="D176" s="56"/>
      <c r="E176" s="56"/>
      <c r="F176" s="75"/>
      <c r="G176" s="75"/>
      <c r="H176" s="58"/>
      <c r="I176" s="14"/>
      <c r="J176" s="75"/>
      <c r="K176" s="14"/>
      <c r="L176" s="14"/>
      <c r="M176" s="14"/>
      <c r="N176" s="14"/>
      <c r="O176" s="14"/>
    </row>
    <row r="177" spans="1:15" x14ac:dyDescent="0.25">
      <c r="A177" s="86"/>
      <c r="B177" s="55"/>
      <c r="C177" s="55"/>
      <c r="D177" s="56"/>
      <c r="E177" s="56"/>
      <c r="F177" s="75"/>
      <c r="G177" s="75"/>
      <c r="H177" s="58"/>
      <c r="I177" s="14"/>
      <c r="J177" s="75"/>
      <c r="K177" s="14"/>
      <c r="L177" s="14"/>
      <c r="M177" s="14"/>
      <c r="N177" s="14"/>
      <c r="O177" s="14"/>
    </row>
    <row r="178" spans="1:15" x14ac:dyDescent="0.25">
      <c r="A178" s="86"/>
      <c r="B178" s="55"/>
      <c r="C178" s="55"/>
      <c r="D178" s="56"/>
      <c r="E178" s="56"/>
      <c r="F178" s="75"/>
      <c r="G178" s="75"/>
      <c r="H178" s="58"/>
      <c r="I178" s="14"/>
      <c r="J178" s="75"/>
      <c r="K178" s="14"/>
      <c r="L178" s="14"/>
      <c r="M178" s="14"/>
      <c r="N178" s="14"/>
      <c r="O178" s="14"/>
    </row>
    <row r="179" spans="1:15" x14ac:dyDescent="0.25">
      <c r="A179" s="86"/>
      <c r="B179" s="55"/>
      <c r="C179" s="55"/>
      <c r="D179" s="56"/>
      <c r="E179" s="56"/>
      <c r="F179" s="75"/>
      <c r="G179" s="75"/>
      <c r="H179" s="58"/>
      <c r="I179" s="14"/>
      <c r="J179" s="75"/>
      <c r="K179" s="14"/>
      <c r="L179" s="14"/>
      <c r="M179" s="14"/>
      <c r="N179" s="14"/>
      <c r="O179" s="14"/>
    </row>
    <row r="180" spans="1:15" x14ac:dyDescent="0.25">
      <c r="A180" s="86"/>
      <c r="B180" s="55"/>
      <c r="C180" s="55"/>
      <c r="D180" s="56"/>
      <c r="E180" s="56"/>
      <c r="F180" s="75"/>
      <c r="G180" s="75"/>
      <c r="H180" s="58"/>
      <c r="I180" s="14"/>
      <c r="J180" s="75"/>
      <c r="K180" s="14"/>
      <c r="L180" s="14"/>
      <c r="M180" s="14"/>
      <c r="N180" s="14"/>
      <c r="O180" s="14"/>
    </row>
    <row r="181" spans="1:15" x14ac:dyDescent="0.25">
      <c r="A181" s="86"/>
      <c r="B181" s="55"/>
      <c r="C181" s="55"/>
      <c r="D181" s="56"/>
      <c r="E181" s="56"/>
      <c r="F181" s="75"/>
      <c r="G181" s="75"/>
      <c r="H181" s="58"/>
      <c r="I181" s="14"/>
      <c r="J181" s="75"/>
      <c r="K181" s="14"/>
      <c r="L181" s="14"/>
      <c r="M181" s="14"/>
      <c r="N181" s="14"/>
      <c r="O181" s="14"/>
    </row>
    <row r="182" spans="1:15" x14ac:dyDescent="0.25">
      <c r="A182" s="86"/>
      <c r="B182" s="55"/>
      <c r="C182" s="55"/>
      <c r="D182" s="56"/>
      <c r="E182" s="56"/>
      <c r="F182" s="75"/>
      <c r="G182" s="75"/>
      <c r="H182" s="58"/>
      <c r="I182" s="14"/>
      <c r="J182" s="75"/>
      <c r="K182" s="14"/>
      <c r="L182" s="14"/>
      <c r="M182" s="14"/>
      <c r="N182" s="14"/>
      <c r="O182" s="14"/>
    </row>
    <row r="183" spans="1:15" x14ac:dyDescent="0.25">
      <c r="A183" s="86"/>
      <c r="B183" s="55"/>
      <c r="C183" s="55"/>
      <c r="D183" s="56"/>
      <c r="E183" s="56"/>
      <c r="F183" s="75"/>
      <c r="G183" s="75"/>
      <c r="H183" s="58"/>
      <c r="I183" s="14"/>
      <c r="J183" s="75"/>
      <c r="K183" s="14"/>
      <c r="L183" s="14"/>
      <c r="M183" s="14"/>
      <c r="N183" s="14"/>
      <c r="O183" s="14"/>
    </row>
    <row r="184" spans="1:15" x14ac:dyDescent="0.25">
      <c r="A184" s="86"/>
      <c r="B184" s="55"/>
      <c r="C184" s="55"/>
      <c r="D184" s="56"/>
      <c r="E184" s="56"/>
      <c r="F184" s="75"/>
      <c r="G184" s="75"/>
      <c r="H184" s="58"/>
      <c r="I184" s="14"/>
      <c r="J184" s="75"/>
      <c r="K184" s="14"/>
      <c r="L184" s="14"/>
      <c r="M184" s="14"/>
      <c r="N184" s="14"/>
      <c r="O184" s="14"/>
    </row>
    <row r="185" spans="1:15" x14ac:dyDescent="0.25">
      <c r="A185" s="86"/>
      <c r="B185" s="55"/>
      <c r="C185" s="55"/>
      <c r="D185" s="56"/>
      <c r="E185" s="56"/>
      <c r="F185" s="75"/>
      <c r="G185" s="75"/>
      <c r="H185" s="58"/>
      <c r="I185" s="14"/>
      <c r="J185" s="75"/>
      <c r="K185" s="14"/>
      <c r="L185" s="14"/>
      <c r="M185" s="14"/>
      <c r="N185" s="14"/>
      <c r="O185" s="14"/>
    </row>
    <row r="186" spans="1:15" x14ac:dyDescent="0.25">
      <c r="A186" s="86"/>
      <c r="B186" s="55"/>
      <c r="C186" s="55"/>
      <c r="D186" s="56"/>
      <c r="E186" s="56"/>
      <c r="F186" s="75"/>
      <c r="G186" s="75"/>
      <c r="H186" s="58"/>
      <c r="I186" s="14"/>
      <c r="J186" s="75"/>
      <c r="K186" s="14"/>
      <c r="L186" s="14"/>
      <c r="M186" s="14"/>
      <c r="N186" s="14"/>
      <c r="O186" s="14"/>
    </row>
    <row r="187" spans="1:15" x14ac:dyDescent="0.25">
      <c r="A187" s="86"/>
      <c r="B187" s="55"/>
      <c r="C187" s="55"/>
      <c r="D187" s="56"/>
      <c r="E187" s="56"/>
      <c r="F187" s="75"/>
      <c r="G187" s="75"/>
      <c r="H187" s="58"/>
      <c r="I187" s="14"/>
      <c r="J187" s="75"/>
      <c r="K187" s="14"/>
      <c r="L187" s="14"/>
      <c r="M187" s="14"/>
      <c r="N187" s="14"/>
      <c r="O187" s="14"/>
    </row>
    <row r="188" spans="1:15" x14ac:dyDescent="0.25">
      <c r="A188" s="86"/>
      <c r="B188" s="55"/>
      <c r="C188" s="55"/>
      <c r="D188" s="56"/>
      <c r="E188" s="56"/>
      <c r="F188" s="75"/>
      <c r="G188" s="75"/>
      <c r="H188" s="58"/>
      <c r="I188" s="14"/>
      <c r="J188" s="75"/>
      <c r="K188" s="14"/>
      <c r="L188" s="14"/>
      <c r="M188" s="14"/>
      <c r="N188" s="14"/>
      <c r="O188" s="14"/>
    </row>
    <row r="189" spans="1:15" x14ac:dyDescent="0.25">
      <c r="A189" s="86"/>
      <c r="B189" s="55"/>
      <c r="C189" s="55"/>
      <c r="D189" s="56"/>
      <c r="E189" s="56"/>
      <c r="F189" s="75"/>
      <c r="G189" s="75"/>
      <c r="H189" s="58"/>
      <c r="I189" s="14"/>
      <c r="J189" s="75"/>
      <c r="K189" s="14"/>
      <c r="L189" s="14"/>
      <c r="M189" s="14"/>
      <c r="N189" s="14"/>
      <c r="O189" s="14"/>
    </row>
    <row r="190" spans="1:15" x14ac:dyDescent="0.25">
      <c r="A190" s="86"/>
      <c r="B190" s="55"/>
      <c r="C190" s="55"/>
      <c r="D190" s="56"/>
      <c r="E190" s="56"/>
      <c r="F190" s="75"/>
      <c r="G190" s="75"/>
      <c r="H190" s="58"/>
      <c r="I190" s="14"/>
      <c r="J190" s="75"/>
      <c r="K190" s="14"/>
      <c r="L190" s="14"/>
      <c r="M190" s="14"/>
      <c r="N190" s="14"/>
      <c r="O190" s="14"/>
    </row>
    <row r="191" spans="1:15" x14ac:dyDescent="0.25">
      <c r="A191" s="86"/>
      <c r="B191" s="55"/>
      <c r="C191" s="55"/>
      <c r="D191" s="56"/>
      <c r="E191" s="56"/>
      <c r="F191" s="75"/>
      <c r="G191" s="75"/>
      <c r="H191" s="58"/>
      <c r="I191" s="14"/>
      <c r="J191" s="75"/>
      <c r="K191" s="14"/>
      <c r="L191" s="14"/>
      <c r="M191" s="14"/>
      <c r="N191" s="14"/>
      <c r="O191" s="14"/>
    </row>
    <row r="192" spans="1:15" x14ac:dyDescent="0.25">
      <c r="A192" s="86"/>
      <c r="B192" s="55"/>
      <c r="C192" s="55"/>
      <c r="D192" s="56"/>
      <c r="E192" s="56"/>
      <c r="F192" s="75"/>
      <c r="G192" s="75"/>
      <c r="H192" s="58"/>
      <c r="I192" s="14"/>
      <c r="J192" s="75"/>
      <c r="K192" s="14"/>
      <c r="L192" s="14"/>
      <c r="M192" s="14"/>
      <c r="N192" s="14"/>
      <c r="O192" s="14"/>
    </row>
    <row r="193" spans="1:15" x14ac:dyDescent="0.25">
      <c r="A193" s="86"/>
      <c r="B193" s="55"/>
      <c r="C193" s="55"/>
      <c r="D193" s="56"/>
      <c r="E193" s="56"/>
      <c r="F193" s="75"/>
      <c r="G193" s="75"/>
      <c r="H193" s="58"/>
      <c r="I193" s="14"/>
      <c r="J193" s="75"/>
      <c r="K193" s="14"/>
      <c r="L193" s="14"/>
      <c r="M193" s="14"/>
      <c r="N193" s="14"/>
      <c r="O193" s="14"/>
    </row>
    <row r="194" spans="1:15" x14ac:dyDescent="0.25">
      <c r="A194" s="86"/>
      <c r="B194" s="55"/>
      <c r="C194" s="55"/>
      <c r="D194" s="56"/>
      <c r="E194" s="56"/>
      <c r="F194" s="75"/>
      <c r="G194" s="75"/>
      <c r="H194" s="58"/>
      <c r="I194" s="14"/>
      <c r="J194" s="75"/>
      <c r="K194" s="14"/>
      <c r="L194" s="14"/>
      <c r="M194" s="14"/>
      <c r="N194" s="14"/>
      <c r="O194" s="14"/>
    </row>
    <row r="195" spans="1:15" x14ac:dyDescent="0.25">
      <c r="A195" s="86"/>
      <c r="B195" s="55"/>
      <c r="C195" s="55"/>
      <c r="D195" s="56"/>
      <c r="E195" s="56"/>
      <c r="F195" s="75"/>
      <c r="G195" s="75"/>
      <c r="H195" s="58"/>
      <c r="I195" s="14"/>
      <c r="J195" s="75"/>
      <c r="K195" s="14"/>
      <c r="L195" s="14"/>
      <c r="M195" s="14"/>
      <c r="N195" s="14"/>
      <c r="O195" s="14"/>
    </row>
    <row r="196" spans="1:15" x14ac:dyDescent="0.25">
      <c r="A196" s="86"/>
      <c r="B196" s="55"/>
      <c r="C196" s="55"/>
      <c r="D196" s="56"/>
      <c r="E196" s="56"/>
      <c r="F196" s="75"/>
      <c r="G196" s="75"/>
      <c r="H196" s="58"/>
      <c r="I196" s="14"/>
      <c r="J196" s="75"/>
      <c r="K196" s="14"/>
      <c r="L196" s="14"/>
      <c r="M196" s="14"/>
      <c r="N196" s="14"/>
      <c r="O196" s="14"/>
    </row>
    <row r="197" spans="1:15" x14ac:dyDescent="0.25">
      <c r="A197" s="86"/>
      <c r="B197" s="55"/>
      <c r="C197" s="55"/>
      <c r="D197" s="56"/>
      <c r="E197" s="56"/>
      <c r="F197" s="75"/>
      <c r="G197" s="75"/>
      <c r="H197" s="58"/>
      <c r="I197" s="14"/>
      <c r="J197" s="75"/>
      <c r="K197" s="14"/>
      <c r="L197" s="14"/>
      <c r="M197" s="14"/>
      <c r="N197" s="14"/>
      <c r="O197" s="14"/>
    </row>
    <row r="198" spans="1:15" x14ac:dyDescent="0.25">
      <c r="A198" s="86"/>
      <c r="B198" s="55"/>
      <c r="C198" s="55"/>
      <c r="D198" s="56"/>
      <c r="E198" s="56"/>
      <c r="F198" s="75"/>
      <c r="G198" s="75"/>
      <c r="H198" s="58"/>
      <c r="I198" s="14"/>
      <c r="J198" s="75"/>
      <c r="K198" s="14"/>
      <c r="L198" s="14"/>
      <c r="M198" s="14"/>
      <c r="N198" s="14"/>
      <c r="O198" s="14"/>
    </row>
    <row r="199" spans="1:15" x14ac:dyDescent="0.25">
      <c r="A199" s="86"/>
      <c r="B199" s="55"/>
      <c r="C199" s="55"/>
      <c r="D199" s="56"/>
      <c r="E199" s="56"/>
      <c r="F199" s="75"/>
      <c r="G199" s="75"/>
      <c r="H199" s="58"/>
      <c r="I199" s="14"/>
      <c r="J199" s="75"/>
      <c r="K199" s="14"/>
      <c r="L199" s="14"/>
      <c r="M199" s="14"/>
      <c r="N199" s="14"/>
      <c r="O199" s="14"/>
    </row>
  </sheetData>
  <mergeCells count="14">
    <mergeCell ref="F1:F2"/>
    <mergeCell ref="A1:A2"/>
    <mergeCell ref="B1:B2"/>
    <mergeCell ref="C1:C2"/>
    <mergeCell ref="D1:D2"/>
    <mergeCell ref="E1:E2"/>
    <mergeCell ref="N1:N2"/>
    <mergeCell ref="O1:O2"/>
    <mergeCell ref="G1:H1"/>
    <mergeCell ref="I1:I2"/>
    <mergeCell ref="J1:J2"/>
    <mergeCell ref="K1:K2"/>
    <mergeCell ref="L1:L2"/>
    <mergeCell ref="M1:M2"/>
  </mergeCells>
  <phoneticPr fontId="6" type="noConversion"/>
  <conditionalFormatting sqref="A3:A19 A100:A107 F100:F126 A109:A126">
    <cfRule type="expression" dxfId="170" priority="10" stopIfTrue="1">
      <formula>EXACT($C3,"HUMMER")</formula>
    </cfRule>
    <cfRule type="expression" dxfId="169" priority="11" stopIfTrue="1">
      <formula>EXACT($C3,"BLANCA")</formula>
    </cfRule>
    <cfRule type="expression" dxfId="168" priority="12" stopIfTrue="1">
      <formula>EXACT($C3,"ROSA")</formula>
    </cfRule>
  </conditionalFormatting>
  <conditionalFormatting sqref="A20:A23 A25:A28 A30:A34">
    <cfRule type="expression" dxfId="167" priority="16" stopIfTrue="1">
      <formula>EXACT($C21,"HUMMER")</formula>
    </cfRule>
    <cfRule type="expression" dxfId="166" priority="17" stopIfTrue="1">
      <formula>EXACT($C21,"BLANCA")</formula>
    </cfRule>
    <cfRule type="expression" dxfId="165" priority="18" stopIfTrue="1">
      <formula>EXACT($C21,"ROSA")</formula>
    </cfRule>
  </conditionalFormatting>
  <conditionalFormatting sqref="A24">
    <cfRule type="expression" dxfId="164" priority="4" stopIfTrue="1">
      <formula>EXACT($C24,"HUMMER")</formula>
    </cfRule>
    <cfRule type="expression" dxfId="163" priority="5" stopIfTrue="1">
      <formula>EXACT($C24,"BLANCA")</formula>
    </cfRule>
    <cfRule type="expression" dxfId="162" priority="6" stopIfTrue="1">
      <formula>EXACT($C24,"ROSA")</formula>
    </cfRule>
  </conditionalFormatting>
  <conditionalFormatting sqref="A29">
    <cfRule type="expression" dxfId="161" priority="1" stopIfTrue="1">
      <formula>EXACT($C29,"HUMMER")</formula>
    </cfRule>
    <cfRule type="expression" dxfId="160" priority="2" stopIfTrue="1">
      <formula>EXACT($C29,"BLANCA")</formula>
    </cfRule>
    <cfRule type="expression" dxfId="159" priority="3" stopIfTrue="1">
      <formula>EXACT($C29,"ROSA")</formula>
    </cfRule>
  </conditionalFormatting>
  <conditionalFormatting sqref="A35:A37">
    <cfRule type="expression" dxfId="158" priority="19" stopIfTrue="1">
      <formula>EXACT($C37,"HUMMER")</formula>
    </cfRule>
    <cfRule type="expression" dxfId="157" priority="20" stopIfTrue="1">
      <formula>EXACT($C37,"BLANCA")</formula>
    </cfRule>
    <cfRule type="expression" dxfId="156" priority="21" stopIfTrue="1">
      <formula>EXACT($C37,"ROSA")</formula>
    </cfRule>
  </conditionalFormatting>
  <conditionalFormatting sqref="F3:F8">
    <cfRule type="expression" dxfId="155" priority="7" stopIfTrue="1">
      <formula>EXACT($C3,"HUMMER")</formula>
    </cfRule>
    <cfRule type="expression" dxfId="154" priority="8" stopIfTrue="1">
      <formula>EXACT($C3,"BLANCA")</formula>
    </cfRule>
    <cfRule type="expression" dxfId="153" priority="9" stopIfTrue="1">
      <formula>EXACT($C3,"ROSA")</formula>
    </cfRule>
  </conditionalFormatting>
  <conditionalFormatting sqref="F26:F35 F37">
    <cfRule type="expression" dxfId="152" priority="13" stopIfTrue="1">
      <formula>EXACT($C26,"HUMMER")</formula>
    </cfRule>
    <cfRule type="expression" dxfId="151" priority="14" stopIfTrue="1">
      <formula>EXACT($C26,"BLANCA")</formula>
    </cfRule>
    <cfRule type="expression" dxfId="150" priority="15" stopIfTrue="1">
      <formula>EXACT($C26,"ROSA")</formula>
    </cfRule>
  </conditionalFormatting>
  <conditionalFormatting sqref="F36">
    <cfRule type="expression" dxfId="149" priority="22" stopIfTrue="1">
      <formula>EXACT($C39,"HUMMER")</formula>
    </cfRule>
    <cfRule type="expression" dxfId="148" priority="23" stopIfTrue="1">
      <formula>EXACT($C39,"BLANCA")</formula>
    </cfRule>
    <cfRule type="expression" dxfId="147" priority="24" stopIfTrue="1">
      <formula>EXACT($C39,"ROSA")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C837-9AF0-49AB-828D-D0D3418DEC05}">
  <dimension ref="A1:L151"/>
  <sheetViews>
    <sheetView topLeftCell="A2" workbookViewId="0">
      <selection activeCell="E25" sqref="E25"/>
    </sheetView>
  </sheetViews>
  <sheetFormatPr baseColWidth="10" defaultRowHeight="15" x14ac:dyDescent="0.25"/>
  <cols>
    <col min="1" max="1" width="13.85546875" customWidth="1"/>
    <col min="2" max="2" width="24.140625" customWidth="1"/>
    <col min="3" max="3" width="51.85546875" customWidth="1"/>
    <col min="4" max="4" width="15" customWidth="1"/>
    <col min="5" max="5" width="36.7109375" customWidth="1"/>
    <col min="6" max="6" width="12" bestFit="1" customWidth="1"/>
  </cols>
  <sheetData>
    <row r="1" spans="1:12" x14ac:dyDescent="0.25">
      <c r="A1" t="s">
        <v>0</v>
      </c>
      <c r="B1" s="1">
        <v>45323</v>
      </c>
    </row>
    <row r="3" spans="1:12" ht="30" x14ac:dyDescent="0.2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2" x14ac:dyDescent="0.25">
      <c r="A4" s="5"/>
      <c r="B4" s="6"/>
      <c r="C4" s="7"/>
      <c r="D4" s="7"/>
      <c r="E4" s="8"/>
      <c r="F4" s="9"/>
      <c r="G4" s="9"/>
      <c r="H4" s="9"/>
      <c r="I4" s="9"/>
      <c r="J4" s="10"/>
      <c r="K4" s="9"/>
    </row>
    <row r="5" spans="1:12" x14ac:dyDescent="0.25">
      <c r="A5" s="11">
        <v>45323</v>
      </c>
      <c r="B5" s="12" t="s">
        <v>521</v>
      </c>
      <c r="C5" s="13" t="s">
        <v>12</v>
      </c>
      <c r="D5" s="14" t="s">
        <v>13</v>
      </c>
      <c r="E5" s="15" t="s">
        <v>14</v>
      </c>
      <c r="F5" s="16">
        <v>1650</v>
      </c>
      <c r="G5" s="16"/>
      <c r="H5" s="16"/>
      <c r="I5" s="9">
        <f t="shared" ref="I5:I135" si="0">G5+H5</f>
        <v>0</v>
      </c>
      <c r="J5" s="17"/>
      <c r="K5" s="9">
        <f t="shared" ref="K5:K135" si="1">F5+I5-J5</f>
        <v>1650</v>
      </c>
      <c r="L5" t="s">
        <v>41</v>
      </c>
    </row>
    <row r="6" spans="1:12" x14ac:dyDescent="0.25">
      <c r="A6" s="5">
        <v>45323</v>
      </c>
      <c r="B6" s="6" t="s">
        <v>520</v>
      </c>
      <c r="C6" s="7" t="s">
        <v>22</v>
      </c>
      <c r="D6" s="7" t="s">
        <v>23</v>
      </c>
      <c r="E6" s="8" t="s">
        <v>15</v>
      </c>
      <c r="F6" s="9">
        <v>109.73</v>
      </c>
      <c r="G6" s="9">
        <v>21.72</v>
      </c>
      <c r="H6" s="9">
        <v>0.63</v>
      </c>
      <c r="I6" s="9">
        <f t="shared" si="0"/>
        <v>22.349999999999998</v>
      </c>
      <c r="J6" s="23"/>
      <c r="K6" s="9">
        <f t="shared" si="1"/>
        <v>132.08000000000001</v>
      </c>
      <c r="L6" t="s">
        <v>42</v>
      </c>
    </row>
    <row r="7" spans="1:12" x14ac:dyDescent="0.25">
      <c r="A7" s="24">
        <v>45323</v>
      </c>
      <c r="B7" s="25" t="s">
        <v>522</v>
      </c>
      <c r="C7" s="7" t="s">
        <v>523</v>
      </c>
      <c r="D7" s="26" t="s">
        <v>280</v>
      </c>
      <c r="E7" s="8" t="s">
        <v>281</v>
      </c>
      <c r="F7" s="9">
        <v>18.43</v>
      </c>
      <c r="G7" s="9">
        <v>3.87</v>
      </c>
      <c r="H7" s="22"/>
      <c r="I7" s="9">
        <f t="shared" si="0"/>
        <v>3.87</v>
      </c>
      <c r="J7" s="23"/>
      <c r="K7" s="9">
        <f t="shared" si="1"/>
        <v>22.3</v>
      </c>
      <c r="L7" t="s">
        <v>42</v>
      </c>
    </row>
    <row r="8" spans="1:12" x14ac:dyDescent="0.25">
      <c r="A8" s="18">
        <v>45323</v>
      </c>
      <c r="B8" s="27" t="s">
        <v>524</v>
      </c>
      <c r="C8" s="28" t="s">
        <v>525</v>
      </c>
      <c r="D8" s="8" t="s">
        <v>311</v>
      </c>
      <c r="E8" s="29" t="s">
        <v>15</v>
      </c>
      <c r="F8" s="30">
        <v>19.23</v>
      </c>
      <c r="G8" s="30">
        <v>0.37</v>
      </c>
      <c r="H8" s="30">
        <v>1.75</v>
      </c>
      <c r="I8" s="9">
        <f t="shared" si="0"/>
        <v>2.12</v>
      </c>
      <c r="J8" s="31"/>
      <c r="K8" s="9">
        <f t="shared" si="1"/>
        <v>21.35</v>
      </c>
      <c r="L8" t="s">
        <v>42</v>
      </c>
    </row>
    <row r="9" spans="1:12" x14ac:dyDescent="0.25">
      <c r="A9" s="18">
        <v>45324</v>
      </c>
      <c r="B9" s="27" t="s">
        <v>526</v>
      </c>
      <c r="C9" s="28" t="s">
        <v>527</v>
      </c>
      <c r="D9" s="32" t="s">
        <v>20</v>
      </c>
      <c r="E9" s="29" t="s">
        <v>17</v>
      </c>
      <c r="F9" s="30">
        <v>16.53</v>
      </c>
      <c r="G9" s="30">
        <v>3.47</v>
      </c>
      <c r="H9" s="30"/>
      <c r="I9" s="9">
        <f t="shared" si="0"/>
        <v>3.47</v>
      </c>
      <c r="J9" s="31"/>
      <c r="K9" s="9">
        <f t="shared" si="1"/>
        <v>20</v>
      </c>
      <c r="L9" t="s">
        <v>42</v>
      </c>
    </row>
    <row r="10" spans="1:12" x14ac:dyDescent="0.25">
      <c r="A10" s="18">
        <v>45324</v>
      </c>
      <c r="B10" s="27" t="s">
        <v>528</v>
      </c>
      <c r="C10" s="20" t="s">
        <v>397</v>
      </c>
      <c r="D10" s="8" t="s">
        <v>21</v>
      </c>
      <c r="E10" s="21" t="s">
        <v>266</v>
      </c>
      <c r="F10" s="30">
        <v>84.56</v>
      </c>
      <c r="G10" s="30">
        <v>17.760000000000002</v>
      </c>
      <c r="H10" s="30"/>
      <c r="I10" s="9">
        <f t="shared" si="0"/>
        <v>17.760000000000002</v>
      </c>
      <c r="J10" s="31"/>
      <c r="K10" s="9">
        <f t="shared" si="1"/>
        <v>102.32000000000001</v>
      </c>
      <c r="L10" t="s">
        <v>267</v>
      </c>
    </row>
    <row r="11" spans="1:12" x14ac:dyDescent="0.25">
      <c r="A11" s="33">
        <v>45325</v>
      </c>
      <c r="B11" s="34" t="s">
        <v>529</v>
      </c>
      <c r="C11" s="28" t="s">
        <v>530</v>
      </c>
      <c r="D11" s="26" t="s">
        <v>16</v>
      </c>
      <c r="E11" s="29" t="s">
        <v>17</v>
      </c>
      <c r="F11" s="30">
        <v>37.200000000000003</v>
      </c>
      <c r="G11" s="30">
        <v>7.81</v>
      </c>
      <c r="H11" s="30"/>
      <c r="I11" s="9">
        <f t="shared" si="0"/>
        <v>7.81</v>
      </c>
      <c r="J11" s="31"/>
      <c r="K11" s="9">
        <f t="shared" si="1"/>
        <v>45.010000000000005</v>
      </c>
      <c r="L11" t="s">
        <v>42</v>
      </c>
    </row>
    <row r="12" spans="1:12" x14ac:dyDescent="0.25">
      <c r="A12" s="33">
        <v>45325</v>
      </c>
      <c r="B12" s="35">
        <v>75208</v>
      </c>
      <c r="C12" s="28" t="s">
        <v>523</v>
      </c>
      <c r="D12" s="36" t="s">
        <v>280</v>
      </c>
      <c r="E12" s="29" t="s">
        <v>281</v>
      </c>
      <c r="F12" s="30">
        <v>5.87</v>
      </c>
      <c r="G12" s="30">
        <v>1.23</v>
      </c>
      <c r="H12" s="30"/>
      <c r="I12" s="9">
        <f t="shared" si="0"/>
        <v>1.23</v>
      </c>
      <c r="J12" s="31"/>
      <c r="K12" s="9">
        <f t="shared" si="1"/>
        <v>7.1</v>
      </c>
      <c r="L12" t="s">
        <v>42</v>
      </c>
    </row>
    <row r="13" spans="1:12" x14ac:dyDescent="0.25">
      <c r="A13" s="33">
        <v>45327</v>
      </c>
      <c r="B13" s="35" t="s">
        <v>531</v>
      </c>
      <c r="C13" s="28" t="s">
        <v>22</v>
      </c>
      <c r="D13" s="36" t="s">
        <v>23</v>
      </c>
      <c r="E13" s="29" t="s">
        <v>15</v>
      </c>
      <c r="F13" s="30">
        <v>649.61</v>
      </c>
      <c r="G13" s="30">
        <v>136.04</v>
      </c>
      <c r="H13" s="30">
        <v>0.18</v>
      </c>
      <c r="I13" s="9">
        <f t="shared" si="0"/>
        <v>136.22</v>
      </c>
      <c r="J13" s="31"/>
      <c r="K13" s="9">
        <f t="shared" si="1"/>
        <v>785.83</v>
      </c>
      <c r="L13" t="s">
        <v>267</v>
      </c>
    </row>
    <row r="14" spans="1:12" x14ac:dyDescent="0.25">
      <c r="A14" s="100">
        <v>45328</v>
      </c>
      <c r="B14" s="101" t="s">
        <v>535</v>
      </c>
      <c r="C14" s="102" t="s">
        <v>536</v>
      </c>
      <c r="D14" s="53" t="s">
        <v>24</v>
      </c>
      <c r="E14" s="103" t="s">
        <v>25</v>
      </c>
      <c r="F14" s="30">
        <v>15.27</v>
      </c>
      <c r="G14" s="30"/>
      <c r="H14" s="30">
        <v>1.53</v>
      </c>
      <c r="I14" s="9">
        <f t="shared" si="0"/>
        <v>1.53</v>
      </c>
      <c r="J14" s="31"/>
      <c r="K14" s="9">
        <f t="shared" si="1"/>
        <v>16.8</v>
      </c>
      <c r="L14" t="s">
        <v>42</v>
      </c>
    </row>
    <row r="15" spans="1:12" x14ac:dyDescent="0.25">
      <c r="A15" s="86">
        <v>45325</v>
      </c>
      <c r="B15" s="14" t="s">
        <v>543</v>
      </c>
      <c r="C15" s="109" t="s">
        <v>544</v>
      </c>
      <c r="D15" s="14" t="s">
        <v>545</v>
      </c>
      <c r="E15" s="14" t="s">
        <v>17</v>
      </c>
      <c r="F15" s="60">
        <v>57.17</v>
      </c>
      <c r="G15" s="30">
        <v>12.01</v>
      </c>
      <c r="H15" s="30"/>
      <c r="I15" s="9">
        <f t="shared" si="0"/>
        <v>12.01</v>
      </c>
      <c r="J15" s="31"/>
      <c r="K15" s="9">
        <f t="shared" si="1"/>
        <v>69.180000000000007</v>
      </c>
      <c r="L15" t="s">
        <v>42</v>
      </c>
    </row>
    <row r="16" spans="1:12" x14ac:dyDescent="0.25">
      <c r="A16" s="86">
        <v>45325</v>
      </c>
      <c r="B16" s="108" t="s">
        <v>548</v>
      </c>
      <c r="C16" s="28" t="s">
        <v>292</v>
      </c>
      <c r="D16" s="36" t="s">
        <v>293</v>
      </c>
      <c r="E16" s="14" t="s">
        <v>639</v>
      </c>
      <c r="F16" s="60">
        <v>31.04</v>
      </c>
      <c r="G16" s="30"/>
      <c r="H16" s="30">
        <v>3.1</v>
      </c>
      <c r="I16" s="9">
        <f t="shared" si="0"/>
        <v>3.1</v>
      </c>
      <c r="J16" s="31"/>
      <c r="K16" s="9">
        <f t="shared" si="1"/>
        <v>34.14</v>
      </c>
      <c r="L16" t="s">
        <v>295</v>
      </c>
    </row>
    <row r="17" spans="1:12" x14ac:dyDescent="0.25">
      <c r="A17" s="86">
        <v>45325</v>
      </c>
      <c r="B17" s="108" t="s">
        <v>549</v>
      </c>
      <c r="C17" s="28" t="s">
        <v>292</v>
      </c>
      <c r="D17" s="36" t="s">
        <v>293</v>
      </c>
      <c r="E17" s="14" t="s">
        <v>640</v>
      </c>
      <c r="F17" s="60">
        <v>144.85</v>
      </c>
      <c r="G17" s="30">
        <v>30.42</v>
      </c>
      <c r="H17" s="30"/>
      <c r="I17" s="9">
        <f t="shared" si="0"/>
        <v>30.42</v>
      </c>
      <c r="J17" s="31"/>
      <c r="K17" s="9">
        <f t="shared" si="1"/>
        <v>175.26999999999998</v>
      </c>
      <c r="L17" t="s">
        <v>295</v>
      </c>
    </row>
    <row r="18" spans="1:12" x14ac:dyDescent="0.25">
      <c r="A18" s="86">
        <v>45325</v>
      </c>
      <c r="B18" s="108" t="s">
        <v>550</v>
      </c>
      <c r="C18" s="109" t="s">
        <v>551</v>
      </c>
      <c r="D18" s="14" t="s">
        <v>545</v>
      </c>
      <c r="E18" s="14" t="s">
        <v>17</v>
      </c>
      <c r="F18" s="60">
        <v>24.79</v>
      </c>
      <c r="G18" s="30">
        <v>5.21</v>
      </c>
      <c r="H18" s="30"/>
      <c r="I18" s="9">
        <f t="shared" si="0"/>
        <v>5.21</v>
      </c>
      <c r="J18" s="31"/>
      <c r="K18" s="9">
        <f t="shared" si="1"/>
        <v>30</v>
      </c>
      <c r="L18" t="s">
        <v>267</v>
      </c>
    </row>
    <row r="19" spans="1:12" x14ac:dyDescent="0.25">
      <c r="A19" s="86">
        <v>45330</v>
      </c>
      <c r="B19" s="111" t="s">
        <v>553</v>
      </c>
      <c r="C19" s="109" t="s">
        <v>530</v>
      </c>
      <c r="D19" s="14" t="s">
        <v>16</v>
      </c>
      <c r="E19" s="110" t="s">
        <v>17</v>
      </c>
      <c r="F19" s="60">
        <v>23.17</v>
      </c>
      <c r="G19" s="30">
        <v>4.8600000000000003</v>
      </c>
      <c r="H19" s="30"/>
      <c r="I19" s="9">
        <f t="shared" si="0"/>
        <v>4.8600000000000003</v>
      </c>
      <c r="J19" s="31"/>
      <c r="K19" s="9">
        <f t="shared" si="1"/>
        <v>28.03</v>
      </c>
      <c r="L19" t="s">
        <v>42</v>
      </c>
    </row>
    <row r="20" spans="1:12" x14ac:dyDescent="0.25">
      <c r="A20" s="104">
        <v>45330</v>
      </c>
      <c r="B20" s="105" t="s">
        <v>575</v>
      </c>
      <c r="C20" s="106" t="s">
        <v>576</v>
      </c>
      <c r="D20" s="26" t="s">
        <v>577</v>
      </c>
      <c r="E20" s="107" t="s">
        <v>578</v>
      </c>
      <c r="F20" s="30">
        <v>8.26</v>
      </c>
      <c r="G20" s="30">
        <v>1.73</v>
      </c>
      <c r="H20" s="30"/>
      <c r="I20" s="9">
        <f t="shared" si="0"/>
        <v>1.73</v>
      </c>
      <c r="J20" s="31"/>
      <c r="K20" s="9">
        <f t="shared" si="1"/>
        <v>9.99</v>
      </c>
      <c r="L20" t="s">
        <v>267</v>
      </c>
    </row>
    <row r="21" spans="1:12" x14ac:dyDescent="0.25">
      <c r="A21" s="33">
        <v>45330</v>
      </c>
      <c r="B21" s="35" t="s">
        <v>579</v>
      </c>
      <c r="C21" s="28" t="s">
        <v>580</v>
      </c>
      <c r="D21" s="36" t="s">
        <v>581</v>
      </c>
      <c r="E21" s="29" t="s">
        <v>578</v>
      </c>
      <c r="F21" s="30">
        <v>4.9000000000000004</v>
      </c>
      <c r="G21" s="30">
        <v>1.03</v>
      </c>
      <c r="H21" s="30"/>
      <c r="I21" s="9">
        <f t="shared" si="0"/>
        <v>1.03</v>
      </c>
      <c r="J21" s="31"/>
      <c r="K21" s="9">
        <f t="shared" si="1"/>
        <v>5.9300000000000006</v>
      </c>
      <c r="L21" t="s">
        <v>267</v>
      </c>
    </row>
    <row r="22" spans="1:12" x14ac:dyDescent="0.25">
      <c r="A22" s="33">
        <v>45330</v>
      </c>
      <c r="B22" s="34" t="s">
        <v>582</v>
      </c>
      <c r="C22" s="28" t="s">
        <v>322</v>
      </c>
      <c r="D22" s="36" t="s">
        <v>323</v>
      </c>
      <c r="E22" s="29" t="s">
        <v>17</v>
      </c>
      <c r="F22" s="30">
        <v>16.53</v>
      </c>
      <c r="G22" s="30">
        <v>3.47</v>
      </c>
      <c r="H22" s="30"/>
      <c r="I22" s="9">
        <f t="shared" si="0"/>
        <v>3.47</v>
      </c>
      <c r="J22" s="31"/>
      <c r="K22" s="9">
        <f t="shared" si="1"/>
        <v>20</v>
      </c>
      <c r="L22" t="s">
        <v>267</v>
      </c>
    </row>
    <row r="23" spans="1:12" x14ac:dyDescent="0.25">
      <c r="A23" s="33">
        <v>45331</v>
      </c>
      <c r="B23" s="35">
        <v>78560</v>
      </c>
      <c r="C23" s="28" t="s">
        <v>523</v>
      </c>
      <c r="D23" s="36" t="s">
        <v>280</v>
      </c>
      <c r="E23" s="29" t="s">
        <v>281</v>
      </c>
      <c r="F23" s="30">
        <v>11.36</v>
      </c>
      <c r="G23" s="30">
        <v>2.39</v>
      </c>
      <c r="H23" s="30"/>
      <c r="I23" s="9">
        <f t="shared" si="0"/>
        <v>2.39</v>
      </c>
      <c r="J23" s="31"/>
      <c r="K23" s="9">
        <f t="shared" si="1"/>
        <v>13.75</v>
      </c>
      <c r="L23" t="s">
        <v>42</v>
      </c>
    </row>
    <row r="24" spans="1:12" x14ac:dyDescent="0.25">
      <c r="A24" s="33">
        <v>45331</v>
      </c>
      <c r="B24" s="35">
        <v>24001787</v>
      </c>
      <c r="C24" s="28" t="s">
        <v>527</v>
      </c>
      <c r="D24" s="36" t="s">
        <v>20</v>
      </c>
      <c r="E24" s="29" t="s">
        <v>17</v>
      </c>
      <c r="F24" s="30">
        <v>23.1</v>
      </c>
      <c r="G24" s="30">
        <v>4.8499999999999996</v>
      </c>
      <c r="H24" s="30"/>
      <c r="I24" s="9">
        <f t="shared" si="0"/>
        <v>4.8499999999999996</v>
      </c>
      <c r="J24" s="31"/>
      <c r="K24" s="9">
        <f t="shared" si="1"/>
        <v>27.950000000000003</v>
      </c>
      <c r="L24" t="s">
        <v>42</v>
      </c>
    </row>
    <row r="25" spans="1:12" x14ac:dyDescent="0.25">
      <c r="A25" s="33">
        <v>45331</v>
      </c>
      <c r="B25" s="35" t="s">
        <v>583</v>
      </c>
      <c r="C25" s="28" t="s">
        <v>576</v>
      </c>
      <c r="D25" s="36" t="s">
        <v>577</v>
      </c>
      <c r="E25" s="29" t="s">
        <v>578</v>
      </c>
      <c r="F25" s="30">
        <v>9.91</v>
      </c>
      <c r="G25" s="30">
        <v>2.08</v>
      </c>
      <c r="H25" s="30"/>
      <c r="I25" s="9">
        <f t="shared" si="0"/>
        <v>2.08</v>
      </c>
      <c r="J25" s="31"/>
      <c r="K25" s="9">
        <f t="shared" si="1"/>
        <v>11.99</v>
      </c>
      <c r="L25" t="s">
        <v>267</v>
      </c>
    </row>
    <row r="26" spans="1:12" x14ac:dyDescent="0.25">
      <c r="A26" s="33">
        <v>45331</v>
      </c>
      <c r="B26" s="35" t="s">
        <v>584</v>
      </c>
      <c r="C26" s="28" t="s">
        <v>585</v>
      </c>
      <c r="D26" s="36" t="s">
        <v>586</v>
      </c>
      <c r="E26" s="29" t="s">
        <v>17</v>
      </c>
      <c r="F26" s="30">
        <v>108.27</v>
      </c>
      <c r="G26" s="30">
        <v>22.74</v>
      </c>
      <c r="H26" s="30"/>
      <c r="I26" s="9">
        <f t="shared" si="0"/>
        <v>22.74</v>
      </c>
      <c r="J26" s="31"/>
      <c r="K26" s="9">
        <f t="shared" si="1"/>
        <v>131.01</v>
      </c>
      <c r="L26" t="s">
        <v>42</v>
      </c>
    </row>
    <row r="27" spans="1:12" x14ac:dyDescent="0.25">
      <c r="A27" s="33">
        <v>45332</v>
      </c>
      <c r="B27" s="35" t="s">
        <v>587</v>
      </c>
      <c r="C27" s="28" t="s">
        <v>274</v>
      </c>
      <c r="D27" s="36" t="s">
        <v>275</v>
      </c>
      <c r="E27" s="29" t="s">
        <v>588</v>
      </c>
      <c r="F27" s="30">
        <v>65.45</v>
      </c>
      <c r="G27" s="30"/>
      <c r="H27" s="30">
        <v>6.55</v>
      </c>
      <c r="I27" s="9">
        <f t="shared" si="0"/>
        <v>6.55</v>
      </c>
      <c r="J27" s="31"/>
      <c r="K27" s="9">
        <f t="shared" si="1"/>
        <v>72</v>
      </c>
      <c r="L27" t="s">
        <v>42</v>
      </c>
    </row>
    <row r="28" spans="1:12" x14ac:dyDescent="0.25">
      <c r="A28" s="33">
        <v>45334</v>
      </c>
      <c r="B28" s="35" t="s">
        <v>589</v>
      </c>
      <c r="C28" s="28" t="s">
        <v>525</v>
      </c>
      <c r="D28" s="36" t="s">
        <v>311</v>
      </c>
      <c r="E28" s="29" t="s">
        <v>15</v>
      </c>
      <c r="F28" s="30">
        <v>53.66</v>
      </c>
      <c r="G28" s="30">
        <v>6.79</v>
      </c>
      <c r="H28" s="30">
        <v>1.6</v>
      </c>
      <c r="I28" s="9">
        <f t="shared" si="0"/>
        <v>8.39</v>
      </c>
      <c r="J28" s="31"/>
      <c r="K28" s="9">
        <f t="shared" si="1"/>
        <v>62.05</v>
      </c>
      <c r="L28" t="s">
        <v>42</v>
      </c>
    </row>
    <row r="29" spans="1:12" x14ac:dyDescent="0.25">
      <c r="A29" s="33">
        <v>45333</v>
      </c>
      <c r="B29" s="35" t="s">
        <v>590</v>
      </c>
      <c r="C29" s="28" t="s">
        <v>530</v>
      </c>
      <c r="D29" s="36" t="s">
        <v>16</v>
      </c>
      <c r="E29" s="29" t="s">
        <v>17</v>
      </c>
      <c r="F29" s="30">
        <v>57.85</v>
      </c>
      <c r="G29" s="30">
        <v>12.15</v>
      </c>
      <c r="H29" s="30"/>
      <c r="I29" s="9">
        <f t="shared" si="0"/>
        <v>12.15</v>
      </c>
      <c r="J29" s="31"/>
      <c r="K29" s="9">
        <f t="shared" si="1"/>
        <v>70</v>
      </c>
      <c r="L29" t="s">
        <v>42</v>
      </c>
    </row>
    <row r="30" spans="1:12" x14ac:dyDescent="0.25">
      <c r="A30" s="33">
        <v>45335</v>
      </c>
      <c r="B30" s="34" t="s">
        <v>591</v>
      </c>
      <c r="C30" s="28" t="s">
        <v>536</v>
      </c>
      <c r="D30" s="36" t="s">
        <v>24</v>
      </c>
      <c r="E30" s="29" t="s">
        <v>25</v>
      </c>
      <c r="F30" s="30">
        <v>19.09</v>
      </c>
      <c r="G30" s="30"/>
      <c r="H30" s="30">
        <v>1.91</v>
      </c>
      <c r="I30" s="9">
        <f t="shared" si="0"/>
        <v>1.91</v>
      </c>
      <c r="J30" s="31"/>
      <c r="K30" s="9">
        <f t="shared" si="1"/>
        <v>21</v>
      </c>
      <c r="L30" t="s">
        <v>42</v>
      </c>
    </row>
    <row r="31" spans="1:12" x14ac:dyDescent="0.25">
      <c r="A31" s="33">
        <v>45336</v>
      </c>
      <c r="B31" s="35" t="s">
        <v>596</v>
      </c>
      <c r="C31" s="28" t="s">
        <v>525</v>
      </c>
      <c r="D31" s="36" t="s">
        <v>311</v>
      </c>
      <c r="E31" s="29" t="s">
        <v>15</v>
      </c>
      <c r="F31" s="30">
        <f>17.24+48.56</f>
        <v>65.8</v>
      </c>
      <c r="G31" s="30">
        <v>10.199999999999999</v>
      </c>
      <c r="H31" s="30">
        <v>1.72</v>
      </c>
      <c r="I31" s="9">
        <f t="shared" si="0"/>
        <v>11.92</v>
      </c>
      <c r="J31" s="31"/>
      <c r="K31" s="9">
        <f t="shared" si="1"/>
        <v>77.72</v>
      </c>
      <c r="L31" t="s">
        <v>267</v>
      </c>
    </row>
    <row r="32" spans="1:12" x14ac:dyDescent="0.25">
      <c r="A32" s="33">
        <v>45336</v>
      </c>
      <c r="B32" s="34" t="s">
        <v>597</v>
      </c>
      <c r="C32" s="28" t="s">
        <v>530</v>
      </c>
      <c r="D32" s="36" t="s">
        <v>16</v>
      </c>
      <c r="E32" s="29" t="s">
        <v>17</v>
      </c>
      <c r="F32" s="30">
        <v>76.22</v>
      </c>
      <c r="G32" s="30">
        <v>16</v>
      </c>
      <c r="H32" s="30"/>
      <c r="I32" s="9">
        <f t="shared" si="0"/>
        <v>16</v>
      </c>
      <c r="J32" s="23"/>
      <c r="K32" s="9">
        <f>F32+I32+J32</f>
        <v>92.22</v>
      </c>
      <c r="L32" t="s">
        <v>42</v>
      </c>
    </row>
    <row r="33" spans="1:12" x14ac:dyDescent="0.25">
      <c r="A33" s="33">
        <v>45337</v>
      </c>
      <c r="B33" s="34" t="s">
        <v>598</v>
      </c>
      <c r="C33" s="28" t="s">
        <v>400</v>
      </c>
      <c r="D33" s="36" t="s">
        <v>401</v>
      </c>
      <c r="E33" s="29" t="s">
        <v>599</v>
      </c>
      <c r="F33" s="30">
        <v>181.01</v>
      </c>
      <c r="G33" s="30">
        <v>38.01</v>
      </c>
      <c r="H33" s="30"/>
      <c r="I33" s="9">
        <f t="shared" si="0"/>
        <v>38.01</v>
      </c>
      <c r="J33" s="31"/>
      <c r="K33" s="9">
        <f t="shared" si="1"/>
        <v>219.01999999999998</v>
      </c>
      <c r="L33" t="s">
        <v>267</v>
      </c>
    </row>
    <row r="34" spans="1:12" x14ac:dyDescent="0.25">
      <c r="A34" s="33">
        <v>45338</v>
      </c>
      <c r="B34" s="34" t="s">
        <v>600</v>
      </c>
      <c r="C34" s="28" t="s">
        <v>525</v>
      </c>
      <c r="D34" s="36" t="s">
        <v>311</v>
      </c>
      <c r="E34" s="29" t="s">
        <v>15</v>
      </c>
      <c r="F34" s="30">
        <v>43.43</v>
      </c>
      <c r="G34" s="30">
        <v>8.83</v>
      </c>
      <c r="H34" s="30"/>
      <c r="I34" s="9">
        <f t="shared" si="0"/>
        <v>8.83</v>
      </c>
      <c r="J34" s="31"/>
      <c r="K34" s="9">
        <f t="shared" si="1"/>
        <v>52.26</v>
      </c>
      <c r="L34" t="s">
        <v>42</v>
      </c>
    </row>
    <row r="35" spans="1:12" x14ac:dyDescent="0.25">
      <c r="A35" s="33">
        <v>45338</v>
      </c>
      <c r="B35" s="34" t="s">
        <v>631</v>
      </c>
      <c r="C35" s="28" t="s">
        <v>397</v>
      </c>
      <c r="D35" s="36" t="s">
        <v>21</v>
      </c>
      <c r="E35" s="29" t="s">
        <v>266</v>
      </c>
      <c r="F35" s="30">
        <v>47.7</v>
      </c>
      <c r="G35" s="30">
        <v>10.02</v>
      </c>
      <c r="H35" s="30"/>
      <c r="I35" s="9">
        <f t="shared" si="0"/>
        <v>10.02</v>
      </c>
      <c r="J35" s="31"/>
      <c r="K35" s="9">
        <f t="shared" si="1"/>
        <v>57.72</v>
      </c>
      <c r="L35" t="s">
        <v>42</v>
      </c>
    </row>
    <row r="36" spans="1:12" x14ac:dyDescent="0.25">
      <c r="A36" s="33">
        <v>45340</v>
      </c>
      <c r="B36" s="34" t="s">
        <v>632</v>
      </c>
      <c r="C36" s="28" t="s">
        <v>633</v>
      </c>
      <c r="D36" s="36" t="s">
        <v>545</v>
      </c>
      <c r="E36" s="29" t="s">
        <v>17</v>
      </c>
      <c r="F36" s="30">
        <v>41.32</v>
      </c>
      <c r="G36" s="30">
        <v>8.68</v>
      </c>
      <c r="H36" s="30"/>
      <c r="I36" s="9">
        <f t="shared" si="0"/>
        <v>8.68</v>
      </c>
      <c r="J36" s="31"/>
      <c r="K36" s="9">
        <f t="shared" si="1"/>
        <v>50</v>
      </c>
      <c r="L36" t="s">
        <v>42</v>
      </c>
    </row>
    <row r="37" spans="1:12" x14ac:dyDescent="0.25">
      <c r="A37" s="33">
        <v>45342</v>
      </c>
      <c r="B37" s="34" t="s">
        <v>634</v>
      </c>
      <c r="C37" s="28" t="s">
        <v>536</v>
      </c>
      <c r="D37" s="36" t="s">
        <v>24</v>
      </c>
      <c r="E37" s="29" t="s">
        <v>25</v>
      </c>
      <c r="F37" s="30">
        <v>30.54</v>
      </c>
      <c r="G37" s="30"/>
      <c r="H37" s="30">
        <v>3.05</v>
      </c>
      <c r="I37" s="9">
        <f t="shared" si="0"/>
        <v>3.05</v>
      </c>
      <c r="J37" s="31"/>
      <c r="K37" s="9">
        <f t="shared" si="1"/>
        <v>33.589999999999996</v>
      </c>
      <c r="L37" t="s">
        <v>42</v>
      </c>
    </row>
    <row r="38" spans="1:12" x14ac:dyDescent="0.25">
      <c r="A38" s="33">
        <v>45340</v>
      </c>
      <c r="B38" s="34" t="s">
        <v>635</v>
      </c>
      <c r="C38" s="28" t="s">
        <v>530</v>
      </c>
      <c r="D38" s="36" t="s">
        <v>16</v>
      </c>
      <c r="E38" s="29" t="s">
        <v>17</v>
      </c>
      <c r="F38" s="30">
        <v>35.54</v>
      </c>
      <c r="G38" s="30">
        <v>7.46</v>
      </c>
      <c r="H38" s="30"/>
      <c r="I38" s="9">
        <f t="shared" si="0"/>
        <v>7.46</v>
      </c>
      <c r="J38" s="31"/>
      <c r="K38" s="9">
        <f t="shared" si="1"/>
        <v>43</v>
      </c>
      <c r="L38" t="s">
        <v>42</v>
      </c>
    </row>
    <row r="39" spans="1:12" x14ac:dyDescent="0.25">
      <c r="A39" s="33">
        <v>45338</v>
      </c>
      <c r="B39" s="34" t="s">
        <v>636</v>
      </c>
      <c r="C39" s="28" t="s">
        <v>530</v>
      </c>
      <c r="D39" s="36" t="s">
        <v>16</v>
      </c>
      <c r="E39" s="29" t="s">
        <v>17</v>
      </c>
      <c r="F39" s="30">
        <v>29.46</v>
      </c>
      <c r="G39" s="30">
        <v>6.19</v>
      </c>
      <c r="H39" s="30"/>
      <c r="I39" s="9">
        <f t="shared" si="0"/>
        <v>6.19</v>
      </c>
      <c r="J39" s="31"/>
      <c r="K39" s="9">
        <f t="shared" si="1"/>
        <v>35.65</v>
      </c>
      <c r="L39" t="s">
        <v>42</v>
      </c>
    </row>
    <row r="40" spans="1:12" x14ac:dyDescent="0.25">
      <c r="A40" s="33">
        <v>45341</v>
      </c>
      <c r="B40" s="34" t="s">
        <v>637</v>
      </c>
      <c r="C40" s="28" t="s">
        <v>292</v>
      </c>
      <c r="D40" s="36" t="s">
        <v>293</v>
      </c>
      <c r="E40" s="14" t="s">
        <v>638</v>
      </c>
      <c r="F40" s="30">
        <v>119.38</v>
      </c>
      <c r="G40" s="30">
        <v>25.07</v>
      </c>
      <c r="H40" s="30"/>
      <c r="I40" s="9">
        <f t="shared" si="0"/>
        <v>25.07</v>
      </c>
      <c r="J40" s="31"/>
      <c r="K40" s="9">
        <f t="shared" si="1"/>
        <v>144.44999999999999</v>
      </c>
      <c r="L40" t="s">
        <v>295</v>
      </c>
    </row>
    <row r="41" spans="1:12" x14ac:dyDescent="0.25">
      <c r="A41" s="33">
        <v>45342</v>
      </c>
      <c r="B41" s="34" t="s">
        <v>643</v>
      </c>
      <c r="C41" s="28" t="s">
        <v>18</v>
      </c>
      <c r="D41" s="36" t="s">
        <v>19</v>
      </c>
      <c r="E41" s="29" t="s">
        <v>17</v>
      </c>
      <c r="F41" s="30">
        <v>24.79</v>
      </c>
      <c r="G41" s="30">
        <v>5.21</v>
      </c>
      <c r="H41" s="30"/>
      <c r="I41" s="9">
        <f t="shared" si="0"/>
        <v>5.21</v>
      </c>
      <c r="J41" s="31"/>
      <c r="K41" s="9">
        <f t="shared" si="1"/>
        <v>30</v>
      </c>
      <c r="L41" t="s">
        <v>42</v>
      </c>
    </row>
    <row r="42" spans="1:12" x14ac:dyDescent="0.25">
      <c r="A42" s="33">
        <v>45342</v>
      </c>
      <c r="B42" s="34" t="s">
        <v>647</v>
      </c>
      <c r="C42" s="28" t="s">
        <v>384</v>
      </c>
      <c r="D42" s="36" t="s">
        <v>387</v>
      </c>
      <c r="E42" s="29" t="s">
        <v>389</v>
      </c>
      <c r="F42" s="30">
        <v>387.6</v>
      </c>
      <c r="G42" s="30">
        <v>81.400000000000006</v>
      </c>
      <c r="H42" s="30"/>
      <c r="I42" s="9">
        <f t="shared" si="0"/>
        <v>81.400000000000006</v>
      </c>
      <c r="J42" s="31"/>
      <c r="K42" s="9">
        <f t="shared" si="1"/>
        <v>469</v>
      </c>
      <c r="L42" t="s">
        <v>295</v>
      </c>
    </row>
    <row r="43" spans="1:12" x14ac:dyDescent="0.25">
      <c r="A43" s="33">
        <v>45342</v>
      </c>
      <c r="B43" s="34" t="s">
        <v>648</v>
      </c>
      <c r="C43" s="28" t="s">
        <v>385</v>
      </c>
      <c r="D43" s="36" t="s">
        <v>388</v>
      </c>
      <c r="E43" s="29" t="s">
        <v>389</v>
      </c>
      <c r="F43" s="30">
        <v>4.95</v>
      </c>
      <c r="G43" s="30">
        <v>1.04</v>
      </c>
      <c r="H43" s="30"/>
      <c r="I43" s="9">
        <f t="shared" si="0"/>
        <v>1.04</v>
      </c>
      <c r="J43" s="31"/>
      <c r="K43" s="9">
        <f t="shared" si="1"/>
        <v>5.99</v>
      </c>
      <c r="L43" t="s">
        <v>295</v>
      </c>
    </row>
    <row r="44" spans="1:12" x14ac:dyDescent="0.25">
      <c r="A44" s="33">
        <v>45341</v>
      </c>
      <c r="B44" s="34" t="s">
        <v>1055</v>
      </c>
      <c r="C44" s="28" t="s">
        <v>302</v>
      </c>
      <c r="D44" s="36" t="s">
        <v>386</v>
      </c>
      <c r="E44" s="29" t="s">
        <v>304</v>
      </c>
      <c r="F44" s="30">
        <v>39.979999999999997</v>
      </c>
      <c r="G44" s="30">
        <v>8.4</v>
      </c>
      <c r="H44" s="30"/>
      <c r="I44" s="9">
        <f t="shared" si="0"/>
        <v>8.4</v>
      </c>
      <c r="J44" s="31"/>
      <c r="K44" s="9">
        <f t="shared" si="1"/>
        <v>48.379999999999995</v>
      </c>
      <c r="L44" t="s">
        <v>295</v>
      </c>
    </row>
    <row r="45" spans="1:12" x14ac:dyDescent="0.25">
      <c r="A45" s="33">
        <v>45344</v>
      </c>
      <c r="B45" s="34" t="s">
        <v>649</v>
      </c>
      <c r="C45" s="28" t="s">
        <v>302</v>
      </c>
      <c r="D45" s="36" t="s">
        <v>386</v>
      </c>
      <c r="E45" s="29" t="s">
        <v>304</v>
      </c>
      <c r="F45" s="30">
        <v>39.979999999999997</v>
      </c>
      <c r="G45" s="30">
        <v>8.4</v>
      </c>
      <c r="H45" s="30"/>
      <c r="I45" s="9">
        <f t="shared" si="0"/>
        <v>8.4</v>
      </c>
      <c r="J45" s="31"/>
      <c r="K45" s="9">
        <f t="shared" si="1"/>
        <v>48.379999999999995</v>
      </c>
      <c r="L45" t="s">
        <v>295</v>
      </c>
    </row>
    <row r="46" spans="1:12" x14ac:dyDescent="0.25">
      <c r="A46" s="33">
        <v>45343</v>
      </c>
      <c r="B46" s="34" t="s">
        <v>650</v>
      </c>
      <c r="C46" s="28" t="s">
        <v>651</v>
      </c>
      <c r="D46" s="36" t="s">
        <v>652</v>
      </c>
      <c r="E46" s="29" t="s">
        <v>653</v>
      </c>
      <c r="F46" s="30">
        <v>150</v>
      </c>
      <c r="G46" s="30">
        <v>31.5</v>
      </c>
      <c r="H46" s="30"/>
      <c r="I46" s="9">
        <f t="shared" si="0"/>
        <v>31.5</v>
      </c>
      <c r="J46" s="31"/>
      <c r="K46" s="9">
        <f t="shared" si="1"/>
        <v>181.5</v>
      </c>
      <c r="L46" t="s">
        <v>42</v>
      </c>
    </row>
    <row r="47" spans="1:12" x14ac:dyDescent="0.25">
      <c r="A47" s="33">
        <v>45343</v>
      </c>
      <c r="B47" s="34" t="s">
        <v>654</v>
      </c>
      <c r="C47" s="28" t="s">
        <v>525</v>
      </c>
      <c r="D47" s="36" t="s">
        <v>311</v>
      </c>
      <c r="E47" s="29" t="s">
        <v>15</v>
      </c>
      <c r="F47" s="30">
        <v>49.58</v>
      </c>
      <c r="G47" s="30">
        <v>5.91</v>
      </c>
      <c r="H47" s="30">
        <v>1.95</v>
      </c>
      <c r="I47" s="9">
        <f t="shared" si="0"/>
        <v>7.86</v>
      </c>
      <c r="J47" s="31"/>
      <c r="K47" s="9">
        <f t="shared" si="1"/>
        <v>57.44</v>
      </c>
      <c r="L47" t="s">
        <v>267</v>
      </c>
    </row>
    <row r="48" spans="1:12" x14ac:dyDescent="0.25">
      <c r="A48" s="33">
        <v>45343</v>
      </c>
      <c r="B48" s="34" t="s">
        <v>655</v>
      </c>
      <c r="C48" s="28" t="s">
        <v>397</v>
      </c>
      <c r="D48" s="36" t="s">
        <v>21</v>
      </c>
      <c r="E48" s="29" t="s">
        <v>266</v>
      </c>
      <c r="F48" s="30">
        <v>108.38</v>
      </c>
      <c r="G48" s="30">
        <v>22.76</v>
      </c>
      <c r="H48" s="30"/>
      <c r="I48" s="9">
        <f t="shared" si="0"/>
        <v>22.76</v>
      </c>
      <c r="J48" s="31"/>
      <c r="K48" s="9">
        <f t="shared" si="1"/>
        <v>131.13999999999999</v>
      </c>
      <c r="L48" t="s">
        <v>42</v>
      </c>
    </row>
    <row r="49" spans="1:12" x14ac:dyDescent="0.25">
      <c r="A49" s="33">
        <v>45346</v>
      </c>
      <c r="B49" s="34" t="s">
        <v>687</v>
      </c>
      <c r="C49" s="28" t="s">
        <v>274</v>
      </c>
      <c r="D49" s="36" t="s">
        <v>275</v>
      </c>
      <c r="E49" s="29" t="s">
        <v>588</v>
      </c>
      <c r="F49" s="30">
        <v>92.73</v>
      </c>
      <c r="G49" s="30"/>
      <c r="H49" s="30">
        <v>9.27</v>
      </c>
      <c r="I49" s="9">
        <f t="shared" si="0"/>
        <v>9.27</v>
      </c>
      <c r="J49" s="31"/>
      <c r="K49" s="9">
        <f t="shared" si="1"/>
        <v>102</v>
      </c>
      <c r="L49" t="s">
        <v>42</v>
      </c>
    </row>
    <row r="50" spans="1:12" x14ac:dyDescent="0.25">
      <c r="A50" s="33">
        <v>45346</v>
      </c>
      <c r="B50" s="34" t="s">
        <v>688</v>
      </c>
      <c r="C50" s="28" t="s">
        <v>274</v>
      </c>
      <c r="D50" s="36" t="s">
        <v>275</v>
      </c>
      <c r="E50" s="29" t="s">
        <v>588</v>
      </c>
      <c r="F50" s="30">
        <v>114.55</v>
      </c>
      <c r="G50" s="30"/>
      <c r="H50" s="30">
        <v>11.45</v>
      </c>
      <c r="I50" s="9">
        <f t="shared" si="0"/>
        <v>11.45</v>
      </c>
      <c r="J50" s="31"/>
      <c r="K50" s="9">
        <f t="shared" si="1"/>
        <v>126</v>
      </c>
      <c r="L50" t="s">
        <v>42</v>
      </c>
    </row>
    <row r="51" spans="1:12" x14ac:dyDescent="0.25">
      <c r="A51" s="33">
        <v>45348</v>
      </c>
      <c r="B51" s="34" t="s">
        <v>689</v>
      </c>
      <c r="C51" s="28" t="s">
        <v>530</v>
      </c>
      <c r="D51" s="36" t="s">
        <v>16</v>
      </c>
      <c r="E51" s="29" t="s">
        <v>17</v>
      </c>
      <c r="F51" s="30">
        <v>21.81</v>
      </c>
      <c r="G51" s="30">
        <v>4.58</v>
      </c>
      <c r="H51" s="30"/>
      <c r="I51" s="9">
        <f t="shared" si="0"/>
        <v>4.58</v>
      </c>
      <c r="J51" s="31"/>
      <c r="K51" s="9">
        <f t="shared" si="1"/>
        <v>26.39</v>
      </c>
      <c r="L51" t="s">
        <v>42</v>
      </c>
    </row>
    <row r="52" spans="1:12" x14ac:dyDescent="0.25">
      <c r="A52" s="33">
        <v>45347</v>
      </c>
      <c r="B52" s="34" t="s">
        <v>690</v>
      </c>
      <c r="C52" s="28" t="s">
        <v>692</v>
      </c>
      <c r="D52" s="36" t="s">
        <v>693</v>
      </c>
      <c r="E52" s="29" t="s">
        <v>694</v>
      </c>
      <c r="F52" s="30">
        <v>19834</v>
      </c>
      <c r="G52" s="30">
        <v>4165.1400000000003</v>
      </c>
      <c r="H52" s="30"/>
      <c r="I52" s="9">
        <f t="shared" si="0"/>
        <v>4165.1400000000003</v>
      </c>
      <c r="J52" s="31"/>
      <c r="K52" s="9">
        <f t="shared" si="1"/>
        <v>23999.14</v>
      </c>
      <c r="L52" t="s">
        <v>695</v>
      </c>
    </row>
    <row r="53" spans="1:12" x14ac:dyDescent="0.25">
      <c r="A53" s="38">
        <v>45347</v>
      </c>
      <c r="B53" s="34" t="s">
        <v>691</v>
      </c>
      <c r="C53" s="28" t="s">
        <v>692</v>
      </c>
      <c r="D53" s="36" t="s">
        <v>693</v>
      </c>
      <c r="E53" s="29" t="s">
        <v>395</v>
      </c>
      <c r="F53" s="30">
        <v>1950</v>
      </c>
      <c r="G53" s="30"/>
      <c r="H53" s="30">
        <v>195</v>
      </c>
      <c r="I53" s="9">
        <f t="shared" si="0"/>
        <v>195</v>
      </c>
      <c r="J53" s="31"/>
      <c r="K53" s="9">
        <f t="shared" si="1"/>
        <v>2145</v>
      </c>
      <c r="L53" t="s">
        <v>42</v>
      </c>
    </row>
    <row r="54" spans="1:12" x14ac:dyDescent="0.25">
      <c r="A54" s="33">
        <v>45347</v>
      </c>
      <c r="B54" s="112" t="s">
        <v>696</v>
      </c>
      <c r="C54" s="28" t="s">
        <v>698</v>
      </c>
      <c r="D54" s="36" t="s">
        <v>289</v>
      </c>
      <c r="E54" s="29" t="s">
        <v>699</v>
      </c>
      <c r="F54" s="30">
        <v>158.62</v>
      </c>
      <c r="G54" s="30">
        <v>33.31</v>
      </c>
      <c r="H54" s="30"/>
      <c r="I54" s="9">
        <f t="shared" si="0"/>
        <v>33.31</v>
      </c>
      <c r="J54" s="31"/>
      <c r="K54" s="9">
        <f t="shared" si="1"/>
        <v>191.93</v>
      </c>
      <c r="L54" t="s">
        <v>295</v>
      </c>
    </row>
    <row r="55" spans="1:12" x14ac:dyDescent="0.25">
      <c r="A55" s="33">
        <v>45347</v>
      </c>
      <c r="B55" s="34" t="s">
        <v>697</v>
      </c>
      <c r="C55" s="28" t="s">
        <v>698</v>
      </c>
      <c r="D55" s="36" t="s">
        <v>289</v>
      </c>
      <c r="E55" s="29" t="s">
        <v>699</v>
      </c>
      <c r="F55" s="30">
        <v>17.559999999999999</v>
      </c>
      <c r="G55" s="30">
        <v>3.69</v>
      </c>
      <c r="H55" s="30"/>
      <c r="I55" s="9">
        <f t="shared" si="0"/>
        <v>3.69</v>
      </c>
      <c r="J55" s="31"/>
      <c r="K55" s="9">
        <f t="shared" si="1"/>
        <v>21.25</v>
      </c>
      <c r="L55" t="s">
        <v>295</v>
      </c>
    </row>
    <row r="56" spans="1:12" x14ac:dyDescent="0.25">
      <c r="A56" s="33">
        <v>45351</v>
      </c>
      <c r="B56" s="34" t="s">
        <v>702</v>
      </c>
      <c r="C56" s="28" t="s">
        <v>397</v>
      </c>
      <c r="D56" s="36" t="s">
        <v>21</v>
      </c>
      <c r="E56" s="29" t="s">
        <v>266</v>
      </c>
      <c r="F56" s="30">
        <v>79.89</v>
      </c>
      <c r="G56" s="30">
        <v>16.78</v>
      </c>
      <c r="H56" s="30"/>
      <c r="I56" s="9">
        <f t="shared" si="0"/>
        <v>16.78</v>
      </c>
      <c r="J56" s="31"/>
      <c r="K56" s="9">
        <f t="shared" si="1"/>
        <v>96.67</v>
      </c>
      <c r="L56" t="s">
        <v>42</v>
      </c>
    </row>
    <row r="57" spans="1:12" x14ac:dyDescent="0.25">
      <c r="A57" s="33">
        <v>45351</v>
      </c>
      <c r="B57" s="34" t="s">
        <v>703</v>
      </c>
      <c r="C57" s="28" t="s">
        <v>525</v>
      </c>
      <c r="D57" s="36" t="s">
        <v>311</v>
      </c>
      <c r="E57" s="29" t="s">
        <v>15</v>
      </c>
      <c r="F57" s="30">
        <v>30.13</v>
      </c>
      <c r="G57" s="30">
        <v>2.5299999999999998</v>
      </c>
      <c r="H57" s="30">
        <v>1.56</v>
      </c>
      <c r="I57" s="9">
        <f t="shared" si="0"/>
        <v>4.09</v>
      </c>
      <c r="J57" s="31"/>
      <c r="K57" s="9">
        <f t="shared" si="1"/>
        <v>34.22</v>
      </c>
      <c r="L57" t="s">
        <v>42</v>
      </c>
    </row>
    <row r="58" spans="1:12" x14ac:dyDescent="0.25">
      <c r="A58" s="33">
        <v>45351</v>
      </c>
      <c r="B58" s="34" t="s">
        <v>714</v>
      </c>
      <c r="C58" s="28" t="s">
        <v>715</v>
      </c>
      <c r="D58" s="36" t="s">
        <v>542</v>
      </c>
      <c r="E58" s="29" t="s">
        <v>17</v>
      </c>
      <c r="F58" s="30">
        <v>2214.5</v>
      </c>
      <c r="G58" s="30">
        <v>465.04</v>
      </c>
      <c r="H58" s="30"/>
      <c r="I58" s="9">
        <f t="shared" si="0"/>
        <v>465.04</v>
      </c>
      <c r="J58" s="31"/>
      <c r="K58" s="9">
        <f t="shared" si="1"/>
        <v>2679.54</v>
      </c>
      <c r="L58" t="s">
        <v>42</v>
      </c>
    </row>
    <row r="59" spans="1:12" x14ac:dyDescent="0.25">
      <c r="A59" s="33">
        <v>45349</v>
      </c>
      <c r="B59" s="34" t="s">
        <v>716</v>
      </c>
      <c r="C59" s="28" t="s">
        <v>536</v>
      </c>
      <c r="D59" s="36" t="s">
        <v>24</v>
      </c>
      <c r="E59" s="29" t="s">
        <v>25</v>
      </c>
      <c r="F59" s="30">
        <v>19.09</v>
      </c>
      <c r="G59" s="30"/>
      <c r="H59" s="30">
        <v>1.91</v>
      </c>
      <c r="I59" s="9">
        <f t="shared" si="0"/>
        <v>1.91</v>
      </c>
      <c r="J59" s="31"/>
      <c r="K59" s="9">
        <f t="shared" si="1"/>
        <v>21</v>
      </c>
      <c r="L59" t="s">
        <v>42</v>
      </c>
    </row>
    <row r="60" spans="1:12" x14ac:dyDescent="0.25">
      <c r="A60" s="33">
        <v>45349</v>
      </c>
      <c r="B60" s="34" t="s">
        <v>725</v>
      </c>
      <c r="C60" s="28" t="s">
        <v>726</v>
      </c>
      <c r="D60" s="36" t="s">
        <v>727</v>
      </c>
      <c r="E60" s="29" t="s">
        <v>728</v>
      </c>
      <c r="F60" s="30">
        <v>725.4</v>
      </c>
      <c r="G60" s="30">
        <v>152.33000000000001</v>
      </c>
      <c r="H60" s="30"/>
      <c r="I60" s="9">
        <f t="shared" si="0"/>
        <v>152.33000000000001</v>
      </c>
      <c r="J60" s="31"/>
      <c r="K60" s="9">
        <f t="shared" si="1"/>
        <v>877.73</v>
      </c>
      <c r="L60" t="s">
        <v>41</v>
      </c>
    </row>
    <row r="61" spans="1:12" x14ac:dyDescent="0.25">
      <c r="A61" s="33">
        <v>45339</v>
      </c>
      <c r="B61" s="34" t="s">
        <v>833</v>
      </c>
      <c r="C61" s="28" t="s">
        <v>834</v>
      </c>
      <c r="D61" s="36" t="s">
        <v>835</v>
      </c>
      <c r="E61" s="29" t="s">
        <v>281</v>
      </c>
      <c r="F61" s="30">
        <v>145.18</v>
      </c>
      <c r="G61" s="30"/>
      <c r="H61" s="30">
        <v>14.52</v>
      </c>
      <c r="I61" s="9">
        <f t="shared" si="0"/>
        <v>14.52</v>
      </c>
      <c r="J61" s="31"/>
      <c r="K61" s="9">
        <f t="shared" si="1"/>
        <v>159.70000000000002</v>
      </c>
      <c r="L61" t="s">
        <v>42</v>
      </c>
    </row>
    <row r="62" spans="1:12" x14ac:dyDescent="0.25">
      <c r="A62" s="33">
        <v>45333</v>
      </c>
      <c r="B62" s="34" t="s">
        <v>1056</v>
      </c>
      <c r="C62" s="28" t="s">
        <v>302</v>
      </c>
      <c r="D62" s="36" t="s">
        <v>386</v>
      </c>
      <c r="E62" s="29" t="s">
        <v>304</v>
      </c>
      <c r="F62" s="30">
        <v>15</v>
      </c>
      <c r="G62" s="30">
        <v>3.15</v>
      </c>
      <c r="H62" s="30"/>
      <c r="I62" s="9">
        <f t="shared" si="0"/>
        <v>3.15</v>
      </c>
      <c r="J62" s="31"/>
      <c r="K62" s="9">
        <f t="shared" si="1"/>
        <v>18.149999999999999</v>
      </c>
      <c r="L62" t="s">
        <v>295</v>
      </c>
    </row>
    <row r="63" spans="1:12" x14ac:dyDescent="0.25">
      <c r="A63" s="33">
        <v>45338</v>
      </c>
      <c r="B63" s="34" t="s">
        <v>1057</v>
      </c>
      <c r="C63" s="28" t="s">
        <v>302</v>
      </c>
      <c r="D63" s="36" t="s">
        <v>386</v>
      </c>
      <c r="E63" s="29" t="s">
        <v>304</v>
      </c>
      <c r="F63" s="30">
        <v>23.75</v>
      </c>
      <c r="G63" s="30">
        <v>4.99</v>
      </c>
      <c r="H63" s="30"/>
      <c r="I63" s="9">
        <f t="shared" si="0"/>
        <v>4.99</v>
      </c>
      <c r="J63" s="31"/>
      <c r="K63" s="9">
        <f t="shared" si="1"/>
        <v>28.740000000000002</v>
      </c>
      <c r="L63" t="s">
        <v>295</v>
      </c>
    </row>
    <row r="64" spans="1:12" x14ac:dyDescent="0.25">
      <c r="A64" s="33">
        <v>45341</v>
      </c>
      <c r="B64" s="34" t="s">
        <v>1058</v>
      </c>
      <c r="C64" s="28" t="s">
        <v>302</v>
      </c>
      <c r="D64" s="36" t="s">
        <v>386</v>
      </c>
      <c r="E64" s="29" t="s">
        <v>304</v>
      </c>
      <c r="F64" s="30">
        <v>29.99</v>
      </c>
      <c r="G64" s="30">
        <v>6.3</v>
      </c>
      <c r="H64" s="30"/>
      <c r="I64" s="9">
        <f t="shared" si="0"/>
        <v>6.3</v>
      </c>
      <c r="J64" s="31"/>
      <c r="K64" s="9">
        <f t="shared" si="1"/>
        <v>36.29</v>
      </c>
      <c r="L64" t="s">
        <v>295</v>
      </c>
    </row>
    <row r="65" spans="1:12" x14ac:dyDescent="0.25">
      <c r="A65" s="33">
        <v>45323</v>
      </c>
      <c r="B65" s="34" t="s">
        <v>1060</v>
      </c>
      <c r="C65" s="28" t="s">
        <v>1101</v>
      </c>
      <c r="D65" s="36" t="s">
        <v>1102</v>
      </c>
      <c r="E65" s="29" t="s">
        <v>1104</v>
      </c>
      <c r="F65" s="30">
        <v>900</v>
      </c>
      <c r="G65" s="30">
        <v>189</v>
      </c>
      <c r="H65" s="30"/>
      <c r="I65" s="9">
        <f t="shared" si="0"/>
        <v>189</v>
      </c>
      <c r="J65" s="31">
        <v>171</v>
      </c>
      <c r="K65" s="9">
        <f t="shared" si="1"/>
        <v>918</v>
      </c>
    </row>
    <row r="66" spans="1:12" x14ac:dyDescent="0.25">
      <c r="A66" s="33">
        <v>45350</v>
      </c>
      <c r="B66" s="34" t="s">
        <v>31</v>
      </c>
      <c r="C66" s="28" t="s">
        <v>1412</v>
      </c>
      <c r="D66" s="36" t="s">
        <v>1414</v>
      </c>
      <c r="E66" s="29" t="s">
        <v>827</v>
      </c>
      <c r="F66" s="30">
        <v>438.02</v>
      </c>
      <c r="G66" s="30">
        <v>91.98</v>
      </c>
      <c r="H66" s="30"/>
      <c r="I66" s="9">
        <f t="shared" si="0"/>
        <v>91.98</v>
      </c>
      <c r="J66" s="31"/>
      <c r="K66" s="9">
        <f t="shared" si="1"/>
        <v>530</v>
      </c>
      <c r="L66" t="s">
        <v>1413</v>
      </c>
    </row>
    <row r="67" spans="1:12" x14ac:dyDescent="0.25">
      <c r="A67" s="33"/>
      <c r="B67" s="34"/>
      <c r="C67" s="28"/>
      <c r="D67" s="36"/>
      <c r="E67" s="29"/>
      <c r="F67" s="30"/>
      <c r="G67" s="30"/>
      <c r="H67" s="30"/>
      <c r="I67" s="9">
        <f t="shared" si="0"/>
        <v>0</v>
      </c>
      <c r="J67" s="31"/>
      <c r="K67" s="9">
        <f t="shared" si="1"/>
        <v>0</v>
      </c>
    </row>
    <row r="68" spans="1:12" x14ac:dyDescent="0.25">
      <c r="A68" s="33"/>
      <c r="B68" s="34"/>
      <c r="C68" s="28"/>
      <c r="D68" s="36"/>
      <c r="E68" s="29"/>
      <c r="F68" s="30"/>
      <c r="G68" s="30"/>
      <c r="H68" s="30"/>
      <c r="I68" s="9">
        <f t="shared" si="0"/>
        <v>0</v>
      </c>
      <c r="J68" s="31"/>
      <c r="K68" s="9">
        <f t="shared" si="1"/>
        <v>0</v>
      </c>
    </row>
    <row r="69" spans="1:12" x14ac:dyDescent="0.25">
      <c r="A69" s="33"/>
      <c r="B69" s="34"/>
      <c r="C69" s="28"/>
      <c r="D69" s="36"/>
      <c r="E69" s="29"/>
      <c r="F69" s="30"/>
      <c r="G69" s="30"/>
      <c r="H69" s="30"/>
      <c r="I69" s="9">
        <f t="shared" si="0"/>
        <v>0</v>
      </c>
      <c r="J69" s="31"/>
      <c r="K69" s="9">
        <f t="shared" si="1"/>
        <v>0</v>
      </c>
    </row>
    <row r="70" spans="1:12" x14ac:dyDescent="0.25">
      <c r="A70" s="33"/>
      <c r="B70" s="34"/>
      <c r="C70" s="28"/>
      <c r="D70" s="36"/>
      <c r="E70" s="29"/>
      <c r="F70" s="30"/>
      <c r="G70" s="30"/>
      <c r="H70" s="30"/>
      <c r="I70" s="9">
        <f t="shared" si="0"/>
        <v>0</v>
      </c>
      <c r="J70" s="31"/>
      <c r="K70" s="9">
        <f t="shared" si="1"/>
        <v>0</v>
      </c>
    </row>
    <row r="71" spans="1:12" x14ac:dyDescent="0.25">
      <c r="A71" s="33"/>
      <c r="B71" s="34"/>
      <c r="C71" s="28"/>
      <c r="D71" s="36"/>
      <c r="E71" s="29"/>
      <c r="F71" s="30"/>
      <c r="G71" s="30"/>
      <c r="H71" s="30"/>
      <c r="I71" s="9">
        <f t="shared" si="0"/>
        <v>0</v>
      </c>
      <c r="J71" s="31"/>
      <c r="K71" s="9">
        <f t="shared" si="1"/>
        <v>0</v>
      </c>
    </row>
    <row r="72" spans="1:12" x14ac:dyDescent="0.25">
      <c r="A72" s="33"/>
      <c r="B72" s="34"/>
      <c r="C72" s="28"/>
      <c r="D72" s="36"/>
      <c r="E72" s="29"/>
      <c r="F72" s="30"/>
      <c r="G72" s="30"/>
      <c r="H72" s="30"/>
      <c r="I72" s="9">
        <f t="shared" si="0"/>
        <v>0</v>
      </c>
      <c r="J72" s="31"/>
      <c r="K72" s="9">
        <f t="shared" si="1"/>
        <v>0</v>
      </c>
    </row>
    <row r="73" spans="1:12" x14ac:dyDescent="0.25">
      <c r="A73" s="33"/>
      <c r="B73" s="34"/>
      <c r="C73" s="28"/>
      <c r="D73" s="36"/>
      <c r="E73" s="29"/>
      <c r="F73" s="30"/>
      <c r="G73" s="30"/>
      <c r="H73" s="30"/>
      <c r="I73" s="9">
        <f t="shared" si="0"/>
        <v>0</v>
      </c>
      <c r="J73" s="31"/>
      <c r="K73" s="9">
        <f t="shared" si="1"/>
        <v>0</v>
      </c>
    </row>
    <row r="74" spans="1:12" x14ac:dyDescent="0.25">
      <c r="A74" s="33"/>
      <c r="B74" s="34"/>
      <c r="C74" s="28"/>
      <c r="D74" s="36"/>
      <c r="E74" s="29"/>
      <c r="F74" s="30"/>
      <c r="G74" s="30"/>
      <c r="H74" s="30"/>
      <c r="I74" s="9">
        <f t="shared" si="0"/>
        <v>0</v>
      </c>
      <c r="J74" s="31"/>
      <c r="K74" s="9">
        <f t="shared" si="1"/>
        <v>0</v>
      </c>
    </row>
    <row r="75" spans="1:12" x14ac:dyDescent="0.25">
      <c r="A75" s="33"/>
      <c r="B75" s="34"/>
      <c r="C75" s="28"/>
      <c r="D75" s="36"/>
      <c r="E75" s="29"/>
      <c r="F75" s="30"/>
      <c r="G75" s="30"/>
      <c r="H75" s="30"/>
      <c r="I75" s="9">
        <f t="shared" si="0"/>
        <v>0</v>
      </c>
      <c r="J75" s="31"/>
      <c r="K75" s="9">
        <f t="shared" si="1"/>
        <v>0</v>
      </c>
    </row>
    <row r="76" spans="1:12" x14ac:dyDescent="0.25">
      <c r="A76" s="33"/>
      <c r="B76" s="34"/>
      <c r="C76" s="28"/>
      <c r="D76" s="36"/>
      <c r="E76" s="29"/>
      <c r="F76" s="30"/>
      <c r="G76" s="30"/>
      <c r="H76" s="30"/>
      <c r="I76" s="9">
        <f t="shared" si="0"/>
        <v>0</v>
      </c>
      <c r="J76" s="31"/>
      <c r="K76" s="9">
        <f t="shared" si="1"/>
        <v>0</v>
      </c>
    </row>
    <row r="77" spans="1:12" x14ac:dyDescent="0.25">
      <c r="A77" s="33"/>
      <c r="B77" s="34"/>
      <c r="C77" s="28"/>
      <c r="D77" s="36"/>
      <c r="E77" s="29"/>
      <c r="F77" s="30"/>
      <c r="G77" s="30"/>
      <c r="H77" s="30"/>
      <c r="I77" s="9">
        <f t="shared" si="0"/>
        <v>0</v>
      </c>
      <c r="J77" s="31"/>
      <c r="K77" s="9">
        <f t="shared" si="1"/>
        <v>0</v>
      </c>
    </row>
    <row r="78" spans="1:12" x14ac:dyDescent="0.25">
      <c r="A78" s="33"/>
      <c r="B78" s="34"/>
      <c r="C78" s="28"/>
      <c r="D78" s="36"/>
      <c r="E78" s="29"/>
      <c r="F78" s="30"/>
      <c r="G78" s="30"/>
      <c r="H78" s="30"/>
      <c r="I78" s="9">
        <f t="shared" si="0"/>
        <v>0</v>
      </c>
      <c r="J78" s="31"/>
      <c r="K78" s="9">
        <f t="shared" si="1"/>
        <v>0</v>
      </c>
    </row>
    <row r="79" spans="1:12" x14ac:dyDescent="0.25">
      <c r="A79" s="33"/>
      <c r="B79" s="34"/>
      <c r="C79" s="28"/>
      <c r="D79" s="36"/>
      <c r="E79" s="29"/>
      <c r="F79" s="30"/>
      <c r="G79" s="30"/>
      <c r="H79" s="30"/>
      <c r="I79" s="9">
        <f t="shared" si="0"/>
        <v>0</v>
      </c>
      <c r="J79" s="31"/>
      <c r="K79" s="9">
        <f t="shared" si="1"/>
        <v>0</v>
      </c>
    </row>
    <row r="80" spans="1:12" x14ac:dyDescent="0.25">
      <c r="A80" s="33"/>
      <c r="B80" s="34"/>
      <c r="C80" s="28"/>
      <c r="D80" s="36"/>
      <c r="E80" s="29"/>
      <c r="F80" s="30"/>
      <c r="G80" s="30"/>
      <c r="H80" s="30"/>
      <c r="I80" s="9">
        <f t="shared" si="0"/>
        <v>0</v>
      </c>
      <c r="J80" s="31"/>
      <c r="K80" s="9">
        <f t="shared" si="1"/>
        <v>0</v>
      </c>
    </row>
    <row r="81" spans="1:11" x14ac:dyDescent="0.25">
      <c r="A81" s="33"/>
      <c r="C81" s="28"/>
      <c r="E81" s="29"/>
      <c r="F81" s="30"/>
      <c r="G81" s="30"/>
      <c r="H81" s="30"/>
      <c r="I81" s="9">
        <f t="shared" si="0"/>
        <v>0</v>
      </c>
      <c r="J81" s="31"/>
      <c r="K81" s="9">
        <f t="shared" si="1"/>
        <v>0</v>
      </c>
    </row>
    <row r="82" spans="1:11" x14ac:dyDescent="0.25">
      <c r="A82" s="33"/>
      <c r="B82" s="34"/>
      <c r="C82" s="28"/>
      <c r="D82" s="36"/>
      <c r="E82" s="29"/>
      <c r="F82" s="30"/>
      <c r="G82" s="30"/>
      <c r="H82" s="30"/>
      <c r="I82" s="9">
        <f t="shared" si="0"/>
        <v>0</v>
      </c>
      <c r="J82" s="31"/>
      <c r="K82" s="9">
        <f t="shared" si="1"/>
        <v>0</v>
      </c>
    </row>
    <row r="83" spans="1:11" x14ac:dyDescent="0.25">
      <c r="A83" s="33"/>
      <c r="B83" s="34"/>
      <c r="C83" s="28"/>
      <c r="D83" s="36"/>
      <c r="E83" s="29"/>
      <c r="F83" s="30"/>
      <c r="G83" s="30"/>
      <c r="H83" s="30"/>
      <c r="I83" s="9">
        <f t="shared" si="0"/>
        <v>0</v>
      </c>
      <c r="J83" s="31"/>
      <c r="K83" s="9">
        <f t="shared" si="1"/>
        <v>0</v>
      </c>
    </row>
    <row r="84" spans="1:11" x14ac:dyDescent="0.25">
      <c r="A84" s="33"/>
      <c r="B84" s="34"/>
      <c r="C84" s="28"/>
      <c r="D84" s="36"/>
      <c r="E84" s="29"/>
      <c r="F84" s="30"/>
      <c r="G84" s="30"/>
      <c r="H84" s="30"/>
      <c r="I84" s="9">
        <f t="shared" si="0"/>
        <v>0</v>
      </c>
      <c r="J84" s="31"/>
      <c r="K84" s="9">
        <f t="shared" si="1"/>
        <v>0</v>
      </c>
    </row>
    <row r="85" spans="1:11" x14ac:dyDescent="0.25">
      <c r="A85" s="33"/>
      <c r="B85" s="34"/>
      <c r="C85" s="28"/>
      <c r="D85" s="28"/>
      <c r="E85" s="29"/>
      <c r="F85" s="30"/>
      <c r="G85" s="30"/>
      <c r="H85" s="30"/>
      <c r="I85" s="9">
        <f t="shared" si="0"/>
        <v>0</v>
      </c>
      <c r="J85" s="31"/>
      <c r="K85" s="9">
        <f t="shared" si="1"/>
        <v>0</v>
      </c>
    </row>
    <row r="86" spans="1:11" x14ac:dyDescent="0.25">
      <c r="A86" s="33"/>
      <c r="B86" s="34"/>
      <c r="C86" s="28"/>
      <c r="D86" s="36"/>
      <c r="E86" s="29"/>
      <c r="F86" s="30"/>
      <c r="G86" s="30"/>
      <c r="H86" s="30"/>
      <c r="I86" s="9">
        <f t="shared" si="0"/>
        <v>0</v>
      </c>
      <c r="J86" s="31"/>
      <c r="K86" s="9">
        <f t="shared" si="1"/>
        <v>0</v>
      </c>
    </row>
    <row r="87" spans="1:11" x14ac:dyDescent="0.25">
      <c r="A87" s="33"/>
      <c r="B87" s="34"/>
      <c r="C87" s="28"/>
      <c r="D87" s="36"/>
      <c r="E87" s="29"/>
      <c r="F87" s="30"/>
      <c r="G87" s="30"/>
      <c r="H87" s="30"/>
      <c r="I87" s="9">
        <f t="shared" si="0"/>
        <v>0</v>
      </c>
      <c r="J87" s="31"/>
      <c r="K87" s="9">
        <f t="shared" si="1"/>
        <v>0</v>
      </c>
    </row>
    <row r="88" spans="1:11" x14ac:dyDescent="0.25">
      <c r="A88" s="33"/>
      <c r="B88" s="34"/>
      <c r="C88" s="28"/>
      <c r="D88" s="36"/>
      <c r="E88" s="29"/>
      <c r="F88" s="30"/>
      <c r="G88" s="30"/>
      <c r="H88" s="30"/>
      <c r="I88" s="9">
        <f t="shared" si="0"/>
        <v>0</v>
      </c>
      <c r="J88" s="31"/>
      <c r="K88" s="9">
        <f t="shared" si="1"/>
        <v>0</v>
      </c>
    </row>
    <row r="89" spans="1:11" x14ac:dyDescent="0.25">
      <c r="A89" s="33"/>
      <c r="B89" s="34"/>
      <c r="C89" s="28"/>
      <c r="D89" s="36"/>
      <c r="E89" s="29"/>
      <c r="F89" s="30"/>
      <c r="G89" s="30"/>
      <c r="H89" s="30"/>
      <c r="I89" s="9">
        <f t="shared" si="0"/>
        <v>0</v>
      </c>
      <c r="J89" s="31"/>
      <c r="K89" s="9">
        <f t="shared" si="1"/>
        <v>0</v>
      </c>
    </row>
    <row r="90" spans="1:11" x14ac:dyDescent="0.25">
      <c r="A90" s="33"/>
      <c r="B90" s="34"/>
      <c r="C90" s="28"/>
      <c r="D90" s="36"/>
      <c r="E90" s="29"/>
      <c r="F90" s="30"/>
      <c r="G90" s="30"/>
      <c r="H90" s="30"/>
      <c r="I90" s="9">
        <f t="shared" si="0"/>
        <v>0</v>
      </c>
      <c r="J90" s="31"/>
      <c r="K90" s="9">
        <f t="shared" si="1"/>
        <v>0</v>
      </c>
    </row>
    <row r="91" spans="1:11" x14ac:dyDescent="0.25">
      <c r="A91" s="33"/>
      <c r="B91" s="34"/>
      <c r="C91" s="28"/>
      <c r="D91" s="36"/>
      <c r="E91" s="29"/>
      <c r="F91" s="30"/>
      <c r="G91" s="30"/>
      <c r="H91" s="30"/>
      <c r="I91" s="9">
        <f t="shared" si="0"/>
        <v>0</v>
      </c>
      <c r="J91" s="31"/>
      <c r="K91" s="9">
        <f t="shared" si="1"/>
        <v>0</v>
      </c>
    </row>
    <row r="92" spans="1:11" x14ac:dyDescent="0.25">
      <c r="A92" s="33"/>
      <c r="B92" s="34"/>
      <c r="C92" s="28"/>
      <c r="D92" s="36"/>
      <c r="E92" s="29"/>
      <c r="F92" s="30"/>
      <c r="G92" s="30"/>
      <c r="H92" s="30"/>
      <c r="I92" s="9">
        <f t="shared" si="0"/>
        <v>0</v>
      </c>
      <c r="J92" s="31"/>
      <c r="K92" s="9">
        <f t="shared" si="1"/>
        <v>0</v>
      </c>
    </row>
    <row r="93" spans="1:11" x14ac:dyDescent="0.25">
      <c r="A93" s="33"/>
      <c r="B93" s="35"/>
      <c r="C93" s="28"/>
      <c r="D93" s="36"/>
      <c r="E93" s="29"/>
      <c r="F93" s="30"/>
      <c r="G93" s="30"/>
      <c r="H93" s="30"/>
      <c r="I93" s="9">
        <f t="shared" si="0"/>
        <v>0</v>
      </c>
      <c r="J93" s="31"/>
      <c r="K93" s="9">
        <f t="shared" si="1"/>
        <v>0</v>
      </c>
    </row>
    <row r="94" spans="1:11" x14ac:dyDescent="0.25">
      <c r="A94" s="33"/>
      <c r="B94" s="35"/>
      <c r="C94" s="28"/>
      <c r="D94" s="36"/>
      <c r="E94" s="29"/>
      <c r="F94" s="30"/>
      <c r="G94" s="30"/>
      <c r="H94" s="30"/>
      <c r="I94" s="9">
        <f t="shared" si="0"/>
        <v>0</v>
      </c>
      <c r="J94" s="31"/>
      <c r="K94" s="9">
        <f t="shared" si="1"/>
        <v>0</v>
      </c>
    </row>
    <row r="95" spans="1:11" x14ac:dyDescent="0.25">
      <c r="A95" s="33"/>
      <c r="B95" s="35"/>
      <c r="C95" s="28"/>
      <c r="D95" s="36"/>
      <c r="E95" s="29"/>
      <c r="F95" s="30"/>
      <c r="G95" s="30"/>
      <c r="H95" s="30"/>
      <c r="I95" s="9">
        <f t="shared" si="0"/>
        <v>0</v>
      </c>
      <c r="J95" s="31"/>
      <c r="K95" s="9">
        <f t="shared" si="1"/>
        <v>0</v>
      </c>
    </row>
    <row r="96" spans="1:11" x14ac:dyDescent="0.25">
      <c r="A96" s="33"/>
      <c r="B96" s="35"/>
      <c r="C96" s="28"/>
      <c r="D96" s="36"/>
      <c r="E96" s="29"/>
      <c r="F96" s="30"/>
      <c r="G96" s="30"/>
      <c r="H96" s="30"/>
      <c r="I96" s="9">
        <f t="shared" si="0"/>
        <v>0</v>
      </c>
      <c r="J96" s="31"/>
      <c r="K96" s="9">
        <f t="shared" si="1"/>
        <v>0</v>
      </c>
    </row>
    <row r="97" spans="1:11" x14ac:dyDescent="0.25">
      <c r="A97" s="33"/>
      <c r="B97" s="35"/>
      <c r="C97" s="28"/>
      <c r="D97" s="36"/>
      <c r="E97" s="29"/>
      <c r="F97" s="30"/>
      <c r="G97" s="30"/>
      <c r="H97" s="30"/>
      <c r="I97" s="9">
        <f t="shared" si="0"/>
        <v>0</v>
      </c>
      <c r="J97" s="31"/>
      <c r="K97" s="9">
        <f t="shared" si="1"/>
        <v>0</v>
      </c>
    </row>
    <row r="98" spans="1:11" x14ac:dyDescent="0.25">
      <c r="A98" s="33"/>
      <c r="B98" s="35"/>
      <c r="C98" s="28"/>
      <c r="D98" s="36"/>
      <c r="E98" s="29"/>
      <c r="F98" s="30"/>
      <c r="G98" s="30"/>
      <c r="H98" s="30"/>
      <c r="I98" s="9">
        <f t="shared" si="0"/>
        <v>0</v>
      </c>
      <c r="J98" s="31"/>
      <c r="K98" s="9">
        <f t="shared" si="1"/>
        <v>0</v>
      </c>
    </row>
    <row r="99" spans="1:11" x14ac:dyDescent="0.25">
      <c r="A99" s="33"/>
      <c r="B99" s="35"/>
      <c r="C99" s="28"/>
      <c r="D99" s="36"/>
      <c r="E99" s="29"/>
      <c r="F99" s="30"/>
      <c r="G99" s="30"/>
      <c r="H99" s="30"/>
      <c r="I99" s="9">
        <f t="shared" si="0"/>
        <v>0</v>
      </c>
      <c r="J99" s="31"/>
      <c r="K99" s="9">
        <f t="shared" si="1"/>
        <v>0</v>
      </c>
    </row>
    <row r="100" spans="1:11" x14ac:dyDescent="0.25">
      <c r="A100" s="33"/>
      <c r="B100" s="35"/>
      <c r="C100" s="28"/>
      <c r="D100" s="36"/>
      <c r="E100" s="29"/>
      <c r="F100" s="30"/>
      <c r="G100" s="30"/>
      <c r="H100" s="30"/>
      <c r="I100" s="9">
        <f t="shared" si="0"/>
        <v>0</v>
      </c>
      <c r="J100" s="31"/>
      <c r="K100" s="9">
        <f t="shared" si="1"/>
        <v>0</v>
      </c>
    </row>
    <row r="101" spans="1:11" x14ac:dyDescent="0.25">
      <c r="A101" s="33"/>
      <c r="B101" s="35"/>
      <c r="C101" s="28"/>
      <c r="D101" s="36"/>
      <c r="E101" s="29"/>
      <c r="F101" s="30"/>
      <c r="G101" s="30"/>
      <c r="H101" s="30"/>
      <c r="I101" s="9">
        <f t="shared" si="0"/>
        <v>0</v>
      </c>
      <c r="J101" s="31"/>
      <c r="K101" s="9">
        <f t="shared" si="1"/>
        <v>0</v>
      </c>
    </row>
    <row r="102" spans="1:11" x14ac:dyDescent="0.25">
      <c r="A102" s="33"/>
      <c r="B102" s="35"/>
      <c r="C102" s="28"/>
      <c r="D102" s="36"/>
      <c r="E102" s="29"/>
      <c r="F102" s="30"/>
      <c r="G102" s="30"/>
      <c r="H102" s="30"/>
      <c r="I102" s="9">
        <f t="shared" si="0"/>
        <v>0</v>
      </c>
      <c r="J102" s="31"/>
      <c r="K102" s="9">
        <f t="shared" si="1"/>
        <v>0</v>
      </c>
    </row>
    <row r="103" spans="1:11" x14ac:dyDescent="0.25">
      <c r="A103" s="33"/>
      <c r="B103" s="35"/>
      <c r="C103" s="28"/>
      <c r="D103" s="36"/>
      <c r="E103" s="29"/>
      <c r="F103" s="30"/>
      <c r="G103" s="30"/>
      <c r="H103" s="30"/>
      <c r="I103" s="9">
        <f t="shared" si="0"/>
        <v>0</v>
      </c>
      <c r="J103" s="31"/>
      <c r="K103" s="9">
        <f t="shared" si="1"/>
        <v>0</v>
      </c>
    </row>
    <row r="104" spans="1:11" x14ac:dyDescent="0.25">
      <c r="A104" s="33"/>
      <c r="B104" s="34"/>
      <c r="C104" s="28"/>
      <c r="D104" s="36"/>
      <c r="E104" s="29"/>
      <c r="F104" s="30"/>
      <c r="G104" s="30"/>
      <c r="H104" s="30"/>
      <c r="I104" s="9">
        <f t="shared" si="0"/>
        <v>0</v>
      </c>
      <c r="J104" s="31"/>
      <c r="K104" s="9">
        <f t="shared" si="1"/>
        <v>0</v>
      </c>
    </row>
    <row r="105" spans="1:11" x14ac:dyDescent="0.25">
      <c r="A105" s="33"/>
      <c r="B105" s="35"/>
      <c r="C105" s="28"/>
      <c r="D105" s="36"/>
      <c r="E105" s="29"/>
      <c r="F105" s="30"/>
      <c r="G105" s="30"/>
      <c r="H105" s="30"/>
      <c r="I105" s="9">
        <f t="shared" si="0"/>
        <v>0</v>
      </c>
      <c r="J105" s="31"/>
      <c r="K105" s="9">
        <f t="shared" si="1"/>
        <v>0</v>
      </c>
    </row>
    <row r="106" spans="1:11" x14ac:dyDescent="0.25">
      <c r="A106" s="33"/>
      <c r="B106" s="35"/>
      <c r="C106" s="28"/>
      <c r="D106" s="36"/>
      <c r="E106" s="29"/>
      <c r="F106" s="30"/>
      <c r="G106" s="30"/>
      <c r="H106" s="30"/>
      <c r="I106" s="9">
        <f t="shared" si="0"/>
        <v>0</v>
      </c>
      <c r="J106" s="31"/>
      <c r="K106" s="9">
        <f t="shared" si="1"/>
        <v>0</v>
      </c>
    </row>
    <row r="107" spans="1:11" x14ac:dyDescent="0.25">
      <c r="A107" s="37"/>
      <c r="B107" s="37"/>
      <c r="C107" s="28"/>
      <c r="D107" s="36"/>
      <c r="E107" s="29"/>
      <c r="F107" s="30"/>
      <c r="G107" s="30"/>
      <c r="H107" s="30"/>
      <c r="I107" s="9">
        <f t="shared" si="0"/>
        <v>0</v>
      </c>
      <c r="J107" s="23"/>
      <c r="K107" s="9">
        <f>F107+I107+J107</f>
        <v>0</v>
      </c>
    </row>
    <row r="108" spans="1:11" x14ac:dyDescent="0.25">
      <c r="A108" s="33"/>
      <c r="B108" s="34"/>
      <c r="C108" s="28"/>
      <c r="D108" s="36"/>
      <c r="E108" s="29"/>
      <c r="F108" s="30"/>
      <c r="G108" s="30"/>
      <c r="H108" s="30"/>
      <c r="I108" s="9">
        <f t="shared" si="0"/>
        <v>0</v>
      </c>
      <c r="J108" s="31"/>
      <c r="K108" s="9">
        <f t="shared" si="1"/>
        <v>0</v>
      </c>
    </row>
    <row r="109" spans="1:11" x14ac:dyDescent="0.25">
      <c r="A109" s="33"/>
      <c r="B109" s="34"/>
      <c r="C109" s="28"/>
      <c r="D109" s="36"/>
      <c r="E109" s="29"/>
      <c r="F109" s="30"/>
      <c r="G109" s="30"/>
      <c r="H109" s="30"/>
      <c r="I109" s="9">
        <f t="shared" si="0"/>
        <v>0</v>
      </c>
      <c r="J109" s="31"/>
      <c r="K109" s="9">
        <f t="shared" si="1"/>
        <v>0</v>
      </c>
    </row>
    <row r="110" spans="1:11" x14ac:dyDescent="0.25">
      <c r="A110" s="33"/>
      <c r="B110" s="35"/>
      <c r="C110" s="28"/>
      <c r="D110" s="36"/>
      <c r="E110" s="29"/>
      <c r="F110" s="30"/>
      <c r="G110" s="30"/>
      <c r="H110" s="30"/>
      <c r="I110" s="9">
        <f t="shared" si="0"/>
        <v>0</v>
      </c>
      <c r="J110" s="31"/>
      <c r="K110" s="9">
        <f t="shared" si="1"/>
        <v>0</v>
      </c>
    </row>
    <row r="111" spans="1:11" x14ac:dyDescent="0.25">
      <c r="A111" s="33"/>
      <c r="B111" s="34"/>
      <c r="C111" s="28"/>
      <c r="D111" s="36"/>
      <c r="E111" s="29"/>
      <c r="F111" s="30"/>
      <c r="G111" s="30"/>
      <c r="H111" s="30"/>
      <c r="I111" s="9">
        <f t="shared" si="0"/>
        <v>0</v>
      </c>
      <c r="J111" s="31"/>
      <c r="K111" s="9">
        <f t="shared" si="1"/>
        <v>0</v>
      </c>
    </row>
    <row r="112" spans="1:11" x14ac:dyDescent="0.25">
      <c r="A112" s="33"/>
      <c r="B112" s="34"/>
      <c r="C112" s="28"/>
      <c r="D112" s="36"/>
      <c r="E112" s="29"/>
      <c r="F112" s="30"/>
      <c r="G112" s="30"/>
      <c r="H112" s="30"/>
      <c r="I112" s="9">
        <f t="shared" si="0"/>
        <v>0</v>
      </c>
      <c r="J112" s="31"/>
      <c r="K112" s="9">
        <f t="shared" si="1"/>
        <v>0</v>
      </c>
    </row>
    <row r="113" spans="1:11" x14ac:dyDescent="0.25">
      <c r="A113" s="33"/>
      <c r="B113" s="34"/>
      <c r="C113" s="28"/>
      <c r="D113" s="36"/>
      <c r="E113" s="29"/>
      <c r="F113" s="30"/>
      <c r="G113" s="30"/>
      <c r="H113" s="30"/>
      <c r="I113" s="9">
        <f t="shared" si="0"/>
        <v>0</v>
      </c>
      <c r="J113" s="31"/>
      <c r="K113" s="9">
        <f t="shared" si="1"/>
        <v>0</v>
      </c>
    </row>
    <row r="114" spans="1:11" x14ac:dyDescent="0.25">
      <c r="A114" s="33"/>
      <c r="B114" s="34"/>
      <c r="C114" s="28"/>
      <c r="D114" s="36"/>
      <c r="E114" s="29"/>
      <c r="F114" s="30"/>
      <c r="G114" s="30"/>
      <c r="H114" s="30"/>
      <c r="I114" s="9">
        <f t="shared" si="0"/>
        <v>0</v>
      </c>
      <c r="J114" s="31"/>
      <c r="K114" s="9">
        <f t="shared" si="1"/>
        <v>0</v>
      </c>
    </row>
    <row r="115" spans="1:11" x14ac:dyDescent="0.25">
      <c r="A115" s="33"/>
      <c r="B115" s="34"/>
      <c r="C115" s="28"/>
      <c r="D115" s="36"/>
      <c r="E115" s="29"/>
      <c r="F115" s="30"/>
      <c r="G115" s="30"/>
      <c r="H115" s="30"/>
      <c r="I115" s="9">
        <f t="shared" si="0"/>
        <v>0</v>
      </c>
      <c r="J115" s="31"/>
      <c r="K115" s="9">
        <f t="shared" si="1"/>
        <v>0</v>
      </c>
    </row>
    <row r="116" spans="1:11" x14ac:dyDescent="0.25">
      <c r="A116" s="33"/>
      <c r="B116" s="34"/>
      <c r="C116" s="28"/>
      <c r="D116" s="36"/>
      <c r="E116" s="29"/>
      <c r="F116" s="30"/>
      <c r="G116" s="30"/>
      <c r="H116" s="30"/>
      <c r="I116" s="9">
        <f t="shared" si="0"/>
        <v>0</v>
      </c>
      <c r="J116" s="31"/>
      <c r="K116" s="9">
        <f t="shared" si="1"/>
        <v>0</v>
      </c>
    </row>
    <row r="117" spans="1:11" x14ac:dyDescent="0.25">
      <c r="A117" s="33"/>
      <c r="B117" s="34"/>
      <c r="C117" s="28"/>
      <c r="D117" s="36"/>
      <c r="E117" s="29"/>
      <c r="F117" s="30"/>
      <c r="G117" s="30"/>
      <c r="H117" s="30"/>
      <c r="I117" s="9">
        <f t="shared" si="0"/>
        <v>0</v>
      </c>
      <c r="J117" s="31"/>
      <c r="K117" s="9">
        <f t="shared" si="1"/>
        <v>0</v>
      </c>
    </row>
    <row r="118" spans="1:11" x14ac:dyDescent="0.25">
      <c r="A118" s="33"/>
      <c r="B118" s="34"/>
      <c r="C118" s="28"/>
      <c r="D118" s="36"/>
      <c r="E118" s="29"/>
      <c r="F118" s="30"/>
      <c r="G118" s="30"/>
      <c r="H118" s="30"/>
      <c r="I118" s="9">
        <f t="shared" si="0"/>
        <v>0</v>
      </c>
      <c r="J118" s="31"/>
      <c r="K118" s="9">
        <f t="shared" si="1"/>
        <v>0</v>
      </c>
    </row>
    <row r="119" spans="1:11" x14ac:dyDescent="0.25">
      <c r="A119" s="33"/>
      <c r="B119" s="34"/>
      <c r="C119" s="28"/>
      <c r="D119" s="36"/>
      <c r="E119" s="29"/>
      <c r="F119" s="30"/>
      <c r="G119" s="30"/>
      <c r="H119" s="30"/>
      <c r="I119" s="9">
        <f t="shared" si="0"/>
        <v>0</v>
      </c>
      <c r="J119" s="31"/>
      <c r="K119" s="9">
        <f t="shared" si="1"/>
        <v>0</v>
      </c>
    </row>
    <row r="120" spans="1:11" x14ac:dyDescent="0.25">
      <c r="A120" s="33"/>
      <c r="B120" s="34"/>
      <c r="C120" s="28"/>
      <c r="D120" s="36"/>
      <c r="E120" s="29"/>
      <c r="F120" s="30"/>
      <c r="G120" s="30"/>
      <c r="H120" s="30"/>
      <c r="I120" s="9">
        <f t="shared" si="0"/>
        <v>0</v>
      </c>
      <c r="J120" s="31"/>
      <c r="K120" s="9">
        <f t="shared" si="1"/>
        <v>0</v>
      </c>
    </row>
    <row r="121" spans="1:11" x14ac:dyDescent="0.25">
      <c r="A121" s="33"/>
      <c r="B121" s="34"/>
      <c r="C121" s="28"/>
      <c r="D121" s="36"/>
      <c r="E121" s="29"/>
      <c r="F121" s="30"/>
      <c r="G121" s="30"/>
      <c r="H121" s="30"/>
      <c r="I121" s="9">
        <f t="shared" si="0"/>
        <v>0</v>
      </c>
      <c r="J121" s="31"/>
      <c r="K121" s="9">
        <f t="shared" si="1"/>
        <v>0</v>
      </c>
    </row>
    <row r="122" spans="1:11" x14ac:dyDescent="0.25">
      <c r="A122" s="33"/>
      <c r="B122" s="34"/>
      <c r="C122" s="28"/>
      <c r="D122" s="36"/>
      <c r="E122" s="29"/>
      <c r="F122" s="30"/>
      <c r="G122" s="30"/>
      <c r="H122" s="30"/>
      <c r="I122" s="9">
        <f t="shared" si="0"/>
        <v>0</v>
      </c>
      <c r="J122" s="31"/>
      <c r="K122" s="9">
        <f t="shared" si="1"/>
        <v>0</v>
      </c>
    </row>
    <row r="123" spans="1:11" x14ac:dyDescent="0.25">
      <c r="A123" s="33"/>
      <c r="B123" s="34"/>
      <c r="C123" s="28"/>
      <c r="D123" s="36"/>
      <c r="E123" s="29"/>
      <c r="F123" s="30"/>
      <c r="G123" s="30"/>
      <c r="H123" s="30"/>
      <c r="I123" s="9">
        <f t="shared" si="0"/>
        <v>0</v>
      </c>
      <c r="J123" s="31"/>
      <c r="K123" s="9">
        <f t="shared" si="1"/>
        <v>0</v>
      </c>
    </row>
    <row r="124" spans="1:11" x14ac:dyDescent="0.25">
      <c r="A124" s="33"/>
      <c r="B124" s="35"/>
      <c r="C124" s="28"/>
      <c r="D124" s="36"/>
      <c r="E124" s="29"/>
      <c r="F124" s="30"/>
      <c r="G124" s="30"/>
      <c r="H124" s="30"/>
      <c r="I124" s="9">
        <f t="shared" si="0"/>
        <v>0</v>
      </c>
      <c r="J124" s="31"/>
      <c r="K124" s="9">
        <f t="shared" si="1"/>
        <v>0</v>
      </c>
    </row>
    <row r="125" spans="1:11" x14ac:dyDescent="0.25">
      <c r="A125" s="33"/>
      <c r="B125" s="34"/>
      <c r="C125" s="28"/>
      <c r="D125" s="36"/>
      <c r="E125" s="29"/>
      <c r="F125" s="30"/>
      <c r="G125" s="30"/>
      <c r="H125" s="30"/>
      <c r="I125" s="9">
        <f t="shared" si="0"/>
        <v>0</v>
      </c>
      <c r="J125" s="31"/>
      <c r="K125" s="9">
        <f t="shared" si="1"/>
        <v>0</v>
      </c>
    </row>
    <row r="126" spans="1:11" x14ac:dyDescent="0.25">
      <c r="A126" s="33"/>
      <c r="B126" s="35"/>
      <c r="C126" s="28"/>
      <c r="D126" s="36"/>
      <c r="E126" s="29"/>
      <c r="F126" s="30"/>
      <c r="G126" s="30"/>
      <c r="H126" s="30"/>
      <c r="I126" s="9">
        <f t="shared" si="0"/>
        <v>0</v>
      </c>
      <c r="J126" s="31"/>
      <c r="K126" s="9">
        <f t="shared" si="1"/>
        <v>0</v>
      </c>
    </row>
    <row r="127" spans="1:11" x14ac:dyDescent="0.25">
      <c r="A127" s="33"/>
      <c r="B127" s="35"/>
      <c r="C127" s="28"/>
      <c r="D127" s="36"/>
      <c r="E127" s="29"/>
      <c r="F127" s="30"/>
      <c r="G127" s="30"/>
      <c r="H127" s="30"/>
      <c r="I127" s="9">
        <f t="shared" si="0"/>
        <v>0</v>
      </c>
      <c r="J127" s="31"/>
      <c r="K127" s="9">
        <f t="shared" si="1"/>
        <v>0</v>
      </c>
    </row>
    <row r="128" spans="1:11" x14ac:dyDescent="0.25">
      <c r="A128" s="33"/>
      <c r="B128" s="34"/>
      <c r="C128" s="28"/>
      <c r="D128" s="36"/>
      <c r="E128" s="29"/>
      <c r="F128" s="30"/>
      <c r="G128" s="30"/>
      <c r="H128" s="30"/>
      <c r="I128" s="9">
        <f t="shared" si="0"/>
        <v>0</v>
      </c>
      <c r="J128" s="31"/>
      <c r="K128" s="9">
        <f t="shared" si="1"/>
        <v>0</v>
      </c>
    </row>
    <row r="129" spans="1:11" x14ac:dyDescent="0.25">
      <c r="A129" s="33"/>
      <c r="B129" s="35"/>
      <c r="C129" s="28"/>
      <c r="D129" s="36"/>
      <c r="E129" s="29"/>
      <c r="F129" s="30"/>
      <c r="G129" s="30"/>
      <c r="H129" s="30"/>
      <c r="I129" s="9">
        <f t="shared" si="0"/>
        <v>0</v>
      </c>
      <c r="J129" s="31"/>
      <c r="K129" s="9">
        <f t="shared" si="1"/>
        <v>0</v>
      </c>
    </row>
    <row r="130" spans="1:11" x14ac:dyDescent="0.25">
      <c r="A130" s="33"/>
      <c r="B130" s="35"/>
      <c r="C130" s="28"/>
      <c r="D130" s="36"/>
      <c r="E130" s="29"/>
      <c r="F130" s="30"/>
      <c r="G130" s="30"/>
      <c r="H130" s="30"/>
      <c r="I130" s="9">
        <f t="shared" si="0"/>
        <v>0</v>
      </c>
      <c r="J130" s="31"/>
      <c r="K130" s="9">
        <f t="shared" si="1"/>
        <v>0</v>
      </c>
    </row>
    <row r="131" spans="1:11" x14ac:dyDescent="0.25">
      <c r="A131" s="33"/>
      <c r="B131" s="35"/>
      <c r="C131" s="28"/>
      <c r="D131" s="36"/>
      <c r="E131" s="29"/>
      <c r="F131" s="30"/>
      <c r="G131" s="30"/>
      <c r="H131" s="30"/>
      <c r="I131" s="9">
        <f t="shared" si="0"/>
        <v>0</v>
      </c>
      <c r="J131" s="31"/>
      <c r="K131" s="9">
        <f t="shared" si="1"/>
        <v>0</v>
      </c>
    </row>
    <row r="132" spans="1:11" x14ac:dyDescent="0.25">
      <c r="A132" s="33"/>
      <c r="B132" s="35"/>
      <c r="C132" s="28"/>
      <c r="D132" s="36"/>
      <c r="E132" s="29"/>
      <c r="F132" s="30"/>
      <c r="G132" s="30"/>
      <c r="H132" s="30"/>
      <c r="I132" s="9">
        <f t="shared" si="0"/>
        <v>0</v>
      </c>
      <c r="J132" s="31"/>
      <c r="K132" s="9">
        <f t="shared" si="1"/>
        <v>0</v>
      </c>
    </row>
    <row r="133" spans="1:11" x14ac:dyDescent="0.25">
      <c r="A133" s="33"/>
      <c r="B133" s="35"/>
      <c r="C133" s="28"/>
      <c r="D133" s="36"/>
      <c r="E133" s="29"/>
      <c r="F133" s="30"/>
      <c r="G133" s="30"/>
      <c r="H133" s="30"/>
      <c r="I133" s="9">
        <f t="shared" si="0"/>
        <v>0</v>
      </c>
      <c r="J133" s="31"/>
      <c r="K133" s="9">
        <f t="shared" si="1"/>
        <v>0</v>
      </c>
    </row>
    <row r="134" spans="1:11" x14ac:dyDescent="0.25">
      <c r="A134" s="33"/>
      <c r="B134" s="35"/>
      <c r="C134" s="28"/>
      <c r="D134" s="36"/>
      <c r="E134" s="29"/>
      <c r="F134" s="30"/>
      <c r="G134" s="30"/>
      <c r="H134" s="30"/>
      <c r="I134" s="9">
        <f t="shared" si="0"/>
        <v>0</v>
      </c>
      <c r="J134" s="31"/>
      <c r="K134" s="9">
        <f t="shared" si="1"/>
        <v>0</v>
      </c>
    </row>
    <row r="135" spans="1:11" x14ac:dyDescent="0.25">
      <c r="A135" s="33"/>
      <c r="B135" s="35"/>
      <c r="C135" s="28"/>
      <c r="E135" s="29"/>
      <c r="F135" s="30"/>
      <c r="G135" s="30"/>
      <c r="H135" s="30"/>
      <c r="I135" s="9">
        <f t="shared" si="0"/>
        <v>0</v>
      </c>
      <c r="J135" s="31"/>
      <c r="K135" s="9">
        <f t="shared" si="1"/>
        <v>0</v>
      </c>
    </row>
    <row r="136" spans="1:11" x14ac:dyDescent="0.25">
      <c r="A136" s="39" t="s">
        <v>11</v>
      </c>
      <c r="B136" s="39"/>
      <c r="C136" s="39"/>
      <c r="D136" s="39"/>
      <c r="E136" s="39"/>
      <c r="F136" s="40">
        <f>SUM(F5:F135)</f>
        <v>31551.710000000003</v>
      </c>
      <c r="G136" s="41">
        <f>SUM(G5:G135)</f>
        <v>5735.8999999999987</v>
      </c>
      <c r="H136" s="41">
        <f>SUM(H4:H135)</f>
        <v>257.68</v>
      </c>
      <c r="I136" s="40">
        <f>SUM(I5:I135)</f>
        <v>5993.579999999999</v>
      </c>
      <c r="J136" s="42">
        <f>SUM(J5:J134)</f>
        <v>171</v>
      </c>
      <c r="K136" s="43">
        <f>SUM(K5:K135)</f>
        <v>37374.29</v>
      </c>
    </row>
    <row r="139" spans="1:11" ht="15.75" thickBot="1" x14ac:dyDescent="0.3"/>
    <row r="140" spans="1:11" ht="30" x14ac:dyDescent="0.25">
      <c r="A140" s="44" t="s">
        <v>1</v>
      </c>
      <c r="B140" s="45" t="s">
        <v>2</v>
      </c>
      <c r="C140" s="46" t="s">
        <v>26</v>
      </c>
      <c r="D140" s="46" t="s">
        <v>4</v>
      </c>
      <c r="E140" s="46" t="s">
        <v>5</v>
      </c>
      <c r="F140" s="46" t="s">
        <v>6</v>
      </c>
      <c r="G140" s="46" t="s">
        <v>7</v>
      </c>
      <c r="H140" s="46" t="s">
        <v>8</v>
      </c>
      <c r="I140" s="46" t="s">
        <v>9</v>
      </c>
      <c r="J140" s="47" t="s">
        <v>10</v>
      </c>
      <c r="K140" s="2" t="s">
        <v>11</v>
      </c>
    </row>
    <row r="141" spans="1:11" x14ac:dyDescent="0.25">
      <c r="A141" s="33" t="s">
        <v>1075</v>
      </c>
      <c r="B141" s="48" t="s">
        <v>1076</v>
      </c>
      <c r="C141" s="14" t="s">
        <v>1063</v>
      </c>
      <c r="D141" s="162" t="s">
        <v>1064</v>
      </c>
      <c r="E141" s="36" t="s">
        <v>30</v>
      </c>
      <c r="F141" s="30">
        <v>270</v>
      </c>
      <c r="G141" s="30">
        <v>56.7</v>
      </c>
      <c r="H141" s="30"/>
      <c r="I141" s="30">
        <f t="shared" ref="I141:I148" si="2">G141+H141</f>
        <v>56.7</v>
      </c>
      <c r="J141" s="31"/>
      <c r="K141" s="50">
        <f>F141+I141-J141</f>
        <v>326.7</v>
      </c>
    </row>
    <row r="142" spans="1:11" x14ac:dyDescent="0.25">
      <c r="A142" s="33">
        <v>45335</v>
      </c>
      <c r="B142" s="163" t="s">
        <v>1077</v>
      </c>
      <c r="C142" s="161" t="s">
        <v>1078</v>
      </c>
      <c r="D142" s="14" t="s">
        <v>1079</v>
      </c>
      <c r="E142" s="49" t="s">
        <v>30</v>
      </c>
      <c r="F142" s="30">
        <v>170</v>
      </c>
      <c r="G142" s="30">
        <v>35.700000000000003</v>
      </c>
      <c r="H142" s="30"/>
      <c r="I142" s="30">
        <f t="shared" si="2"/>
        <v>35.700000000000003</v>
      </c>
      <c r="J142" s="31"/>
      <c r="K142" s="50">
        <f t="shared" ref="K142:K148" si="3">F142+I142-J142</f>
        <v>205.7</v>
      </c>
    </row>
    <row r="143" spans="1:11" x14ac:dyDescent="0.25">
      <c r="A143" s="33">
        <v>45335</v>
      </c>
      <c r="B143" s="163" t="s">
        <v>1080</v>
      </c>
      <c r="C143" s="161" t="s">
        <v>1081</v>
      </c>
      <c r="D143" s="14" t="s">
        <v>1082</v>
      </c>
      <c r="E143" s="49" t="s">
        <v>30</v>
      </c>
      <c r="F143" s="30">
        <v>1040</v>
      </c>
      <c r="G143" s="30">
        <v>218.4</v>
      </c>
      <c r="H143" s="30"/>
      <c r="I143" s="30">
        <f t="shared" si="2"/>
        <v>218.4</v>
      </c>
      <c r="J143" s="31"/>
      <c r="K143" s="50">
        <f t="shared" si="3"/>
        <v>1258.4000000000001</v>
      </c>
    </row>
    <row r="144" spans="1:11" x14ac:dyDescent="0.25">
      <c r="A144" s="33">
        <v>45337</v>
      </c>
      <c r="B144" s="163" t="s">
        <v>1083</v>
      </c>
      <c r="C144" s="161" t="s">
        <v>1078</v>
      </c>
      <c r="D144" s="14" t="s">
        <v>1079</v>
      </c>
      <c r="E144" s="49" t="s">
        <v>30</v>
      </c>
      <c r="F144" s="30">
        <v>-170</v>
      </c>
      <c r="G144" s="30">
        <v>-35.700000000000003</v>
      </c>
      <c r="H144" s="30"/>
      <c r="I144" s="30">
        <f t="shared" si="2"/>
        <v>-35.700000000000003</v>
      </c>
      <c r="J144" s="31"/>
      <c r="K144" s="50">
        <f t="shared" si="3"/>
        <v>-205.7</v>
      </c>
    </row>
    <row r="145" spans="1:11" x14ac:dyDescent="0.25">
      <c r="A145" s="33">
        <v>45338</v>
      </c>
      <c r="B145" s="163" t="s">
        <v>1084</v>
      </c>
      <c r="C145" s="161" t="s">
        <v>1078</v>
      </c>
      <c r="D145" s="14" t="s">
        <v>1079</v>
      </c>
      <c r="E145" s="49" t="s">
        <v>30</v>
      </c>
      <c r="F145" s="30">
        <v>220</v>
      </c>
      <c r="G145" s="30">
        <v>46.2</v>
      </c>
      <c r="H145" s="30"/>
      <c r="I145" s="30">
        <f t="shared" si="2"/>
        <v>46.2</v>
      </c>
      <c r="J145" s="31"/>
      <c r="K145" s="50">
        <f t="shared" si="3"/>
        <v>266.2</v>
      </c>
    </row>
    <row r="146" spans="1:11" x14ac:dyDescent="0.25">
      <c r="A146" s="33">
        <v>45341</v>
      </c>
      <c r="B146" s="163" t="s">
        <v>1085</v>
      </c>
      <c r="C146" s="161" t="s">
        <v>1086</v>
      </c>
      <c r="D146" s="14" t="s">
        <v>1087</v>
      </c>
      <c r="E146" s="49" t="s">
        <v>30</v>
      </c>
      <c r="F146" s="30">
        <v>220</v>
      </c>
      <c r="G146" s="30">
        <v>46.2</v>
      </c>
      <c r="H146" s="30"/>
      <c r="I146" s="30">
        <f t="shared" si="2"/>
        <v>46.2</v>
      </c>
      <c r="J146" s="31"/>
      <c r="K146" s="50">
        <f t="shared" si="3"/>
        <v>266.2</v>
      </c>
    </row>
    <row r="147" spans="1:11" x14ac:dyDescent="0.25">
      <c r="A147" s="33">
        <v>45344</v>
      </c>
      <c r="B147" s="163" t="s">
        <v>1088</v>
      </c>
      <c r="C147" s="36" t="s">
        <v>1089</v>
      </c>
      <c r="D147" s="26" t="s">
        <v>1090</v>
      </c>
      <c r="E147" s="36" t="s">
        <v>30</v>
      </c>
      <c r="F147" s="30">
        <v>720</v>
      </c>
      <c r="G147" s="30">
        <v>151.19999999999999</v>
      </c>
      <c r="H147" s="30"/>
      <c r="I147" s="30">
        <f t="shared" si="2"/>
        <v>151.19999999999999</v>
      </c>
      <c r="J147" s="31"/>
      <c r="K147" s="50">
        <f t="shared" si="3"/>
        <v>871.2</v>
      </c>
    </row>
    <row r="148" spans="1:11" x14ac:dyDescent="0.25">
      <c r="A148" s="33">
        <v>45349</v>
      </c>
      <c r="B148" s="163" t="s">
        <v>1091</v>
      </c>
      <c r="C148" s="36" t="s">
        <v>1092</v>
      </c>
      <c r="D148" s="36" t="s">
        <v>1093</v>
      </c>
      <c r="E148" s="36" t="s">
        <v>30</v>
      </c>
      <c r="F148" s="30">
        <v>140</v>
      </c>
      <c r="G148" s="30">
        <v>29.4</v>
      </c>
      <c r="H148" s="30"/>
      <c r="I148" s="30">
        <f t="shared" si="2"/>
        <v>29.4</v>
      </c>
      <c r="J148" s="31"/>
      <c r="K148" s="50">
        <f t="shared" si="3"/>
        <v>169.4</v>
      </c>
    </row>
    <row r="149" spans="1:11" x14ac:dyDescent="0.25">
      <c r="A149" s="33"/>
      <c r="B149" s="163"/>
      <c r="C149" s="36"/>
      <c r="D149" s="36"/>
      <c r="E149" s="36"/>
      <c r="F149" s="30"/>
      <c r="G149" s="30"/>
      <c r="H149" s="30"/>
      <c r="I149" s="30"/>
      <c r="J149" s="31"/>
      <c r="K149" s="50"/>
    </row>
    <row r="150" spans="1:11" x14ac:dyDescent="0.25">
      <c r="A150" s="36"/>
      <c r="B150" s="163"/>
      <c r="C150" s="36"/>
      <c r="D150" s="36"/>
      <c r="E150" s="36"/>
      <c r="F150" s="30"/>
      <c r="G150" s="30"/>
      <c r="H150" s="30"/>
      <c r="I150" s="30"/>
      <c r="J150" s="31"/>
      <c r="K150" s="50"/>
    </row>
    <row r="151" spans="1:11" x14ac:dyDescent="0.25">
      <c r="A151" s="319" t="s">
        <v>11</v>
      </c>
      <c r="B151" s="319"/>
      <c r="C151" s="319"/>
      <c r="D151" s="319"/>
      <c r="E151" s="319"/>
      <c r="F151" s="40">
        <f>SUM(F141:F150)</f>
        <v>2610</v>
      </c>
      <c r="G151" s="41">
        <f>SUM(G141:G150)</f>
        <v>548.1</v>
      </c>
      <c r="H151" s="36"/>
      <c r="I151" s="40">
        <f>SUM(I141:I150)</f>
        <v>548.1</v>
      </c>
      <c r="J151" s="164">
        <f>SUM(J141:J150)</f>
        <v>0</v>
      </c>
      <c r="K151" s="160">
        <f>SUM(K141:K150)</f>
        <v>3158.1</v>
      </c>
    </row>
  </sheetData>
  <mergeCells count="1">
    <mergeCell ref="A151:E1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8131-7DA6-4E98-8523-37301FD66AC4}">
  <dimension ref="A1:O162"/>
  <sheetViews>
    <sheetView topLeftCell="A106" workbookViewId="0">
      <selection activeCell="D163" sqref="D163"/>
    </sheetView>
  </sheetViews>
  <sheetFormatPr baseColWidth="10" defaultRowHeight="15" x14ac:dyDescent="0.25"/>
  <cols>
    <col min="2" max="2" width="24" customWidth="1"/>
    <col min="3" max="3" width="39.7109375" customWidth="1"/>
    <col min="4" max="4" width="15.7109375" customWidth="1"/>
    <col min="7" max="7" width="18.28515625" customWidth="1"/>
    <col min="9" max="9" width="21.5703125" customWidth="1"/>
    <col min="10" max="10" width="13" bestFit="1" customWidth="1"/>
    <col min="13" max="13" width="14.42578125" customWidth="1"/>
  </cols>
  <sheetData>
    <row r="1" spans="1:15" x14ac:dyDescent="0.25">
      <c r="A1" s="319" t="s">
        <v>1</v>
      </c>
      <c r="B1" s="319" t="s">
        <v>2</v>
      </c>
      <c r="C1" s="319" t="s">
        <v>32</v>
      </c>
      <c r="D1" s="319" t="s">
        <v>33</v>
      </c>
      <c r="E1" s="319" t="s">
        <v>408</v>
      </c>
      <c r="F1" s="319" t="s">
        <v>11</v>
      </c>
      <c r="G1" s="319" t="s">
        <v>34</v>
      </c>
      <c r="H1" s="319"/>
      <c r="I1" s="319" t="s">
        <v>35</v>
      </c>
      <c r="J1" s="319" t="s">
        <v>36</v>
      </c>
      <c r="K1" s="319" t="s">
        <v>37</v>
      </c>
      <c r="L1" s="319" t="s">
        <v>38</v>
      </c>
      <c r="M1" s="319" t="s">
        <v>39</v>
      </c>
      <c r="N1" s="320" t="s">
        <v>38</v>
      </c>
      <c r="O1" s="319" t="s">
        <v>40</v>
      </c>
    </row>
    <row r="2" spans="1:15" x14ac:dyDescent="0.25">
      <c r="A2" s="320"/>
      <c r="B2" s="320"/>
      <c r="C2" s="320"/>
      <c r="D2" s="320"/>
      <c r="E2" s="320"/>
      <c r="F2" s="320"/>
      <c r="G2" s="52" t="s">
        <v>41</v>
      </c>
      <c r="H2" s="53" t="s">
        <v>42</v>
      </c>
      <c r="I2" s="320"/>
      <c r="J2" s="320"/>
      <c r="K2" s="320"/>
      <c r="L2" s="320"/>
      <c r="M2" s="319"/>
      <c r="N2" s="321"/>
      <c r="O2" s="319"/>
    </row>
    <row r="3" spans="1:15" x14ac:dyDescent="0.25">
      <c r="A3" s="54">
        <v>45324</v>
      </c>
      <c r="B3" s="55" t="s">
        <v>152</v>
      </c>
      <c r="C3" s="55" t="s">
        <v>43</v>
      </c>
      <c r="D3" s="56">
        <f t="shared" ref="D3:D66" si="0">F3/1.21</f>
        <v>140.49586776859505</v>
      </c>
      <c r="E3" s="56">
        <f>D3*10/100</f>
        <v>14.049586776859506</v>
      </c>
      <c r="F3" s="57">
        <v>170</v>
      </c>
      <c r="G3" s="56">
        <v>50</v>
      </c>
      <c r="H3" s="58">
        <v>120</v>
      </c>
      <c r="I3" s="59" t="s">
        <v>439</v>
      </c>
      <c r="J3" s="56">
        <v>170</v>
      </c>
      <c r="K3" s="56"/>
      <c r="L3" s="55"/>
      <c r="M3" s="60"/>
      <c r="N3" s="30"/>
      <c r="O3" s="30"/>
    </row>
    <row r="4" spans="1:15" x14ac:dyDescent="0.25">
      <c r="A4" s="54">
        <v>45324</v>
      </c>
      <c r="B4" s="55" t="s">
        <v>153</v>
      </c>
      <c r="C4" s="55" t="s">
        <v>43</v>
      </c>
      <c r="D4" s="56">
        <f t="shared" si="0"/>
        <v>223.14049586776861</v>
      </c>
      <c r="E4" s="56">
        <f t="shared" ref="E4:E67" si="1">D4*10/100</f>
        <v>22.314049586776861</v>
      </c>
      <c r="F4" s="61">
        <v>270</v>
      </c>
      <c r="G4" s="56">
        <v>50</v>
      </c>
      <c r="H4" s="58">
        <v>220</v>
      </c>
      <c r="I4" s="59" t="s">
        <v>504</v>
      </c>
      <c r="J4" s="56">
        <v>270</v>
      </c>
      <c r="K4" s="56"/>
      <c r="L4" s="55"/>
      <c r="M4" s="60"/>
      <c r="N4" s="30"/>
      <c r="O4" s="30"/>
    </row>
    <row r="5" spans="1:15" x14ac:dyDescent="0.25">
      <c r="A5" s="54">
        <v>45324</v>
      </c>
      <c r="B5" s="55" t="s">
        <v>154</v>
      </c>
      <c r="C5" s="55" t="s">
        <v>43</v>
      </c>
      <c r="D5" s="56">
        <f t="shared" si="0"/>
        <v>181.81818181818181</v>
      </c>
      <c r="E5" s="56">
        <f t="shared" si="1"/>
        <v>18.18181818181818</v>
      </c>
      <c r="F5" s="61">
        <v>220</v>
      </c>
      <c r="G5" s="56">
        <v>50</v>
      </c>
      <c r="H5" s="58">
        <f>F5-G5</f>
        <v>170</v>
      </c>
      <c r="I5" s="59" t="s">
        <v>505</v>
      </c>
      <c r="J5" s="56">
        <v>220</v>
      </c>
      <c r="K5" s="56"/>
      <c r="L5" s="55"/>
      <c r="M5" s="60"/>
      <c r="N5" s="30"/>
      <c r="O5" s="30"/>
    </row>
    <row r="6" spans="1:15" x14ac:dyDescent="0.25">
      <c r="A6" s="54">
        <v>45324</v>
      </c>
      <c r="B6" s="55" t="s">
        <v>155</v>
      </c>
      <c r="C6" s="55" t="s">
        <v>43</v>
      </c>
      <c r="D6" s="56">
        <f t="shared" si="0"/>
        <v>181.81818181818181</v>
      </c>
      <c r="E6" s="56">
        <f t="shared" si="1"/>
        <v>18.18181818181818</v>
      </c>
      <c r="F6" s="61">
        <v>220</v>
      </c>
      <c r="G6" s="56">
        <v>50</v>
      </c>
      <c r="H6" s="58">
        <f t="shared" ref="H6:H69" si="2">F6-G6</f>
        <v>170</v>
      </c>
      <c r="I6" s="59" t="s">
        <v>506</v>
      </c>
      <c r="J6" s="56">
        <v>220</v>
      </c>
      <c r="K6" s="56"/>
      <c r="L6" s="55"/>
      <c r="M6" s="60"/>
      <c r="N6" s="30"/>
      <c r="O6" s="30"/>
    </row>
    <row r="7" spans="1:15" x14ac:dyDescent="0.25">
      <c r="A7" s="54">
        <v>45324</v>
      </c>
      <c r="B7" s="55" t="s">
        <v>156</v>
      </c>
      <c r="C7" s="55" t="s">
        <v>43</v>
      </c>
      <c r="D7" s="56">
        <f t="shared" si="0"/>
        <v>148.7603305785124</v>
      </c>
      <c r="E7" s="56">
        <f t="shared" si="1"/>
        <v>14.876033057851238</v>
      </c>
      <c r="F7" s="61">
        <v>180</v>
      </c>
      <c r="G7" s="56"/>
      <c r="H7" s="58">
        <f t="shared" si="2"/>
        <v>180</v>
      </c>
      <c r="I7" s="114" t="s">
        <v>507</v>
      </c>
      <c r="J7" s="56">
        <v>180</v>
      </c>
      <c r="K7" s="56"/>
      <c r="L7" s="55"/>
      <c r="M7" s="60"/>
      <c r="N7" s="62"/>
      <c r="O7" s="30"/>
    </row>
    <row r="8" spans="1:15" x14ac:dyDescent="0.25">
      <c r="A8" s="54">
        <v>45324</v>
      </c>
      <c r="B8" s="55" t="s">
        <v>157</v>
      </c>
      <c r="C8" s="55" t="s">
        <v>43</v>
      </c>
      <c r="D8" s="56">
        <f t="shared" si="0"/>
        <v>181.81818181818181</v>
      </c>
      <c r="E8" s="56">
        <f t="shared" si="1"/>
        <v>18.18181818181818</v>
      </c>
      <c r="F8" s="57">
        <v>220</v>
      </c>
      <c r="G8" s="56">
        <v>50</v>
      </c>
      <c r="H8" s="58">
        <f t="shared" si="2"/>
        <v>170</v>
      </c>
      <c r="I8" s="59" t="s">
        <v>508</v>
      </c>
      <c r="J8" s="56">
        <v>220</v>
      </c>
      <c r="K8" s="56"/>
      <c r="L8" s="55"/>
      <c r="M8" s="60"/>
      <c r="N8" s="30"/>
      <c r="O8" s="30"/>
    </row>
    <row r="9" spans="1:15" x14ac:dyDescent="0.25">
      <c r="A9" s="54">
        <v>45324</v>
      </c>
      <c r="B9" s="55" t="s">
        <v>158</v>
      </c>
      <c r="C9" s="55" t="s">
        <v>43</v>
      </c>
      <c r="D9" s="56">
        <f t="shared" si="0"/>
        <v>140.49586776859505</v>
      </c>
      <c r="E9" s="56">
        <f t="shared" si="1"/>
        <v>14.049586776859506</v>
      </c>
      <c r="F9" s="63">
        <v>170</v>
      </c>
      <c r="G9" s="63">
        <v>50</v>
      </c>
      <c r="H9" s="58">
        <f t="shared" si="2"/>
        <v>120</v>
      </c>
      <c r="I9" s="64" t="s">
        <v>509</v>
      </c>
      <c r="J9" s="56">
        <v>170</v>
      </c>
      <c r="K9" s="56"/>
      <c r="L9" s="55"/>
      <c r="M9" s="60"/>
      <c r="N9" s="30"/>
      <c r="O9" s="30"/>
    </row>
    <row r="10" spans="1:15" x14ac:dyDescent="0.25">
      <c r="A10" s="54">
        <v>45324</v>
      </c>
      <c r="B10" s="55" t="s">
        <v>159</v>
      </c>
      <c r="C10" s="55" t="s">
        <v>43</v>
      </c>
      <c r="D10" s="56">
        <f t="shared" si="0"/>
        <v>140.49586776859505</v>
      </c>
      <c r="E10" s="56">
        <f t="shared" si="1"/>
        <v>14.049586776859506</v>
      </c>
      <c r="F10" s="63">
        <v>170</v>
      </c>
      <c r="G10" s="63">
        <v>50</v>
      </c>
      <c r="H10" s="58">
        <f t="shared" si="2"/>
        <v>120</v>
      </c>
      <c r="I10" s="64" t="s">
        <v>510</v>
      </c>
      <c r="J10" s="56">
        <v>170</v>
      </c>
      <c r="K10" s="56"/>
      <c r="L10" s="55"/>
      <c r="M10" s="60"/>
      <c r="N10" s="30"/>
      <c r="O10" s="30"/>
    </row>
    <row r="11" spans="1:15" x14ac:dyDescent="0.25">
      <c r="A11" s="54">
        <v>45325</v>
      </c>
      <c r="B11" s="55" t="s">
        <v>160</v>
      </c>
      <c r="C11" s="55" t="s">
        <v>43</v>
      </c>
      <c r="D11" s="56">
        <f t="shared" si="0"/>
        <v>214.87603305785126</v>
      </c>
      <c r="E11" s="56">
        <f t="shared" si="1"/>
        <v>21.487603305785125</v>
      </c>
      <c r="F11" s="63">
        <v>260</v>
      </c>
      <c r="G11" s="63"/>
      <c r="H11" s="58">
        <f t="shared" si="2"/>
        <v>260</v>
      </c>
      <c r="I11" s="115" t="s">
        <v>507</v>
      </c>
      <c r="J11" s="56">
        <v>260</v>
      </c>
      <c r="K11" s="56"/>
      <c r="L11" s="55"/>
      <c r="M11" s="60"/>
      <c r="N11" s="30"/>
      <c r="O11" s="30"/>
    </row>
    <row r="12" spans="1:15" x14ac:dyDescent="0.25">
      <c r="A12" s="54">
        <v>45325</v>
      </c>
      <c r="B12" s="55" t="s">
        <v>161</v>
      </c>
      <c r="C12" s="55" t="s">
        <v>43</v>
      </c>
      <c r="D12" s="56">
        <f t="shared" si="0"/>
        <v>210.74380165289256</v>
      </c>
      <c r="E12" s="56">
        <f t="shared" si="1"/>
        <v>21.074380165289259</v>
      </c>
      <c r="F12" s="63">
        <v>255</v>
      </c>
      <c r="G12" s="63">
        <v>50</v>
      </c>
      <c r="H12" s="58">
        <f t="shared" si="2"/>
        <v>205</v>
      </c>
      <c r="I12" s="64" t="s">
        <v>511</v>
      </c>
      <c r="J12" s="56">
        <v>170</v>
      </c>
      <c r="K12" s="56">
        <v>40</v>
      </c>
      <c r="L12" s="55" t="s">
        <v>252</v>
      </c>
      <c r="M12" s="60">
        <v>40</v>
      </c>
      <c r="N12" s="30" t="s">
        <v>45</v>
      </c>
      <c r="O12" s="30"/>
    </row>
    <row r="13" spans="1:15" x14ac:dyDescent="0.25">
      <c r="A13" s="54">
        <v>45325</v>
      </c>
      <c r="B13" s="55" t="s">
        <v>162</v>
      </c>
      <c r="C13" s="55" t="s">
        <v>43</v>
      </c>
      <c r="D13" s="56">
        <f t="shared" si="0"/>
        <v>115.70247933884298</v>
      </c>
      <c r="E13" s="56">
        <f t="shared" si="1"/>
        <v>11.570247933884298</v>
      </c>
      <c r="F13" s="63">
        <v>140</v>
      </c>
      <c r="G13" s="63"/>
      <c r="H13" s="58">
        <f t="shared" si="2"/>
        <v>140</v>
      </c>
      <c r="I13" s="117" t="s">
        <v>512</v>
      </c>
      <c r="J13" s="56">
        <v>140</v>
      </c>
      <c r="K13" s="56"/>
      <c r="L13" s="55"/>
      <c r="M13" s="60"/>
      <c r="N13" s="30"/>
      <c r="O13" s="30"/>
    </row>
    <row r="14" spans="1:15" x14ac:dyDescent="0.25">
      <c r="A14" s="54">
        <v>45325</v>
      </c>
      <c r="B14" s="55" t="s">
        <v>163</v>
      </c>
      <c r="C14" s="55" t="s">
        <v>43</v>
      </c>
      <c r="D14" s="56">
        <f t="shared" si="0"/>
        <v>115.70247933884298</v>
      </c>
      <c r="E14" s="56">
        <f t="shared" si="1"/>
        <v>11.570247933884298</v>
      </c>
      <c r="F14" s="63">
        <v>140</v>
      </c>
      <c r="G14" s="63"/>
      <c r="H14" s="58">
        <f t="shared" si="2"/>
        <v>140</v>
      </c>
      <c r="I14" s="118" t="s">
        <v>513</v>
      </c>
      <c r="J14" s="56">
        <v>140</v>
      </c>
      <c r="K14" s="56"/>
      <c r="L14" s="55"/>
      <c r="M14" s="60"/>
      <c r="N14" s="30"/>
      <c r="O14" s="30"/>
    </row>
    <row r="15" spans="1:15" x14ac:dyDescent="0.25">
      <c r="A15" s="54">
        <v>45325</v>
      </c>
      <c r="B15" s="55" t="s">
        <v>164</v>
      </c>
      <c r="C15" s="55" t="s">
        <v>43</v>
      </c>
      <c r="D15" s="56">
        <f t="shared" si="0"/>
        <v>107.43801652892563</v>
      </c>
      <c r="E15" s="56">
        <f t="shared" si="1"/>
        <v>10.743801652892563</v>
      </c>
      <c r="F15" s="63">
        <v>130</v>
      </c>
      <c r="G15" s="63"/>
      <c r="H15" s="58">
        <f t="shared" si="2"/>
        <v>130</v>
      </c>
      <c r="I15" s="115" t="s">
        <v>514</v>
      </c>
      <c r="J15" s="56">
        <v>130</v>
      </c>
      <c r="K15" s="56"/>
      <c r="L15" s="55"/>
      <c r="M15" s="60"/>
      <c r="N15" s="30"/>
      <c r="O15" s="30"/>
    </row>
    <row r="16" spans="1:15" x14ac:dyDescent="0.25">
      <c r="A16" s="54">
        <v>45325</v>
      </c>
      <c r="B16" s="55" t="s">
        <v>165</v>
      </c>
      <c r="C16" s="55" t="s">
        <v>43</v>
      </c>
      <c r="D16" s="56">
        <f t="shared" si="0"/>
        <v>140.49586776859505</v>
      </c>
      <c r="E16" s="56">
        <f t="shared" si="1"/>
        <v>14.049586776859506</v>
      </c>
      <c r="F16" s="63">
        <v>170</v>
      </c>
      <c r="G16" s="63">
        <v>50</v>
      </c>
      <c r="H16" s="58">
        <f t="shared" si="2"/>
        <v>120</v>
      </c>
      <c r="I16" s="64" t="s">
        <v>538</v>
      </c>
      <c r="J16" s="56">
        <v>170</v>
      </c>
      <c r="K16" s="56"/>
      <c r="L16" s="55"/>
      <c r="M16" s="65"/>
      <c r="N16" s="30"/>
      <c r="O16" s="30"/>
    </row>
    <row r="17" spans="1:15" x14ac:dyDescent="0.25">
      <c r="A17" s="54">
        <v>45325</v>
      </c>
      <c r="B17" s="55" t="s">
        <v>166</v>
      </c>
      <c r="C17" s="55" t="s">
        <v>43</v>
      </c>
      <c r="D17" s="56">
        <f t="shared" si="0"/>
        <v>157.02479338842977</v>
      </c>
      <c r="E17" s="56">
        <f t="shared" si="1"/>
        <v>15.702479338842977</v>
      </c>
      <c r="F17" s="63">
        <v>190</v>
      </c>
      <c r="G17" s="63">
        <v>50</v>
      </c>
      <c r="H17" s="58">
        <f t="shared" si="2"/>
        <v>140</v>
      </c>
      <c r="I17" s="64" t="s">
        <v>539</v>
      </c>
      <c r="J17" s="56">
        <v>170</v>
      </c>
      <c r="K17" s="56">
        <v>20</v>
      </c>
      <c r="L17" s="55" t="s">
        <v>252</v>
      </c>
      <c r="M17" s="60"/>
      <c r="N17" s="30"/>
      <c r="O17" s="30"/>
    </row>
    <row r="18" spans="1:15" x14ac:dyDescent="0.25">
      <c r="A18" s="54">
        <v>45325</v>
      </c>
      <c r="B18" s="55" t="s">
        <v>167</v>
      </c>
      <c r="C18" s="55" t="s">
        <v>43</v>
      </c>
      <c r="D18" s="56">
        <f t="shared" si="0"/>
        <v>115.70247933884298</v>
      </c>
      <c r="E18" s="56">
        <f t="shared" si="1"/>
        <v>11.570247933884298</v>
      </c>
      <c r="F18" s="63">
        <v>140</v>
      </c>
      <c r="G18" s="63"/>
      <c r="H18" s="58">
        <f t="shared" si="2"/>
        <v>140</v>
      </c>
      <c r="I18" s="117" t="s">
        <v>512</v>
      </c>
      <c r="J18" s="56">
        <v>140</v>
      </c>
      <c r="K18" s="56"/>
      <c r="L18" s="55"/>
      <c r="M18" s="60"/>
      <c r="N18" s="30"/>
      <c r="O18" s="30"/>
    </row>
    <row r="19" spans="1:15" x14ac:dyDescent="0.25">
      <c r="A19" s="54">
        <v>45325</v>
      </c>
      <c r="B19" s="55" t="s">
        <v>168</v>
      </c>
      <c r="C19" s="55" t="s">
        <v>43</v>
      </c>
      <c r="D19" s="56">
        <f t="shared" si="0"/>
        <v>115.70247933884298</v>
      </c>
      <c r="E19" s="56">
        <f t="shared" si="1"/>
        <v>11.570247933884298</v>
      </c>
      <c r="F19" s="63">
        <v>140</v>
      </c>
      <c r="G19" s="63"/>
      <c r="H19" s="58">
        <f t="shared" si="2"/>
        <v>140</v>
      </c>
      <c r="I19" s="117" t="s">
        <v>512</v>
      </c>
      <c r="J19" s="56">
        <v>140</v>
      </c>
      <c r="K19" s="56"/>
      <c r="L19" s="55"/>
      <c r="M19" s="60"/>
      <c r="N19" s="30"/>
      <c r="O19" s="30"/>
    </row>
    <row r="20" spans="1:15" x14ac:dyDescent="0.25">
      <c r="A20" s="54">
        <v>45325</v>
      </c>
      <c r="B20" s="55" t="s">
        <v>169</v>
      </c>
      <c r="C20" s="55" t="s">
        <v>43</v>
      </c>
      <c r="D20" s="56">
        <f t="shared" si="0"/>
        <v>115.70247933884298</v>
      </c>
      <c r="E20" s="56">
        <f t="shared" si="1"/>
        <v>11.570247933884298</v>
      </c>
      <c r="F20" s="63">
        <v>140</v>
      </c>
      <c r="G20" s="63"/>
      <c r="H20" s="58">
        <f t="shared" si="2"/>
        <v>140</v>
      </c>
      <c r="I20" s="117" t="s">
        <v>512</v>
      </c>
      <c r="J20" s="56">
        <v>140</v>
      </c>
      <c r="K20" s="56"/>
      <c r="L20" s="55"/>
      <c r="M20" s="60"/>
      <c r="N20" s="30"/>
      <c r="O20" s="30"/>
    </row>
    <row r="21" spans="1:15" x14ac:dyDescent="0.25">
      <c r="A21" s="54">
        <v>45325</v>
      </c>
      <c r="B21" s="55" t="s">
        <v>170</v>
      </c>
      <c r="C21" s="55" t="s">
        <v>43</v>
      </c>
      <c r="D21" s="56">
        <f t="shared" si="0"/>
        <v>115.70247933884298</v>
      </c>
      <c r="E21" s="56">
        <f t="shared" si="1"/>
        <v>11.570247933884298</v>
      </c>
      <c r="F21" s="63">
        <v>140</v>
      </c>
      <c r="G21" s="66"/>
      <c r="H21" s="58">
        <f t="shared" si="2"/>
        <v>140</v>
      </c>
      <c r="I21" s="117" t="s">
        <v>512</v>
      </c>
      <c r="J21" s="56">
        <v>140</v>
      </c>
      <c r="K21" s="56"/>
      <c r="L21" s="55"/>
      <c r="M21" s="60"/>
      <c r="N21" s="30"/>
      <c r="O21" s="30"/>
    </row>
    <row r="22" spans="1:15" x14ac:dyDescent="0.25">
      <c r="A22" s="54">
        <v>45325</v>
      </c>
      <c r="B22" s="55" t="s">
        <v>171</v>
      </c>
      <c r="C22" s="55" t="s">
        <v>43</v>
      </c>
      <c r="D22" s="56">
        <f t="shared" si="0"/>
        <v>239.6694214876033</v>
      </c>
      <c r="E22" s="56">
        <f t="shared" si="1"/>
        <v>23.966942148760332</v>
      </c>
      <c r="F22" s="63">
        <v>290</v>
      </c>
      <c r="G22" s="56"/>
      <c r="H22" s="58">
        <f t="shared" si="2"/>
        <v>290</v>
      </c>
      <c r="I22" s="64" t="s">
        <v>515</v>
      </c>
      <c r="J22" s="56">
        <v>270</v>
      </c>
      <c r="K22" s="56">
        <v>20</v>
      </c>
      <c r="L22" s="55" t="s">
        <v>252</v>
      </c>
      <c r="M22" s="60"/>
      <c r="N22" s="30"/>
      <c r="O22" s="30"/>
    </row>
    <row r="23" spans="1:15" x14ac:dyDescent="0.25">
      <c r="A23" s="54">
        <v>45325</v>
      </c>
      <c r="B23" s="55" t="s">
        <v>172</v>
      </c>
      <c r="C23" s="55" t="s">
        <v>43</v>
      </c>
      <c r="D23" s="56">
        <f t="shared" si="0"/>
        <v>165.28925619834712</v>
      </c>
      <c r="E23" s="56">
        <f t="shared" si="1"/>
        <v>16.528925619834713</v>
      </c>
      <c r="F23" s="63">
        <v>200</v>
      </c>
      <c r="G23" s="56"/>
      <c r="H23" s="58">
        <f t="shared" si="2"/>
        <v>200</v>
      </c>
      <c r="I23" s="116" t="s">
        <v>516</v>
      </c>
      <c r="J23" s="56">
        <v>200</v>
      </c>
      <c r="K23" s="56"/>
      <c r="L23" s="55"/>
      <c r="M23" s="60"/>
      <c r="N23" s="30"/>
      <c r="O23" s="30"/>
    </row>
    <row r="24" spans="1:15" x14ac:dyDescent="0.25">
      <c r="A24" s="54">
        <v>45325</v>
      </c>
      <c r="B24" s="55" t="s">
        <v>173</v>
      </c>
      <c r="C24" s="55" t="s">
        <v>43</v>
      </c>
      <c r="D24" s="56">
        <f t="shared" si="0"/>
        <v>256.198347107438</v>
      </c>
      <c r="E24" s="56">
        <f t="shared" si="1"/>
        <v>25.619834710743799</v>
      </c>
      <c r="F24" s="63">
        <v>310</v>
      </c>
      <c r="G24" s="56"/>
      <c r="H24" s="58">
        <f t="shared" si="2"/>
        <v>310</v>
      </c>
      <c r="I24" s="64" t="s">
        <v>517</v>
      </c>
      <c r="J24" s="56">
        <v>270</v>
      </c>
      <c r="K24" s="56">
        <v>40</v>
      </c>
      <c r="L24" s="55" t="s">
        <v>252</v>
      </c>
      <c r="M24" s="60"/>
      <c r="N24" s="30"/>
      <c r="O24" s="30"/>
    </row>
    <row r="25" spans="1:15" x14ac:dyDescent="0.25">
      <c r="A25" s="54">
        <v>45325</v>
      </c>
      <c r="B25" s="55" t="s">
        <v>174</v>
      </c>
      <c r="C25" s="55" t="s">
        <v>43</v>
      </c>
      <c r="D25" s="56">
        <f t="shared" si="0"/>
        <v>181.81818181818181</v>
      </c>
      <c r="E25" s="56">
        <f t="shared" si="1"/>
        <v>18.18181818181818</v>
      </c>
      <c r="F25" s="63">
        <v>220</v>
      </c>
      <c r="G25" s="56"/>
      <c r="H25" s="58">
        <f t="shared" si="2"/>
        <v>220</v>
      </c>
      <c r="I25" s="64" t="s">
        <v>518</v>
      </c>
      <c r="J25" s="56">
        <v>220</v>
      </c>
      <c r="K25" s="56"/>
      <c r="L25" s="55"/>
      <c r="M25" s="60"/>
      <c r="N25" s="30"/>
      <c r="O25" s="30"/>
    </row>
    <row r="26" spans="1:15" x14ac:dyDescent="0.25">
      <c r="A26" s="54">
        <v>45325</v>
      </c>
      <c r="B26" s="55" t="s">
        <v>175</v>
      </c>
      <c r="C26" s="55" t="s">
        <v>43</v>
      </c>
      <c r="D26" s="56">
        <f t="shared" si="0"/>
        <v>219.00826446280993</v>
      </c>
      <c r="E26" s="56">
        <f t="shared" si="1"/>
        <v>21.900826446280995</v>
      </c>
      <c r="F26" s="61">
        <v>265</v>
      </c>
      <c r="G26" s="56"/>
      <c r="H26" s="58">
        <f t="shared" si="2"/>
        <v>265</v>
      </c>
      <c r="I26" s="64" t="s">
        <v>519</v>
      </c>
      <c r="J26" s="56">
        <v>220</v>
      </c>
      <c r="K26" s="56">
        <v>45</v>
      </c>
      <c r="L26" s="55" t="s">
        <v>45</v>
      </c>
      <c r="M26" s="67"/>
      <c r="N26" s="68"/>
      <c r="O26" s="68"/>
    </row>
    <row r="27" spans="1:15" x14ac:dyDescent="0.25">
      <c r="A27" s="54">
        <v>45327</v>
      </c>
      <c r="B27" s="55" t="s">
        <v>176</v>
      </c>
      <c r="C27" s="55" t="s">
        <v>43</v>
      </c>
      <c r="D27" s="56">
        <f t="shared" si="0"/>
        <v>148.7603305785124</v>
      </c>
      <c r="E27" s="56">
        <f t="shared" si="1"/>
        <v>14.876033057851238</v>
      </c>
      <c r="F27" s="61">
        <v>180</v>
      </c>
      <c r="G27" s="56"/>
      <c r="H27" s="58">
        <f t="shared" si="2"/>
        <v>180</v>
      </c>
      <c r="I27" s="117" t="s">
        <v>512</v>
      </c>
      <c r="J27" s="56">
        <v>180</v>
      </c>
      <c r="K27" s="69"/>
      <c r="L27" s="70"/>
      <c r="M27" s="60"/>
      <c r="N27" s="30"/>
      <c r="O27" s="30"/>
    </row>
    <row r="28" spans="1:15" x14ac:dyDescent="0.25">
      <c r="A28" s="54">
        <v>45328</v>
      </c>
      <c r="B28" s="55" t="s">
        <v>177</v>
      </c>
      <c r="C28" s="55" t="s">
        <v>43</v>
      </c>
      <c r="D28" s="56">
        <f t="shared" si="0"/>
        <v>107.43801652892563</v>
      </c>
      <c r="E28" s="56">
        <f t="shared" si="1"/>
        <v>10.743801652892563</v>
      </c>
      <c r="F28" s="61">
        <v>130</v>
      </c>
      <c r="G28" s="56"/>
      <c r="H28" s="58">
        <f t="shared" si="2"/>
        <v>130</v>
      </c>
      <c r="I28" s="114" t="s">
        <v>514</v>
      </c>
      <c r="J28" s="56">
        <v>130</v>
      </c>
      <c r="K28" s="56"/>
      <c r="L28" s="70"/>
      <c r="M28" s="60"/>
      <c r="N28" s="30"/>
      <c r="O28" s="30"/>
    </row>
    <row r="29" spans="1:15" x14ac:dyDescent="0.25">
      <c r="A29" s="54">
        <v>45328</v>
      </c>
      <c r="B29" s="55" t="s">
        <v>178</v>
      </c>
      <c r="C29" s="55" t="s">
        <v>43</v>
      </c>
      <c r="D29" s="56">
        <f t="shared" si="0"/>
        <v>132.2314049586777</v>
      </c>
      <c r="E29" s="56">
        <f t="shared" si="1"/>
        <v>13.223140495867769</v>
      </c>
      <c r="F29" s="61">
        <v>160</v>
      </c>
      <c r="G29" s="56"/>
      <c r="H29" s="58">
        <f t="shared" si="2"/>
        <v>160</v>
      </c>
      <c r="I29" s="119" t="s">
        <v>246</v>
      </c>
      <c r="J29" s="56">
        <v>160</v>
      </c>
      <c r="K29" s="56"/>
      <c r="L29" s="55"/>
      <c r="M29" s="60"/>
      <c r="N29" s="30"/>
      <c r="O29" s="30"/>
    </row>
    <row r="30" spans="1:15" x14ac:dyDescent="0.25">
      <c r="A30" s="54">
        <v>45449</v>
      </c>
      <c r="B30" s="55" t="s">
        <v>179</v>
      </c>
      <c r="C30" s="55" t="s">
        <v>43</v>
      </c>
      <c r="D30" s="56">
        <f t="shared" si="0"/>
        <v>148.7603305785124</v>
      </c>
      <c r="E30" s="56">
        <f t="shared" si="1"/>
        <v>14.876033057851238</v>
      </c>
      <c r="F30" s="61">
        <v>180</v>
      </c>
      <c r="G30" s="56"/>
      <c r="H30" s="58">
        <f t="shared" si="2"/>
        <v>180</v>
      </c>
      <c r="I30" s="117" t="s">
        <v>246</v>
      </c>
      <c r="J30" s="56">
        <v>180</v>
      </c>
      <c r="K30" s="56"/>
      <c r="L30" s="55"/>
      <c r="M30" s="60"/>
      <c r="N30" s="30"/>
      <c r="O30" s="30"/>
    </row>
    <row r="31" spans="1:15" x14ac:dyDescent="0.25">
      <c r="A31" s="54">
        <v>45449</v>
      </c>
      <c r="B31" s="55" t="s">
        <v>180</v>
      </c>
      <c r="C31" s="55" t="s">
        <v>43</v>
      </c>
      <c r="D31" s="56">
        <f t="shared" si="0"/>
        <v>297.52066115702479</v>
      </c>
      <c r="E31" s="56">
        <f t="shared" si="1"/>
        <v>29.752066115702476</v>
      </c>
      <c r="F31" s="61">
        <v>360</v>
      </c>
      <c r="G31" s="56">
        <v>50</v>
      </c>
      <c r="H31" s="58">
        <f t="shared" si="2"/>
        <v>310</v>
      </c>
      <c r="I31" s="64" t="s">
        <v>537</v>
      </c>
      <c r="J31" s="56">
        <v>360</v>
      </c>
      <c r="K31" s="56"/>
      <c r="L31" s="55"/>
      <c r="M31" s="60"/>
      <c r="N31" s="30"/>
      <c r="O31" s="30"/>
    </row>
    <row r="32" spans="1:15" x14ac:dyDescent="0.25">
      <c r="A32" s="54">
        <v>45511</v>
      </c>
      <c r="B32" s="55" t="s">
        <v>181</v>
      </c>
      <c r="C32" s="55" t="s">
        <v>43</v>
      </c>
      <c r="D32" s="56">
        <f t="shared" si="0"/>
        <v>206.61157024793388</v>
      </c>
      <c r="E32" s="56">
        <f t="shared" si="1"/>
        <v>20.661157024793386</v>
      </c>
      <c r="F32" s="61">
        <v>250</v>
      </c>
      <c r="G32" s="56">
        <v>50</v>
      </c>
      <c r="H32" s="58">
        <f t="shared" si="2"/>
        <v>200</v>
      </c>
      <c r="I32" s="59" t="s">
        <v>342</v>
      </c>
      <c r="J32" s="56">
        <v>200</v>
      </c>
      <c r="K32" s="56"/>
      <c r="L32" s="55"/>
      <c r="M32" s="60"/>
      <c r="N32" s="30"/>
      <c r="O32" s="30"/>
    </row>
    <row r="33" spans="1:15" x14ac:dyDescent="0.25">
      <c r="A33" s="54">
        <v>45330</v>
      </c>
      <c r="B33" s="55" t="s">
        <v>182</v>
      </c>
      <c r="C33" s="55" t="s">
        <v>43</v>
      </c>
      <c r="D33" s="56">
        <f t="shared" si="0"/>
        <v>1157.0247933884298</v>
      </c>
      <c r="E33" s="56">
        <f t="shared" si="1"/>
        <v>115.70247933884296</v>
      </c>
      <c r="F33" s="61">
        <v>1400</v>
      </c>
      <c r="G33" s="56">
        <v>1400</v>
      </c>
      <c r="H33" s="58">
        <f t="shared" si="2"/>
        <v>0</v>
      </c>
      <c r="I33" s="114" t="s">
        <v>507</v>
      </c>
      <c r="J33" s="56">
        <v>1400</v>
      </c>
      <c r="K33" s="56"/>
      <c r="L33" s="55"/>
      <c r="M33" s="60"/>
      <c r="N33" s="30"/>
      <c r="O33" s="30"/>
    </row>
    <row r="34" spans="1:15" x14ac:dyDescent="0.25">
      <c r="A34" s="54">
        <v>45330</v>
      </c>
      <c r="B34" s="55" t="s">
        <v>183</v>
      </c>
      <c r="C34" s="55" t="s">
        <v>43</v>
      </c>
      <c r="D34" s="56">
        <f t="shared" si="0"/>
        <v>140.49586776859505</v>
      </c>
      <c r="E34" s="56">
        <f t="shared" si="1"/>
        <v>14.049586776859506</v>
      </c>
      <c r="F34" s="61">
        <v>170</v>
      </c>
      <c r="G34" s="56">
        <v>50</v>
      </c>
      <c r="H34" s="58">
        <f t="shared" si="2"/>
        <v>120</v>
      </c>
      <c r="I34" s="59" t="s">
        <v>552</v>
      </c>
      <c r="J34" s="56">
        <v>170</v>
      </c>
      <c r="K34" s="56"/>
      <c r="L34" s="55"/>
      <c r="M34" s="60"/>
      <c r="N34" s="30"/>
      <c r="O34" s="30"/>
    </row>
    <row r="35" spans="1:15" x14ac:dyDescent="0.25">
      <c r="A35" s="54">
        <v>45331</v>
      </c>
      <c r="B35" s="55" t="s">
        <v>184</v>
      </c>
      <c r="C35" s="55" t="s">
        <v>43</v>
      </c>
      <c r="D35" s="56">
        <f t="shared" si="0"/>
        <v>99.173553719008268</v>
      </c>
      <c r="E35" s="56">
        <f t="shared" si="1"/>
        <v>9.9173553719008272</v>
      </c>
      <c r="F35" s="61">
        <v>120</v>
      </c>
      <c r="G35" s="56">
        <v>50</v>
      </c>
      <c r="H35" s="58">
        <f t="shared" si="2"/>
        <v>70</v>
      </c>
      <c r="I35" s="59" t="s">
        <v>552</v>
      </c>
      <c r="J35" s="56">
        <v>170</v>
      </c>
      <c r="K35" s="56"/>
      <c r="L35" s="55"/>
      <c r="M35" s="60"/>
      <c r="N35" s="30"/>
      <c r="O35" s="30"/>
    </row>
    <row r="36" spans="1:15" x14ac:dyDescent="0.25">
      <c r="A36" s="54">
        <v>45331</v>
      </c>
      <c r="B36" s="55" t="s">
        <v>185</v>
      </c>
      <c r="C36" s="55" t="s">
        <v>43</v>
      </c>
      <c r="D36" s="56">
        <f t="shared" si="0"/>
        <v>198.34710743801654</v>
      </c>
      <c r="E36" s="56">
        <f t="shared" si="1"/>
        <v>19.834710743801654</v>
      </c>
      <c r="F36" s="61">
        <v>240</v>
      </c>
      <c r="G36" s="56"/>
      <c r="H36" s="58">
        <f t="shared" si="2"/>
        <v>240</v>
      </c>
      <c r="I36" s="120" t="s">
        <v>554</v>
      </c>
      <c r="J36" s="56">
        <v>240</v>
      </c>
      <c r="K36" s="56"/>
      <c r="L36" s="55"/>
      <c r="M36" s="60"/>
      <c r="N36" s="30"/>
      <c r="O36" s="30"/>
    </row>
    <row r="37" spans="1:15" x14ac:dyDescent="0.25">
      <c r="A37" s="54">
        <v>45331</v>
      </c>
      <c r="B37" s="55" t="s">
        <v>186</v>
      </c>
      <c r="C37" s="55" t="s">
        <v>43</v>
      </c>
      <c r="D37" s="56">
        <f t="shared" si="0"/>
        <v>66.11570247933885</v>
      </c>
      <c r="E37" s="56">
        <f t="shared" si="1"/>
        <v>6.6115702479338845</v>
      </c>
      <c r="F37" s="61">
        <v>80</v>
      </c>
      <c r="G37" s="56">
        <v>50</v>
      </c>
      <c r="H37" s="58">
        <f t="shared" si="2"/>
        <v>30</v>
      </c>
      <c r="I37" s="64" t="s">
        <v>555</v>
      </c>
      <c r="J37" s="56">
        <v>130</v>
      </c>
      <c r="K37" s="56"/>
      <c r="L37" s="55"/>
      <c r="M37" s="60"/>
      <c r="N37" s="30"/>
      <c r="O37" s="30"/>
    </row>
    <row r="38" spans="1:15" x14ac:dyDescent="0.25">
      <c r="A38" s="71">
        <v>45332</v>
      </c>
      <c r="B38" s="55" t="s">
        <v>187</v>
      </c>
      <c r="C38" s="55" t="s">
        <v>43</v>
      </c>
      <c r="D38" s="56">
        <f t="shared" si="0"/>
        <v>219.00826446280993</v>
      </c>
      <c r="E38" s="56">
        <f t="shared" si="1"/>
        <v>21.900826446280995</v>
      </c>
      <c r="F38" s="63">
        <v>265</v>
      </c>
      <c r="G38" s="63">
        <v>50</v>
      </c>
      <c r="H38" s="58">
        <f t="shared" si="2"/>
        <v>215</v>
      </c>
      <c r="I38" s="64" t="s">
        <v>556</v>
      </c>
      <c r="J38" s="56">
        <v>220</v>
      </c>
      <c r="K38" s="72">
        <v>45</v>
      </c>
      <c r="L38" s="55" t="s">
        <v>45</v>
      </c>
      <c r="M38" s="60"/>
      <c r="N38" s="30"/>
      <c r="O38" s="30"/>
    </row>
    <row r="39" spans="1:15" x14ac:dyDescent="0.25">
      <c r="A39" s="71">
        <v>45332</v>
      </c>
      <c r="B39" s="55" t="s">
        <v>188</v>
      </c>
      <c r="C39" s="55" t="s">
        <v>43</v>
      </c>
      <c r="D39" s="56">
        <f t="shared" si="0"/>
        <v>238.01652892561984</v>
      </c>
      <c r="E39" s="56">
        <f t="shared" si="1"/>
        <v>23.801652892561982</v>
      </c>
      <c r="F39" s="63">
        <v>288</v>
      </c>
      <c r="G39" s="63">
        <v>100</v>
      </c>
      <c r="H39" s="58">
        <f t="shared" si="2"/>
        <v>188</v>
      </c>
      <c r="I39" s="64" t="s">
        <v>557</v>
      </c>
      <c r="J39" s="56">
        <v>220</v>
      </c>
      <c r="K39" s="56">
        <v>48</v>
      </c>
      <c r="L39" s="55" t="s">
        <v>560</v>
      </c>
      <c r="M39" s="60"/>
      <c r="N39" s="30"/>
      <c r="O39" s="30"/>
    </row>
    <row r="40" spans="1:15" x14ac:dyDescent="0.25">
      <c r="A40" s="71">
        <v>45332</v>
      </c>
      <c r="B40" s="55" t="s">
        <v>189</v>
      </c>
      <c r="C40" s="55" t="s">
        <v>43</v>
      </c>
      <c r="D40" s="56">
        <f t="shared" si="0"/>
        <v>198.34710743801654</v>
      </c>
      <c r="E40" s="56">
        <f t="shared" si="1"/>
        <v>19.834710743801654</v>
      </c>
      <c r="F40" s="63">
        <v>240</v>
      </c>
      <c r="G40" s="63">
        <v>240</v>
      </c>
      <c r="H40" s="58">
        <f t="shared" si="2"/>
        <v>0</v>
      </c>
      <c r="I40" s="64" t="s">
        <v>558</v>
      </c>
      <c r="J40" s="56">
        <v>240</v>
      </c>
      <c r="K40" s="56"/>
      <c r="L40" s="55"/>
      <c r="M40" s="60"/>
      <c r="N40" s="30"/>
      <c r="O40" s="30"/>
    </row>
    <row r="41" spans="1:15" x14ac:dyDescent="0.25">
      <c r="A41" s="71">
        <v>45332</v>
      </c>
      <c r="B41" s="55" t="s">
        <v>190</v>
      </c>
      <c r="C41" s="55" t="s">
        <v>43</v>
      </c>
      <c r="D41" s="56">
        <f t="shared" si="0"/>
        <v>219.00826446280993</v>
      </c>
      <c r="E41" s="56">
        <f t="shared" si="1"/>
        <v>21.900826446280995</v>
      </c>
      <c r="F41" s="63">
        <v>265</v>
      </c>
      <c r="G41" s="63">
        <v>50</v>
      </c>
      <c r="H41" s="58">
        <f t="shared" si="2"/>
        <v>215</v>
      </c>
      <c r="I41" s="64" t="s">
        <v>559</v>
      </c>
      <c r="J41" s="56">
        <v>220</v>
      </c>
      <c r="K41" s="56">
        <v>45</v>
      </c>
      <c r="L41" s="55" t="s">
        <v>45</v>
      </c>
      <c r="M41" s="60"/>
      <c r="N41" s="30"/>
      <c r="O41" s="30"/>
    </row>
    <row r="42" spans="1:15" x14ac:dyDescent="0.25">
      <c r="A42" s="71">
        <v>45332</v>
      </c>
      <c r="B42" s="55" t="s">
        <v>191</v>
      </c>
      <c r="C42" s="55" t="s">
        <v>43</v>
      </c>
      <c r="D42" s="56">
        <f t="shared" si="0"/>
        <v>223.14049586776861</v>
      </c>
      <c r="E42" s="56">
        <f t="shared" si="1"/>
        <v>22.314049586776861</v>
      </c>
      <c r="F42" s="63">
        <v>270</v>
      </c>
      <c r="G42" s="63">
        <v>50</v>
      </c>
      <c r="H42" s="58">
        <f t="shared" si="2"/>
        <v>220</v>
      </c>
      <c r="I42" s="64" t="s">
        <v>561</v>
      </c>
      <c r="J42" s="56">
        <v>270</v>
      </c>
      <c r="K42" s="56"/>
      <c r="L42" s="55"/>
      <c r="M42" s="60"/>
      <c r="N42" s="30"/>
      <c r="O42" s="30"/>
    </row>
    <row r="43" spans="1:15" x14ac:dyDescent="0.25">
      <c r="A43" s="71">
        <v>45332</v>
      </c>
      <c r="B43" s="55" t="s">
        <v>192</v>
      </c>
      <c r="C43" s="55" t="s">
        <v>43</v>
      </c>
      <c r="D43" s="56">
        <f t="shared" si="0"/>
        <v>256.198347107438</v>
      </c>
      <c r="E43" s="56">
        <f t="shared" si="1"/>
        <v>25.619834710743799</v>
      </c>
      <c r="F43" s="63">
        <v>310</v>
      </c>
      <c r="G43" s="63">
        <v>50</v>
      </c>
      <c r="H43" s="58">
        <f t="shared" si="2"/>
        <v>260</v>
      </c>
      <c r="I43" s="64" t="s">
        <v>563</v>
      </c>
      <c r="J43" s="56">
        <v>270</v>
      </c>
      <c r="K43" s="56">
        <v>40</v>
      </c>
      <c r="L43" s="55" t="s">
        <v>252</v>
      </c>
      <c r="M43" s="60"/>
      <c r="N43" s="30"/>
      <c r="O43" s="30"/>
    </row>
    <row r="44" spans="1:15" x14ac:dyDescent="0.25">
      <c r="A44" s="71">
        <v>45332</v>
      </c>
      <c r="B44" s="55" t="s">
        <v>193</v>
      </c>
      <c r="C44" s="55" t="s">
        <v>43</v>
      </c>
      <c r="D44" s="56">
        <f t="shared" si="0"/>
        <v>206.61157024793388</v>
      </c>
      <c r="E44" s="56">
        <f t="shared" si="1"/>
        <v>20.661157024793386</v>
      </c>
      <c r="F44" s="63">
        <v>250</v>
      </c>
      <c r="G44" s="63">
        <v>50</v>
      </c>
      <c r="H44" s="58">
        <f t="shared" si="2"/>
        <v>200</v>
      </c>
      <c r="I44" s="64" t="s">
        <v>564</v>
      </c>
      <c r="J44" s="56">
        <v>220</v>
      </c>
      <c r="K44" s="56">
        <v>30</v>
      </c>
      <c r="L44" s="55" t="s">
        <v>252</v>
      </c>
      <c r="M44" s="60"/>
      <c r="N44" s="30"/>
      <c r="O44" s="30"/>
    </row>
    <row r="45" spans="1:15" x14ac:dyDescent="0.25">
      <c r="A45" s="71">
        <v>45332</v>
      </c>
      <c r="B45" s="55" t="s">
        <v>194</v>
      </c>
      <c r="C45" s="55" t="s">
        <v>43</v>
      </c>
      <c r="D45" s="56">
        <f t="shared" si="0"/>
        <v>206.61157024793388</v>
      </c>
      <c r="E45" s="56">
        <f t="shared" si="1"/>
        <v>20.661157024793386</v>
      </c>
      <c r="F45" s="63">
        <v>250</v>
      </c>
      <c r="G45" s="63">
        <v>50</v>
      </c>
      <c r="H45" s="58">
        <f t="shared" si="2"/>
        <v>200</v>
      </c>
      <c r="I45" s="64" t="s">
        <v>565</v>
      </c>
      <c r="J45" s="56">
        <v>220</v>
      </c>
      <c r="K45" s="56">
        <v>30</v>
      </c>
      <c r="L45" s="55" t="s">
        <v>252</v>
      </c>
      <c r="M45" s="60"/>
      <c r="N45" s="30"/>
      <c r="O45" s="30"/>
    </row>
    <row r="46" spans="1:15" x14ac:dyDescent="0.25">
      <c r="A46" s="71">
        <v>45332</v>
      </c>
      <c r="B46" s="55" t="s">
        <v>195</v>
      </c>
      <c r="C46" s="55" t="s">
        <v>43</v>
      </c>
      <c r="D46" s="56">
        <f t="shared" si="0"/>
        <v>123.96694214876034</v>
      </c>
      <c r="E46" s="56">
        <f t="shared" si="1"/>
        <v>12.396694214876034</v>
      </c>
      <c r="F46" s="63">
        <v>150</v>
      </c>
      <c r="G46" s="63"/>
      <c r="H46" s="58">
        <f t="shared" si="2"/>
        <v>150</v>
      </c>
      <c r="I46" s="115" t="s">
        <v>507</v>
      </c>
      <c r="J46" s="56">
        <v>150</v>
      </c>
      <c r="K46" s="56"/>
      <c r="L46" s="55"/>
      <c r="M46" s="60"/>
      <c r="N46" s="30"/>
      <c r="O46" s="30"/>
    </row>
    <row r="47" spans="1:15" x14ac:dyDescent="0.25">
      <c r="A47" s="71">
        <v>45332</v>
      </c>
      <c r="B47" s="55" t="s">
        <v>196</v>
      </c>
      <c r="C47" s="55" t="s">
        <v>43</v>
      </c>
      <c r="D47" s="56">
        <f t="shared" si="0"/>
        <v>123.96694214876034</v>
      </c>
      <c r="E47" s="56">
        <f t="shared" si="1"/>
        <v>12.396694214876034</v>
      </c>
      <c r="F47" s="63">
        <v>150</v>
      </c>
      <c r="G47" s="63"/>
      <c r="H47" s="58">
        <f t="shared" si="2"/>
        <v>150</v>
      </c>
      <c r="I47" s="115" t="s">
        <v>566</v>
      </c>
      <c r="J47" s="56">
        <v>150</v>
      </c>
      <c r="K47" s="56"/>
      <c r="L47" s="55"/>
      <c r="M47" s="60"/>
      <c r="N47" s="30"/>
      <c r="O47" s="30"/>
    </row>
    <row r="48" spans="1:15" x14ac:dyDescent="0.25">
      <c r="A48" s="71">
        <v>45332</v>
      </c>
      <c r="B48" s="55" t="s">
        <v>197</v>
      </c>
      <c r="C48" s="55" t="s">
        <v>43</v>
      </c>
      <c r="D48" s="56">
        <f t="shared" si="0"/>
        <v>99.173553719008268</v>
      </c>
      <c r="E48" s="56">
        <f t="shared" si="1"/>
        <v>9.9173553719008272</v>
      </c>
      <c r="F48" s="63">
        <v>120</v>
      </c>
      <c r="G48" s="63">
        <v>50</v>
      </c>
      <c r="H48" s="58">
        <f t="shared" si="2"/>
        <v>70</v>
      </c>
      <c r="I48" s="64" t="s">
        <v>567</v>
      </c>
      <c r="J48" s="56">
        <v>170</v>
      </c>
      <c r="K48" s="56"/>
      <c r="L48" s="55"/>
      <c r="M48" s="60"/>
      <c r="N48" s="30"/>
      <c r="O48" s="30"/>
    </row>
    <row r="49" spans="1:15" x14ac:dyDescent="0.25">
      <c r="A49" s="71">
        <v>45332</v>
      </c>
      <c r="B49" s="55" t="s">
        <v>198</v>
      </c>
      <c r="C49" s="55" t="s">
        <v>43</v>
      </c>
      <c r="D49" s="56">
        <f t="shared" si="0"/>
        <v>148.7603305785124</v>
      </c>
      <c r="E49" s="56">
        <f t="shared" si="1"/>
        <v>14.876033057851238</v>
      </c>
      <c r="F49" s="63">
        <v>180</v>
      </c>
      <c r="G49" s="63"/>
      <c r="H49" s="58">
        <f t="shared" si="2"/>
        <v>180</v>
      </c>
      <c r="I49" s="117" t="s">
        <v>512</v>
      </c>
      <c r="J49" s="56">
        <v>180</v>
      </c>
      <c r="K49" s="56"/>
      <c r="L49" s="55"/>
      <c r="M49" s="60"/>
      <c r="N49" s="30"/>
      <c r="O49" s="30"/>
    </row>
    <row r="50" spans="1:15" x14ac:dyDescent="0.25">
      <c r="A50" s="71">
        <v>45332</v>
      </c>
      <c r="B50" s="55" t="s">
        <v>199</v>
      </c>
      <c r="C50" s="55" t="s">
        <v>43</v>
      </c>
      <c r="D50" s="56">
        <f t="shared" si="0"/>
        <v>123.96694214876034</v>
      </c>
      <c r="E50" s="56">
        <f t="shared" si="1"/>
        <v>12.396694214876034</v>
      </c>
      <c r="F50" s="63">
        <v>150</v>
      </c>
      <c r="G50" s="63"/>
      <c r="H50" s="58">
        <f t="shared" si="2"/>
        <v>150</v>
      </c>
      <c r="I50" s="121" t="s">
        <v>568</v>
      </c>
      <c r="J50" s="56">
        <v>150</v>
      </c>
      <c r="K50" s="56"/>
      <c r="L50" s="55"/>
      <c r="M50" s="60"/>
      <c r="N50" s="30"/>
      <c r="O50" s="30"/>
    </row>
    <row r="51" spans="1:15" x14ac:dyDescent="0.25">
      <c r="A51" s="71">
        <v>45332</v>
      </c>
      <c r="B51" s="55" t="s">
        <v>200</v>
      </c>
      <c r="C51" s="55" t="s">
        <v>43</v>
      </c>
      <c r="D51" s="56">
        <f t="shared" si="0"/>
        <v>181.81818181818181</v>
      </c>
      <c r="E51" s="56">
        <f t="shared" si="1"/>
        <v>18.18181818181818</v>
      </c>
      <c r="F51" s="63">
        <v>220</v>
      </c>
      <c r="G51" s="63">
        <v>50</v>
      </c>
      <c r="H51" s="58">
        <f t="shared" si="2"/>
        <v>170</v>
      </c>
      <c r="I51" s="64" t="s">
        <v>368</v>
      </c>
      <c r="J51" s="56">
        <v>220</v>
      </c>
      <c r="K51" s="56"/>
      <c r="L51" s="55"/>
      <c r="M51" s="60"/>
      <c r="N51" s="30"/>
      <c r="O51" s="30"/>
    </row>
    <row r="52" spans="1:15" x14ac:dyDescent="0.25">
      <c r="A52" s="73">
        <v>45332</v>
      </c>
      <c r="B52" s="55" t="s">
        <v>201</v>
      </c>
      <c r="C52" s="55" t="s">
        <v>43</v>
      </c>
      <c r="D52" s="56">
        <f t="shared" si="0"/>
        <v>219.00826446280993</v>
      </c>
      <c r="E52" s="56">
        <f t="shared" si="1"/>
        <v>21.900826446280995</v>
      </c>
      <c r="F52" s="63">
        <v>265</v>
      </c>
      <c r="G52" s="63">
        <v>50</v>
      </c>
      <c r="H52" s="58">
        <f t="shared" si="2"/>
        <v>215</v>
      </c>
      <c r="I52" s="74" t="s">
        <v>569</v>
      </c>
      <c r="J52" s="75">
        <v>220</v>
      </c>
      <c r="K52" s="75">
        <v>45</v>
      </c>
      <c r="L52" s="14" t="s">
        <v>45</v>
      </c>
      <c r="M52" s="60"/>
      <c r="N52" s="30"/>
      <c r="O52" s="68"/>
    </row>
    <row r="53" spans="1:15" x14ac:dyDescent="0.25">
      <c r="A53" s="71">
        <v>45332</v>
      </c>
      <c r="B53" s="55" t="s">
        <v>202</v>
      </c>
      <c r="C53" s="55" t="s">
        <v>43</v>
      </c>
      <c r="D53" s="56">
        <f t="shared" si="0"/>
        <v>181.81818181818181</v>
      </c>
      <c r="E53" s="56">
        <f t="shared" si="1"/>
        <v>18.18181818181818</v>
      </c>
      <c r="F53" s="63">
        <v>220</v>
      </c>
      <c r="G53" s="63">
        <v>50</v>
      </c>
      <c r="H53" s="58">
        <f t="shared" si="2"/>
        <v>170</v>
      </c>
      <c r="I53" s="64" t="s">
        <v>570</v>
      </c>
      <c r="J53" s="56">
        <v>220</v>
      </c>
      <c r="K53" s="56"/>
      <c r="L53" s="55"/>
      <c r="M53" s="60"/>
      <c r="N53" s="30"/>
      <c r="O53" s="30"/>
    </row>
    <row r="54" spans="1:15" x14ac:dyDescent="0.25">
      <c r="A54" s="71">
        <v>45332</v>
      </c>
      <c r="B54" s="55" t="s">
        <v>203</v>
      </c>
      <c r="C54" s="55" t="s">
        <v>43</v>
      </c>
      <c r="D54" s="56">
        <f t="shared" si="0"/>
        <v>173.55371900826447</v>
      </c>
      <c r="E54" s="56">
        <f t="shared" si="1"/>
        <v>17.355371900826448</v>
      </c>
      <c r="F54" s="63">
        <v>210</v>
      </c>
      <c r="G54" s="63">
        <v>50</v>
      </c>
      <c r="H54" s="58">
        <f t="shared" si="2"/>
        <v>160</v>
      </c>
      <c r="I54" s="64" t="s">
        <v>571</v>
      </c>
      <c r="J54" s="56">
        <v>170</v>
      </c>
      <c r="K54" s="56">
        <v>40</v>
      </c>
      <c r="L54" s="55" t="s">
        <v>252</v>
      </c>
      <c r="M54" s="60"/>
      <c r="N54" s="30"/>
      <c r="O54" s="30"/>
    </row>
    <row r="55" spans="1:15" x14ac:dyDescent="0.25">
      <c r="A55" s="71">
        <v>45332</v>
      </c>
      <c r="B55" s="55" t="s">
        <v>204</v>
      </c>
      <c r="C55" s="55" t="s">
        <v>43</v>
      </c>
      <c r="D55" s="56">
        <f t="shared" si="0"/>
        <v>140.49586776859505</v>
      </c>
      <c r="E55" s="56">
        <f t="shared" si="1"/>
        <v>14.049586776859506</v>
      </c>
      <c r="F55" s="63">
        <v>170</v>
      </c>
      <c r="G55" s="63">
        <v>50</v>
      </c>
      <c r="H55" s="58">
        <f t="shared" si="2"/>
        <v>120</v>
      </c>
      <c r="I55" s="64" t="s">
        <v>572</v>
      </c>
      <c r="J55" s="56">
        <v>170</v>
      </c>
      <c r="K55" s="56"/>
      <c r="L55" s="55"/>
      <c r="M55" s="60"/>
      <c r="N55" s="30"/>
      <c r="O55" s="30"/>
    </row>
    <row r="56" spans="1:15" x14ac:dyDescent="0.25">
      <c r="A56" s="71">
        <v>45332</v>
      </c>
      <c r="B56" s="55" t="s">
        <v>205</v>
      </c>
      <c r="C56" s="55" t="s">
        <v>43</v>
      </c>
      <c r="D56" s="56">
        <f t="shared" si="0"/>
        <v>107.43801652892563</v>
      </c>
      <c r="E56" s="56">
        <f t="shared" si="1"/>
        <v>10.743801652892563</v>
      </c>
      <c r="F56" s="63">
        <v>130</v>
      </c>
      <c r="G56" s="63"/>
      <c r="H56" s="58">
        <f t="shared" si="2"/>
        <v>130</v>
      </c>
      <c r="I56" s="115" t="s">
        <v>566</v>
      </c>
      <c r="J56" s="56">
        <v>130</v>
      </c>
      <c r="K56" s="56"/>
      <c r="L56" s="55"/>
      <c r="M56" s="60"/>
      <c r="N56" s="30"/>
      <c r="O56" s="30"/>
    </row>
    <row r="57" spans="1:15" x14ac:dyDescent="0.25">
      <c r="A57" s="71">
        <v>45332</v>
      </c>
      <c r="B57" s="55" t="s">
        <v>206</v>
      </c>
      <c r="C57" s="55" t="s">
        <v>43</v>
      </c>
      <c r="D57" s="56">
        <f t="shared" si="0"/>
        <v>140.49586776859505</v>
      </c>
      <c r="E57" s="56">
        <f t="shared" si="1"/>
        <v>14.049586776859506</v>
      </c>
      <c r="F57" s="63">
        <v>170</v>
      </c>
      <c r="G57" s="63">
        <v>50</v>
      </c>
      <c r="H57" s="58">
        <f t="shared" si="2"/>
        <v>120</v>
      </c>
      <c r="I57" s="64" t="s">
        <v>573</v>
      </c>
      <c r="J57" s="56">
        <v>170</v>
      </c>
      <c r="K57" s="56"/>
      <c r="L57" s="55"/>
      <c r="M57" s="60"/>
      <c r="N57" s="30"/>
      <c r="O57" s="30"/>
    </row>
    <row r="58" spans="1:15" x14ac:dyDescent="0.25">
      <c r="A58" s="71">
        <v>45332</v>
      </c>
      <c r="B58" s="55" t="s">
        <v>207</v>
      </c>
      <c r="C58" s="55" t="s">
        <v>43</v>
      </c>
      <c r="D58" s="56">
        <f t="shared" si="0"/>
        <v>223.14049586776861</v>
      </c>
      <c r="E58" s="56">
        <f t="shared" si="1"/>
        <v>22.314049586776861</v>
      </c>
      <c r="F58" s="63">
        <v>270</v>
      </c>
      <c r="G58" s="63">
        <v>270</v>
      </c>
      <c r="H58" s="58">
        <f t="shared" si="2"/>
        <v>0</v>
      </c>
      <c r="I58" s="64" t="s">
        <v>368</v>
      </c>
      <c r="J58" s="56">
        <v>170</v>
      </c>
      <c r="K58" s="56">
        <v>100</v>
      </c>
      <c r="L58" s="55" t="s">
        <v>420</v>
      </c>
      <c r="M58" s="60"/>
      <c r="N58" s="30"/>
      <c r="O58" s="30"/>
    </row>
    <row r="59" spans="1:15" x14ac:dyDescent="0.25">
      <c r="A59" s="71">
        <v>45333</v>
      </c>
      <c r="B59" s="55" t="s">
        <v>208</v>
      </c>
      <c r="C59" s="55" t="s">
        <v>43</v>
      </c>
      <c r="D59" s="56">
        <f t="shared" si="0"/>
        <v>198.34710743801654</v>
      </c>
      <c r="E59" s="56">
        <f t="shared" si="1"/>
        <v>19.834710743801654</v>
      </c>
      <c r="F59" s="63">
        <v>240</v>
      </c>
      <c r="G59" s="63">
        <v>50</v>
      </c>
      <c r="H59" s="58">
        <f t="shared" si="2"/>
        <v>190</v>
      </c>
      <c r="I59" s="64" t="s">
        <v>562</v>
      </c>
      <c r="J59" s="56">
        <v>220</v>
      </c>
      <c r="K59" s="56">
        <v>20</v>
      </c>
      <c r="L59" s="55" t="s">
        <v>252</v>
      </c>
      <c r="M59" s="60"/>
      <c r="N59" s="30"/>
      <c r="O59" s="30"/>
    </row>
    <row r="60" spans="1:15" x14ac:dyDescent="0.25">
      <c r="A60" s="71">
        <v>45333</v>
      </c>
      <c r="B60" s="55" t="s">
        <v>209</v>
      </c>
      <c r="C60" s="55" t="s">
        <v>43</v>
      </c>
      <c r="D60" s="56">
        <f t="shared" si="0"/>
        <v>148.7603305785124</v>
      </c>
      <c r="E60" s="56">
        <f t="shared" si="1"/>
        <v>14.876033057851238</v>
      </c>
      <c r="F60" s="63">
        <v>180</v>
      </c>
      <c r="G60" s="63"/>
      <c r="H60" s="58">
        <f t="shared" si="2"/>
        <v>180</v>
      </c>
      <c r="I60" s="115" t="s">
        <v>514</v>
      </c>
      <c r="J60" s="56">
        <v>180</v>
      </c>
      <c r="K60" s="56"/>
      <c r="L60" s="55"/>
      <c r="M60" s="60"/>
      <c r="N60" s="30"/>
      <c r="O60" s="30"/>
    </row>
    <row r="61" spans="1:15" x14ac:dyDescent="0.25">
      <c r="A61" s="71">
        <v>45363</v>
      </c>
      <c r="B61" s="55" t="s">
        <v>210</v>
      </c>
      <c r="C61" s="55" t="s">
        <v>43</v>
      </c>
      <c r="D61" s="56">
        <f t="shared" si="0"/>
        <v>243.801652892562</v>
      </c>
      <c r="E61" s="56">
        <f t="shared" si="1"/>
        <v>24.380165289256201</v>
      </c>
      <c r="F61" s="63">
        <v>295</v>
      </c>
      <c r="G61" s="63">
        <v>50</v>
      </c>
      <c r="H61" s="58">
        <f t="shared" si="2"/>
        <v>245</v>
      </c>
      <c r="I61" s="64" t="s">
        <v>574</v>
      </c>
      <c r="J61" s="56">
        <v>220</v>
      </c>
      <c r="K61" s="56">
        <v>45</v>
      </c>
      <c r="L61" s="55" t="s">
        <v>45</v>
      </c>
      <c r="M61" s="60">
        <v>30</v>
      </c>
      <c r="N61" s="30" t="s">
        <v>252</v>
      </c>
      <c r="O61" s="30"/>
    </row>
    <row r="62" spans="1:15" x14ac:dyDescent="0.25">
      <c r="A62" s="71">
        <v>45364</v>
      </c>
      <c r="B62" s="55" t="s">
        <v>211</v>
      </c>
      <c r="C62" s="55" t="s">
        <v>43</v>
      </c>
      <c r="D62" s="56">
        <f t="shared" si="0"/>
        <v>314.04958677685954</v>
      </c>
      <c r="E62" s="56">
        <f t="shared" si="1"/>
        <v>31.404958677685954</v>
      </c>
      <c r="F62" s="63">
        <v>380</v>
      </c>
      <c r="G62" s="63">
        <v>50</v>
      </c>
      <c r="H62" s="58">
        <f t="shared" si="2"/>
        <v>330</v>
      </c>
      <c r="I62" s="64" t="s">
        <v>592</v>
      </c>
      <c r="J62" s="56">
        <v>380</v>
      </c>
      <c r="K62" s="56"/>
      <c r="L62" s="55"/>
      <c r="M62" s="60"/>
      <c r="N62" s="30"/>
      <c r="O62" s="30"/>
    </row>
    <row r="63" spans="1:15" x14ac:dyDescent="0.25">
      <c r="A63" s="76">
        <v>45336</v>
      </c>
      <c r="B63" s="55" t="s">
        <v>212</v>
      </c>
      <c r="C63" s="55" t="s">
        <v>43</v>
      </c>
      <c r="D63" s="56">
        <f t="shared" si="0"/>
        <v>202.47933884297521</v>
      </c>
      <c r="E63" s="56">
        <f t="shared" si="1"/>
        <v>20.247933884297524</v>
      </c>
      <c r="F63" s="63">
        <v>245</v>
      </c>
      <c r="G63" s="63"/>
      <c r="H63" s="58">
        <f t="shared" si="2"/>
        <v>245</v>
      </c>
      <c r="I63" s="115" t="s">
        <v>566</v>
      </c>
      <c r="J63" s="56">
        <v>200</v>
      </c>
      <c r="K63" s="56">
        <v>45</v>
      </c>
      <c r="L63" s="55" t="s">
        <v>593</v>
      </c>
      <c r="M63" s="60"/>
      <c r="N63" s="30"/>
      <c r="O63" s="30"/>
    </row>
    <row r="64" spans="1:15" x14ac:dyDescent="0.25">
      <c r="A64" s="76">
        <v>45336</v>
      </c>
      <c r="B64" s="55" t="s">
        <v>213</v>
      </c>
      <c r="C64" s="55" t="s">
        <v>43</v>
      </c>
      <c r="D64" s="56">
        <f t="shared" si="0"/>
        <v>210.74380165289256</v>
      </c>
      <c r="E64" s="56">
        <f t="shared" si="1"/>
        <v>21.074380165289259</v>
      </c>
      <c r="F64" s="63">
        <v>255</v>
      </c>
      <c r="G64" s="63">
        <v>50</v>
      </c>
      <c r="H64" s="58">
        <f t="shared" si="2"/>
        <v>205</v>
      </c>
      <c r="I64" s="64" t="s">
        <v>594</v>
      </c>
      <c r="J64" s="56">
        <v>170</v>
      </c>
      <c r="K64" s="56">
        <v>40</v>
      </c>
      <c r="L64" s="55" t="s">
        <v>252</v>
      </c>
      <c r="M64" s="60">
        <v>45</v>
      </c>
      <c r="N64" s="30" t="s">
        <v>593</v>
      </c>
      <c r="O64" s="30"/>
    </row>
    <row r="65" spans="1:15" x14ac:dyDescent="0.25">
      <c r="A65" s="76">
        <v>45336</v>
      </c>
      <c r="B65" s="55" t="s">
        <v>214</v>
      </c>
      <c r="C65" s="55" t="s">
        <v>43</v>
      </c>
      <c r="D65" s="56">
        <f t="shared" si="0"/>
        <v>181.81818181818181</v>
      </c>
      <c r="E65" s="56">
        <f t="shared" si="1"/>
        <v>18.18181818181818</v>
      </c>
      <c r="F65" s="63">
        <v>220</v>
      </c>
      <c r="G65" s="63">
        <v>50</v>
      </c>
      <c r="H65" s="58">
        <f t="shared" si="2"/>
        <v>170</v>
      </c>
      <c r="I65" s="64" t="s">
        <v>595</v>
      </c>
      <c r="J65" s="56">
        <v>220</v>
      </c>
      <c r="K65" s="56"/>
      <c r="L65" s="55"/>
      <c r="M65" s="60"/>
      <c r="N65" s="30"/>
      <c r="O65" s="30"/>
    </row>
    <row r="66" spans="1:15" x14ac:dyDescent="0.25">
      <c r="A66" s="76">
        <v>45336</v>
      </c>
      <c r="B66" s="55" t="s">
        <v>215</v>
      </c>
      <c r="C66" s="55" t="s">
        <v>43</v>
      </c>
      <c r="D66" s="56">
        <f t="shared" si="0"/>
        <v>165.28925619834712</v>
      </c>
      <c r="E66" s="56">
        <f t="shared" si="1"/>
        <v>16.528925619834713</v>
      </c>
      <c r="F66" s="63">
        <v>200</v>
      </c>
      <c r="G66" s="63"/>
      <c r="H66" s="58">
        <f t="shared" si="2"/>
        <v>200</v>
      </c>
      <c r="I66" s="117" t="s">
        <v>246</v>
      </c>
      <c r="J66" s="56">
        <v>180</v>
      </c>
      <c r="K66" s="56">
        <v>20</v>
      </c>
      <c r="L66" s="55" t="s">
        <v>252</v>
      </c>
      <c r="M66" s="60"/>
      <c r="N66" s="30"/>
      <c r="O66" s="30"/>
    </row>
    <row r="67" spans="1:15" x14ac:dyDescent="0.25">
      <c r="A67" s="71">
        <v>45337</v>
      </c>
      <c r="B67" s="55" t="s">
        <v>216</v>
      </c>
      <c r="C67" s="55" t="s">
        <v>43</v>
      </c>
      <c r="D67" s="56">
        <f t="shared" ref="D67:D130" si="3">F67/1.21</f>
        <v>181.81818181818181</v>
      </c>
      <c r="E67" s="56">
        <f t="shared" si="1"/>
        <v>18.18181818181818</v>
      </c>
      <c r="F67" s="63">
        <v>220</v>
      </c>
      <c r="G67" s="63">
        <v>50</v>
      </c>
      <c r="H67" s="58">
        <f t="shared" si="2"/>
        <v>170</v>
      </c>
      <c r="I67" s="64" t="s">
        <v>601</v>
      </c>
      <c r="J67" s="56">
        <v>220</v>
      </c>
      <c r="K67" s="56"/>
      <c r="L67" s="55"/>
      <c r="M67" s="60"/>
      <c r="N67" s="30"/>
      <c r="O67" s="30"/>
    </row>
    <row r="68" spans="1:15" x14ac:dyDescent="0.25">
      <c r="A68" s="71">
        <v>45338</v>
      </c>
      <c r="B68" s="55" t="s">
        <v>217</v>
      </c>
      <c r="C68" s="55" t="s">
        <v>43</v>
      </c>
      <c r="D68" s="56">
        <f t="shared" si="3"/>
        <v>285.12396694214874</v>
      </c>
      <c r="E68" s="56">
        <f t="shared" ref="E68:E131" si="4">D68*10/100</f>
        <v>28.512396694214875</v>
      </c>
      <c r="F68" s="63">
        <v>345</v>
      </c>
      <c r="G68" s="63">
        <v>50</v>
      </c>
      <c r="H68" s="58">
        <f t="shared" si="2"/>
        <v>295</v>
      </c>
      <c r="I68" s="64" t="s">
        <v>602</v>
      </c>
      <c r="J68" s="56">
        <v>270</v>
      </c>
      <c r="K68" s="56">
        <v>30</v>
      </c>
      <c r="L68" s="55" t="s">
        <v>252</v>
      </c>
      <c r="M68" s="60">
        <v>45</v>
      </c>
      <c r="N68" s="30" t="s">
        <v>45</v>
      </c>
      <c r="O68" s="30"/>
    </row>
    <row r="69" spans="1:15" x14ac:dyDescent="0.25">
      <c r="A69" s="71">
        <v>45338</v>
      </c>
      <c r="B69" s="55" t="s">
        <v>218</v>
      </c>
      <c r="C69" s="55" t="s">
        <v>43</v>
      </c>
      <c r="D69" s="56">
        <f t="shared" si="3"/>
        <v>140.49586776859505</v>
      </c>
      <c r="E69" s="56">
        <f t="shared" si="4"/>
        <v>14.049586776859506</v>
      </c>
      <c r="F69" s="63">
        <v>170</v>
      </c>
      <c r="G69" s="63"/>
      <c r="H69" s="58">
        <f t="shared" si="2"/>
        <v>170</v>
      </c>
      <c r="I69" s="117" t="s">
        <v>603</v>
      </c>
      <c r="J69" s="56">
        <v>170</v>
      </c>
      <c r="K69" s="56"/>
      <c r="L69" s="55"/>
      <c r="M69" s="60"/>
      <c r="N69" s="30"/>
      <c r="O69" s="30"/>
    </row>
    <row r="70" spans="1:15" x14ac:dyDescent="0.25">
      <c r="A70" s="71">
        <v>45338</v>
      </c>
      <c r="B70" s="55" t="s">
        <v>219</v>
      </c>
      <c r="C70" s="55" t="s">
        <v>43</v>
      </c>
      <c r="D70" s="56">
        <f t="shared" si="3"/>
        <v>165.28925619834712</v>
      </c>
      <c r="E70" s="56">
        <f t="shared" si="4"/>
        <v>16.528925619834713</v>
      </c>
      <c r="F70" s="63">
        <v>200</v>
      </c>
      <c r="G70" s="63"/>
      <c r="H70" s="58">
        <f t="shared" ref="H70:H133" si="5">F70-G70</f>
        <v>200</v>
      </c>
      <c r="I70" s="115" t="s">
        <v>604</v>
      </c>
      <c r="J70" s="56">
        <v>200</v>
      </c>
      <c r="K70" s="56"/>
      <c r="L70" s="55"/>
      <c r="M70" s="60"/>
      <c r="N70" s="30"/>
      <c r="O70" s="30"/>
    </row>
    <row r="71" spans="1:15" x14ac:dyDescent="0.25">
      <c r="A71" s="71">
        <v>45338</v>
      </c>
      <c r="B71" s="55" t="s">
        <v>220</v>
      </c>
      <c r="C71" s="55" t="s">
        <v>43</v>
      </c>
      <c r="D71" s="56">
        <f t="shared" si="3"/>
        <v>148.7603305785124</v>
      </c>
      <c r="E71" s="56">
        <f t="shared" si="4"/>
        <v>14.876033057851238</v>
      </c>
      <c r="F71" s="63">
        <v>180</v>
      </c>
      <c r="G71" s="63"/>
      <c r="H71" s="58">
        <f t="shared" si="5"/>
        <v>180</v>
      </c>
      <c r="I71" s="117" t="s">
        <v>603</v>
      </c>
      <c r="J71" s="56">
        <v>180</v>
      </c>
      <c r="K71" s="56"/>
      <c r="L71" s="55"/>
      <c r="M71" s="60"/>
      <c r="N71" s="30"/>
      <c r="O71" s="30"/>
    </row>
    <row r="72" spans="1:15" x14ac:dyDescent="0.25">
      <c r="A72" s="71">
        <v>45338</v>
      </c>
      <c r="B72" s="55" t="s">
        <v>221</v>
      </c>
      <c r="C72" s="55" t="s">
        <v>43</v>
      </c>
      <c r="D72" s="56">
        <f t="shared" si="3"/>
        <v>148.7603305785124</v>
      </c>
      <c r="E72" s="56">
        <f t="shared" si="4"/>
        <v>14.876033057851238</v>
      </c>
      <c r="F72" s="63">
        <v>180</v>
      </c>
      <c r="G72" s="63"/>
      <c r="H72" s="58">
        <f t="shared" si="5"/>
        <v>180</v>
      </c>
      <c r="I72" s="115" t="s">
        <v>604</v>
      </c>
      <c r="J72" s="56">
        <v>180</v>
      </c>
      <c r="K72" s="56"/>
      <c r="L72" s="55"/>
      <c r="M72" s="60"/>
      <c r="N72" s="30"/>
      <c r="O72" s="30"/>
    </row>
    <row r="73" spans="1:15" x14ac:dyDescent="0.25">
      <c r="A73" s="71">
        <v>45338</v>
      </c>
      <c r="B73" s="55" t="s">
        <v>222</v>
      </c>
      <c r="C73" s="55" t="s">
        <v>43</v>
      </c>
      <c r="D73" s="56">
        <f t="shared" si="3"/>
        <v>181.81818181818181</v>
      </c>
      <c r="E73" s="56">
        <f t="shared" si="4"/>
        <v>18.18181818181818</v>
      </c>
      <c r="F73" s="63">
        <v>220</v>
      </c>
      <c r="G73" s="63">
        <v>220</v>
      </c>
      <c r="H73" s="58">
        <f t="shared" si="5"/>
        <v>0</v>
      </c>
      <c r="I73" s="64" t="s">
        <v>605</v>
      </c>
      <c r="J73" s="56">
        <v>220</v>
      </c>
      <c r="K73" s="56"/>
      <c r="L73" s="55"/>
      <c r="M73" s="60"/>
      <c r="N73" s="30"/>
      <c r="O73" s="30"/>
    </row>
    <row r="74" spans="1:15" x14ac:dyDescent="0.25">
      <c r="A74" s="71">
        <v>45338</v>
      </c>
      <c r="B74" s="55" t="s">
        <v>223</v>
      </c>
      <c r="C74" s="55" t="s">
        <v>43</v>
      </c>
      <c r="D74" s="56">
        <f t="shared" si="3"/>
        <v>264.4628099173554</v>
      </c>
      <c r="E74" s="56">
        <f t="shared" si="4"/>
        <v>26.446280991735538</v>
      </c>
      <c r="F74" s="63">
        <v>320</v>
      </c>
      <c r="G74" s="63">
        <v>50</v>
      </c>
      <c r="H74" s="58">
        <f t="shared" si="5"/>
        <v>270</v>
      </c>
      <c r="I74" s="64" t="s">
        <v>606</v>
      </c>
      <c r="J74" s="56">
        <v>320</v>
      </c>
      <c r="K74" s="56"/>
      <c r="L74" s="55"/>
      <c r="M74" s="60"/>
      <c r="N74" s="30"/>
      <c r="O74" s="30"/>
    </row>
    <row r="75" spans="1:15" x14ac:dyDescent="0.25">
      <c r="A75" s="71">
        <v>45338</v>
      </c>
      <c r="B75" s="55" t="s">
        <v>224</v>
      </c>
      <c r="C75" s="55" t="s">
        <v>43</v>
      </c>
      <c r="D75" s="56">
        <f t="shared" si="3"/>
        <v>107.43801652892563</v>
      </c>
      <c r="E75" s="56">
        <f t="shared" si="4"/>
        <v>10.743801652892563</v>
      </c>
      <c r="F75" s="63">
        <v>130</v>
      </c>
      <c r="G75" s="66"/>
      <c r="H75" s="58">
        <f t="shared" si="5"/>
        <v>130</v>
      </c>
      <c r="I75" s="115" t="s">
        <v>604</v>
      </c>
      <c r="J75" s="56">
        <v>130</v>
      </c>
      <c r="K75" s="56"/>
      <c r="L75" s="55"/>
      <c r="M75" s="60"/>
      <c r="N75" s="30"/>
      <c r="O75" s="30"/>
    </row>
    <row r="76" spans="1:15" x14ac:dyDescent="0.25">
      <c r="A76" s="71">
        <v>45338</v>
      </c>
      <c r="B76" s="55" t="s">
        <v>225</v>
      </c>
      <c r="C76" s="55" t="s">
        <v>43</v>
      </c>
      <c r="D76" s="56">
        <f t="shared" si="3"/>
        <v>140.49586776859505</v>
      </c>
      <c r="E76" s="56">
        <f t="shared" si="4"/>
        <v>14.049586776859506</v>
      </c>
      <c r="F76" s="63">
        <v>170</v>
      </c>
      <c r="G76" s="63">
        <v>170</v>
      </c>
      <c r="H76" s="58">
        <f t="shared" si="5"/>
        <v>0</v>
      </c>
      <c r="I76" s="64" t="s">
        <v>607</v>
      </c>
      <c r="J76" s="56">
        <v>170</v>
      </c>
      <c r="K76" s="56"/>
      <c r="L76" s="55"/>
      <c r="M76" s="60"/>
      <c r="N76" s="30"/>
      <c r="O76" s="30"/>
    </row>
    <row r="77" spans="1:15" x14ac:dyDescent="0.25">
      <c r="A77" s="71">
        <v>45338</v>
      </c>
      <c r="B77" s="55" t="s">
        <v>226</v>
      </c>
      <c r="C77" s="55" t="s">
        <v>43</v>
      </c>
      <c r="D77" s="56">
        <f t="shared" si="3"/>
        <v>140.49586776859505</v>
      </c>
      <c r="E77" s="56">
        <f t="shared" si="4"/>
        <v>14.049586776859506</v>
      </c>
      <c r="F77" s="63">
        <v>170</v>
      </c>
      <c r="G77" s="63">
        <v>50</v>
      </c>
      <c r="H77" s="58">
        <f t="shared" si="5"/>
        <v>120</v>
      </c>
      <c r="I77" s="64" t="s">
        <v>608</v>
      </c>
      <c r="J77" s="56">
        <v>170</v>
      </c>
      <c r="K77" s="77"/>
      <c r="L77" s="55"/>
      <c r="M77" s="60"/>
      <c r="N77" s="30"/>
      <c r="O77" s="30"/>
    </row>
    <row r="78" spans="1:15" x14ac:dyDescent="0.25">
      <c r="A78" s="71">
        <v>45338</v>
      </c>
      <c r="B78" s="55" t="s">
        <v>227</v>
      </c>
      <c r="C78" s="55" t="s">
        <v>43</v>
      </c>
      <c r="D78" s="56">
        <f t="shared" si="3"/>
        <v>115.70247933884298</v>
      </c>
      <c r="E78" s="56">
        <f t="shared" si="4"/>
        <v>11.570247933884298</v>
      </c>
      <c r="F78" s="78">
        <v>140</v>
      </c>
      <c r="G78" s="78"/>
      <c r="H78" s="58">
        <f t="shared" si="5"/>
        <v>140</v>
      </c>
      <c r="I78" s="117" t="s">
        <v>603</v>
      </c>
      <c r="J78" s="79">
        <v>140</v>
      </c>
      <c r="K78" s="80"/>
      <c r="L78" s="81"/>
      <c r="M78" s="82"/>
      <c r="N78" s="83"/>
      <c r="O78" s="83"/>
    </row>
    <row r="79" spans="1:15" x14ac:dyDescent="0.25">
      <c r="A79" s="71">
        <v>45338</v>
      </c>
      <c r="B79" s="55" t="s">
        <v>228</v>
      </c>
      <c r="C79" s="55" t="s">
        <v>43</v>
      </c>
      <c r="D79" s="56">
        <f t="shared" si="3"/>
        <v>115.70247933884298</v>
      </c>
      <c r="E79" s="56">
        <f t="shared" si="4"/>
        <v>11.570247933884298</v>
      </c>
      <c r="F79" s="84">
        <v>140</v>
      </c>
      <c r="G79" s="63"/>
      <c r="H79" s="58">
        <f t="shared" si="5"/>
        <v>140</v>
      </c>
      <c r="I79" s="117" t="s">
        <v>603</v>
      </c>
      <c r="J79" s="50">
        <v>140</v>
      </c>
      <c r="K79" s="85"/>
      <c r="L79" s="14"/>
      <c r="M79" s="50"/>
      <c r="N79" s="50"/>
      <c r="O79" s="50"/>
    </row>
    <row r="80" spans="1:15" x14ac:dyDescent="0.25">
      <c r="A80" s="71">
        <v>45338</v>
      </c>
      <c r="B80" s="55" t="s">
        <v>229</v>
      </c>
      <c r="C80" s="55" t="s">
        <v>43</v>
      </c>
      <c r="D80" s="56">
        <f t="shared" si="3"/>
        <v>140.49586776859505</v>
      </c>
      <c r="E80" s="56">
        <f t="shared" si="4"/>
        <v>14.049586776859506</v>
      </c>
      <c r="F80" s="84">
        <v>170</v>
      </c>
      <c r="G80" s="63">
        <v>170</v>
      </c>
      <c r="H80" s="58">
        <f t="shared" si="5"/>
        <v>0</v>
      </c>
      <c r="I80" s="64" t="s">
        <v>609</v>
      </c>
      <c r="J80" s="50">
        <v>170</v>
      </c>
      <c r="K80" s="85"/>
      <c r="L80" s="14"/>
      <c r="M80" s="50"/>
      <c r="N80" s="50"/>
      <c r="O80" s="50"/>
    </row>
    <row r="81" spans="1:15" x14ac:dyDescent="0.25">
      <c r="A81" s="71">
        <v>45338</v>
      </c>
      <c r="B81" s="55" t="s">
        <v>230</v>
      </c>
      <c r="C81" s="55" t="s">
        <v>43</v>
      </c>
      <c r="D81" s="56">
        <f t="shared" si="3"/>
        <v>140.49586776859505</v>
      </c>
      <c r="E81" s="56">
        <f t="shared" si="4"/>
        <v>14.049586776859506</v>
      </c>
      <c r="F81" s="84">
        <v>170</v>
      </c>
      <c r="G81" s="63"/>
      <c r="H81" s="58">
        <f t="shared" si="5"/>
        <v>170</v>
      </c>
      <c r="I81" s="117" t="s">
        <v>603</v>
      </c>
      <c r="J81" s="50">
        <v>170</v>
      </c>
      <c r="K81" s="85"/>
      <c r="L81" s="14"/>
      <c r="M81" s="50"/>
      <c r="N81" s="50"/>
      <c r="O81" s="50"/>
    </row>
    <row r="82" spans="1:15" x14ac:dyDescent="0.25">
      <c r="A82" s="71">
        <v>45338</v>
      </c>
      <c r="B82" s="55" t="s">
        <v>231</v>
      </c>
      <c r="C82" s="55" t="s">
        <v>43</v>
      </c>
      <c r="D82" s="56">
        <f t="shared" si="3"/>
        <v>140.49586776859505</v>
      </c>
      <c r="E82" s="56">
        <f t="shared" si="4"/>
        <v>14.049586776859506</v>
      </c>
      <c r="F82" s="84">
        <v>170</v>
      </c>
      <c r="G82" s="63">
        <v>50</v>
      </c>
      <c r="H82" s="58">
        <f t="shared" si="5"/>
        <v>120</v>
      </c>
      <c r="I82" s="64" t="s">
        <v>610</v>
      </c>
      <c r="J82" s="50">
        <v>170</v>
      </c>
      <c r="K82" s="85"/>
      <c r="L82" s="14"/>
      <c r="M82" s="50"/>
      <c r="N82" s="50"/>
      <c r="O82" s="50"/>
    </row>
    <row r="83" spans="1:15" x14ac:dyDescent="0.25">
      <c r="A83" s="71">
        <v>45339</v>
      </c>
      <c r="B83" s="55" t="s">
        <v>232</v>
      </c>
      <c r="C83" s="55" t="s">
        <v>43</v>
      </c>
      <c r="D83" s="56">
        <f t="shared" si="3"/>
        <v>247.93388429752068</v>
      </c>
      <c r="E83" s="56">
        <f t="shared" si="4"/>
        <v>24.793388429752067</v>
      </c>
      <c r="F83" s="84">
        <v>300</v>
      </c>
      <c r="G83" s="66">
        <v>50</v>
      </c>
      <c r="H83" s="58">
        <f t="shared" si="5"/>
        <v>250</v>
      </c>
      <c r="I83" s="64" t="s">
        <v>611</v>
      </c>
      <c r="J83" s="50">
        <v>270</v>
      </c>
      <c r="K83" s="85">
        <v>30</v>
      </c>
      <c r="L83" s="14" t="s">
        <v>252</v>
      </c>
      <c r="M83" s="50"/>
      <c r="N83" s="50"/>
      <c r="O83" s="50"/>
    </row>
    <row r="84" spans="1:15" x14ac:dyDescent="0.25">
      <c r="A84" s="71">
        <v>45339</v>
      </c>
      <c r="B84" s="55" t="s">
        <v>233</v>
      </c>
      <c r="C84" s="55" t="s">
        <v>43</v>
      </c>
      <c r="D84" s="56">
        <f t="shared" si="3"/>
        <v>181.81818181818181</v>
      </c>
      <c r="E84" s="56">
        <f t="shared" si="4"/>
        <v>18.18181818181818</v>
      </c>
      <c r="F84" s="84">
        <v>220</v>
      </c>
      <c r="G84" s="63">
        <v>50</v>
      </c>
      <c r="H84" s="58">
        <f t="shared" si="5"/>
        <v>170</v>
      </c>
      <c r="I84" s="64" t="s">
        <v>612</v>
      </c>
      <c r="J84" s="50">
        <v>270</v>
      </c>
      <c r="K84" s="85"/>
      <c r="L84" s="14"/>
      <c r="M84" s="50"/>
      <c r="N84" s="50"/>
      <c r="O84" s="50"/>
    </row>
    <row r="85" spans="1:15" x14ac:dyDescent="0.25">
      <c r="A85" s="71">
        <v>45339</v>
      </c>
      <c r="B85" s="55" t="s">
        <v>234</v>
      </c>
      <c r="C85" s="55" t="s">
        <v>43</v>
      </c>
      <c r="D85" s="56">
        <f t="shared" si="3"/>
        <v>181.81818181818181</v>
      </c>
      <c r="E85" s="56">
        <f t="shared" si="4"/>
        <v>18.18181818181818</v>
      </c>
      <c r="F85" s="84">
        <v>220</v>
      </c>
      <c r="G85" s="63"/>
      <c r="H85" s="58">
        <f t="shared" si="5"/>
        <v>220</v>
      </c>
      <c r="I85" s="115" t="s">
        <v>514</v>
      </c>
      <c r="J85" s="50">
        <v>220</v>
      </c>
      <c r="K85" s="85"/>
      <c r="L85" s="14"/>
      <c r="M85" s="50"/>
      <c r="N85" s="50"/>
      <c r="O85" s="50"/>
    </row>
    <row r="86" spans="1:15" x14ac:dyDescent="0.25">
      <c r="A86" s="99">
        <v>45339</v>
      </c>
      <c r="B86" s="55" t="s">
        <v>235</v>
      </c>
      <c r="C86" s="55" t="s">
        <v>43</v>
      </c>
      <c r="D86" s="56">
        <f t="shared" si="3"/>
        <v>181.81818181818181</v>
      </c>
      <c r="E86" s="56">
        <f t="shared" si="4"/>
        <v>18.18181818181818</v>
      </c>
      <c r="F86" s="84">
        <v>220</v>
      </c>
      <c r="G86" s="63">
        <v>50</v>
      </c>
      <c r="H86" s="58">
        <f t="shared" si="5"/>
        <v>170</v>
      </c>
      <c r="I86" s="64" t="s">
        <v>613</v>
      </c>
      <c r="J86" s="50">
        <v>270</v>
      </c>
      <c r="K86" s="85"/>
      <c r="L86" s="14"/>
      <c r="M86" s="50"/>
      <c r="N86" s="50"/>
      <c r="O86" s="50"/>
    </row>
    <row r="87" spans="1:15" x14ac:dyDescent="0.25">
      <c r="A87" s="99">
        <v>45339</v>
      </c>
      <c r="B87" s="55" t="s">
        <v>236</v>
      </c>
      <c r="C87" s="55" t="s">
        <v>43</v>
      </c>
      <c r="D87" s="56">
        <f t="shared" si="3"/>
        <v>148.7603305785124</v>
      </c>
      <c r="E87" s="56">
        <f t="shared" si="4"/>
        <v>14.876033057851238</v>
      </c>
      <c r="F87" s="84">
        <v>180</v>
      </c>
      <c r="G87" s="63"/>
      <c r="H87" s="58">
        <f t="shared" si="5"/>
        <v>180</v>
      </c>
      <c r="I87" s="117" t="s">
        <v>603</v>
      </c>
      <c r="J87" s="50">
        <v>180</v>
      </c>
      <c r="K87" s="85"/>
      <c r="L87" s="86"/>
      <c r="M87" s="50"/>
      <c r="N87" s="50"/>
      <c r="O87" s="50"/>
    </row>
    <row r="88" spans="1:15" x14ac:dyDescent="0.25">
      <c r="A88" s="99">
        <v>45339</v>
      </c>
      <c r="B88" s="55" t="s">
        <v>237</v>
      </c>
      <c r="C88" s="55" t="s">
        <v>43</v>
      </c>
      <c r="D88" s="56">
        <f t="shared" si="3"/>
        <v>181.81818181818181</v>
      </c>
      <c r="E88" s="56">
        <f t="shared" si="4"/>
        <v>18.18181818181818</v>
      </c>
      <c r="F88" s="84">
        <v>220</v>
      </c>
      <c r="G88" s="63">
        <v>50</v>
      </c>
      <c r="H88" s="58">
        <f t="shared" si="5"/>
        <v>170</v>
      </c>
      <c r="I88" s="64" t="s">
        <v>614</v>
      </c>
      <c r="J88" s="50">
        <v>220</v>
      </c>
      <c r="K88" s="85"/>
      <c r="L88" s="14"/>
      <c r="M88" s="87"/>
      <c r="N88" s="50"/>
      <c r="O88" s="50"/>
    </row>
    <row r="89" spans="1:15" x14ac:dyDescent="0.25">
      <c r="A89" s="99">
        <v>45339</v>
      </c>
      <c r="B89" s="55" t="s">
        <v>238</v>
      </c>
      <c r="C89" s="55" t="s">
        <v>43</v>
      </c>
      <c r="D89" s="56">
        <f t="shared" si="3"/>
        <v>123.96694214876034</v>
      </c>
      <c r="E89" s="56">
        <f t="shared" si="4"/>
        <v>12.396694214876034</v>
      </c>
      <c r="F89" s="84">
        <v>150</v>
      </c>
      <c r="G89" s="63"/>
      <c r="H89" s="58">
        <f t="shared" si="5"/>
        <v>150</v>
      </c>
      <c r="I89" s="115" t="s">
        <v>566</v>
      </c>
      <c r="J89" s="50">
        <v>150</v>
      </c>
      <c r="K89" s="85"/>
      <c r="L89" s="14"/>
      <c r="M89" s="50"/>
      <c r="N89" s="50"/>
      <c r="O89" s="50"/>
    </row>
    <row r="90" spans="1:15" x14ac:dyDescent="0.25">
      <c r="A90" s="99">
        <v>45339</v>
      </c>
      <c r="B90" s="55" t="s">
        <v>239</v>
      </c>
      <c r="C90" s="55" t="s">
        <v>43</v>
      </c>
      <c r="D90" s="56">
        <f t="shared" si="3"/>
        <v>140.49586776859505</v>
      </c>
      <c r="E90" s="56">
        <f t="shared" si="4"/>
        <v>14.049586776859506</v>
      </c>
      <c r="F90" s="84">
        <v>170</v>
      </c>
      <c r="G90" s="122">
        <v>50</v>
      </c>
      <c r="H90" s="58">
        <f t="shared" si="5"/>
        <v>120</v>
      </c>
      <c r="I90" s="64" t="s">
        <v>615</v>
      </c>
      <c r="J90" s="50">
        <v>170</v>
      </c>
      <c r="K90" s="85"/>
      <c r="L90" s="14"/>
      <c r="M90" s="50"/>
      <c r="N90" s="50"/>
      <c r="O90" s="50"/>
    </row>
    <row r="91" spans="1:15" x14ac:dyDescent="0.25">
      <c r="A91" s="99">
        <v>45339</v>
      </c>
      <c r="B91" s="55" t="s">
        <v>240</v>
      </c>
      <c r="C91" s="55" t="s">
        <v>43</v>
      </c>
      <c r="D91" s="56">
        <f t="shared" si="3"/>
        <v>115.70247933884298</v>
      </c>
      <c r="E91" s="56">
        <f t="shared" si="4"/>
        <v>11.570247933884298</v>
      </c>
      <c r="F91" s="84">
        <v>140</v>
      </c>
      <c r="G91" s="122">
        <v>50</v>
      </c>
      <c r="H91" s="58">
        <f t="shared" si="5"/>
        <v>90</v>
      </c>
      <c r="I91" s="64" t="s">
        <v>616</v>
      </c>
      <c r="J91" s="50">
        <v>140</v>
      </c>
      <c r="K91" s="85"/>
      <c r="L91" s="14"/>
      <c r="M91" s="50"/>
      <c r="N91" s="50"/>
      <c r="O91" s="50"/>
    </row>
    <row r="92" spans="1:15" x14ac:dyDescent="0.25">
      <c r="A92" s="99">
        <v>45339</v>
      </c>
      <c r="B92" s="55" t="s">
        <v>241</v>
      </c>
      <c r="C92" s="55" t="s">
        <v>43</v>
      </c>
      <c r="D92" s="56">
        <f t="shared" si="3"/>
        <v>107.43801652892563</v>
      </c>
      <c r="E92" s="56">
        <f t="shared" si="4"/>
        <v>10.743801652892563</v>
      </c>
      <c r="F92" s="84">
        <v>130</v>
      </c>
      <c r="G92" s="63"/>
      <c r="H92" s="58">
        <f t="shared" si="5"/>
        <v>130</v>
      </c>
      <c r="I92" s="115" t="s">
        <v>604</v>
      </c>
      <c r="J92" s="50">
        <v>130</v>
      </c>
      <c r="K92" s="85"/>
      <c r="L92" s="14"/>
      <c r="M92" s="50"/>
      <c r="N92" s="50"/>
      <c r="O92" s="50"/>
    </row>
    <row r="93" spans="1:15" x14ac:dyDescent="0.25">
      <c r="A93" s="99">
        <v>45339</v>
      </c>
      <c r="B93" s="55" t="s">
        <v>242</v>
      </c>
      <c r="C93" s="55" t="s">
        <v>43</v>
      </c>
      <c r="D93" s="56">
        <f t="shared" si="3"/>
        <v>157.02479338842977</v>
      </c>
      <c r="E93" s="56">
        <f t="shared" si="4"/>
        <v>15.702479338842977</v>
      </c>
      <c r="F93" s="84">
        <v>190</v>
      </c>
      <c r="G93" s="63">
        <v>50</v>
      </c>
      <c r="H93" s="58">
        <f t="shared" si="5"/>
        <v>140</v>
      </c>
      <c r="I93" s="64" t="s">
        <v>617</v>
      </c>
      <c r="J93" s="50">
        <v>170</v>
      </c>
      <c r="K93" s="85">
        <v>20</v>
      </c>
      <c r="L93" s="14" t="s">
        <v>252</v>
      </c>
      <c r="M93" s="50"/>
      <c r="N93" s="50"/>
      <c r="O93" s="50"/>
    </row>
    <row r="94" spans="1:15" x14ac:dyDescent="0.25">
      <c r="A94" s="99">
        <v>45339</v>
      </c>
      <c r="B94" s="55" t="s">
        <v>440</v>
      </c>
      <c r="C94" s="55" t="s">
        <v>43</v>
      </c>
      <c r="D94" s="56">
        <f t="shared" si="3"/>
        <v>123.96694214876034</v>
      </c>
      <c r="E94" s="56">
        <f t="shared" si="4"/>
        <v>12.396694214876034</v>
      </c>
      <c r="F94" s="84">
        <v>150</v>
      </c>
      <c r="G94" s="63"/>
      <c r="H94" s="58">
        <f t="shared" si="5"/>
        <v>150</v>
      </c>
      <c r="I94" s="115" t="s">
        <v>604</v>
      </c>
      <c r="J94" s="50">
        <v>150</v>
      </c>
      <c r="K94" s="85"/>
      <c r="L94" s="14"/>
      <c r="M94" s="50"/>
      <c r="N94" s="50"/>
      <c r="O94" s="50"/>
    </row>
    <row r="95" spans="1:15" x14ac:dyDescent="0.25">
      <c r="A95" s="99">
        <v>45339</v>
      </c>
      <c r="B95" s="55" t="s">
        <v>441</v>
      </c>
      <c r="C95" s="55" t="s">
        <v>43</v>
      </c>
      <c r="D95" s="56">
        <f t="shared" si="3"/>
        <v>115.70247933884298</v>
      </c>
      <c r="E95" s="56">
        <f t="shared" si="4"/>
        <v>11.570247933884298</v>
      </c>
      <c r="F95" s="84">
        <v>140</v>
      </c>
      <c r="G95" s="63"/>
      <c r="H95" s="58">
        <f t="shared" si="5"/>
        <v>140</v>
      </c>
      <c r="I95" s="117" t="s">
        <v>603</v>
      </c>
      <c r="J95" s="50">
        <v>140</v>
      </c>
      <c r="K95" s="85"/>
      <c r="L95" s="14"/>
      <c r="M95" s="50"/>
      <c r="N95" s="50"/>
      <c r="O95" s="50"/>
    </row>
    <row r="96" spans="1:15" x14ac:dyDescent="0.25">
      <c r="A96" s="99">
        <v>45339</v>
      </c>
      <c r="B96" s="55" t="s">
        <v>442</v>
      </c>
      <c r="C96" s="55" t="s">
        <v>43</v>
      </c>
      <c r="D96" s="56">
        <f t="shared" si="3"/>
        <v>115.70247933884298</v>
      </c>
      <c r="E96" s="56">
        <f t="shared" si="4"/>
        <v>11.570247933884298</v>
      </c>
      <c r="F96" s="84">
        <v>140</v>
      </c>
      <c r="G96" s="63"/>
      <c r="H96" s="58">
        <f t="shared" si="5"/>
        <v>140</v>
      </c>
      <c r="I96" s="117" t="s">
        <v>246</v>
      </c>
      <c r="J96" s="50">
        <v>140</v>
      </c>
      <c r="K96" s="85"/>
      <c r="L96" s="14"/>
      <c r="M96" s="50"/>
      <c r="N96" s="50"/>
      <c r="O96" s="50"/>
    </row>
    <row r="97" spans="1:15" x14ac:dyDescent="0.25">
      <c r="A97" s="99">
        <v>45339</v>
      </c>
      <c r="B97" s="55" t="s">
        <v>443</v>
      </c>
      <c r="C97" s="55" t="s">
        <v>43</v>
      </c>
      <c r="D97" s="56">
        <f t="shared" si="3"/>
        <v>173.55371900826447</v>
      </c>
      <c r="E97" s="56">
        <f t="shared" si="4"/>
        <v>17.355371900826448</v>
      </c>
      <c r="F97" s="88">
        <v>210</v>
      </c>
      <c r="G97" s="89">
        <v>50</v>
      </c>
      <c r="H97" s="58">
        <f t="shared" si="5"/>
        <v>160</v>
      </c>
      <c r="I97" s="90" t="s">
        <v>618</v>
      </c>
      <c r="J97" s="91">
        <v>170</v>
      </c>
      <c r="K97" s="92">
        <v>40</v>
      </c>
      <c r="L97" s="93" t="s">
        <v>252</v>
      </c>
      <c r="M97" s="91"/>
      <c r="N97" s="91"/>
      <c r="O97" s="91"/>
    </row>
    <row r="98" spans="1:15" x14ac:dyDescent="0.25">
      <c r="A98" s="99">
        <v>45339</v>
      </c>
      <c r="B98" s="55" t="s">
        <v>444</v>
      </c>
      <c r="C98" s="55" t="s">
        <v>43</v>
      </c>
      <c r="D98" s="56">
        <f t="shared" si="3"/>
        <v>115.70247933884298</v>
      </c>
      <c r="E98" s="56">
        <f t="shared" si="4"/>
        <v>11.570247933884298</v>
      </c>
      <c r="F98" s="75">
        <v>140</v>
      </c>
      <c r="G98" s="75"/>
      <c r="H98" s="58">
        <f t="shared" si="5"/>
        <v>140</v>
      </c>
      <c r="I98" s="123" t="s">
        <v>603</v>
      </c>
      <c r="J98" s="50">
        <v>140</v>
      </c>
      <c r="K98" s="85"/>
      <c r="L98" s="14"/>
      <c r="M98" s="50"/>
      <c r="N98" s="50"/>
      <c r="O98" s="50"/>
    </row>
    <row r="99" spans="1:15" x14ac:dyDescent="0.25">
      <c r="A99" s="99">
        <v>45339</v>
      </c>
      <c r="B99" s="55" t="s">
        <v>445</v>
      </c>
      <c r="C99" s="55" t="s">
        <v>43</v>
      </c>
      <c r="D99" s="56">
        <f t="shared" si="3"/>
        <v>140.49586776859505</v>
      </c>
      <c r="E99" s="56">
        <f t="shared" si="4"/>
        <v>14.049586776859506</v>
      </c>
      <c r="F99" s="75">
        <v>170</v>
      </c>
      <c r="G99" s="75">
        <v>50</v>
      </c>
      <c r="H99" s="58">
        <f t="shared" si="5"/>
        <v>120</v>
      </c>
      <c r="I99" s="94" t="s">
        <v>619</v>
      </c>
      <c r="J99" s="50">
        <v>170</v>
      </c>
      <c r="K99" s="85"/>
      <c r="L99" s="14"/>
      <c r="M99" s="50"/>
      <c r="N99" s="50"/>
      <c r="O99" s="50"/>
    </row>
    <row r="100" spans="1:15" x14ac:dyDescent="0.25">
      <c r="A100" s="95">
        <v>45339</v>
      </c>
      <c r="B100" s="55" t="s">
        <v>446</v>
      </c>
      <c r="C100" s="55" t="s">
        <v>43</v>
      </c>
      <c r="D100" s="56">
        <f t="shared" si="3"/>
        <v>140.49586776859505</v>
      </c>
      <c r="E100" s="56">
        <f t="shared" si="4"/>
        <v>14.049586776859506</v>
      </c>
      <c r="F100" s="96">
        <v>170</v>
      </c>
      <c r="G100" s="50">
        <v>50</v>
      </c>
      <c r="H100" s="58">
        <f t="shared" si="5"/>
        <v>120</v>
      </c>
      <c r="I100" s="94" t="s">
        <v>620</v>
      </c>
      <c r="J100" s="50">
        <v>170</v>
      </c>
      <c r="K100" s="85"/>
      <c r="L100" s="14"/>
      <c r="M100" s="50"/>
      <c r="N100" s="50"/>
      <c r="O100" s="50"/>
    </row>
    <row r="101" spans="1:15" x14ac:dyDescent="0.25">
      <c r="A101" s="95">
        <v>45339</v>
      </c>
      <c r="B101" s="55" t="s">
        <v>447</v>
      </c>
      <c r="C101" s="55" t="s">
        <v>43</v>
      </c>
      <c r="D101" s="56">
        <f t="shared" si="3"/>
        <v>123.96694214876034</v>
      </c>
      <c r="E101" s="56">
        <f t="shared" si="4"/>
        <v>12.396694214876034</v>
      </c>
      <c r="F101" s="96">
        <v>150</v>
      </c>
      <c r="G101" s="50"/>
      <c r="H101" s="58">
        <f t="shared" si="5"/>
        <v>150</v>
      </c>
      <c r="I101" s="124" t="s">
        <v>604</v>
      </c>
      <c r="J101" s="50">
        <v>150</v>
      </c>
      <c r="K101" s="85"/>
      <c r="L101" s="14"/>
      <c r="M101" s="50"/>
      <c r="N101" s="50"/>
      <c r="O101" s="50"/>
    </row>
    <row r="102" spans="1:15" x14ac:dyDescent="0.25">
      <c r="A102" s="95">
        <v>45339</v>
      </c>
      <c r="B102" s="55" t="s">
        <v>448</v>
      </c>
      <c r="C102" s="55" t="s">
        <v>43</v>
      </c>
      <c r="D102" s="56">
        <f t="shared" si="3"/>
        <v>297.52066115702479</v>
      </c>
      <c r="E102" s="56">
        <f t="shared" si="4"/>
        <v>29.752066115702476</v>
      </c>
      <c r="F102" s="96">
        <v>360</v>
      </c>
      <c r="G102" s="50"/>
      <c r="H102" s="58">
        <f t="shared" si="5"/>
        <v>360</v>
      </c>
      <c r="I102" s="125" t="s">
        <v>621</v>
      </c>
      <c r="J102" s="50">
        <v>360</v>
      </c>
      <c r="K102" s="85"/>
      <c r="L102" s="14"/>
      <c r="M102" s="50"/>
      <c r="N102" s="97"/>
      <c r="O102" s="50"/>
    </row>
    <row r="103" spans="1:15" x14ac:dyDescent="0.25">
      <c r="A103" s="95">
        <v>45339</v>
      </c>
      <c r="B103" s="55" t="s">
        <v>449</v>
      </c>
      <c r="C103" s="55" t="s">
        <v>43</v>
      </c>
      <c r="D103" s="56">
        <f t="shared" si="3"/>
        <v>132.2314049586777</v>
      </c>
      <c r="E103" s="56">
        <f t="shared" si="4"/>
        <v>13.223140495867769</v>
      </c>
      <c r="F103" s="96">
        <v>160</v>
      </c>
      <c r="G103" s="50">
        <v>50</v>
      </c>
      <c r="H103" s="58">
        <f t="shared" si="5"/>
        <v>110</v>
      </c>
      <c r="I103" s="94" t="s">
        <v>622</v>
      </c>
      <c r="J103" s="50">
        <v>160</v>
      </c>
      <c r="K103" s="85"/>
      <c r="L103" s="14"/>
      <c r="M103" s="50"/>
      <c r="N103" s="50"/>
      <c r="O103" s="50"/>
    </row>
    <row r="104" spans="1:15" x14ac:dyDescent="0.25">
      <c r="A104" s="95">
        <v>45339</v>
      </c>
      <c r="B104" s="55" t="s">
        <v>450</v>
      </c>
      <c r="C104" s="55" t="s">
        <v>43</v>
      </c>
      <c r="D104" s="56">
        <f t="shared" si="3"/>
        <v>363.63636363636363</v>
      </c>
      <c r="E104" s="56">
        <f t="shared" si="4"/>
        <v>36.36363636363636</v>
      </c>
      <c r="F104" s="96">
        <v>440</v>
      </c>
      <c r="G104" s="50">
        <v>100</v>
      </c>
      <c r="H104" s="58">
        <f t="shared" si="5"/>
        <v>340</v>
      </c>
      <c r="I104" s="94" t="s">
        <v>623</v>
      </c>
      <c r="J104" s="50">
        <v>390</v>
      </c>
      <c r="K104" s="85"/>
      <c r="L104" s="14"/>
      <c r="M104" s="50"/>
      <c r="N104" s="50"/>
      <c r="O104" s="50"/>
    </row>
    <row r="105" spans="1:15" x14ac:dyDescent="0.25">
      <c r="A105" s="95">
        <v>45339</v>
      </c>
      <c r="B105" s="55" t="s">
        <v>451</v>
      </c>
      <c r="C105" s="55" t="s">
        <v>43</v>
      </c>
      <c r="D105" s="56">
        <f t="shared" si="3"/>
        <v>219.00826446280993</v>
      </c>
      <c r="E105" s="56">
        <f t="shared" si="4"/>
        <v>21.900826446280995</v>
      </c>
      <c r="F105" s="96">
        <v>265</v>
      </c>
      <c r="G105" s="50">
        <v>50</v>
      </c>
      <c r="H105" s="58">
        <f t="shared" si="5"/>
        <v>215</v>
      </c>
      <c r="I105" s="94" t="s">
        <v>624</v>
      </c>
      <c r="J105" s="50">
        <v>220</v>
      </c>
      <c r="K105" s="85">
        <v>45</v>
      </c>
      <c r="L105" s="14" t="s">
        <v>45</v>
      </c>
      <c r="M105" s="50"/>
      <c r="N105" s="50"/>
      <c r="O105" s="50"/>
    </row>
    <row r="106" spans="1:15" x14ac:dyDescent="0.25">
      <c r="A106" s="95">
        <v>45339</v>
      </c>
      <c r="B106" s="55" t="s">
        <v>452</v>
      </c>
      <c r="C106" s="55" t="s">
        <v>43</v>
      </c>
      <c r="D106" s="56">
        <f t="shared" si="3"/>
        <v>181.81818181818181</v>
      </c>
      <c r="E106" s="56">
        <f t="shared" si="4"/>
        <v>18.18181818181818</v>
      </c>
      <c r="F106" s="96">
        <v>220</v>
      </c>
      <c r="G106" s="50">
        <v>50</v>
      </c>
      <c r="H106" s="58">
        <f t="shared" si="5"/>
        <v>170</v>
      </c>
      <c r="I106" s="94" t="s">
        <v>625</v>
      </c>
      <c r="J106" s="50">
        <v>220</v>
      </c>
      <c r="K106" s="85"/>
      <c r="L106" s="14"/>
      <c r="M106" s="50"/>
      <c r="N106" s="50"/>
      <c r="O106" s="50"/>
    </row>
    <row r="107" spans="1:15" x14ac:dyDescent="0.25">
      <c r="A107" s="95">
        <v>45339</v>
      </c>
      <c r="B107" s="55" t="s">
        <v>453</v>
      </c>
      <c r="C107" s="55" t="s">
        <v>43</v>
      </c>
      <c r="D107" s="56">
        <f t="shared" si="3"/>
        <v>206.61157024793388</v>
      </c>
      <c r="E107" s="56">
        <f t="shared" si="4"/>
        <v>20.661157024793386</v>
      </c>
      <c r="F107" s="96">
        <v>250</v>
      </c>
      <c r="G107" s="50">
        <v>50</v>
      </c>
      <c r="H107" s="58">
        <f t="shared" si="5"/>
        <v>200</v>
      </c>
      <c r="I107" s="94" t="s">
        <v>626</v>
      </c>
      <c r="J107" s="50">
        <v>220</v>
      </c>
      <c r="K107" s="85">
        <v>30</v>
      </c>
      <c r="L107" s="14" t="s">
        <v>252</v>
      </c>
      <c r="M107" s="50"/>
      <c r="N107" s="50"/>
      <c r="O107" s="50"/>
    </row>
    <row r="108" spans="1:15" x14ac:dyDescent="0.25">
      <c r="A108" s="113">
        <v>45339</v>
      </c>
      <c r="B108" s="55" t="s">
        <v>454</v>
      </c>
      <c r="C108" s="55" t="s">
        <v>43</v>
      </c>
      <c r="D108" s="56">
        <f t="shared" si="3"/>
        <v>181.81818181818181</v>
      </c>
      <c r="E108" s="56">
        <f t="shared" si="4"/>
        <v>18.18181818181818</v>
      </c>
      <c r="F108" s="96">
        <v>220</v>
      </c>
      <c r="G108" s="50">
        <v>50</v>
      </c>
      <c r="H108" s="58">
        <f t="shared" si="5"/>
        <v>170</v>
      </c>
      <c r="I108" s="94" t="s">
        <v>627</v>
      </c>
      <c r="J108" s="50">
        <v>220</v>
      </c>
      <c r="K108" s="85"/>
      <c r="L108" s="14"/>
      <c r="M108" s="50"/>
      <c r="N108" s="50"/>
      <c r="O108" s="50"/>
    </row>
    <row r="109" spans="1:15" x14ac:dyDescent="0.25">
      <c r="A109" s="95">
        <v>45339</v>
      </c>
      <c r="B109" s="55" t="s">
        <v>455</v>
      </c>
      <c r="C109" s="55" t="s">
        <v>43</v>
      </c>
      <c r="D109" s="56">
        <f t="shared" si="3"/>
        <v>363.63636363636363</v>
      </c>
      <c r="E109" s="56">
        <f t="shared" si="4"/>
        <v>36.36363636363636</v>
      </c>
      <c r="F109" s="96">
        <v>440</v>
      </c>
      <c r="G109" s="50">
        <v>100</v>
      </c>
      <c r="H109" s="58">
        <f t="shared" si="5"/>
        <v>340</v>
      </c>
      <c r="I109" s="94" t="s">
        <v>628</v>
      </c>
      <c r="J109" s="50">
        <v>440</v>
      </c>
      <c r="K109" s="85"/>
      <c r="L109" s="14"/>
      <c r="M109" s="50"/>
      <c r="N109" s="50"/>
      <c r="O109" s="50"/>
    </row>
    <row r="110" spans="1:15" x14ac:dyDescent="0.25">
      <c r="A110" s="95">
        <v>45340</v>
      </c>
      <c r="B110" s="55" t="s">
        <v>456</v>
      </c>
      <c r="C110" s="55" t="s">
        <v>43</v>
      </c>
      <c r="D110" s="56">
        <f t="shared" si="3"/>
        <v>219.00826446280993</v>
      </c>
      <c r="E110" s="56">
        <f t="shared" si="4"/>
        <v>21.900826446280995</v>
      </c>
      <c r="F110" s="96">
        <v>265</v>
      </c>
      <c r="G110" s="50">
        <v>50</v>
      </c>
      <c r="H110" s="58">
        <f t="shared" si="5"/>
        <v>215</v>
      </c>
      <c r="I110" s="94" t="s">
        <v>629</v>
      </c>
      <c r="J110" s="50">
        <v>220</v>
      </c>
      <c r="K110" s="85">
        <v>45</v>
      </c>
      <c r="L110" s="14" t="s">
        <v>45</v>
      </c>
      <c r="M110" s="50"/>
      <c r="N110" s="50"/>
      <c r="O110" s="50"/>
    </row>
    <row r="111" spans="1:15" x14ac:dyDescent="0.25">
      <c r="A111" s="95">
        <v>45340</v>
      </c>
      <c r="B111" s="55" t="s">
        <v>457</v>
      </c>
      <c r="C111" s="55" t="s">
        <v>43</v>
      </c>
      <c r="D111" s="56">
        <f t="shared" si="3"/>
        <v>219.00826446280993</v>
      </c>
      <c r="E111" s="56">
        <f t="shared" si="4"/>
        <v>21.900826446280995</v>
      </c>
      <c r="F111" s="96">
        <v>265</v>
      </c>
      <c r="G111" s="50">
        <v>265</v>
      </c>
      <c r="H111" s="58">
        <f t="shared" si="5"/>
        <v>0</v>
      </c>
      <c r="I111" s="94" t="s">
        <v>630</v>
      </c>
      <c r="J111" s="50">
        <v>220</v>
      </c>
      <c r="K111" s="85">
        <v>45</v>
      </c>
      <c r="L111" s="14" t="s">
        <v>593</v>
      </c>
      <c r="M111" s="50"/>
      <c r="N111" s="50"/>
      <c r="O111" s="50"/>
    </row>
    <row r="112" spans="1:15" x14ac:dyDescent="0.25">
      <c r="A112" s="95">
        <v>45341</v>
      </c>
      <c r="B112" s="55" t="s">
        <v>458</v>
      </c>
      <c r="C112" s="55" t="s">
        <v>43</v>
      </c>
      <c r="D112" s="56">
        <f t="shared" si="3"/>
        <v>148.7603305785124</v>
      </c>
      <c r="E112" s="56">
        <f t="shared" si="4"/>
        <v>14.876033057851238</v>
      </c>
      <c r="F112" s="96">
        <v>180</v>
      </c>
      <c r="G112" s="50"/>
      <c r="H112" s="58">
        <f t="shared" si="5"/>
        <v>180</v>
      </c>
      <c r="I112" s="123" t="s">
        <v>603</v>
      </c>
      <c r="J112" s="50">
        <v>180</v>
      </c>
      <c r="K112" s="85"/>
      <c r="L112" s="14"/>
      <c r="M112" s="50"/>
      <c r="N112" s="50"/>
      <c r="O112" s="50"/>
    </row>
    <row r="113" spans="1:15" x14ac:dyDescent="0.25">
      <c r="A113" s="95">
        <v>45342</v>
      </c>
      <c r="B113" s="55" t="s">
        <v>459</v>
      </c>
      <c r="C113" s="55" t="s">
        <v>43</v>
      </c>
      <c r="D113" s="56">
        <f t="shared" si="3"/>
        <v>644.62809917355378</v>
      </c>
      <c r="E113" s="56">
        <f t="shared" si="4"/>
        <v>64.462809917355386</v>
      </c>
      <c r="F113" s="96">
        <v>780</v>
      </c>
      <c r="G113" s="50">
        <v>300</v>
      </c>
      <c r="H113" s="58">
        <f t="shared" si="5"/>
        <v>480</v>
      </c>
      <c r="I113" s="126" t="s">
        <v>642</v>
      </c>
      <c r="J113" s="50">
        <v>570</v>
      </c>
      <c r="K113" s="85">
        <v>210</v>
      </c>
      <c r="L113" s="14" t="s">
        <v>252</v>
      </c>
      <c r="M113" s="50"/>
      <c r="N113" s="50"/>
      <c r="O113" s="50"/>
    </row>
    <row r="114" spans="1:15" x14ac:dyDescent="0.25">
      <c r="A114" s="95">
        <v>45342</v>
      </c>
      <c r="B114" s="55" t="s">
        <v>460</v>
      </c>
      <c r="C114" s="55" t="s">
        <v>43</v>
      </c>
      <c r="D114" s="56">
        <f t="shared" si="3"/>
        <v>239.6694214876033</v>
      </c>
      <c r="E114" s="56">
        <f t="shared" si="4"/>
        <v>23.966942148760332</v>
      </c>
      <c r="F114" s="96">
        <v>290</v>
      </c>
      <c r="G114" s="50">
        <v>50</v>
      </c>
      <c r="H114" s="58">
        <f t="shared" si="5"/>
        <v>240</v>
      </c>
      <c r="I114" s="94" t="s">
        <v>641</v>
      </c>
      <c r="J114" s="50">
        <v>270</v>
      </c>
      <c r="K114" s="85">
        <v>20</v>
      </c>
      <c r="L114" s="14" t="s">
        <v>252</v>
      </c>
      <c r="M114" s="50"/>
      <c r="N114" s="50"/>
      <c r="O114" s="50"/>
    </row>
    <row r="115" spans="1:15" x14ac:dyDescent="0.25">
      <c r="A115" s="95">
        <v>45343</v>
      </c>
      <c r="B115" s="55" t="s">
        <v>461</v>
      </c>
      <c r="C115" s="55" t="s">
        <v>43</v>
      </c>
      <c r="D115" s="56">
        <f t="shared" si="3"/>
        <v>148.7603305785124</v>
      </c>
      <c r="E115" s="56">
        <f t="shared" si="4"/>
        <v>14.876033057851238</v>
      </c>
      <c r="F115" s="96">
        <v>180</v>
      </c>
      <c r="G115" s="50"/>
      <c r="H115" s="58">
        <f t="shared" si="5"/>
        <v>180</v>
      </c>
      <c r="I115" s="123" t="s">
        <v>603</v>
      </c>
      <c r="J115" s="50">
        <v>180</v>
      </c>
      <c r="K115" s="85"/>
      <c r="L115" s="14"/>
      <c r="M115" s="50"/>
      <c r="N115" s="50"/>
      <c r="O115" s="50"/>
    </row>
    <row r="116" spans="1:15" x14ac:dyDescent="0.25">
      <c r="A116" s="95">
        <v>45344</v>
      </c>
      <c r="B116" s="55" t="s">
        <v>462</v>
      </c>
      <c r="C116" s="55" t="s">
        <v>43</v>
      </c>
      <c r="D116" s="56">
        <f t="shared" si="3"/>
        <v>198.34710743801654</v>
      </c>
      <c r="E116" s="56">
        <f t="shared" si="4"/>
        <v>19.834710743801654</v>
      </c>
      <c r="F116" s="96">
        <v>240</v>
      </c>
      <c r="G116" s="50">
        <v>50</v>
      </c>
      <c r="H116" s="58">
        <f t="shared" si="5"/>
        <v>190</v>
      </c>
      <c r="I116" s="94" t="s">
        <v>644</v>
      </c>
      <c r="J116" s="50">
        <v>220</v>
      </c>
      <c r="K116" s="85">
        <v>20</v>
      </c>
      <c r="L116" s="14" t="s">
        <v>252</v>
      </c>
      <c r="M116" s="50"/>
      <c r="N116" s="50"/>
      <c r="O116" s="50"/>
    </row>
    <row r="117" spans="1:15" x14ac:dyDescent="0.25">
      <c r="A117" s="95">
        <v>45344</v>
      </c>
      <c r="B117" s="55" t="s">
        <v>463</v>
      </c>
      <c r="C117" s="55" t="s">
        <v>43</v>
      </c>
      <c r="D117" s="56">
        <f t="shared" si="3"/>
        <v>140.49586776859505</v>
      </c>
      <c r="E117" s="56">
        <f t="shared" si="4"/>
        <v>14.049586776859506</v>
      </c>
      <c r="F117" s="96">
        <v>170</v>
      </c>
      <c r="G117" s="50">
        <v>50</v>
      </c>
      <c r="H117" s="58">
        <f t="shared" si="5"/>
        <v>120</v>
      </c>
      <c r="I117" s="94" t="s">
        <v>645</v>
      </c>
      <c r="J117" s="50">
        <v>170</v>
      </c>
      <c r="K117" s="85"/>
      <c r="L117" s="14"/>
      <c r="M117" s="50"/>
      <c r="N117" s="50"/>
      <c r="O117" s="50"/>
    </row>
    <row r="118" spans="1:15" x14ac:dyDescent="0.25">
      <c r="A118" s="95">
        <v>45344</v>
      </c>
      <c r="B118" s="55" t="s">
        <v>464</v>
      </c>
      <c r="C118" s="55" t="s">
        <v>43</v>
      </c>
      <c r="D118" s="56">
        <f t="shared" si="3"/>
        <v>132.2314049586777</v>
      </c>
      <c r="E118" s="56">
        <f t="shared" si="4"/>
        <v>13.223140495867769</v>
      </c>
      <c r="F118" s="96">
        <v>160</v>
      </c>
      <c r="G118" s="50"/>
      <c r="H118" s="58">
        <f t="shared" si="5"/>
        <v>160</v>
      </c>
      <c r="I118" s="125" t="s">
        <v>646</v>
      </c>
      <c r="J118" s="50">
        <v>160</v>
      </c>
      <c r="K118" s="85"/>
      <c r="L118" s="14"/>
      <c r="M118" s="50"/>
      <c r="N118" s="50"/>
      <c r="O118" s="50"/>
    </row>
    <row r="119" spans="1:15" x14ac:dyDescent="0.25">
      <c r="A119" s="33">
        <v>45345</v>
      </c>
      <c r="B119" s="55" t="s">
        <v>465</v>
      </c>
      <c r="C119" s="55" t="s">
        <v>43</v>
      </c>
      <c r="D119" s="56">
        <f t="shared" si="3"/>
        <v>140.49586776859505</v>
      </c>
      <c r="E119" s="56">
        <f t="shared" si="4"/>
        <v>14.049586776859506</v>
      </c>
      <c r="F119" s="96">
        <v>170</v>
      </c>
      <c r="G119" s="50">
        <v>170</v>
      </c>
      <c r="H119" s="58">
        <f t="shared" si="5"/>
        <v>0</v>
      </c>
      <c r="I119" s="94" t="s">
        <v>656</v>
      </c>
      <c r="J119" s="127">
        <v>170</v>
      </c>
      <c r="K119" s="85"/>
      <c r="L119" s="14"/>
      <c r="M119" s="50"/>
      <c r="N119" s="50"/>
      <c r="O119" s="50"/>
    </row>
    <row r="120" spans="1:15" x14ac:dyDescent="0.25">
      <c r="A120" s="33">
        <v>45345</v>
      </c>
      <c r="B120" s="55" t="s">
        <v>466</v>
      </c>
      <c r="C120" s="55" t="s">
        <v>43</v>
      </c>
      <c r="D120" s="56">
        <f t="shared" si="3"/>
        <v>223.14049586776861</v>
      </c>
      <c r="E120" s="56">
        <f t="shared" si="4"/>
        <v>22.314049586776861</v>
      </c>
      <c r="F120" s="96">
        <v>270</v>
      </c>
      <c r="G120" s="50">
        <v>50</v>
      </c>
      <c r="H120" s="58">
        <f t="shared" si="5"/>
        <v>220</v>
      </c>
      <c r="I120" s="94" t="s">
        <v>657</v>
      </c>
      <c r="J120" s="127">
        <v>270</v>
      </c>
      <c r="K120" s="85"/>
      <c r="L120" s="14"/>
      <c r="M120" s="50"/>
      <c r="N120" s="50"/>
      <c r="O120" s="50"/>
    </row>
    <row r="121" spans="1:15" x14ac:dyDescent="0.25">
      <c r="A121" s="33">
        <v>45345</v>
      </c>
      <c r="B121" s="55" t="s">
        <v>467</v>
      </c>
      <c r="C121" s="55" t="s">
        <v>43</v>
      </c>
      <c r="D121" s="56">
        <f t="shared" si="3"/>
        <v>148.7603305785124</v>
      </c>
      <c r="E121" s="56">
        <f t="shared" si="4"/>
        <v>14.876033057851238</v>
      </c>
      <c r="F121" s="96">
        <v>180</v>
      </c>
      <c r="G121" s="50"/>
      <c r="H121" s="58">
        <f t="shared" si="5"/>
        <v>180</v>
      </c>
      <c r="I121" s="123" t="s">
        <v>246</v>
      </c>
      <c r="J121" s="127">
        <v>180</v>
      </c>
      <c r="K121" s="85"/>
      <c r="L121" s="14"/>
      <c r="M121" s="50"/>
      <c r="N121" s="50"/>
      <c r="O121" s="50"/>
    </row>
    <row r="122" spans="1:15" x14ac:dyDescent="0.25">
      <c r="A122" s="33">
        <v>45345</v>
      </c>
      <c r="B122" s="55" t="s">
        <v>468</v>
      </c>
      <c r="C122" s="55" t="s">
        <v>43</v>
      </c>
      <c r="D122" s="56">
        <f t="shared" si="3"/>
        <v>140.49586776859505</v>
      </c>
      <c r="E122" s="56">
        <f t="shared" si="4"/>
        <v>14.049586776859506</v>
      </c>
      <c r="F122" s="96">
        <v>170</v>
      </c>
      <c r="G122" s="50">
        <v>50</v>
      </c>
      <c r="H122" s="58">
        <f t="shared" si="5"/>
        <v>120</v>
      </c>
      <c r="I122" s="94" t="s">
        <v>658</v>
      </c>
      <c r="J122" s="127">
        <v>170</v>
      </c>
      <c r="K122" s="85"/>
      <c r="L122" s="14"/>
      <c r="M122" s="50"/>
      <c r="N122" s="50"/>
      <c r="O122" s="50"/>
    </row>
    <row r="123" spans="1:15" x14ac:dyDescent="0.25">
      <c r="A123" s="38">
        <v>45345</v>
      </c>
      <c r="B123" s="55" t="s">
        <v>469</v>
      </c>
      <c r="C123" s="55" t="s">
        <v>43</v>
      </c>
      <c r="D123" s="56">
        <f t="shared" si="3"/>
        <v>140.49586776859505</v>
      </c>
      <c r="E123" s="56">
        <f t="shared" si="4"/>
        <v>14.049586776859506</v>
      </c>
      <c r="F123" s="96">
        <v>170</v>
      </c>
      <c r="G123" s="50">
        <v>50</v>
      </c>
      <c r="H123" s="58">
        <f t="shared" si="5"/>
        <v>120</v>
      </c>
      <c r="I123" s="94" t="s">
        <v>659</v>
      </c>
      <c r="J123" s="127">
        <v>170</v>
      </c>
      <c r="K123" s="85"/>
      <c r="L123" s="14"/>
      <c r="M123" s="50"/>
      <c r="N123" s="50"/>
      <c r="O123" s="50"/>
    </row>
    <row r="124" spans="1:15" x14ac:dyDescent="0.25">
      <c r="A124" s="33">
        <v>45345</v>
      </c>
      <c r="B124" s="55" t="s">
        <v>470</v>
      </c>
      <c r="C124" s="55" t="s">
        <v>43</v>
      </c>
      <c r="D124" s="56">
        <f t="shared" si="3"/>
        <v>157.02479338842977</v>
      </c>
      <c r="E124" s="56">
        <f t="shared" si="4"/>
        <v>15.702479338842977</v>
      </c>
      <c r="F124" s="96">
        <v>190</v>
      </c>
      <c r="G124" s="50"/>
      <c r="H124" s="58">
        <f t="shared" si="5"/>
        <v>190</v>
      </c>
      <c r="I124" s="129" t="s">
        <v>660</v>
      </c>
      <c r="J124" s="127">
        <v>190</v>
      </c>
      <c r="K124" s="85"/>
      <c r="L124" s="14"/>
      <c r="M124" s="50"/>
      <c r="N124" s="50"/>
      <c r="O124" s="50"/>
    </row>
    <row r="125" spans="1:15" x14ac:dyDescent="0.25">
      <c r="A125" s="33">
        <v>45345</v>
      </c>
      <c r="B125" s="55" t="s">
        <v>471</v>
      </c>
      <c r="C125" s="55" t="s">
        <v>43</v>
      </c>
      <c r="D125" s="56">
        <f t="shared" si="3"/>
        <v>157.02479338842977</v>
      </c>
      <c r="E125" s="56">
        <f t="shared" si="4"/>
        <v>15.702479338842977</v>
      </c>
      <c r="F125" s="96">
        <v>190</v>
      </c>
      <c r="G125" s="50"/>
      <c r="H125" s="58">
        <f t="shared" si="5"/>
        <v>190</v>
      </c>
      <c r="I125" s="128" t="s">
        <v>554</v>
      </c>
      <c r="J125" s="127">
        <v>190</v>
      </c>
      <c r="K125" s="85"/>
      <c r="L125" s="14"/>
      <c r="M125" s="50"/>
      <c r="N125" s="50"/>
      <c r="O125" s="50"/>
    </row>
    <row r="126" spans="1:15" x14ac:dyDescent="0.25">
      <c r="A126" s="130">
        <v>45346</v>
      </c>
      <c r="B126" s="55" t="s">
        <v>472</v>
      </c>
      <c r="C126" s="55" t="s">
        <v>43</v>
      </c>
      <c r="D126" s="56">
        <f t="shared" si="3"/>
        <v>181.81818181818181</v>
      </c>
      <c r="E126" s="56">
        <f t="shared" si="4"/>
        <v>18.18181818181818</v>
      </c>
      <c r="F126" s="96">
        <v>220</v>
      </c>
      <c r="G126" s="50">
        <v>50</v>
      </c>
      <c r="H126" s="58">
        <f t="shared" si="5"/>
        <v>170</v>
      </c>
      <c r="I126" s="94" t="s">
        <v>661</v>
      </c>
      <c r="J126" s="127">
        <v>220</v>
      </c>
      <c r="K126" s="85"/>
      <c r="L126" s="14"/>
      <c r="M126" s="50"/>
      <c r="N126" s="50"/>
      <c r="O126" s="50"/>
    </row>
    <row r="127" spans="1:15" x14ac:dyDescent="0.25">
      <c r="A127" s="131">
        <v>45346</v>
      </c>
      <c r="B127" s="55" t="s">
        <v>473</v>
      </c>
      <c r="C127" s="55" t="s">
        <v>43</v>
      </c>
      <c r="D127" s="56">
        <f t="shared" si="3"/>
        <v>219.00826446280993</v>
      </c>
      <c r="E127" s="56">
        <f t="shared" si="4"/>
        <v>21.900826446280995</v>
      </c>
      <c r="F127" s="75">
        <v>265</v>
      </c>
      <c r="G127" s="75">
        <v>50</v>
      </c>
      <c r="H127" s="58">
        <f t="shared" si="5"/>
        <v>215</v>
      </c>
      <c r="I127" s="14" t="s">
        <v>662</v>
      </c>
      <c r="J127" s="132">
        <v>220</v>
      </c>
      <c r="K127" s="75">
        <v>45</v>
      </c>
      <c r="L127" s="14" t="s">
        <v>45</v>
      </c>
      <c r="M127" s="14"/>
      <c r="N127" s="14"/>
      <c r="O127" s="14"/>
    </row>
    <row r="128" spans="1:15" x14ac:dyDescent="0.25">
      <c r="A128" s="130">
        <v>45346</v>
      </c>
      <c r="B128" s="55" t="s">
        <v>474</v>
      </c>
      <c r="C128" s="55" t="s">
        <v>43</v>
      </c>
      <c r="D128" s="56">
        <f t="shared" si="3"/>
        <v>214.87603305785126</v>
      </c>
      <c r="E128" s="56">
        <f t="shared" si="4"/>
        <v>21.487603305785125</v>
      </c>
      <c r="F128" s="75">
        <v>260</v>
      </c>
      <c r="G128" s="75">
        <v>50</v>
      </c>
      <c r="H128" s="58">
        <f t="shared" si="5"/>
        <v>210</v>
      </c>
      <c r="I128" s="14" t="s">
        <v>663</v>
      </c>
      <c r="J128" s="132">
        <v>220</v>
      </c>
      <c r="K128" s="75">
        <v>40</v>
      </c>
      <c r="L128" s="14" t="s">
        <v>252</v>
      </c>
      <c r="M128" s="14"/>
      <c r="N128" s="14"/>
      <c r="O128" s="14"/>
    </row>
    <row r="129" spans="1:15" x14ac:dyDescent="0.25">
      <c r="A129" s="131">
        <v>45346</v>
      </c>
      <c r="B129" s="55" t="s">
        <v>475</v>
      </c>
      <c r="C129" s="55" t="s">
        <v>43</v>
      </c>
      <c r="D129" s="56">
        <f t="shared" si="3"/>
        <v>181.81818181818181</v>
      </c>
      <c r="E129" s="56">
        <f t="shared" si="4"/>
        <v>18.18181818181818</v>
      </c>
      <c r="F129" s="75">
        <v>220</v>
      </c>
      <c r="G129" s="75">
        <v>50</v>
      </c>
      <c r="H129" s="58">
        <f t="shared" si="5"/>
        <v>170</v>
      </c>
      <c r="I129" s="14" t="s">
        <v>664</v>
      </c>
      <c r="J129" s="132">
        <v>220</v>
      </c>
      <c r="K129" s="75"/>
      <c r="L129" s="14"/>
      <c r="M129" s="14"/>
      <c r="N129" s="14"/>
      <c r="O129" s="14"/>
    </row>
    <row r="130" spans="1:15" x14ac:dyDescent="0.25">
      <c r="A130" s="130">
        <v>45346</v>
      </c>
      <c r="B130" s="55" t="s">
        <v>476</v>
      </c>
      <c r="C130" s="55" t="s">
        <v>43</v>
      </c>
      <c r="D130" s="56">
        <f t="shared" si="3"/>
        <v>326.44628099173553</v>
      </c>
      <c r="E130" s="56">
        <f t="shared" si="4"/>
        <v>32.644628099173552</v>
      </c>
      <c r="F130" s="75">
        <v>395</v>
      </c>
      <c r="G130" s="75">
        <v>50</v>
      </c>
      <c r="H130" s="58">
        <f t="shared" si="5"/>
        <v>345</v>
      </c>
      <c r="I130" s="14" t="s">
        <v>665</v>
      </c>
      <c r="J130" s="132">
        <v>220</v>
      </c>
      <c r="K130" s="75">
        <v>175</v>
      </c>
      <c r="L130" s="14" t="s">
        <v>588</v>
      </c>
      <c r="M130" s="14"/>
      <c r="N130" s="14"/>
      <c r="O130" s="14"/>
    </row>
    <row r="131" spans="1:15" x14ac:dyDescent="0.25">
      <c r="A131" s="131">
        <v>45346</v>
      </c>
      <c r="B131" s="55" t="s">
        <v>477</v>
      </c>
      <c r="C131" s="55" t="s">
        <v>43</v>
      </c>
      <c r="D131" s="56">
        <f t="shared" ref="D131:D157" si="6">F131/1.21</f>
        <v>181.81818181818181</v>
      </c>
      <c r="E131" s="56">
        <f t="shared" si="4"/>
        <v>18.18181818181818</v>
      </c>
      <c r="F131" s="75">
        <v>220</v>
      </c>
      <c r="G131" s="75">
        <v>50</v>
      </c>
      <c r="H131" s="58">
        <f t="shared" si="5"/>
        <v>170</v>
      </c>
      <c r="I131" s="14" t="s">
        <v>666</v>
      </c>
      <c r="J131" s="135">
        <v>220</v>
      </c>
      <c r="K131" s="75"/>
      <c r="L131" s="14"/>
      <c r="M131" s="14"/>
      <c r="N131" s="14"/>
      <c r="O131" s="14"/>
    </row>
    <row r="132" spans="1:15" x14ac:dyDescent="0.25">
      <c r="A132" s="130">
        <v>45346</v>
      </c>
      <c r="B132" s="55" t="s">
        <v>478</v>
      </c>
      <c r="C132" s="55" t="s">
        <v>43</v>
      </c>
      <c r="D132" s="56">
        <f t="shared" si="6"/>
        <v>99.173553719008268</v>
      </c>
      <c r="E132" s="56">
        <f t="shared" ref="E132:E157" si="7">D132*10/100</f>
        <v>9.9173553719008272</v>
      </c>
      <c r="F132" s="75">
        <v>120</v>
      </c>
      <c r="G132" s="75"/>
      <c r="H132" s="58">
        <f t="shared" si="5"/>
        <v>120</v>
      </c>
      <c r="I132" s="14" t="s">
        <v>368</v>
      </c>
      <c r="J132" s="135">
        <v>120</v>
      </c>
      <c r="K132" s="75"/>
      <c r="L132" s="14"/>
      <c r="M132" s="14"/>
      <c r="N132" s="14"/>
      <c r="O132" s="14"/>
    </row>
    <row r="133" spans="1:15" x14ac:dyDescent="0.25">
      <c r="A133" s="131">
        <v>45346</v>
      </c>
      <c r="B133" s="55" t="s">
        <v>479</v>
      </c>
      <c r="C133" s="55" t="s">
        <v>43</v>
      </c>
      <c r="D133" s="56">
        <f t="shared" si="6"/>
        <v>140.49586776859505</v>
      </c>
      <c r="E133" s="56">
        <f t="shared" si="7"/>
        <v>14.049586776859506</v>
      </c>
      <c r="F133" s="75">
        <v>170</v>
      </c>
      <c r="G133" s="75">
        <v>50</v>
      </c>
      <c r="H133" s="58">
        <f t="shared" si="5"/>
        <v>120</v>
      </c>
      <c r="I133" s="14" t="s">
        <v>667</v>
      </c>
      <c r="J133" s="132">
        <v>170</v>
      </c>
      <c r="K133" s="75"/>
      <c r="L133" s="14"/>
      <c r="M133" s="14"/>
      <c r="N133" s="14"/>
      <c r="O133" s="14"/>
    </row>
    <row r="134" spans="1:15" x14ac:dyDescent="0.25">
      <c r="A134" s="130">
        <v>45346</v>
      </c>
      <c r="B134" s="55" t="s">
        <v>480</v>
      </c>
      <c r="C134" s="55" t="s">
        <v>43</v>
      </c>
      <c r="D134" s="56">
        <f t="shared" si="6"/>
        <v>140.49586776859505</v>
      </c>
      <c r="E134" s="56">
        <f t="shared" si="7"/>
        <v>14.049586776859506</v>
      </c>
      <c r="F134" s="75">
        <v>170</v>
      </c>
      <c r="G134" s="75">
        <v>50</v>
      </c>
      <c r="H134" s="58">
        <f t="shared" ref="H134:H157" si="8">F134-G134</f>
        <v>120</v>
      </c>
      <c r="I134" s="14" t="s">
        <v>668</v>
      </c>
      <c r="J134" s="132">
        <v>170</v>
      </c>
      <c r="K134" s="75"/>
      <c r="L134" s="14"/>
      <c r="M134" s="14"/>
      <c r="N134" s="14"/>
      <c r="O134" s="14"/>
    </row>
    <row r="135" spans="1:15" x14ac:dyDescent="0.25">
      <c r="A135" s="131">
        <v>45346</v>
      </c>
      <c r="B135" s="55" t="s">
        <v>481</v>
      </c>
      <c r="C135" s="55" t="s">
        <v>43</v>
      </c>
      <c r="D135" s="56">
        <f t="shared" si="6"/>
        <v>123.96694214876034</v>
      </c>
      <c r="E135" s="56">
        <f t="shared" si="7"/>
        <v>12.396694214876034</v>
      </c>
      <c r="F135" s="75">
        <v>150</v>
      </c>
      <c r="G135" s="75"/>
      <c r="H135" s="58">
        <f t="shared" si="8"/>
        <v>150</v>
      </c>
      <c r="I135" s="134" t="s">
        <v>669</v>
      </c>
      <c r="J135" s="132">
        <v>150</v>
      </c>
      <c r="K135" s="75"/>
      <c r="L135" s="14"/>
      <c r="M135" s="14"/>
      <c r="N135" s="14"/>
      <c r="O135" s="14"/>
    </row>
    <row r="136" spans="1:15" x14ac:dyDescent="0.25">
      <c r="A136" s="130">
        <v>45346</v>
      </c>
      <c r="B136" s="55" t="s">
        <v>482</v>
      </c>
      <c r="C136" s="55" t="s">
        <v>43</v>
      </c>
      <c r="D136" s="56">
        <f t="shared" si="6"/>
        <v>264.4628099173554</v>
      </c>
      <c r="E136" s="56">
        <f t="shared" si="7"/>
        <v>26.446280991735538</v>
      </c>
      <c r="F136" s="75">
        <v>320</v>
      </c>
      <c r="G136" s="75">
        <v>100</v>
      </c>
      <c r="H136" s="58">
        <f t="shared" si="8"/>
        <v>220</v>
      </c>
      <c r="I136" s="14" t="s">
        <v>670</v>
      </c>
      <c r="J136" s="132">
        <v>170</v>
      </c>
      <c r="K136" s="75">
        <v>150</v>
      </c>
      <c r="L136" s="14" t="s">
        <v>588</v>
      </c>
      <c r="M136" s="14"/>
      <c r="N136" s="14"/>
      <c r="O136" s="14"/>
    </row>
    <row r="137" spans="1:15" x14ac:dyDescent="0.25">
      <c r="A137" s="131">
        <v>45346</v>
      </c>
      <c r="B137" s="55" t="s">
        <v>483</v>
      </c>
      <c r="C137" s="55" t="s">
        <v>43</v>
      </c>
      <c r="D137" s="56">
        <f t="shared" si="6"/>
        <v>157.02479338842977</v>
      </c>
      <c r="E137" s="56">
        <f t="shared" si="7"/>
        <v>15.702479338842977</v>
      </c>
      <c r="F137" s="75">
        <v>190</v>
      </c>
      <c r="G137" s="75">
        <v>50</v>
      </c>
      <c r="H137" s="58">
        <f t="shared" si="8"/>
        <v>140</v>
      </c>
      <c r="I137" s="14" t="s">
        <v>671</v>
      </c>
      <c r="J137" s="135">
        <v>190</v>
      </c>
      <c r="K137" s="75"/>
      <c r="L137" s="14"/>
      <c r="M137" s="14"/>
      <c r="N137" s="14"/>
      <c r="O137" s="14"/>
    </row>
    <row r="138" spans="1:15" x14ac:dyDescent="0.25">
      <c r="A138" s="130">
        <v>45346</v>
      </c>
      <c r="B138" s="55" t="s">
        <v>484</v>
      </c>
      <c r="C138" s="55" t="s">
        <v>43</v>
      </c>
      <c r="D138" s="56">
        <f t="shared" si="6"/>
        <v>223.14049586776861</v>
      </c>
      <c r="E138" s="56">
        <f t="shared" si="7"/>
        <v>22.314049586776861</v>
      </c>
      <c r="F138" s="75">
        <v>270</v>
      </c>
      <c r="G138" s="75">
        <v>50</v>
      </c>
      <c r="H138" s="58">
        <f t="shared" si="8"/>
        <v>220</v>
      </c>
      <c r="I138" s="14" t="s">
        <v>672</v>
      </c>
      <c r="J138" s="132">
        <v>220</v>
      </c>
      <c r="K138" s="75">
        <v>50</v>
      </c>
      <c r="L138" s="14" t="s">
        <v>252</v>
      </c>
      <c r="M138" s="14"/>
      <c r="N138" s="14"/>
      <c r="O138" s="14"/>
    </row>
    <row r="139" spans="1:15" x14ac:dyDescent="0.25">
      <c r="A139" s="131">
        <v>45346</v>
      </c>
      <c r="B139" s="55" t="s">
        <v>485</v>
      </c>
      <c r="C139" s="55" t="s">
        <v>43</v>
      </c>
      <c r="D139" s="56">
        <f t="shared" si="6"/>
        <v>148.7603305785124</v>
      </c>
      <c r="E139" s="56">
        <f t="shared" si="7"/>
        <v>14.876033057851238</v>
      </c>
      <c r="F139" s="75">
        <v>180</v>
      </c>
      <c r="G139" s="75"/>
      <c r="H139" s="58">
        <f t="shared" si="8"/>
        <v>180</v>
      </c>
      <c r="I139" s="133" t="s">
        <v>246</v>
      </c>
      <c r="J139" s="132">
        <v>180</v>
      </c>
      <c r="K139" s="75"/>
      <c r="L139" s="14"/>
      <c r="M139" s="14"/>
      <c r="N139" s="14"/>
      <c r="O139" s="14"/>
    </row>
    <row r="140" spans="1:15" x14ac:dyDescent="0.25">
      <c r="A140" s="130">
        <v>45346</v>
      </c>
      <c r="B140" s="55" t="s">
        <v>486</v>
      </c>
      <c r="C140" s="55" t="s">
        <v>43</v>
      </c>
      <c r="D140" s="56">
        <f t="shared" si="6"/>
        <v>214.87603305785126</v>
      </c>
      <c r="E140" s="56">
        <f t="shared" si="7"/>
        <v>21.487603305785125</v>
      </c>
      <c r="F140" s="75">
        <v>260</v>
      </c>
      <c r="G140" s="75">
        <v>50</v>
      </c>
      <c r="H140" s="58">
        <f t="shared" si="8"/>
        <v>210</v>
      </c>
      <c r="I140" s="14" t="s">
        <v>673</v>
      </c>
      <c r="J140" s="132">
        <v>220</v>
      </c>
      <c r="K140" s="75">
        <v>40</v>
      </c>
      <c r="L140" s="14" t="s">
        <v>252</v>
      </c>
      <c r="M140" s="14"/>
      <c r="N140" s="14"/>
      <c r="O140" s="14"/>
    </row>
    <row r="141" spans="1:15" x14ac:dyDescent="0.25">
      <c r="A141" s="131">
        <v>45346</v>
      </c>
      <c r="B141" s="55" t="s">
        <v>487</v>
      </c>
      <c r="C141" s="55" t="s">
        <v>43</v>
      </c>
      <c r="D141" s="56">
        <f t="shared" si="6"/>
        <v>198.34710743801654</v>
      </c>
      <c r="E141" s="56">
        <f t="shared" si="7"/>
        <v>19.834710743801654</v>
      </c>
      <c r="F141" s="75">
        <v>240</v>
      </c>
      <c r="G141" s="75">
        <v>50</v>
      </c>
      <c r="H141" s="58">
        <f t="shared" si="8"/>
        <v>190</v>
      </c>
      <c r="I141" s="14" t="s">
        <v>674</v>
      </c>
      <c r="J141" s="132">
        <v>220</v>
      </c>
      <c r="K141" s="75"/>
      <c r="L141" s="14">
        <v>20</v>
      </c>
      <c r="M141" s="14"/>
      <c r="N141" s="14"/>
      <c r="O141" s="14"/>
    </row>
    <row r="142" spans="1:15" x14ac:dyDescent="0.25">
      <c r="A142" s="130">
        <v>45346</v>
      </c>
      <c r="B142" s="55" t="s">
        <v>488</v>
      </c>
      <c r="C142" s="55" t="s">
        <v>43</v>
      </c>
      <c r="D142" s="56">
        <f t="shared" si="6"/>
        <v>181.81818181818181</v>
      </c>
      <c r="E142" s="56">
        <f t="shared" si="7"/>
        <v>18.18181818181818</v>
      </c>
      <c r="F142" s="75">
        <v>220</v>
      </c>
      <c r="G142" s="75">
        <v>50</v>
      </c>
      <c r="H142" s="58">
        <f t="shared" si="8"/>
        <v>170</v>
      </c>
      <c r="I142" s="14" t="s">
        <v>675</v>
      </c>
      <c r="J142" s="135">
        <v>220</v>
      </c>
      <c r="K142" s="75"/>
      <c r="L142" s="14"/>
      <c r="M142" s="14"/>
      <c r="N142" s="14"/>
      <c r="O142" s="14"/>
    </row>
    <row r="143" spans="1:15" x14ac:dyDescent="0.25">
      <c r="A143" s="131">
        <v>45346</v>
      </c>
      <c r="B143" s="55" t="s">
        <v>489</v>
      </c>
      <c r="C143" s="55" t="s">
        <v>43</v>
      </c>
      <c r="D143" s="56">
        <f t="shared" si="6"/>
        <v>202.47933884297521</v>
      </c>
      <c r="E143" s="56">
        <f t="shared" si="7"/>
        <v>20.247933884297524</v>
      </c>
      <c r="F143" s="75">
        <v>245</v>
      </c>
      <c r="G143" s="75">
        <v>50</v>
      </c>
      <c r="H143" s="58">
        <f t="shared" si="8"/>
        <v>195</v>
      </c>
      <c r="I143" s="14" t="s">
        <v>676</v>
      </c>
      <c r="J143" s="132">
        <v>170</v>
      </c>
      <c r="K143" s="75">
        <v>45</v>
      </c>
      <c r="L143" s="14" t="s">
        <v>45</v>
      </c>
      <c r="M143" s="75">
        <v>30</v>
      </c>
      <c r="N143" s="14" t="s">
        <v>252</v>
      </c>
      <c r="O143" s="14"/>
    </row>
    <row r="144" spans="1:15" x14ac:dyDescent="0.25">
      <c r="A144" s="86">
        <v>45346</v>
      </c>
      <c r="B144" s="55" t="s">
        <v>490</v>
      </c>
      <c r="C144" s="55" t="s">
        <v>43</v>
      </c>
      <c r="D144" s="56">
        <f t="shared" si="6"/>
        <v>140.49586776859505</v>
      </c>
      <c r="E144" s="56">
        <f t="shared" si="7"/>
        <v>14.049586776859506</v>
      </c>
      <c r="F144" s="75">
        <v>170</v>
      </c>
      <c r="G144" s="75">
        <v>50</v>
      </c>
      <c r="H144" s="58">
        <f t="shared" si="8"/>
        <v>120</v>
      </c>
      <c r="I144" s="14" t="s">
        <v>677</v>
      </c>
      <c r="J144" s="132">
        <v>170</v>
      </c>
      <c r="K144" s="75"/>
      <c r="L144" s="14"/>
      <c r="M144" s="75"/>
      <c r="N144" s="14"/>
      <c r="O144" s="14"/>
    </row>
    <row r="145" spans="1:15" x14ac:dyDescent="0.25">
      <c r="A145" s="86">
        <v>45346</v>
      </c>
      <c r="B145" s="55" t="s">
        <v>491</v>
      </c>
      <c r="C145" s="55" t="s">
        <v>43</v>
      </c>
      <c r="D145" s="56">
        <f t="shared" si="6"/>
        <v>115.70247933884298</v>
      </c>
      <c r="E145" s="56">
        <f t="shared" si="7"/>
        <v>11.570247933884298</v>
      </c>
      <c r="F145" s="75">
        <v>140</v>
      </c>
      <c r="G145" s="75"/>
      <c r="H145" s="58">
        <f t="shared" si="8"/>
        <v>140</v>
      </c>
      <c r="I145" s="133" t="s">
        <v>246</v>
      </c>
      <c r="J145" s="132">
        <v>140</v>
      </c>
      <c r="K145" s="14"/>
      <c r="L145" s="14"/>
      <c r="M145" s="75"/>
      <c r="N145" s="14"/>
      <c r="O145" s="14"/>
    </row>
    <row r="146" spans="1:15" x14ac:dyDescent="0.25">
      <c r="A146" s="86">
        <v>45346</v>
      </c>
      <c r="B146" s="55" t="s">
        <v>492</v>
      </c>
      <c r="C146" s="55" t="s">
        <v>43</v>
      </c>
      <c r="D146" s="56">
        <f t="shared" si="6"/>
        <v>206.61157024793388</v>
      </c>
      <c r="E146" s="56">
        <f t="shared" si="7"/>
        <v>20.661157024793386</v>
      </c>
      <c r="F146" s="75">
        <v>250</v>
      </c>
      <c r="G146" s="75">
        <v>50</v>
      </c>
      <c r="H146" s="58">
        <f t="shared" si="8"/>
        <v>200</v>
      </c>
      <c r="I146" s="14" t="s">
        <v>678</v>
      </c>
      <c r="J146" s="132">
        <v>220</v>
      </c>
      <c r="K146" s="75">
        <v>30</v>
      </c>
      <c r="L146" s="14" t="s">
        <v>252</v>
      </c>
      <c r="M146" s="75"/>
      <c r="N146" s="14"/>
      <c r="O146" s="14"/>
    </row>
    <row r="147" spans="1:15" x14ac:dyDescent="0.25">
      <c r="A147" s="86">
        <v>45346</v>
      </c>
      <c r="B147" s="55" t="s">
        <v>493</v>
      </c>
      <c r="C147" s="55" t="s">
        <v>43</v>
      </c>
      <c r="D147" s="56">
        <f t="shared" si="6"/>
        <v>475.20661157024796</v>
      </c>
      <c r="E147" s="56">
        <f t="shared" si="7"/>
        <v>47.520661157024797</v>
      </c>
      <c r="F147" s="75">
        <v>575</v>
      </c>
      <c r="G147" s="75">
        <v>50</v>
      </c>
      <c r="H147" s="58">
        <f t="shared" si="8"/>
        <v>525</v>
      </c>
      <c r="I147" s="14" t="s">
        <v>679</v>
      </c>
      <c r="J147" s="132">
        <v>575</v>
      </c>
      <c r="K147" s="14"/>
      <c r="L147" s="14"/>
      <c r="M147" s="75"/>
      <c r="N147" s="14"/>
      <c r="O147" s="14"/>
    </row>
    <row r="148" spans="1:15" x14ac:dyDescent="0.25">
      <c r="A148" s="86">
        <v>45346</v>
      </c>
      <c r="B148" s="55" t="s">
        <v>494</v>
      </c>
      <c r="C148" s="55" t="s">
        <v>43</v>
      </c>
      <c r="D148" s="56">
        <f t="shared" si="6"/>
        <v>148.7603305785124</v>
      </c>
      <c r="E148" s="56">
        <f t="shared" si="7"/>
        <v>14.876033057851238</v>
      </c>
      <c r="F148" s="75">
        <v>180</v>
      </c>
      <c r="G148" s="75">
        <v>50</v>
      </c>
      <c r="H148" s="58">
        <f t="shared" si="8"/>
        <v>130</v>
      </c>
      <c r="I148" s="14" t="s">
        <v>680</v>
      </c>
      <c r="J148" s="132">
        <v>180</v>
      </c>
      <c r="K148" s="14"/>
      <c r="L148" s="14"/>
      <c r="M148" s="75"/>
      <c r="N148" s="14"/>
      <c r="O148" s="14"/>
    </row>
    <row r="149" spans="1:15" x14ac:dyDescent="0.25">
      <c r="A149" s="86">
        <v>45346</v>
      </c>
      <c r="B149" s="55" t="s">
        <v>495</v>
      </c>
      <c r="C149" s="55" t="s">
        <v>43</v>
      </c>
      <c r="D149" s="56">
        <f t="shared" si="6"/>
        <v>206.61157024793388</v>
      </c>
      <c r="E149" s="56">
        <f t="shared" si="7"/>
        <v>20.661157024793386</v>
      </c>
      <c r="F149" s="75">
        <v>250</v>
      </c>
      <c r="G149" s="75">
        <v>50</v>
      </c>
      <c r="H149" s="58">
        <f t="shared" si="8"/>
        <v>200</v>
      </c>
      <c r="I149" s="14" t="s">
        <v>681</v>
      </c>
      <c r="J149" s="132">
        <v>220</v>
      </c>
      <c r="K149" s="75">
        <v>30</v>
      </c>
      <c r="L149" s="14" t="s">
        <v>252</v>
      </c>
      <c r="M149" s="75"/>
      <c r="N149" s="14"/>
      <c r="O149" s="14"/>
    </row>
    <row r="150" spans="1:15" x14ac:dyDescent="0.25">
      <c r="A150" s="86">
        <v>45346</v>
      </c>
      <c r="B150" s="55" t="s">
        <v>496</v>
      </c>
      <c r="C150" s="55" t="s">
        <v>43</v>
      </c>
      <c r="D150" s="56">
        <f t="shared" si="6"/>
        <v>219.00826446280993</v>
      </c>
      <c r="E150" s="56">
        <f t="shared" si="7"/>
        <v>21.900826446280995</v>
      </c>
      <c r="F150" s="75">
        <v>265</v>
      </c>
      <c r="G150" s="75">
        <v>50</v>
      </c>
      <c r="H150" s="58">
        <f t="shared" si="8"/>
        <v>215</v>
      </c>
      <c r="I150" s="14" t="s">
        <v>682</v>
      </c>
      <c r="J150" s="132">
        <v>220</v>
      </c>
      <c r="K150" s="75">
        <v>45</v>
      </c>
      <c r="L150" s="14" t="s">
        <v>45</v>
      </c>
      <c r="M150" s="75"/>
      <c r="N150" s="14"/>
      <c r="O150" s="14"/>
    </row>
    <row r="151" spans="1:15" x14ac:dyDescent="0.25">
      <c r="A151" s="86">
        <v>45347</v>
      </c>
      <c r="B151" s="55" t="s">
        <v>497</v>
      </c>
      <c r="C151" s="55" t="s">
        <v>43</v>
      </c>
      <c r="D151" s="56">
        <f t="shared" si="6"/>
        <v>140.49586776859505</v>
      </c>
      <c r="E151" s="56">
        <f t="shared" si="7"/>
        <v>14.049586776859506</v>
      </c>
      <c r="F151" s="75">
        <v>170</v>
      </c>
      <c r="G151" s="75">
        <v>50</v>
      </c>
      <c r="H151" s="58">
        <f t="shared" si="8"/>
        <v>120</v>
      </c>
      <c r="I151" s="14" t="s">
        <v>683</v>
      </c>
      <c r="J151" s="75">
        <v>170</v>
      </c>
      <c r="K151" s="14"/>
      <c r="L151" s="14"/>
      <c r="M151" s="75"/>
      <c r="N151" s="14"/>
      <c r="O151" s="14"/>
    </row>
    <row r="152" spans="1:15" x14ac:dyDescent="0.25">
      <c r="A152" s="86">
        <v>45347</v>
      </c>
      <c r="B152" s="55" t="s">
        <v>498</v>
      </c>
      <c r="C152" s="55" t="s">
        <v>43</v>
      </c>
      <c r="D152" s="56">
        <f t="shared" si="6"/>
        <v>202.47933884297521</v>
      </c>
      <c r="E152" s="56">
        <f t="shared" si="7"/>
        <v>20.247933884297524</v>
      </c>
      <c r="F152" s="75">
        <v>245</v>
      </c>
      <c r="G152" s="75">
        <v>50</v>
      </c>
      <c r="H152" s="58">
        <f t="shared" si="8"/>
        <v>195</v>
      </c>
      <c r="I152" s="14" t="s">
        <v>684</v>
      </c>
      <c r="J152" s="75">
        <v>170</v>
      </c>
      <c r="K152" s="75">
        <v>45</v>
      </c>
      <c r="L152" s="14" t="s">
        <v>45</v>
      </c>
      <c r="M152" s="75">
        <v>30</v>
      </c>
      <c r="N152" s="14" t="s">
        <v>252</v>
      </c>
      <c r="O152" s="14"/>
    </row>
    <row r="153" spans="1:15" x14ac:dyDescent="0.25">
      <c r="A153" s="86">
        <v>45347</v>
      </c>
      <c r="B153" s="55" t="s">
        <v>499</v>
      </c>
      <c r="C153" s="55" t="s">
        <v>43</v>
      </c>
      <c r="D153" s="56">
        <f t="shared" si="6"/>
        <v>165.28925619834712</v>
      </c>
      <c r="E153" s="56">
        <f t="shared" si="7"/>
        <v>16.528925619834713</v>
      </c>
      <c r="F153" s="75">
        <v>200</v>
      </c>
      <c r="G153" s="75"/>
      <c r="H153" s="58">
        <f t="shared" si="8"/>
        <v>200</v>
      </c>
      <c r="I153" s="133" t="s">
        <v>603</v>
      </c>
      <c r="J153" s="75">
        <v>200</v>
      </c>
      <c r="K153" s="14"/>
      <c r="L153" s="14"/>
      <c r="M153" s="14"/>
      <c r="N153" s="14"/>
      <c r="O153" s="14"/>
    </row>
    <row r="154" spans="1:15" x14ac:dyDescent="0.25">
      <c r="A154" s="86">
        <v>45347</v>
      </c>
      <c r="B154" s="55" t="s">
        <v>500</v>
      </c>
      <c r="C154" s="55" t="s">
        <v>43</v>
      </c>
      <c r="D154" s="56">
        <f t="shared" si="6"/>
        <v>181.81818181818181</v>
      </c>
      <c r="E154" s="56">
        <f t="shared" si="7"/>
        <v>18.18181818181818</v>
      </c>
      <c r="F154" s="75">
        <v>220</v>
      </c>
      <c r="G154" s="75">
        <v>50</v>
      </c>
      <c r="H154" s="58">
        <f t="shared" si="8"/>
        <v>170</v>
      </c>
      <c r="I154" s="14" t="s">
        <v>685</v>
      </c>
      <c r="J154" s="75">
        <v>270</v>
      </c>
      <c r="K154" s="14"/>
      <c r="L154" s="14"/>
      <c r="M154" s="14"/>
      <c r="N154" s="14"/>
      <c r="O154" s="14"/>
    </row>
    <row r="155" spans="1:15" x14ac:dyDescent="0.25">
      <c r="A155" s="86">
        <v>45348</v>
      </c>
      <c r="B155" s="55" t="s">
        <v>501</v>
      </c>
      <c r="C155" s="55" t="s">
        <v>43</v>
      </c>
      <c r="D155" s="56">
        <f t="shared" si="6"/>
        <v>157.02479338842977</v>
      </c>
      <c r="E155" s="56">
        <f t="shared" si="7"/>
        <v>15.702479338842977</v>
      </c>
      <c r="F155" s="75">
        <v>190</v>
      </c>
      <c r="G155" s="75"/>
      <c r="H155" s="58">
        <f t="shared" si="8"/>
        <v>190</v>
      </c>
      <c r="I155" s="14" t="s">
        <v>686</v>
      </c>
      <c r="J155" s="75">
        <v>190</v>
      </c>
      <c r="K155" s="14"/>
      <c r="L155" s="14"/>
      <c r="M155" s="14"/>
      <c r="N155" s="14"/>
      <c r="O155" s="14"/>
    </row>
    <row r="156" spans="1:15" x14ac:dyDescent="0.25">
      <c r="A156" s="86">
        <v>45351</v>
      </c>
      <c r="B156" s="55" t="s">
        <v>502</v>
      </c>
      <c r="C156" s="55" t="s">
        <v>43</v>
      </c>
      <c r="D156" s="56">
        <f t="shared" si="6"/>
        <v>140.49586776859505</v>
      </c>
      <c r="E156" s="56">
        <f t="shared" si="7"/>
        <v>14.049586776859506</v>
      </c>
      <c r="F156" s="75">
        <v>170</v>
      </c>
      <c r="G156" s="75">
        <v>50</v>
      </c>
      <c r="H156" s="58">
        <f t="shared" si="8"/>
        <v>120</v>
      </c>
      <c r="I156" s="14" t="s">
        <v>700</v>
      </c>
      <c r="J156" s="75">
        <v>170</v>
      </c>
      <c r="K156" s="14"/>
      <c r="L156" s="14"/>
      <c r="M156" s="14"/>
      <c r="N156" s="14"/>
      <c r="O156" s="14"/>
    </row>
    <row r="157" spans="1:15" x14ac:dyDescent="0.25">
      <c r="A157" s="86">
        <v>45351</v>
      </c>
      <c r="B157" s="55" t="s">
        <v>503</v>
      </c>
      <c r="C157" s="55" t="s">
        <v>43</v>
      </c>
      <c r="D157" s="56">
        <f t="shared" si="6"/>
        <v>181.81818181818181</v>
      </c>
      <c r="E157" s="56">
        <f t="shared" si="7"/>
        <v>18.18181818181818</v>
      </c>
      <c r="F157" s="75">
        <v>220</v>
      </c>
      <c r="G157" s="75">
        <v>50</v>
      </c>
      <c r="H157" s="58">
        <f t="shared" si="8"/>
        <v>170</v>
      </c>
      <c r="I157" s="14" t="s">
        <v>701</v>
      </c>
      <c r="J157" s="75">
        <v>190</v>
      </c>
      <c r="K157" s="14"/>
      <c r="L157" s="14"/>
      <c r="M157" s="14"/>
      <c r="N157" s="14"/>
      <c r="O157" s="14"/>
    </row>
    <row r="162" spans="4:4" x14ac:dyDescent="0.25">
      <c r="D162" s="175">
        <f>SUM(D3:D161)</f>
        <v>28651.239669421473</v>
      </c>
    </row>
  </sheetData>
  <mergeCells count="14">
    <mergeCell ref="N1:N2"/>
    <mergeCell ref="O1:O2"/>
    <mergeCell ref="G1:H1"/>
    <mergeCell ref="I1:I2"/>
    <mergeCell ref="J1:J2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honeticPr fontId="6" type="noConversion"/>
  <conditionalFormatting sqref="A3:A19 A100:A107 F100:F126 A109:A126">
    <cfRule type="expression" dxfId="146" priority="36" stopIfTrue="1">
      <formula>EXACT($C3,"ROSA")</formula>
    </cfRule>
    <cfRule type="expression" dxfId="145" priority="35" stopIfTrue="1">
      <formula>EXACT($C3,"BLANCA")</formula>
    </cfRule>
    <cfRule type="expression" dxfId="144" priority="34" stopIfTrue="1">
      <formula>EXACT($C3,"HUMMER")</formula>
    </cfRule>
  </conditionalFormatting>
  <conditionalFormatting sqref="A20:A23 A25:A28 A30:A34">
    <cfRule type="expression" dxfId="143" priority="42" stopIfTrue="1">
      <formula>EXACT($C21,"ROSA")</formula>
    </cfRule>
    <cfRule type="expression" dxfId="142" priority="41" stopIfTrue="1">
      <formula>EXACT($C21,"BLANCA")</formula>
    </cfRule>
    <cfRule type="expression" dxfId="141" priority="40" stopIfTrue="1">
      <formula>EXACT($C21,"HUMMER")</formula>
    </cfRule>
  </conditionalFormatting>
  <conditionalFormatting sqref="A24">
    <cfRule type="expression" dxfId="140" priority="30" stopIfTrue="1">
      <formula>EXACT($C24,"ROSA")</formula>
    </cfRule>
    <cfRule type="expression" dxfId="139" priority="29" stopIfTrue="1">
      <formula>EXACT($C24,"BLANCA")</formula>
    </cfRule>
    <cfRule type="expression" dxfId="138" priority="28" stopIfTrue="1">
      <formula>EXACT($C24,"HUMMER")</formula>
    </cfRule>
  </conditionalFormatting>
  <conditionalFormatting sqref="A29">
    <cfRule type="expression" dxfId="137" priority="25" stopIfTrue="1">
      <formula>EXACT($C29,"HUMMER")</formula>
    </cfRule>
    <cfRule type="expression" dxfId="136" priority="27" stopIfTrue="1">
      <formula>EXACT($C29,"ROSA")</formula>
    </cfRule>
    <cfRule type="expression" dxfId="135" priority="26" stopIfTrue="1">
      <formula>EXACT($C29,"BLANCA")</formula>
    </cfRule>
  </conditionalFormatting>
  <conditionalFormatting sqref="A35:A37">
    <cfRule type="expression" dxfId="134" priority="45" stopIfTrue="1">
      <formula>EXACT($C37,"ROSA")</formula>
    </cfRule>
    <cfRule type="expression" dxfId="133" priority="44" stopIfTrue="1">
      <formula>EXACT($C37,"BLANCA")</formula>
    </cfRule>
    <cfRule type="expression" dxfId="132" priority="43" stopIfTrue="1">
      <formula>EXACT($C37,"HUMMER")</formula>
    </cfRule>
  </conditionalFormatting>
  <conditionalFormatting sqref="A128">
    <cfRule type="expression" dxfId="131" priority="23" stopIfTrue="1">
      <formula>EXACT($C128,"BLANCA")</formula>
    </cfRule>
    <cfRule type="expression" dxfId="130" priority="24" stopIfTrue="1">
      <formula>EXACT($C128,"ROSA")</formula>
    </cfRule>
    <cfRule type="expression" dxfId="129" priority="22" stopIfTrue="1">
      <formula>EXACT($C128,"HUMMER")</formula>
    </cfRule>
  </conditionalFormatting>
  <conditionalFormatting sqref="A130">
    <cfRule type="expression" dxfId="128" priority="19" stopIfTrue="1">
      <formula>EXACT($C130,"HUMMER")</formula>
    </cfRule>
    <cfRule type="expression" dxfId="127" priority="20" stopIfTrue="1">
      <formula>EXACT($C130,"BLANCA")</formula>
    </cfRule>
    <cfRule type="expression" dxfId="126" priority="21" stopIfTrue="1">
      <formula>EXACT($C130,"ROSA")</formula>
    </cfRule>
  </conditionalFormatting>
  <conditionalFormatting sqref="A132">
    <cfRule type="expression" dxfId="125" priority="18" stopIfTrue="1">
      <formula>EXACT($C132,"ROSA")</formula>
    </cfRule>
    <cfRule type="expression" dxfId="124" priority="17" stopIfTrue="1">
      <formula>EXACT($C132,"BLANCA")</formula>
    </cfRule>
    <cfRule type="expression" dxfId="123" priority="16" stopIfTrue="1">
      <formula>EXACT($C132,"HUMMER")</formula>
    </cfRule>
  </conditionalFormatting>
  <conditionalFormatting sqref="A134">
    <cfRule type="expression" dxfId="122" priority="13" stopIfTrue="1">
      <formula>EXACT($C134,"HUMMER")</formula>
    </cfRule>
    <cfRule type="expression" dxfId="121" priority="15" stopIfTrue="1">
      <formula>EXACT($C134,"ROSA")</formula>
    </cfRule>
    <cfRule type="expression" dxfId="120" priority="14" stopIfTrue="1">
      <formula>EXACT($C134,"BLANCA")</formula>
    </cfRule>
  </conditionalFormatting>
  <conditionalFormatting sqref="A136">
    <cfRule type="expression" dxfId="119" priority="12" stopIfTrue="1">
      <formula>EXACT($C136,"ROSA")</formula>
    </cfRule>
    <cfRule type="expression" dxfId="118" priority="11" stopIfTrue="1">
      <formula>EXACT($C136,"BLANCA")</formula>
    </cfRule>
    <cfRule type="expression" dxfId="117" priority="10" stopIfTrue="1">
      <formula>EXACT($C136,"HUMMER")</formula>
    </cfRule>
  </conditionalFormatting>
  <conditionalFormatting sqref="A138">
    <cfRule type="expression" dxfId="116" priority="9" stopIfTrue="1">
      <formula>EXACT($C138,"ROSA")</formula>
    </cfRule>
    <cfRule type="expression" dxfId="115" priority="7" stopIfTrue="1">
      <formula>EXACT($C138,"HUMMER")</formula>
    </cfRule>
    <cfRule type="expression" dxfId="114" priority="8" stopIfTrue="1">
      <formula>EXACT($C138,"BLANCA")</formula>
    </cfRule>
  </conditionalFormatting>
  <conditionalFormatting sqref="A140">
    <cfRule type="expression" dxfId="113" priority="4" stopIfTrue="1">
      <formula>EXACT($C140,"HUMMER")</formula>
    </cfRule>
    <cfRule type="expression" dxfId="112" priority="6" stopIfTrue="1">
      <formula>EXACT($C140,"ROSA")</formula>
    </cfRule>
    <cfRule type="expression" dxfId="111" priority="5" stopIfTrue="1">
      <formula>EXACT($C140,"BLANCA")</formula>
    </cfRule>
  </conditionalFormatting>
  <conditionalFormatting sqref="A142">
    <cfRule type="expression" dxfId="110" priority="2" stopIfTrue="1">
      <formula>EXACT($C142,"BLANCA")</formula>
    </cfRule>
    <cfRule type="expression" dxfId="109" priority="3" stopIfTrue="1">
      <formula>EXACT($C142,"ROSA")</formula>
    </cfRule>
    <cfRule type="expression" dxfId="108" priority="1" stopIfTrue="1">
      <formula>EXACT($C142,"HUMMER")</formula>
    </cfRule>
  </conditionalFormatting>
  <conditionalFormatting sqref="F3:F8">
    <cfRule type="expression" dxfId="107" priority="31" stopIfTrue="1">
      <formula>EXACT($C3,"HUMMER")</formula>
    </cfRule>
    <cfRule type="expression" dxfId="106" priority="32" stopIfTrue="1">
      <formula>EXACT($C3,"BLANCA")</formula>
    </cfRule>
    <cfRule type="expression" dxfId="105" priority="33" stopIfTrue="1">
      <formula>EXACT($C3,"ROSA")</formula>
    </cfRule>
  </conditionalFormatting>
  <conditionalFormatting sqref="F26:F35 F37">
    <cfRule type="expression" dxfId="104" priority="37" stopIfTrue="1">
      <formula>EXACT($C26,"HUMMER")</formula>
    </cfRule>
    <cfRule type="expression" dxfId="103" priority="38" stopIfTrue="1">
      <formula>EXACT($C26,"BLANCA")</formula>
    </cfRule>
    <cfRule type="expression" dxfId="102" priority="39" stopIfTrue="1">
      <formula>EXACT($C26,"ROSA")</formula>
    </cfRule>
  </conditionalFormatting>
  <conditionalFormatting sqref="F36">
    <cfRule type="expression" dxfId="101" priority="46" stopIfTrue="1">
      <formula>EXACT($C39,"HUMMER")</formula>
    </cfRule>
    <cfRule type="expression" dxfId="100" priority="47" stopIfTrue="1">
      <formula>EXACT($C39,"BLANCA")</formula>
    </cfRule>
    <cfRule type="expression" dxfId="99" priority="48" stopIfTrue="1">
      <formula>EXACT($C39,"ROSA")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E03C-6AAC-450B-85E6-4078FA2E8A96}">
  <dimension ref="A1:L147"/>
  <sheetViews>
    <sheetView topLeftCell="A13" workbookViewId="0">
      <selection activeCell="E41" sqref="E41"/>
    </sheetView>
  </sheetViews>
  <sheetFormatPr baseColWidth="10" defaultRowHeight="15" x14ac:dyDescent="0.25"/>
  <cols>
    <col min="2" max="2" width="25.5703125" customWidth="1"/>
    <col min="3" max="3" width="49.28515625" customWidth="1"/>
    <col min="4" max="4" width="15.85546875" customWidth="1"/>
    <col min="5" max="5" width="37.5703125" customWidth="1"/>
    <col min="6" max="6" width="15.28515625" customWidth="1"/>
    <col min="7" max="8" width="13.7109375" customWidth="1"/>
    <col min="9" max="9" width="17.7109375" customWidth="1"/>
    <col min="11" max="11" width="13.7109375" customWidth="1"/>
  </cols>
  <sheetData>
    <row r="1" spans="1:12" x14ac:dyDescent="0.25">
      <c r="A1" t="s">
        <v>0</v>
      </c>
      <c r="B1" s="1">
        <v>45352</v>
      </c>
    </row>
    <row r="3" spans="1:12" ht="30" x14ac:dyDescent="0.2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2" ht="15" customHeight="1" x14ac:dyDescent="0.25">
      <c r="A4" s="11"/>
      <c r="B4" s="12"/>
      <c r="C4" s="13"/>
      <c r="D4" s="14"/>
      <c r="E4" s="15"/>
      <c r="F4" s="16"/>
      <c r="G4" s="16"/>
      <c r="H4" s="16"/>
      <c r="I4" s="9"/>
      <c r="J4" s="17"/>
      <c r="K4" s="9"/>
    </row>
    <row r="5" spans="1:12" ht="15" customHeight="1" x14ac:dyDescent="0.25">
      <c r="A5" s="11">
        <v>45352</v>
      </c>
      <c r="B5" s="12" t="s">
        <v>704</v>
      </c>
      <c r="C5" s="13" t="s">
        <v>12</v>
      </c>
      <c r="D5" s="108" t="s">
        <v>13</v>
      </c>
      <c r="E5" s="15" t="s">
        <v>14</v>
      </c>
      <c r="F5" s="16">
        <v>1650</v>
      </c>
      <c r="G5" s="16"/>
      <c r="H5" s="16"/>
      <c r="I5" s="9">
        <f t="shared" ref="I5:I135" si="0">G5+H5</f>
        <v>0</v>
      </c>
      <c r="J5" s="17"/>
      <c r="K5" s="9">
        <f t="shared" ref="K5:K135" si="1">F5+I5-J5</f>
        <v>1650</v>
      </c>
      <c r="L5" t="s">
        <v>41</v>
      </c>
    </row>
    <row r="6" spans="1:12" ht="15" customHeight="1" x14ac:dyDescent="0.25">
      <c r="A6" s="5">
        <v>45352</v>
      </c>
      <c r="B6" s="6">
        <v>17669</v>
      </c>
      <c r="C6" s="7" t="s">
        <v>706</v>
      </c>
      <c r="D6" s="152" t="s">
        <v>401</v>
      </c>
      <c r="E6" s="8" t="s">
        <v>578</v>
      </c>
      <c r="F6" s="9">
        <v>10.93</v>
      </c>
      <c r="G6" s="9">
        <v>2.2999999999999998</v>
      </c>
      <c r="H6" s="9"/>
      <c r="I6" s="9">
        <f t="shared" si="0"/>
        <v>2.2999999999999998</v>
      </c>
      <c r="J6" s="23"/>
      <c r="K6" s="9">
        <f t="shared" si="1"/>
        <v>13.23</v>
      </c>
      <c r="L6" t="s">
        <v>42</v>
      </c>
    </row>
    <row r="7" spans="1:12" ht="15" customHeight="1" x14ac:dyDescent="0.25">
      <c r="A7" s="24">
        <v>45352</v>
      </c>
      <c r="B7" s="25" t="s">
        <v>705</v>
      </c>
      <c r="C7" s="7" t="s">
        <v>706</v>
      </c>
      <c r="D7" s="105" t="s">
        <v>401</v>
      </c>
      <c r="E7" s="8" t="s">
        <v>578</v>
      </c>
      <c r="F7" s="9">
        <v>-204.83</v>
      </c>
      <c r="G7" s="9">
        <v>-43.01</v>
      </c>
      <c r="H7" s="22"/>
      <c r="I7" s="9">
        <f t="shared" si="0"/>
        <v>-43.01</v>
      </c>
      <c r="J7" s="23"/>
      <c r="K7" s="9">
        <f t="shared" si="1"/>
        <v>-247.84</v>
      </c>
      <c r="L7" t="s">
        <v>42</v>
      </c>
    </row>
    <row r="8" spans="1:12" ht="15" customHeight="1" x14ac:dyDescent="0.25">
      <c r="A8" s="18">
        <v>45352</v>
      </c>
      <c r="B8" s="27" t="s">
        <v>707</v>
      </c>
      <c r="C8" s="28" t="s">
        <v>708</v>
      </c>
      <c r="D8" s="152" t="s">
        <v>577</v>
      </c>
      <c r="E8" s="29" t="s">
        <v>709</v>
      </c>
      <c r="F8" s="30">
        <v>30.57</v>
      </c>
      <c r="G8" s="30">
        <v>6.42</v>
      </c>
      <c r="H8" s="30"/>
      <c r="I8" s="9">
        <f t="shared" si="0"/>
        <v>6.42</v>
      </c>
      <c r="J8" s="31"/>
      <c r="K8" s="9">
        <f t="shared" si="1"/>
        <v>36.99</v>
      </c>
      <c r="L8" t="s">
        <v>267</v>
      </c>
    </row>
    <row r="9" spans="1:12" ht="15" customHeight="1" x14ac:dyDescent="0.25">
      <c r="A9" s="18">
        <v>45352</v>
      </c>
      <c r="B9" s="27" t="s">
        <v>710</v>
      </c>
      <c r="C9" s="28" t="s">
        <v>711</v>
      </c>
      <c r="D9" s="153" t="s">
        <v>712</v>
      </c>
      <c r="E9" s="29" t="s">
        <v>713</v>
      </c>
      <c r="F9" s="30">
        <v>87.36</v>
      </c>
      <c r="G9" s="30">
        <v>18.350000000000001</v>
      </c>
      <c r="H9" s="30"/>
      <c r="I9" s="9">
        <f t="shared" si="0"/>
        <v>18.350000000000001</v>
      </c>
      <c r="J9" s="31"/>
      <c r="K9" s="9">
        <f t="shared" si="1"/>
        <v>105.71000000000001</v>
      </c>
      <c r="L9" t="s">
        <v>42</v>
      </c>
    </row>
    <row r="10" spans="1:12" ht="15" customHeight="1" x14ac:dyDescent="0.25">
      <c r="A10" s="18">
        <v>45353</v>
      </c>
      <c r="B10" s="27" t="s">
        <v>717</v>
      </c>
      <c r="C10" s="20" t="s">
        <v>718</v>
      </c>
      <c r="D10" s="152" t="s">
        <v>16</v>
      </c>
      <c r="E10" s="21" t="s">
        <v>17</v>
      </c>
      <c r="F10" s="30">
        <v>46.86</v>
      </c>
      <c r="G10" s="30">
        <v>9.84</v>
      </c>
      <c r="H10" s="30"/>
      <c r="I10" s="9">
        <f t="shared" si="0"/>
        <v>9.84</v>
      </c>
      <c r="J10" s="31"/>
      <c r="K10" s="9">
        <f t="shared" si="1"/>
        <v>56.7</v>
      </c>
      <c r="L10" t="s">
        <v>42</v>
      </c>
    </row>
    <row r="11" spans="1:12" ht="15" customHeight="1" x14ac:dyDescent="0.25">
      <c r="A11" s="33">
        <v>45354</v>
      </c>
      <c r="B11" s="34" t="s">
        <v>719</v>
      </c>
      <c r="C11" s="28" t="s">
        <v>718</v>
      </c>
      <c r="D11" s="105" t="s">
        <v>16</v>
      </c>
      <c r="E11" s="29" t="s">
        <v>17</v>
      </c>
      <c r="F11" s="30">
        <v>32.229999999999997</v>
      </c>
      <c r="G11" s="30">
        <v>6.77</v>
      </c>
      <c r="H11" s="30"/>
      <c r="I11" s="9">
        <f t="shared" si="0"/>
        <v>6.77</v>
      </c>
      <c r="J11" s="31"/>
      <c r="K11" s="9">
        <f t="shared" si="1"/>
        <v>39</v>
      </c>
      <c r="L11" t="s">
        <v>42</v>
      </c>
    </row>
    <row r="12" spans="1:12" ht="15" customHeight="1" x14ac:dyDescent="0.25">
      <c r="A12" s="33">
        <v>45356</v>
      </c>
      <c r="B12" s="35" t="s">
        <v>720</v>
      </c>
      <c r="C12" s="28" t="s">
        <v>721</v>
      </c>
      <c r="D12" s="35" t="s">
        <v>24</v>
      </c>
      <c r="E12" s="29" t="s">
        <v>25</v>
      </c>
      <c r="F12" s="30">
        <v>19.09</v>
      </c>
      <c r="G12" s="30"/>
      <c r="H12" s="30">
        <v>1.91</v>
      </c>
      <c r="I12" s="9">
        <f t="shared" si="0"/>
        <v>1.91</v>
      </c>
      <c r="J12" s="31"/>
      <c r="K12" s="9">
        <f t="shared" si="1"/>
        <v>21</v>
      </c>
      <c r="L12" t="s">
        <v>42</v>
      </c>
    </row>
    <row r="13" spans="1:12" ht="15" customHeight="1" x14ac:dyDescent="0.25">
      <c r="A13" s="33">
        <v>45356</v>
      </c>
      <c r="B13" s="35">
        <v>858</v>
      </c>
      <c r="C13" s="28" t="s">
        <v>722</v>
      </c>
      <c r="D13" s="35" t="s">
        <v>723</v>
      </c>
      <c r="E13" s="29" t="s">
        <v>724</v>
      </c>
      <c r="F13" s="30">
        <v>19.829999999999998</v>
      </c>
      <c r="G13" s="30">
        <v>4.17</v>
      </c>
      <c r="H13" s="30"/>
      <c r="I13" s="9">
        <f t="shared" si="0"/>
        <v>4.17</v>
      </c>
      <c r="J13" s="31"/>
      <c r="K13" s="9">
        <f t="shared" si="1"/>
        <v>24</v>
      </c>
      <c r="L13" t="s">
        <v>42</v>
      </c>
    </row>
    <row r="14" spans="1:12" ht="15" customHeight="1" x14ac:dyDescent="0.25">
      <c r="A14" s="100">
        <v>45354</v>
      </c>
      <c r="B14" s="157" t="s">
        <v>729</v>
      </c>
      <c r="C14" s="28" t="s">
        <v>302</v>
      </c>
      <c r="D14" s="36" t="s">
        <v>386</v>
      </c>
      <c r="E14" s="29" t="s">
        <v>304</v>
      </c>
      <c r="F14" s="30">
        <v>16</v>
      </c>
      <c r="G14" s="30">
        <v>3.36</v>
      </c>
      <c r="H14" s="30"/>
      <c r="I14" s="9">
        <f t="shared" si="0"/>
        <v>3.36</v>
      </c>
      <c r="J14" s="31"/>
      <c r="K14" s="9">
        <f t="shared" si="1"/>
        <v>19.36</v>
      </c>
      <c r="L14" t="s">
        <v>42</v>
      </c>
    </row>
    <row r="15" spans="1:12" ht="15" customHeight="1" x14ac:dyDescent="0.25">
      <c r="A15" s="86">
        <v>45357</v>
      </c>
      <c r="B15" s="14">
        <v>19172</v>
      </c>
      <c r="C15" s="109" t="s">
        <v>706</v>
      </c>
      <c r="D15" s="108" t="s">
        <v>401</v>
      </c>
      <c r="E15" s="14" t="s">
        <v>578</v>
      </c>
      <c r="F15" s="60">
        <v>57.17</v>
      </c>
      <c r="G15" s="30">
        <v>12.01</v>
      </c>
      <c r="H15" s="30"/>
      <c r="I15" s="9">
        <f t="shared" si="0"/>
        <v>12.01</v>
      </c>
      <c r="J15" s="31"/>
      <c r="K15" s="9">
        <f t="shared" si="1"/>
        <v>69.180000000000007</v>
      </c>
      <c r="L15" t="s">
        <v>267</v>
      </c>
    </row>
    <row r="16" spans="1:12" ht="15" customHeight="1" x14ac:dyDescent="0.25">
      <c r="A16" s="86">
        <v>45359</v>
      </c>
      <c r="B16" s="108">
        <v>88274</v>
      </c>
      <c r="C16" s="156" t="s">
        <v>523</v>
      </c>
      <c r="D16" s="35" t="s">
        <v>280</v>
      </c>
      <c r="E16" s="14" t="s">
        <v>281</v>
      </c>
      <c r="F16" s="60">
        <v>3.84</v>
      </c>
      <c r="G16" s="30">
        <v>0.81</v>
      </c>
      <c r="H16" s="30"/>
      <c r="I16" s="9">
        <f t="shared" si="0"/>
        <v>0.81</v>
      </c>
      <c r="J16" s="31"/>
      <c r="K16" s="9">
        <f t="shared" si="1"/>
        <v>4.6500000000000004</v>
      </c>
      <c r="L16" t="s">
        <v>42</v>
      </c>
    </row>
    <row r="17" spans="1:12" ht="15" customHeight="1" x14ac:dyDescent="0.25">
      <c r="A17" s="86">
        <v>45359</v>
      </c>
      <c r="B17" s="108" t="s">
        <v>730</v>
      </c>
      <c r="C17" s="28" t="s">
        <v>397</v>
      </c>
      <c r="D17" s="35" t="s">
        <v>21</v>
      </c>
      <c r="E17" s="14" t="s">
        <v>266</v>
      </c>
      <c r="F17" s="60">
        <v>87.25</v>
      </c>
      <c r="G17" s="30">
        <v>18.32</v>
      </c>
      <c r="H17" s="30"/>
      <c r="I17" s="9">
        <f t="shared" si="0"/>
        <v>18.32</v>
      </c>
      <c r="J17" s="31"/>
      <c r="K17" s="9">
        <f t="shared" si="1"/>
        <v>105.57</v>
      </c>
      <c r="L17" t="s">
        <v>42</v>
      </c>
    </row>
    <row r="18" spans="1:12" ht="15" customHeight="1" x14ac:dyDescent="0.25">
      <c r="A18" s="86">
        <v>45360</v>
      </c>
      <c r="B18" s="108">
        <v>601239899</v>
      </c>
      <c r="C18" s="109" t="s">
        <v>731</v>
      </c>
      <c r="D18" s="108" t="s">
        <v>323</v>
      </c>
      <c r="E18" s="14" t="s">
        <v>17</v>
      </c>
      <c r="F18" s="60">
        <v>33.06</v>
      </c>
      <c r="G18" s="30">
        <v>6.94</v>
      </c>
      <c r="H18" s="30"/>
      <c r="I18" s="9">
        <f t="shared" si="0"/>
        <v>6.94</v>
      </c>
      <c r="J18" s="31"/>
      <c r="K18" s="9">
        <f t="shared" si="1"/>
        <v>40</v>
      </c>
      <c r="L18" t="s">
        <v>42</v>
      </c>
    </row>
    <row r="19" spans="1:12" ht="15" customHeight="1" x14ac:dyDescent="0.25">
      <c r="A19" s="86">
        <v>45359</v>
      </c>
      <c r="B19" s="111" t="s">
        <v>732</v>
      </c>
      <c r="C19" s="109" t="s">
        <v>733</v>
      </c>
      <c r="D19" s="108" t="s">
        <v>734</v>
      </c>
      <c r="E19" s="110" t="s">
        <v>17</v>
      </c>
      <c r="F19" s="60">
        <v>42.18</v>
      </c>
      <c r="G19" s="30">
        <v>8.86</v>
      </c>
      <c r="H19" s="30"/>
      <c r="I19" s="9">
        <f t="shared" si="0"/>
        <v>8.86</v>
      </c>
      <c r="J19" s="31"/>
      <c r="K19" s="9">
        <f t="shared" si="1"/>
        <v>51.04</v>
      </c>
      <c r="L19" t="s">
        <v>42</v>
      </c>
    </row>
    <row r="20" spans="1:12" ht="15" customHeight="1" x14ac:dyDescent="0.25">
      <c r="A20" s="104">
        <v>45363</v>
      </c>
      <c r="B20" s="105" t="s">
        <v>735</v>
      </c>
      <c r="C20" s="28" t="s">
        <v>292</v>
      </c>
      <c r="D20" s="36" t="s">
        <v>293</v>
      </c>
      <c r="E20" s="14" t="s">
        <v>638</v>
      </c>
      <c r="F20" s="30">
        <v>44.59</v>
      </c>
      <c r="G20" s="30">
        <v>9.35</v>
      </c>
      <c r="H20" s="30"/>
      <c r="I20" s="9">
        <f t="shared" si="0"/>
        <v>9.35</v>
      </c>
      <c r="J20" s="31"/>
      <c r="K20" s="9">
        <f t="shared" si="1"/>
        <v>53.940000000000005</v>
      </c>
      <c r="L20" t="s">
        <v>295</v>
      </c>
    </row>
    <row r="21" spans="1:12" ht="15" customHeight="1" x14ac:dyDescent="0.25">
      <c r="A21" s="33">
        <v>45361</v>
      </c>
      <c r="B21" s="35">
        <v>602034319</v>
      </c>
      <c r="C21" s="28" t="s">
        <v>731</v>
      </c>
      <c r="D21" s="35" t="s">
        <v>736</v>
      </c>
      <c r="E21" s="29" t="s">
        <v>17</v>
      </c>
      <c r="F21" s="30">
        <v>24.79</v>
      </c>
      <c r="G21" s="30">
        <v>5.21</v>
      </c>
      <c r="H21" s="30"/>
      <c r="I21" s="9">
        <f t="shared" si="0"/>
        <v>5.21</v>
      </c>
      <c r="J21" s="31"/>
      <c r="K21" s="9">
        <f t="shared" si="1"/>
        <v>30</v>
      </c>
      <c r="L21" t="s">
        <v>42</v>
      </c>
    </row>
    <row r="22" spans="1:12" ht="15" customHeight="1" x14ac:dyDescent="0.25">
      <c r="A22" s="33">
        <v>45360</v>
      </c>
      <c r="B22" s="34" t="s">
        <v>790</v>
      </c>
      <c r="C22" s="28" t="s">
        <v>523</v>
      </c>
      <c r="D22" s="35" t="s">
        <v>280</v>
      </c>
      <c r="E22" s="29" t="s">
        <v>281</v>
      </c>
      <c r="F22" s="30">
        <v>5.33</v>
      </c>
      <c r="G22" s="30">
        <v>1.1200000000000001</v>
      </c>
      <c r="H22" s="30"/>
      <c r="I22" s="9">
        <f t="shared" si="0"/>
        <v>1.1200000000000001</v>
      </c>
      <c r="J22" s="31"/>
      <c r="K22" s="9">
        <f t="shared" si="1"/>
        <v>6.45</v>
      </c>
      <c r="L22" t="s">
        <v>42</v>
      </c>
    </row>
    <row r="23" spans="1:12" ht="15" customHeight="1" x14ac:dyDescent="0.25">
      <c r="A23" s="33">
        <v>45362</v>
      </c>
      <c r="B23" s="35" t="s">
        <v>791</v>
      </c>
      <c r="C23" s="28" t="s">
        <v>292</v>
      </c>
      <c r="D23" s="36" t="s">
        <v>293</v>
      </c>
      <c r="E23" s="14" t="s">
        <v>792</v>
      </c>
      <c r="F23" s="30">
        <v>125.69</v>
      </c>
      <c r="G23" s="30">
        <v>26.4</v>
      </c>
      <c r="H23" s="30"/>
      <c r="I23" s="9">
        <f t="shared" si="0"/>
        <v>26.4</v>
      </c>
      <c r="J23" s="31"/>
      <c r="K23" s="9">
        <f t="shared" si="1"/>
        <v>152.09</v>
      </c>
      <c r="L23" t="s">
        <v>295</v>
      </c>
    </row>
    <row r="24" spans="1:12" ht="15" customHeight="1" x14ac:dyDescent="0.25">
      <c r="A24" s="33">
        <v>45363</v>
      </c>
      <c r="B24" s="34" t="s">
        <v>794</v>
      </c>
      <c r="C24" s="28" t="s">
        <v>302</v>
      </c>
      <c r="D24" s="36" t="s">
        <v>386</v>
      </c>
      <c r="E24" s="29" t="s">
        <v>304</v>
      </c>
      <c r="F24" s="30">
        <v>15</v>
      </c>
      <c r="G24" s="30">
        <v>3.15</v>
      </c>
      <c r="H24" s="30"/>
      <c r="I24" s="9">
        <f t="shared" si="0"/>
        <v>3.15</v>
      </c>
      <c r="J24" s="31"/>
      <c r="K24" s="9">
        <f t="shared" si="1"/>
        <v>18.149999999999999</v>
      </c>
      <c r="L24" t="s">
        <v>295</v>
      </c>
    </row>
    <row r="25" spans="1:12" ht="15" customHeight="1" x14ac:dyDescent="0.25">
      <c r="A25" s="33">
        <v>45363</v>
      </c>
      <c r="B25" s="35" t="s">
        <v>793</v>
      </c>
      <c r="C25" s="28" t="s">
        <v>292</v>
      </c>
      <c r="D25" s="36" t="s">
        <v>293</v>
      </c>
      <c r="E25" s="14" t="s">
        <v>792</v>
      </c>
      <c r="F25" s="30">
        <v>44.59</v>
      </c>
      <c r="G25" s="30">
        <v>9.36</v>
      </c>
      <c r="H25" s="30"/>
      <c r="I25" s="9">
        <f t="shared" si="0"/>
        <v>9.36</v>
      </c>
      <c r="J25" s="31"/>
      <c r="K25" s="9">
        <f t="shared" si="1"/>
        <v>53.95</v>
      </c>
      <c r="L25" t="s">
        <v>295</v>
      </c>
    </row>
    <row r="26" spans="1:12" ht="15" customHeight="1" x14ac:dyDescent="0.25">
      <c r="A26" s="33">
        <v>45357</v>
      </c>
      <c r="B26" s="35">
        <v>371408441</v>
      </c>
      <c r="C26" s="28" t="s">
        <v>795</v>
      </c>
      <c r="D26" s="35" t="s">
        <v>796</v>
      </c>
      <c r="E26" s="29" t="s">
        <v>797</v>
      </c>
      <c r="F26" s="30">
        <v>96.9</v>
      </c>
      <c r="G26" s="30">
        <v>20.350000000000001</v>
      </c>
      <c r="H26" s="30"/>
      <c r="I26" s="9">
        <f t="shared" si="0"/>
        <v>20.350000000000001</v>
      </c>
      <c r="J26" s="31"/>
      <c r="K26" s="9">
        <f t="shared" si="1"/>
        <v>117.25</v>
      </c>
      <c r="L26" t="s">
        <v>267</v>
      </c>
    </row>
    <row r="27" spans="1:12" ht="15" customHeight="1" x14ac:dyDescent="0.25">
      <c r="A27" s="33">
        <v>45363</v>
      </c>
      <c r="B27" s="35" t="s">
        <v>798</v>
      </c>
      <c r="C27" s="28" t="s">
        <v>721</v>
      </c>
      <c r="D27" s="35" t="s">
        <v>24</v>
      </c>
      <c r="E27" s="29" t="s">
        <v>25</v>
      </c>
      <c r="F27" s="30">
        <v>19.09</v>
      </c>
      <c r="G27" s="30"/>
      <c r="H27" s="30">
        <v>1.91</v>
      </c>
      <c r="I27" s="9">
        <f t="shared" si="0"/>
        <v>1.91</v>
      </c>
      <c r="J27" s="31"/>
      <c r="K27" s="9">
        <f t="shared" si="1"/>
        <v>21</v>
      </c>
      <c r="L27" t="s">
        <v>42</v>
      </c>
    </row>
    <row r="28" spans="1:12" ht="15" customHeight="1" x14ac:dyDescent="0.25">
      <c r="A28" s="33">
        <v>45364</v>
      </c>
      <c r="B28" s="35" t="s">
        <v>799</v>
      </c>
      <c r="C28" s="28" t="s">
        <v>711</v>
      </c>
      <c r="D28" s="35" t="s">
        <v>712</v>
      </c>
      <c r="E28" s="29" t="s">
        <v>713</v>
      </c>
      <c r="F28" s="30">
        <v>216.45</v>
      </c>
      <c r="G28" s="30">
        <v>45.45</v>
      </c>
      <c r="H28" s="30"/>
      <c r="I28" s="9">
        <f t="shared" si="0"/>
        <v>45.45</v>
      </c>
      <c r="J28" s="31"/>
      <c r="K28" s="9">
        <f t="shared" si="1"/>
        <v>261.89999999999998</v>
      </c>
      <c r="L28" t="s">
        <v>41</v>
      </c>
    </row>
    <row r="29" spans="1:12" ht="15" customHeight="1" x14ac:dyDescent="0.25">
      <c r="A29" s="33">
        <v>45365</v>
      </c>
      <c r="B29" s="35" t="s">
        <v>800</v>
      </c>
      <c r="C29" s="28" t="s">
        <v>292</v>
      </c>
      <c r="D29" s="36" t="s">
        <v>293</v>
      </c>
      <c r="E29" s="14" t="s">
        <v>792</v>
      </c>
      <c r="F29" s="30">
        <v>2.91</v>
      </c>
      <c r="G29" s="30">
        <v>0.6</v>
      </c>
      <c r="H29" s="30"/>
      <c r="I29" s="9">
        <f t="shared" si="0"/>
        <v>0.6</v>
      </c>
      <c r="J29" s="31"/>
      <c r="K29" s="9">
        <f t="shared" si="1"/>
        <v>3.5100000000000002</v>
      </c>
      <c r="L29" t="s">
        <v>295</v>
      </c>
    </row>
    <row r="30" spans="1:12" ht="15" customHeight="1" x14ac:dyDescent="0.25">
      <c r="A30" s="33">
        <v>45365</v>
      </c>
      <c r="B30" s="34" t="s">
        <v>801</v>
      </c>
      <c r="C30" s="28" t="s">
        <v>292</v>
      </c>
      <c r="D30" s="36" t="s">
        <v>293</v>
      </c>
      <c r="E30" s="14" t="s">
        <v>792</v>
      </c>
      <c r="F30" s="30">
        <v>30.69</v>
      </c>
      <c r="G30" s="30">
        <v>6.45</v>
      </c>
      <c r="H30" s="30"/>
      <c r="I30" s="9">
        <f t="shared" si="0"/>
        <v>6.45</v>
      </c>
      <c r="J30" s="31"/>
      <c r="K30" s="9">
        <f t="shared" si="1"/>
        <v>37.14</v>
      </c>
      <c r="L30" t="s">
        <v>295</v>
      </c>
    </row>
    <row r="31" spans="1:12" ht="15" customHeight="1" x14ac:dyDescent="0.25">
      <c r="A31" s="33">
        <v>45366</v>
      </c>
      <c r="B31" s="35" t="s">
        <v>802</v>
      </c>
      <c r="C31" s="28" t="s">
        <v>310</v>
      </c>
      <c r="D31" s="35" t="s">
        <v>311</v>
      </c>
      <c r="E31" s="29" t="s">
        <v>713</v>
      </c>
      <c r="F31" s="30">
        <v>32.83</v>
      </c>
      <c r="G31" s="30">
        <v>3.61</v>
      </c>
      <c r="H31" s="30">
        <v>1.56</v>
      </c>
      <c r="I31" s="9">
        <f t="shared" si="0"/>
        <v>5.17</v>
      </c>
      <c r="J31" s="31"/>
      <c r="K31" s="9">
        <f t="shared" si="1"/>
        <v>38</v>
      </c>
      <c r="L31" t="s">
        <v>42</v>
      </c>
    </row>
    <row r="32" spans="1:12" ht="15" customHeight="1" x14ac:dyDescent="0.25">
      <c r="A32" s="33">
        <v>45367</v>
      </c>
      <c r="B32" s="34" t="s">
        <v>803</v>
      </c>
      <c r="C32" s="28" t="s">
        <v>523</v>
      </c>
      <c r="D32" s="35" t="s">
        <v>280</v>
      </c>
      <c r="E32" s="29" t="s">
        <v>281</v>
      </c>
      <c r="F32" s="30">
        <v>14.55</v>
      </c>
      <c r="G32" s="30">
        <v>3.05</v>
      </c>
      <c r="H32" s="30"/>
      <c r="I32" s="9">
        <f t="shared" si="0"/>
        <v>3.05</v>
      </c>
      <c r="J32" s="23"/>
      <c r="K32" s="9">
        <f>F32+I32+J32</f>
        <v>17.600000000000001</v>
      </c>
      <c r="L32" t="s">
        <v>42</v>
      </c>
    </row>
    <row r="33" spans="1:12" ht="15" customHeight="1" x14ac:dyDescent="0.25">
      <c r="A33" s="33">
        <v>45367</v>
      </c>
      <c r="B33" s="34" t="s">
        <v>804</v>
      </c>
      <c r="C33" s="28" t="s">
        <v>302</v>
      </c>
      <c r="D33" s="35" t="s">
        <v>386</v>
      </c>
      <c r="E33" s="29" t="s">
        <v>304</v>
      </c>
      <c r="F33" s="30">
        <v>23.75</v>
      </c>
      <c r="G33" s="30">
        <v>4.99</v>
      </c>
      <c r="H33" s="30"/>
      <c r="I33" s="9">
        <f t="shared" si="0"/>
        <v>4.99</v>
      </c>
      <c r="J33" s="31"/>
      <c r="K33" s="9">
        <f t="shared" si="1"/>
        <v>28.740000000000002</v>
      </c>
      <c r="L33" t="s">
        <v>295</v>
      </c>
    </row>
    <row r="34" spans="1:12" ht="15" customHeight="1" x14ac:dyDescent="0.25">
      <c r="A34" s="33">
        <v>45366</v>
      </c>
      <c r="B34" s="34" t="s">
        <v>805</v>
      </c>
      <c r="C34" s="28" t="s">
        <v>523</v>
      </c>
      <c r="D34" s="35" t="s">
        <v>280</v>
      </c>
      <c r="E34" s="29" t="s">
        <v>281</v>
      </c>
      <c r="F34" s="30">
        <v>2.0699999999999998</v>
      </c>
      <c r="G34" s="30">
        <v>0.43</v>
      </c>
      <c r="H34" s="30"/>
      <c r="I34" s="9">
        <f t="shared" si="0"/>
        <v>0.43</v>
      </c>
      <c r="J34" s="31"/>
      <c r="K34" s="9">
        <f t="shared" si="1"/>
        <v>2.5</v>
      </c>
      <c r="L34" t="s">
        <v>42</v>
      </c>
    </row>
    <row r="35" spans="1:12" ht="15" customHeight="1" x14ac:dyDescent="0.25">
      <c r="A35" s="33">
        <v>45366</v>
      </c>
      <c r="B35" s="34" t="s">
        <v>806</v>
      </c>
      <c r="C35" s="28" t="s">
        <v>261</v>
      </c>
      <c r="D35" s="35" t="s">
        <v>20</v>
      </c>
      <c r="E35" s="29" t="s">
        <v>17</v>
      </c>
      <c r="F35" s="30">
        <v>16.53</v>
      </c>
      <c r="G35" s="30">
        <v>3.47</v>
      </c>
      <c r="H35" s="30"/>
      <c r="I35" s="9">
        <f t="shared" si="0"/>
        <v>3.47</v>
      </c>
      <c r="J35" s="31"/>
      <c r="K35" s="9">
        <f t="shared" si="1"/>
        <v>20</v>
      </c>
      <c r="L35" t="s">
        <v>42</v>
      </c>
    </row>
    <row r="36" spans="1:12" ht="15" customHeight="1" x14ac:dyDescent="0.25">
      <c r="A36" s="33">
        <v>45366</v>
      </c>
      <c r="B36" s="34" t="s">
        <v>807</v>
      </c>
      <c r="C36" s="28" t="s">
        <v>397</v>
      </c>
      <c r="D36" s="35" t="s">
        <v>21</v>
      </c>
      <c r="E36" s="29" t="s">
        <v>266</v>
      </c>
      <c r="F36" s="30">
        <v>85.06</v>
      </c>
      <c r="G36" s="30">
        <v>17.86</v>
      </c>
      <c r="H36" s="30"/>
      <c r="I36" s="9">
        <f t="shared" si="0"/>
        <v>17.86</v>
      </c>
      <c r="J36" s="31"/>
      <c r="K36" s="9">
        <f t="shared" si="1"/>
        <v>102.92</v>
      </c>
      <c r="L36" t="s">
        <v>42</v>
      </c>
    </row>
    <row r="37" spans="1:12" ht="15" customHeight="1" x14ac:dyDescent="0.25">
      <c r="A37" s="33">
        <v>45367</v>
      </c>
      <c r="B37" s="34" t="s">
        <v>808</v>
      </c>
      <c r="C37" s="28" t="s">
        <v>310</v>
      </c>
      <c r="D37" s="35" t="s">
        <v>311</v>
      </c>
      <c r="E37" s="29" t="s">
        <v>713</v>
      </c>
      <c r="F37" s="30">
        <v>30.17</v>
      </c>
      <c r="G37" s="30">
        <v>6.14</v>
      </c>
      <c r="H37" s="30">
        <v>0.09</v>
      </c>
      <c r="I37" s="9">
        <f t="shared" si="0"/>
        <v>6.2299999999999995</v>
      </c>
      <c r="J37" s="31"/>
      <c r="K37" s="9">
        <f t="shared" si="1"/>
        <v>36.4</v>
      </c>
      <c r="L37" t="s">
        <v>42</v>
      </c>
    </row>
    <row r="38" spans="1:12" ht="15" customHeight="1" x14ac:dyDescent="0.25">
      <c r="A38" s="33">
        <v>45367</v>
      </c>
      <c r="B38" s="34" t="s">
        <v>809</v>
      </c>
      <c r="C38" s="28" t="s">
        <v>22</v>
      </c>
      <c r="D38" s="35" t="s">
        <v>23</v>
      </c>
      <c r="E38" s="29" t="s">
        <v>713</v>
      </c>
      <c r="F38" s="30">
        <v>299.83</v>
      </c>
      <c r="G38" s="30">
        <v>3.16</v>
      </c>
      <c r="H38" s="30">
        <v>24.43</v>
      </c>
      <c r="I38" s="9">
        <f t="shared" si="0"/>
        <v>27.59</v>
      </c>
      <c r="J38" s="31"/>
      <c r="K38" s="9">
        <f t="shared" si="1"/>
        <v>327.41999999999996</v>
      </c>
      <c r="L38" t="s">
        <v>267</v>
      </c>
    </row>
    <row r="39" spans="1:12" ht="15" customHeight="1" x14ac:dyDescent="0.25">
      <c r="A39" s="33">
        <v>45370</v>
      </c>
      <c r="B39" s="34" t="s">
        <v>810</v>
      </c>
      <c r="C39" s="28" t="s">
        <v>302</v>
      </c>
      <c r="D39" s="35" t="s">
        <v>386</v>
      </c>
      <c r="E39" s="29" t="s">
        <v>304</v>
      </c>
      <c r="F39" s="30">
        <v>29.99</v>
      </c>
      <c r="G39" s="30">
        <v>6.3</v>
      </c>
      <c r="H39" s="30"/>
      <c r="I39" s="9">
        <f t="shared" si="0"/>
        <v>6.3</v>
      </c>
      <c r="J39" s="31"/>
      <c r="K39" s="9">
        <f t="shared" si="1"/>
        <v>36.29</v>
      </c>
      <c r="L39" t="s">
        <v>295</v>
      </c>
    </row>
    <row r="40" spans="1:12" ht="15" customHeight="1" x14ac:dyDescent="0.25">
      <c r="A40" s="33">
        <v>45370</v>
      </c>
      <c r="B40" s="34" t="s">
        <v>811</v>
      </c>
      <c r="C40" s="28" t="s">
        <v>302</v>
      </c>
      <c r="D40" s="35" t="s">
        <v>386</v>
      </c>
      <c r="E40" s="14" t="s">
        <v>304</v>
      </c>
      <c r="F40" s="30">
        <v>29.99</v>
      </c>
      <c r="G40" s="30">
        <v>6.3</v>
      </c>
      <c r="H40" s="30"/>
      <c r="I40" s="9">
        <f t="shared" si="0"/>
        <v>6.3</v>
      </c>
      <c r="J40" s="31"/>
      <c r="K40" s="9">
        <f t="shared" si="1"/>
        <v>36.29</v>
      </c>
      <c r="L40" t="s">
        <v>295</v>
      </c>
    </row>
    <row r="41" spans="1:12" ht="15" customHeight="1" x14ac:dyDescent="0.25">
      <c r="A41" s="33" t="s">
        <v>812</v>
      </c>
      <c r="B41" s="34" t="s">
        <v>813</v>
      </c>
      <c r="C41" s="28" t="s">
        <v>815</v>
      </c>
      <c r="D41" s="35" t="s">
        <v>387</v>
      </c>
      <c r="E41" s="29" t="s">
        <v>389</v>
      </c>
      <c r="F41" s="30">
        <v>387.6</v>
      </c>
      <c r="G41" s="30">
        <v>81.400000000000006</v>
      </c>
      <c r="H41" s="30"/>
      <c r="I41" s="9">
        <f t="shared" si="0"/>
        <v>81.400000000000006</v>
      </c>
      <c r="J41" s="31"/>
      <c r="K41" s="9">
        <f t="shared" si="1"/>
        <v>469</v>
      </c>
      <c r="L41" t="s">
        <v>295</v>
      </c>
    </row>
    <row r="42" spans="1:12" ht="15" customHeight="1" x14ac:dyDescent="0.25">
      <c r="A42" s="33">
        <v>45371</v>
      </c>
      <c r="B42" s="34" t="s">
        <v>814</v>
      </c>
      <c r="C42" s="28" t="s">
        <v>385</v>
      </c>
      <c r="D42" s="35" t="s">
        <v>388</v>
      </c>
      <c r="E42" s="29" t="s">
        <v>389</v>
      </c>
      <c r="F42" s="30">
        <v>4.95</v>
      </c>
      <c r="G42" s="30">
        <v>1.04</v>
      </c>
      <c r="H42" s="30"/>
      <c r="I42" s="9">
        <f t="shared" si="0"/>
        <v>1.04</v>
      </c>
      <c r="J42" s="31"/>
      <c r="K42" s="9">
        <f t="shared" si="1"/>
        <v>5.99</v>
      </c>
      <c r="L42" t="s">
        <v>295</v>
      </c>
    </row>
    <row r="43" spans="1:12" ht="15" customHeight="1" x14ac:dyDescent="0.25">
      <c r="A43" s="33">
        <v>45371</v>
      </c>
      <c r="B43" s="34" t="s">
        <v>816</v>
      </c>
      <c r="C43" s="28" t="s">
        <v>706</v>
      </c>
      <c r="D43" s="35" t="s">
        <v>401</v>
      </c>
      <c r="E43" s="29" t="s">
        <v>578</v>
      </c>
      <c r="F43" s="30">
        <v>62.49</v>
      </c>
      <c r="G43" s="30">
        <v>13.12</v>
      </c>
      <c r="H43" s="30"/>
      <c r="I43" s="9">
        <f t="shared" si="0"/>
        <v>13.12</v>
      </c>
      <c r="J43" s="31"/>
      <c r="K43" s="9">
        <f t="shared" si="1"/>
        <v>75.61</v>
      </c>
      <c r="L43" t="s">
        <v>267</v>
      </c>
    </row>
    <row r="44" spans="1:12" ht="15" customHeight="1" x14ac:dyDescent="0.25">
      <c r="A44" s="33">
        <v>45372</v>
      </c>
      <c r="B44" s="34" t="s">
        <v>817</v>
      </c>
      <c r="C44" s="28" t="s">
        <v>818</v>
      </c>
      <c r="D44" s="35" t="s">
        <v>819</v>
      </c>
      <c r="E44" s="29" t="s">
        <v>820</v>
      </c>
      <c r="F44" s="30">
        <v>46.16</v>
      </c>
      <c r="G44" s="30">
        <v>9.69</v>
      </c>
      <c r="H44" s="30"/>
      <c r="I44" s="9">
        <f t="shared" si="0"/>
        <v>9.69</v>
      </c>
      <c r="J44" s="31"/>
      <c r="K44" s="9">
        <f t="shared" si="1"/>
        <v>55.849999999999994</v>
      </c>
      <c r="L44" t="s">
        <v>42</v>
      </c>
    </row>
    <row r="45" spans="1:12" ht="15" customHeight="1" x14ac:dyDescent="0.25">
      <c r="A45" s="33">
        <v>45372</v>
      </c>
      <c r="B45" s="34" t="s">
        <v>821</v>
      </c>
      <c r="C45" s="28" t="s">
        <v>711</v>
      </c>
      <c r="D45" s="35" t="s">
        <v>712</v>
      </c>
      <c r="E45" s="29" t="s">
        <v>713</v>
      </c>
      <c r="F45" s="30">
        <v>233.4</v>
      </c>
      <c r="G45" s="30">
        <v>49.01</v>
      </c>
      <c r="H45" s="30"/>
      <c r="I45" s="9">
        <f t="shared" si="0"/>
        <v>49.01</v>
      </c>
      <c r="J45" s="31"/>
      <c r="K45" s="9">
        <f t="shared" si="1"/>
        <v>282.41000000000003</v>
      </c>
      <c r="L45" t="s">
        <v>41</v>
      </c>
    </row>
    <row r="46" spans="1:12" ht="15" customHeight="1" x14ac:dyDescent="0.25">
      <c r="A46" s="33">
        <v>45372</v>
      </c>
      <c r="B46" s="34" t="s">
        <v>822</v>
      </c>
      <c r="C46" s="28" t="s">
        <v>721</v>
      </c>
      <c r="D46" s="35" t="s">
        <v>24</v>
      </c>
      <c r="E46" s="29" t="s">
        <v>25</v>
      </c>
      <c r="F46" s="30">
        <v>26.73</v>
      </c>
      <c r="G46" s="30"/>
      <c r="H46" s="30">
        <v>2.67</v>
      </c>
      <c r="I46" s="9">
        <f t="shared" si="0"/>
        <v>2.67</v>
      </c>
      <c r="J46" s="31"/>
      <c r="K46" s="9">
        <f t="shared" si="1"/>
        <v>29.4</v>
      </c>
      <c r="L46" t="s">
        <v>42</v>
      </c>
    </row>
    <row r="47" spans="1:12" ht="15" customHeight="1" x14ac:dyDescent="0.25">
      <c r="A47" s="33">
        <v>45376</v>
      </c>
      <c r="B47" s="34" t="s">
        <v>823</v>
      </c>
      <c r="C47" s="28" t="s">
        <v>698</v>
      </c>
      <c r="D47" s="36" t="s">
        <v>289</v>
      </c>
      <c r="E47" s="29" t="s">
        <v>699</v>
      </c>
      <c r="F47" s="30">
        <v>154.38</v>
      </c>
      <c r="G47" s="30">
        <v>32.42</v>
      </c>
      <c r="H47" s="30"/>
      <c r="I47" s="9">
        <f t="shared" si="0"/>
        <v>32.42</v>
      </c>
      <c r="J47" s="31"/>
      <c r="K47" s="9">
        <f t="shared" si="1"/>
        <v>186.8</v>
      </c>
      <c r="L47" t="s">
        <v>295</v>
      </c>
    </row>
    <row r="48" spans="1:12" ht="15" customHeight="1" x14ac:dyDescent="0.25">
      <c r="A48" s="33">
        <v>45376</v>
      </c>
      <c r="B48" s="34" t="s">
        <v>824</v>
      </c>
      <c r="C48" s="28" t="s">
        <v>698</v>
      </c>
      <c r="D48" s="36" t="s">
        <v>289</v>
      </c>
      <c r="E48" s="29" t="s">
        <v>699</v>
      </c>
      <c r="F48" s="30">
        <v>20.74</v>
      </c>
      <c r="G48" s="30">
        <v>4.3499999999999996</v>
      </c>
      <c r="H48" s="30"/>
      <c r="I48" s="9">
        <f t="shared" si="0"/>
        <v>4.3499999999999996</v>
      </c>
      <c r="J48" s="31"/>
      <c r="K48" s="9">
        <f t="shared" si="1"/>
        <v>25.089999999999996</v>
      </c>
      <c r="L48" t="s">
        <v>295</v>
      </c>
    </row>
    <row r="49" spans="1:12" ht="15" customHeight="1" x14ac:dyDescent="0.25">
      <c r="A49" s="33">
        <v>45375</v>
      </c>
      <c r="B49" s="34" t="s">
        <v>825</v>
      </c>
      <c r="C49" s="28" t="s">
        <v>826</v>
      </c>
      <c r="D49" s="35" t="s">
        <v>693</v>
      </c>
      <c r="E49" s="29" t="s">
        <v>827</v>
      </c>
      <c r="F49" s="30">
        <v>1909.09</v>
      </c>
      <c r="G49" s="30"/>
      <c r="H49" s="30">
        <v>190.91</v>
      </c>
      <c r="I49" s="9">
        <f t="shared" si="0"/>
        <v>190.91</v>
      </c>
      <c r="J49" s="31"/>
      <c r="K49" s="9">
        <f t="shared" si="1"/>
        <v>2100</v>
      </c>
      <c r="L49" t="s">
        <v>1539</v>
      </c>
    </row>
    <row r="50" spans="1:12" ht="15" customHeight="1" x14ac:dyDescent="0.25">
      <c r="A50" s="33">
        <v>45376</v>
      </c>
      <c r="B50" s="34" t="s">
        <v>828</v>
      </c>
      <c r="C50" s="28" t="s">
        <v>829</v>
      </c>
      <c r="D50" s="35" t="s">
        <v>830</v>
      </c>
      <c r="E50" s="29" t="s">
        <v>713</v>
      </c>
      <c r="F50" s="30">
        <v>58.63</v>
      </c>
      <c r="G50" s="30">
        <v>5.34</v>
      </c>
      <c r="H50" s="30">
        <v>2.71</v>
      </c>
      <c r="I50" s="9">
        <f t="shared" si="0"/>
        <v>8.0500000000000007</v>
      </c>
      <c r="J50" s="31"/>
      <c r="K50" s="9">
        <f t="shared" si="1"/>
        <v>66.680000000000007</v>
      </c>
      <c r="L50" t="s">
        <v>267</v>
      </c>
    </row>
    <row r="51" spans="1:12" ht="15" customHeight="1" x14ac:dyDescent="0.25">
      <c r="A51" s="33">
        <v>45377</v>
      </c>
      <c r="B51" s="34" t="s">
        <v>831</v>
      </c>
      <c r="C51" s="28" t="s">
        <v>829</v>
      </c>
      <c r="D51" s="35" t="s">
        <v>830</v>
      </c>
      <c r="E51" s="29" t="s">
        <v>797</v>
      </c>
      <c r="F51" s="30">
        <v>614.88</v>
      </c>
      <c r="G51" s="30">
        <v>129.12</v>
      </c>
      <c r="H51" s="30"/>
      <c r="I51" s="9">
        <f t="shared" si="0"/>
        <v>129.12</v>
      </c>
      <c r="J51" s="31"/>
      <c r="K51" s="9">
        <f t="shared" si="1"/>
        <v>744</v>
      </c>
      <c r="L51" t="s">
        <v>267</v>
      </c>
    </row>
    <row r="52" spans="1:12" ht="15" customHeight="1" x14ac:dyDescent="0.25">
      <c r="A52" s="33">
        <v>45378</v>
      </c>
      <c r="B52" s="34" t="s">
        <v>832</v>
      </c>
      <c r="C52" s="28" t="s">
        <v>310</v>
      </c>
      <c r="D52" s="35" t="s">
        <v>311</v>
      </c>
      <c r="E52" s="29" t="s">
        <v>713</v>
      </c>
      <c r="F52" s="30">
        <v>40.24</v>
      </c>
      <c r="G52" s="30">
        <v>6.56</v>
      </c>
      <c r="H52" s="30">
        <v>0.9</v>
      </c>
      <c r="I52" s="9">
        <f t="shared" si="0"/>
        <v>7.46</v>
      </c>
      <c r="J52" s="31"/>
      <c r="K52" s="9">
        <f t="shared" si="1"/>
        <v>47.7</v>
      </c>
      <c r="L52" t="s">
        <v>42</v>
      </c>
    </row>
    <row r="53" spans="1:12" ht="15" customHeight="1" x14ac:dyDescent="0.25">
      <c r="A53" s="38">
        <v>45381</v>
      </c>
      <c r="B53" s="34" t="s">
        <v>836</v>
      </c>
      <c r="C53" s="28" t="s">
        <v>22</v>
      </c>
      <c r="D53" s="35" t="s">
        <v>23</v>
      </c>
      <c r="E53" s="29" t="s">
        <v>713</v>
      </c>
      <c r="F53" s="30">
        <f>80.03+29.53+11.39+17.9</f>
        <v>138.85</v>
      </c>
      <c r="G53" s="30">
        <v>8</v>
      </c>
      <c r="H53" s="30">
        <v>6.2</v>
      </c>
      <c r="I53" s="9">
        <f t="shared" si="0"/>
        <v>14.2</v>
      </c>
      <c r="J53" s="31"/>
      <c r="K53" s="9">
        <f t="shared" si="1"/>
        <v>153.04999999999998</v>
      </c>
      <c r="L53" t="s">
        <v>267</v>
      </c>
    </row>
    <row r="54" spans="1:12" ht="15" customHeight="1" x14ac:dyDescent="0.25">
      <c r="A54" s="33">
        <v>45373</v>
      </c>
      <c r="B54" s="112" t="s">
        <v>1059</v>
      </c>
      <c r="C54" s="28" t="s">
        <v>302</v>
      </c>
      <c r="D54" s="35" t="s">
        <v>386</v>
      </c>
      <c r="E54" s="14" t="s">
        <v>304</v>
      </c>
      <c r="F54" s="30">
        <v>29.99</v>
      </c>
      <c r="G54" s="30">
        <v>6.3</v>
      </c>
      <c r="H54" s="30"/>
      <c r="I54" s="9">
        <f t="shared" si="0"/>
        <v>6.3</v>
      </c>
      <c r="J54" s="31"/>
      <c r="K54" s="9">
        <f t="shared" si="1"/>
        <v>36.29</v>
      </c>
      <c r="L54" t="s">
        <v>295</v>
      </c>
    </row>
    <row r="55" spans="1:12" ht="15" customHeight="1" x14ac:dyDescent="0.25">
      <c r="A55" s="33">
        <v>45352</v>
      </c>
      <c r="B55" s="34" t="s">
        <v>335</v>
      </c>
      <c r="C55" s="28" t="s">
        <v>1101</v>
      </c>
      <c r="D55" s="35" t="s">
        <v>1102</v>
      </c>
      <c r="E55" s="29" t="s">
        <v>1105</v>
      </c>
      <c r="F55" s="30">
        <v>900</v>
      </c>
      <c r="G55" s="30">
        <v>189</v>
      </c>
      <c r="H55" s="30"/>
      <c r="I55" s="9">
        <f t="shared" si="0"/>
        <v>189</v>
      </c>
      <c r="J55" s="31">
        <v>171</v>
      </c>
      <c r="K55" s="9">
        <f t="shared" si="1"/>
        <v>918</v>
      </c>
    </row>
    <row r="56" spans="1:12" ht="15" customHeight="1" x14ac:dyDescent="0.25">
      <c r="A56" s="33">
        <v>45381</v>
      </c>
      <c r="B56" s="34" t="s">
        <v>1415</v>
      </c>
      <c r="C56" s="28" t="s">
        <v>1412</v>
      </c>
      <c r="D56" s="36" t="s">
        <v>1414</v>
      </c>
      <c r="E56" s="29" t="s">
        <v>827</v>
      </c>
      <c r="F56" s="30">
        <v>619.83000000000004</v>
      </c>
      <c r="G56" s="30">
        <v>130.16999999999999</v>
      </c>
      <c r="H56" s="30"/>
      <c r="I56" s="9">
        <f t="shared" si="0"/>
        <v>130.16999999999999</v>
      </c>
      <c r="J56" s="31"/>
      <c r="K56" s="9">
        <f t="shared" si="1"/>
        <v>750</v>
      </c>
      <c r="L56" t="s">
        <v>1413</v>
      </c>
    </row>
    <row r="57" spans="1:12" ht="15" customHeight="1" x14ac:dyDescent="0.25">
      <c r="A57" s="167">
        <v>45382</v>
      </c>
      <c r="B57" s="168" t="s">
        <v>1416</v>
      </c>
      <c r="C57" s="169" t="s">
        <v>715</v>
      </c>
      <c r="D57" s="170" t="s">
        <v>542</v>
      </c>
      <c r="E57" s="171" t="s">
        <v>17</v>
      </c>
      <c r="F57" s="172">
        <v>2983.98</v>
      </c>
      <c r="G57" s="172">
        <v>626.63</v>
      </c>
      <c r="H57" s="172"/>
      <c r="I57" s="173">
        <f t="shared" si="0"/>
        <v>626.63</v>
      </c>
      <c r="J57" s="174"/>
      <c r="K57" s="173">
        <f t="shared" si="1"/>
        <v>3610.61</v>
      </c>
      <c r="L57" t="s">
        <v>42</v>
      </c>
    </row>
    <row r="58" spans="1:12" ht="15" customHeight="1" x14ac:dyDescent="0.25">
      <c r="A58" s="33"/>
      <c r="B58" s="34"/>
      <c r="C58" s="28"/>
      <c r="D58" s="35"/>
      <c r="E58" s="29"/>
      <c r="F58" s="30"/>
      <c r="G58" s="30"/>
      <c r="H58" s="30"/>
      <c r="I58" s="9">
        <f t="shared" si="0"/>
        <v>0</v>
      </c>
      <c r="J58" s="31"/>
      <c r="K58" s="9">
        <f t="shared" si="1"/>
        <v>0</v>
      </c>
    </row>
    <row r="59" spans="1:12" ht="15" customHeight="1" x14ac:dyDescent="0.25">
      <c r="A59" s="33"/>
      <c r="B59" s="34"/>
      <c r="C59" s="28"/>
      <c r="D59" s="35"/>
      <c r="E59" s="29"/>
      <c r="F59" s="30"/>
      <c r="G59" s="30"/>
      <c r="H59" s="30"/>
      <c r="I59" s="9">
        <f t="shared" si="0"/>
        <v>0</v>
      </c>
      <c r="J59" s="31"/>
      <c r="K59" s="9">
        <f t="shared" si="1"/>
        <v>0</v>
      </c>
    </row>
    <row r="60" spans="1:12" ht="15" customHeight="1" x14ac:dyDescent="0.25">
      <c r="A60" s="33"/>
      <c r="B60" s="34"/>
      <c r="C60" s="28"/>
      <c r="D60" s="35"/>
      <c r="E60" s="29"/>
      <c r="F60" s="30"/>
      <c r="G60" s="30"/>
      <c r="H60" s="30"/>
      <c r="I60" s="9">
        <f t="shared" si="0"/>
        <v>0</v>
      </c>
      <c r="J60" s="31"/>
      <c r="K60" s="9">
        <f t="shared" si="1"/>
        <v>0</v>
      </c>
    </row>
    <row r="61" spans="1:12" ht="15" customHeight="1" x14ac:dyDescent="0.25">
      <c r="A61" s="33"/>
      <c r="B61" s="34"/>
      <c r="C61" s="28"/>
      <c r="D61" s="35"/>
      <c r="E61" s="29"/>
      <c r="F61" s="30"/>
      <c r="G61" s="30"/>
      <c r="H61" s="30"/>
      <c r="I61" s="9">
        <f t="shared" si="0"/>
        <v>0</v>
      </c>
      <c r="J61" s="31"/>
      <c r="K61" s="9">
        <f t="shared" si="1"/>
        <v>0</v>
      </c>
    </row>
    <row r="62" spans="1:12" ht="15" customHeight="1" x14ac:dyDescent="0.25">
      <c r="A62" s="33"/>
      <c r="B62" s="34"/>
      <c r="C62" s="28"/>
      <c r="D62" s="35"/>
      <c r="E62" s="29"/>
      <c r="F62" s="30"/>
      <c r="G62" s="30"/>
      <c r="H62" s="30"/>
      <c r="I62" s="9">
        <f t="shared" si="0"/>
        <v>0</v>
      </c>
      <c r="J62" s="31"/>
      <c r="K62" s="9">
        <f t="shared" si="1"/>
        <v>0</v>
      </c>
    </row>
    <row r="63" spans="1:12" ht="15" customHeight="1" x14ac:dyDescent="0.25">
      <c r="A63" s="33"/>
      <c r="B63" s="34"/>
      <c r="C63" s="28"/>
      <c r="D63" s="35"/>
      <c r="E63" s="29"/>
      <c r="F63" s="30"/>
      <c r="G63" s="30"/>
      <c r="H63" s="30"/>
      <c r="I63" s="9">
        <f t="shared" si="0"/>
        <v>0</v>
      </c>
      <c r="J63" s="31"/>
      <c r="K63" s="9">
        <f t="shared" si="1"/>
        <v>0</v>
      </c>
    </row>
    <row r="64" spans="1:12" ht="15" customHeight="1" x14ac:dyDescent="0.25">
      <c r="A64" s="33"/>
      <c r="B64" s="34"/>
      <c r="C64" s="28"/>
      <c r="D64" s="35"/>
      <c r="E64" s="29"/>
      <c r="F64" s="30"/>
      <c r="G64" s="30"/>
      <c r="H64" s="30"/>
      <c r="I64" s="9">
        <f t="shared" si="0"/>
        <v>0</v>
      </c>
      <c r="J64" s="31"/>
      <c r="K64" s="9">
        <f t="shared" si="1"/>
        <v>0</v>
      </c>
    </row>
    <row r="65" spans="1:11" ht="15" customHeight="1" x14ac:dyDescent="0.25">
      <c r="A65" s="33"/>
      <c r="B65" s="34"/>
      <c r="C65" s="28"/>
      <c r="D65" s="35"/>
      <c r="E65" s="29"/>
      <c r="F65" s="30"/>
      <c r="G65" s="30"/>
      <c r="H65" s="30"/>
      <c r="I65" s="9">
        <f t="shared" si="0"/>
        <v>0</v>
      </c>
      <c r="J65" s="31"/>
      <c r="K65" s="9">
        <f t="shared" si="1"/>
        <v>0</v>
      </c>
    </row>
    <row r="66" spans="1:11" ht="15" customHeight="1" x14ac:dyDescent="0.25">
      <c r="A66" s="33"/>
      <c r="B66" s="34"/>
      <c r="C66" s="28"/>
      <c r="D66" s="35"/>
      <c r="E66" s="29"/>
      <c r="F66" s="30"/>
      <c r="G66" s="30"/>
      <c r="H66" s="30"/>
      <c r="I66" s="9">
        <f t="shared" si="0"/>
        <v>0</v>
      </c>
      <c r="J66" s="31"/>
      <c r="K66" s="9">
        <f t="shared" si="1"/>
        <v>0</v>
      </c>
    </row>
    <row r="67" spans="1:11" ht="15" customHeight="1" x14ac:dyDescent="0.25">
      <c r="A67" s="33"/>
      <c r="B67" s="34"/>
      <c r="C67" s="28"/>
      <c r="D67" s="35"/>
      <c r="E67" s="29"/>
      <c r="F67" s="30"/>
      <c r="G67" s="30"/>
      <c r="H67" s="30"/>
      <c r="I67" s="9">
        <f t="shared" si="0"/>
        <v>0</v>
      </c>
      <c r="J67" s="31"/>
      <c r="K67" s="9">
        <f t="shared" si="1"/>
        <v>0</v>
      </c>
    </row>
    <row r="68" spans="1:11" ht="15" customHeight="1" x14ac:dyDescent="0.25">
      <c r="A68" s="33"/>
      <c r="B68" s="34"/>
      <c r="C68" s="28"/>
      <c r="D68" s="35"/>
      <c r="E68" s="29"/>
      <c r="F68" s="30"/>
      <c r="G68" s="30"/>
      <c r="H68" s="30"/>
      <c r="I68" s="9">
        <f t="shared" si="0"/>
        <v>0</v>
      </c>
      <c r="J68" s="31"/>
      <c r="K68" s="9">
        <f t="shared" si="1"/>
        <v>0</v>
      </c>
    </row>
    <row r="69" spans="1:11" ht="15" customHeight="1" x14ac:dyDescent="0.25">
      <c r="A69" s="33"/>
      <c r="B69" s="34"/>
      <c r="C69" s="28"/>
      <c r="D69" s="35"/>
      <c r="E69" s="29"/>
      <c r="F69" s="30"/>
      <c r="G69" s="30"/>
      <c r="H69" s="30"/>
      <c r="I69" s="9">
        <f t="shared" si="0"/>
        <v>0</v>
      </c>
      <c r="J69" s="31"/>
      <c r="K69" s="9">
        <f t="shared" si="1"/>
        <v>0</v>
      </c>
    </row>
    <row r="70" spans="1:11" ht="15" customHeight="1" x14ac:dyDescent="0.25">
      <c r="A70" s="33"/>
      <c r="B70" s="34"/>
      <c r="C70" s="28"/>
      <c r="D70" s="35"/>
      <c r="E70" s="29"/>
      <c r="F70" s="30"/>
      <c r="G70" s="30"/>
      <c r="H70" s="30"/>
      <c r="I70" s="9">
        <f t="shared" si="0"/>
        <v>0</v>
      </c>
      <c r="J70" s="31"/>
      <c r="K70" s="9">
        <f t="shared" si="1"/>
        <v>0</v>
      </c>
    </row>
    <row r="71" spans="1:11" ht="15" customHeight="1" x14ac:dyDescent="0.25">
      <c r="A71" s="33"/>
      <c r="B71" s="34"/>
      <c r="C71" s="28"/>
      <c r="D71" s="35"/>
      <c r="E71" s="29"/>
      <c r="F71" s="30"/>
      <c r="G71" s="30"/>
      <c r="H71" s="30"/>
      <c r="I71" s="9">
        <f t="shared" si="0"/>
        <v>0</v>
      </c>
      <c r="J71" s="31"/>
      <c r="K71" s="9">
        <f t="shared" si="1"/>
        <v>0</v>
      </c>
    </row>
    <row r="72" spans="1:11" ht="15" customHeight="1" x14ac:dyDescent="0.25">
      <c r="A72" s="33"/>
      <c r="B72" s="34"/>
      <c r="C72" s="28"/>
      <c r="D72" s="35"/>
      <c r="E72" s="29"/>
      <c r="F72" s="30"/>
      <c r="G72" s="30"/>
      <c r="H72" s="30"/>
      <c r="I72" s="9">
        <f t="shared" si="0"/>
        <v>0</v>
      </c>
      <c r="J72" s="31"/>
      <c r="K72" s="9">
        <f t="shared" si="1"/>
        <v>0</v>
      </c>
    </row>
    <row r="73" spans="1:11" ht="15" customHeight="1" x14ac:dyDescent="0.25">
      <c r="A73" s="33"/>
      <c r="B73" s="34"/>
      <c r="C73" s="28"/>
      <c r="D73" s="35"/>
      <c r="E73" s="29"/>
      <c r="F73" s="30"/>
      <c r="G73" s="30"/>
      <c r="H73" s="30"/>
      <c r="I73" s="9">
        <f t="shared" si="0"/>
        <v>0</v>
      </c>
      <c r="J73" s="31"/>
      <c r="K73" s="9">
        <f t="shared" si="1"/>
        <v>0</v>
      </c>
    </row>
    <row r="74" spans="1:11" ht="15" customHeight="1" x14ac:dyDescent="0.25">
      <c r="A74" s="33"/>
      <c r="B74" s="34"/>
      <c r="C74" s="28"/>
      <c r="D74" s="35"/>
      <c r="E74" s="29"/>
      <c r="F74" s="30"/>
      <c r="G74" s="30"/>
      <c r="H74" s="30"/>
      <c r="I74" s="9">
        <f t="shared" si="0"/>
        <v>0</v>
      </c>
      <c r="J74" s="31"/>
      <c r="K74" s="9">
        <f t="shared" si="1"/>
        <v>0</v>
      </c>
    </row>
    <row r="75" spans="1:11" ht="15" customHeight="1" x14ac:dyDescent="0.25">
      <c r="A75" s="33"/>
      <c r="B75" s="34"/>
      <c r="C75" s="28"/>
      <c r="D75" s="35"/>
      <c r="E75" s="29"/>
      <c r="F75" s="30"/>
      <c r="G75" s="30"/>
      <c r="H75" s="30"/>
      <c r="I75" s="9">
        <f t="shared" si="0"/>
        <v>0</v>
      </c>
      <c r="J75" s="31"/>
      <c r="K75" s="9">
        <f t="shared" si="1"/>
        <v>0</v>
      </c>
    </row>
    <row r="76" spans="1:11" ht="15" customHeight="1" x14ac:dyDescent="0.25">
      <c r="A76" s="33"/>
      <c r="B76" s="34"/>
      <c r="C76" s="28"/>
      <c r="D76" s="35"/>
      <c r="E76" s="29"/>
      <c r="F76" s="30"/>
      <c r="G76" s="30"/>
      <c r="H76" s="30"/>
      <c r="I76" s="9">
        <f t="shared" si="0"/>
        <v>0</v>
      </c>
      <c r="J76" s="31"/>
      <c r="K76" s="9">
        <f t="shared" si="1"/>
        <v>0</v>
      </c>
    </row>
    <row r="77" spans="1:11" ht="15" customHeight="1" x14ac:dyDescent="0.25">
      <c r="A77" s="33"/>
      <c r="B77" s="34"/>
      <c r="C77" s="28"/>
      <c r="D77" s="35"/>
      <c r="E77" s="29"/>
      <c r="F77" s="30"/>
      <c r="G77" s="30"/>
      <c r="H77" s="30"/>
      <c r="I77" s="9">
        <f t="shared" si="0"/>
        <v>0</v>
      </c>
      <c r="J77" s="31"/>
      <c r="K77" s="9">
        <f t="shared" si="1"/>
        <v>0</v>
      </c>
    </row>
    <row r="78" spans="1:11" ht="15" customHeight="1" x14ac:dyDescent="0.25">
      <c r="A78" s="33"/>
      <c r="B78" s="34"/>
      <c r="C78" s="28"/>
      <c r="D78" s="35"/>
      <c r="E78" s="29"/>
      <c r="F78" s="30"/>
      <c r="G78" s="30"/>
      <c r="H78" s="30"/>
      <c r="I78" s="9">
        <f t="shared" si="0"/>
        <v>0</v>
      </c>
      <c r="J78" s="31"/>
      <c r="K78" s="9">
        <f t="shared" si="1"/>
        <v>0</v>
      </c>
    </row>
    <row r="79" spans="1:11" ht="15" customHeight="1" x14ac:dyDescent="0.25">
      <c r="A79" s="33"/>
      <c r="B79" s="34"/>
      <c r="C79" s="28"/>
      <c r="D79" s="35"/>
      <c r="E79" s="29"/>
      <c r="F79" s="30"/>
      <c r="G79" s="30"/>
      <c r="H79" s="30"/>
      <c r="I79" s="9">
        <f t="shared" si="0"/>
        <v>0</v>
      </c>
      <c r="J79" s="31"/>
      <c r="K79" s="9">
        <f t="shared" si="1"/>
        <v>0</v>
      </c>
    </row>
    <row r="80" spans="1:11" ht="15" customHeight="1" x14ac:dyDescent="0.25">
      <c r="A80" s="33"/>
      <c r="B80" s="34"/>
      <c r="C80" s="28"/>
      <c r="D80" s="35"/>
      <c r="E80" s="29"/>
      <c r="F80" s="30"/>
      <c r="G80" s="30"/>
      <c r="H80" s="30"/>
      <c r="I80" s="9">
        <f t="shared" si="0"/>
        <v>0</v>
      </c>
      <c r="J80" s="31"/>
      <c r="K80" s="9">
        <f t="shared" si="1"/>
        <v>0</v>
      </c>
    </row>
    <row r="81" spans="1:11" ht="15" customHeight="1" x14ac:dyDescent="0.25">
      <c r="A81" s="33"/>
      <c r="C81" s="28"/>
      <c r="D81" s="154"/>
      <c r="E81" s="29"/>
      <c r="F81" s="30"/>
      <c r="G81" s="30"/>
      <c r="H81" s="30"/>
      <c r="I81" s="9">
        <f t="shared" si="0"/>
        <v>0</v>
      </c>
      <c r="J81" s="31"/>
      <c r="K81" s="9">
        <f t="shared" si="1"/>
        <v>0</v>
      </c>
    </row>
    <row r="82" spans="1:11" ht="15" customHeight="1" x14ac:dyDescent="0.25">
      <c r="A82" s="33"/>
      <c r="B82" s="34"/>
      <c r="C82" s="28"/>
      <c r="D82" s="35"/>
      <c r="E82" s="29"/>
      <c r="F82" s="30"/>
      <c r="G82" s="30"/>
      <c r="H82" s="30"/>
      <c r="I82" s="9">
        <f t="shared" si="0"/>
        <v>0</v>
      </c>
      <c r="J82" s="31"/>
      <c r="K82" s="9">
        <f t="shared" si="1"/>
        <v>0</v>
      </c>
    </row>
    <row r="83" spans="1:11" ht="15" customHeight="1" x14ac:dyDescent="0.25">
      <c r="A83" s="33"/>
      <c r="B83" s="34"/>
      <c r="C83" s="28"/>
      <c r="D83" s="35"/>
      <c r="E83" s="29"/>
      <c r="F83" s="30"/>
      <c r="G83" s="30"/>
      <c r="H83" s="30"/>
      <c r="I83" s="9">
        <f t="shared" si="0"/>
        <v>0</v>
      </c>
      <c r="J83" s="31"/>
      <c r="K83" s="9">
        <f t="shared" si="1"/>
        <v>0</v>
      </c>
    </row>
    <row r="84" spans="1:11" ht="15" customHeight="1" x14ac:dyDescent="0.25">
      <c r="A84" s="33"/>
      <c r="B84" s="34"/>
      <c r="C84" s="28"/>
      <c r="D84" s="35"/>
      <c r="E84" s="29"/>
      <c r="F84" s="30"/>
      <c r="G84" s="30"/>
      <c r="H84" s="30"/>
      <c r="I84" s="9">
        <f t="shared" si="0"/>
        <v>0</v>
      </c>
      <c r="J84" s="31"/>
      <c r="K84" s="9">
        <f t="shared" si="1"/>
        <v>0</v>
      </c>
    </row>
    <row r="85" spans="1:11" ht="15" customHeight="1" x14ac:dyDescent="0.25">
      <c r="A85" s="33"/>
      <c r="B85" s="34"/>
      <c r="C85" s="28"/>
      <c r="D85" s="35"/>
      <c r="E85" s="29"/>
      <c r="F85" s="30"/>
      <c r="G85" s="30"/>
      <c r="H85" s="30"/>
      <c r="I85" s="9">
        <f t="shared" si="0"/>
        <v>0</v>
      </c>
      <c r="J85" s="31"/>
      <c r="K85" s="9">
        <f t="shared" si="1"/>
        <v>0</v>
      </c>
    </row>
    <row r="86" spans="1:11" ht="15" customHeight="1" x14ac:dyDescent="0.25">
      <c r="A86" s="33"/>
      <c r="B86" s="34"/>
      <c r="C86" s="28"/>
      <c r="D86" s="35"/>
      <c r="E86" s="29"/>
      <c r="F86" s="30"/>
      <c r="G86" s="30"/>
      <c r="H86" s="30"/>
      <c r="I86" s="9">
        <f t="shared" si="0"/>
        <v>0</v>
      </c>
      <c r="J86" s="31"/>
      <c r="K86" s="9">
        <f t="shared" si="1"/>
        <v>0</v>
      </c>
    </row>
    <row r="87" spans="1:11" ht="15" customHeight="1" x14ac:dyDescent="0.25">
      <c r="A87" s="33"/>
      <c r="B87" s="34"/>
      <c r="C87" s="28"/>
      <c r="D87" s="35"/>
      <c r="E87" s="29"/>
      <c r="F87" s="30"/>
      <c r="G87" s="30"/>
      <c r="H87" s="30"/>
      <c r="I87" s="9">
        <f t="shared" si="0"/>
        <v>0</v>
      </c>
      <c r="J87" s="31"/>
      <c r="K87" s="9">
        <f t="shared" si="1"/>
        <v>0</v>
      </c>
    </row>
    <row r="88" spans="1:11" ht="15" customHeight="1" x14ac:dyDescent="0.25">
      <c r="A88" s="33"/>
      <c r="B88" s="34"/>
      <c r="C88" s="28"/>
      <c r="D88" s="35"/>
      <c r="E88" s="29"/>
      <c r="F88" s="30"/>
      <c r="G88" s="30"/>
      <c r="H88" s="30"/>
      <c r="I88" s="9">
        <f t="shared" si="0"/>
        <v>0</v>
      </c>
      <c r="J88" s="31"/>
      <c r="K88" s="9">
        <f t="shared" si="1"/>
        <v>0</v>
      </c>
    </row>
    <row r="89" spans="1:11" ht="15" customHeight="1" x14ac:dyDescent="0.25">
      <c r="A89" s="33"/>
      <c r="B89" s="34"/>
      <c r="C89" s="28"/>
      <c r="D89" s="35"/>
      <c r="E89" s="29"/>
      <c r="F89" s="30"/>
      <c r="G89" s="30"/>
      <c r="H89" s="30"/>
      <c r="I89" s="9">
        <f t="shared" si="0"/>
        <v>0</v>
      </c>
      <c r="J89" s="31"/>
      <c r="K89" s="9">
        <f t="shared" si="1"/>
        <v>0</v>
      </c>
    </row>
    <row r="90" spans="1:11" ht="15" customHeight="1" x14ac:dyDescent="0.25">
      <c r="A90" s="33"/>
      <c r="B90" s="34"/>
      <c r="C90" s="28"/>
      <c r="D90" s="35"/>
      <c r="E90" s="29"/>
      <c r="F90" s="30"/>
      <c r="G90" s="30"/>
      <c r="H90" s="30"/>
      <c r="I90" s="9">
        <f t="shared" si="0"/>
        <v>0</v>
      </c>
      <c r="J90" s="31"/>
      <c r="K90" s="9">
        <f t="shared" si="1"/>
        <v>0</v>
      </c>
    </row>
    <row r="91" spans="1:11" ht="15" customHeight="1" x14ac:dyDescent="0.25">
      <c r="A91" s="33"/>
      <c r="B91" s="34"/>
      <c r="C91" s="28"/>
      <c r="D91" s="35"/>
      <c r="E91" s="29"/>
      <c r="F91" s="30"/>
      <c r="G91" s="30"/>
      <c r="H91" s="30"/>
      <c r="I91" s="9">
        <f t="shared" si="0"/>
        <v>0</v>
      </c>
      <c r="J91" s="31"/>
      <c r="K91" s="9">
        <f t="shared" si="1"/>
        <v>0</v>
      </c>
    </row>
    <row r="92" spans="1:11" ht="15" customHeight="1" x14ac:dyDescent="0.25">
      <c r="A92" s="33"/>
      <c r="B92" s="34"/>
      <c r="C92" s="28"/>
      <c r="D92" s="35"/>
      <c r="E92" s="29"/>
      <c r="F92" s="30"/>
      <c r="G92" s="30"/>
      <c r="H92" s="30"/>
      <c r="I92" s="9">
        <f t="shared" si="0"/>
        <v>0</v>
      </c>
      <c r="J92" s="31"/>
      <c r="K92" s="9">
        <f t="shared" si="1"/>
        <v>0</v>
      </c>
    </row>
    <row r="93" spans="1:11" ht="15" customHeight="1" x14ac:dyDescent="0.25">
      <c r="A93" s="33"/>
      <c r="B93" s="35"/>
      <c r="C93" s="28"/>
      <c r="D93" s="35"/>
      <c r="E93" s="29"/>
      <c r="F93" s="30"/>
      <c r="G93" s="30"/>
      <c r="H93" s="30"/>
      <c r="I93" s="9">
        <f t="shared" si="0"/>
        <v>0</v>
      </c>
      <c r="J93" s="31"/>
      <c r="K93" s="9">
        <f t="shared" si="1"/>
        <v>0</v>
      </c>
    </row>
    <row r="94" spans="1:11" ht="15" customHeight="1" x14ac:dyDescent="0.25">
      <c r="A94" s="33"/>
      <c r="B94" s="35"/>
      <c r="C94" s="28"/>
      <c r="D94" s="35"/>
      <c r="E94" s="29"/>
      <c r="F94" s="30"/>
      <c r="G94" s="30"/>
      <c r="H94" s="30"/>
      <c r="I94" s="9">
        <f t="shared" si="0"/>
        <v>0</v>
      </c>
      <c r="J94" s="31"/>
      <c r="K94" s="9">
        <f t="shared" si="1"/>
        <v>0</v>
      </c>
    </row>
    <row r="95" spans="1:11" ht="15" customHeight="1" x14ac:dyDescent="0.25">
      <c r="A95" s="33"/>
      <c r="B95" s="35"/>
      <c r="C95" s="28"/>
      <c r="D95" s="35"/>
      <c r="E95" s="29"/>
      <c r="F95" s="30"/>
      <c r="G95" s="30"/>
      <c r="H95" s="30"/>
      <c r="I95" s="9">
        <f t="shared" si="0"/>
        <v>0</v>
      </c>
      <c r="J95" s="31"/>
      <c r="K95" s="9">
        <f t="shared" si="1"/>
        <v>0</v>
      </c>
    </row>
    <row r="96" spans="1:11" ht="15" customHeight="1" x14ac:dyDescent="0.25">
      <c r="A96" s="33"/>
      <c r="B96" s="35"/>
      <c r="C96" s="28"/>
      <c r="D96" s="35"/>
      <c r="E96" s="29"/>
      <c r="F96" s="30"/>
      <c r="G96" s="30"/>
      <c r="H96" s="30"/>
      <c r="I96" s="9">
        <f t="shared" si="0"/>
        <v>0</v>
      </c>
      <c r="J96" s="31"/>
      <c r="K96" s="9">
        <f t="shared" si="1"/>
        <v>0</v>
      </c>
    </row>
    <row r="97" spans="1:11" ht="15" customHeight="1" x14ac:dyDescent="0.25">
      <c r="A97" s="33"/>
      <c r="B97" s="35"/>
      <c r="C97" s="28"/>
      <c r="D97" s="35"/>
      <c r="E97" s="29"/>
      <c r="F97" s="30"/>
      <c r="G97" s="30"/>
      <c r="H97" s="30"/>
      <c r="I97" s="9">
        <f t="shared" si="0"/>
        <v>0</v>
      </c>
      <c r="J97" s="31"/>
      <c r="K97" s="9">
        <f t="shared" si="1"/>
        <v>0</v>
      </c>
    </row>
    <row r="98" spans="1:11" ht="15" customHeight="1" x14ac:dyDescent="0.25">
      <c r="A98" s="33"/>
      <c r="B98" s="35"/>
      <c r="C98" s="28"/>
      <c r="D98" s="35"/>
      <c r="E98" s="29"/>
      <c r="F98" s="30"/>
      <c r="G98" s="30"/>
      <c r="H98" s="30"/>
      <c r="I98" s="9">
        <f t="shared" si="0"/>
        <v>0</v>
      </c>
      <c r="J98" s="31"/>
      <c r="K98" s="9">
        <f t="shared" si="1"/>
        <v>0</v>
      </c>
    </row>
    <row r="99" spans="1:11" ht="15" customHeight="1" x14ac:dyDescent="0.25">
      <c r="A99" s="33"/>
      <c r="B99" s="35"/>
      <c r="C99" s="28"/>
      <c r="D99" s="35"/>
      <c r="E99" s="29"/>
      <c r="F99" s="30"/>
      <c r="G99" s="30"/>
      <c r="H99" s="30"/>
      <c r="I99" s="9">
        <f t="shared" si="0"/>
        <v>0</v>
      </c>
      <c r="J99" s="31"/>
      <c r="K99" s="9">
        <f t="shared" si="1"/>
        <v>0</v>
      </c>
    </row>
    <row r="100" spans="1:11" ht="15" customHeight="1" x14ac:dyDescent="0.25">
      <c r="A100" s="33"/>
      <c r="B100" s="35"/>
      <c r="C100" s="28"/>
      <c r="D100" s="35"/>
      <c r="E100" s="29"/>
      <c r="F100" s="30"/>
      <c r="G100" s="30"/>
      <c r="H100" s="30"/>
      <c r="I100" s="9">
        <f t="shared" si="0"/>
        <v>0</v>
      </c>
      <c r="J100" s="31"/>
      <c r="K100" s="9">
        <f t="shared" si="1"/>
        <v>0</v>
      </c>
    </row>
    <row r="101" spans="1:11" ht="15" customHeight="1" x14ac:dyDescent="0.25">
      <c r="A101" s="33"/>
      <c r="B101" s="35"/>
      <c r="C101" s="28"/>
      <c r="D101" s="35"/>
      <c r="E101" s="29"/>
      <c r="F101" s="30"/>
      <c r="G101" s="30"/>
      <c r="H101" s="30"/>
      <c r="I101" s="9">
        <f t="shared" si="0"/>
        <v>0</v>
      </c>
      <c r="J101" s="31"/>
      <c r="K101" s="9">
        <f t="shared" si="1"/>
        <v>0</v>
      </c>
    </row>
    <row r="102" spans="1:11" ht="15" customHeight="1" x14ac:dyDescent="0.25">
      <c r="A102" s="33"/>
      <c r="B102" s="35"/>
      <c r="C102" s="28"/>
      <c r="D102" s="35"/>
      <c r="E102" s="29"/>
      <c r="F102" s="30"/>
      <c r="G102" s="30"/>
      <c r="H102" s="30"/>
      <c r="I102" s="9">
        <f t="shared" si="0"/>
        <v>0</v>
      </c>
      <c r="J102" s="31"/>
      <c r="K102" s="9">
        <f t="shared" si="1"/>
        <v>0</v>
      </c>
    </row>
    <row r="103" spans="1:11" ht="15" customHeight="1" x14ac:dyDescent="0.25">
      <c r="A103" s="33"/>
      <c r="B103" s="35"/>
      <c r="C103" s="28"/>
      <c r="D103" s="35"/>
      <c r="E103" s="29"/>
      <c r="F103" s="30"/>
      <c r="G103" s="30"/>
      <c r="H103" s="30"/>
      <c r="I103" s="9">
        <f t="shared" si="0"/>
        <v>0</v>
      </c>
      <c r="J103" s="31"/>
      <c r="K103" s="9">
        <f t="shared" si="1"/>
        <v>0</v>
      </c>
    </row>
    <row r="104" spans="1:11" ht="15" customHeight="1" x14ac:dyDescent="0.25">
      <c r="A104" s="33"/>
      <c r="B104" s="34"/>
      <c r="C104" s="28"/>
      <c r="D104" s="35"/>
      <c r="E104" s="29"/>
      <c r="F104" s="30"/>
      <c r="G104" s="30"/>
      <c r="H104" s="30"/>
      <c r="I104" s="9">
        <f t="shared" si="0"/>
        <v>0</v>
      </c>
      <c r="J104" s="31"/>
      <c r="K104" s="9">
        <f t="shared" si="1"/>
        <v>0</v>
      </c>
    </row>
    <row r="105" spans="1:11" ht="15" customHeight="1" x14ac:dyDescent="0.25">
      <c r="A105" s="33"/>
      <c r="B105" s="35"/>
      <c r="C105" s="28"/>
      <c r="D105" s="35"/>
      <c r="E105" s="29"/>
      <c r="F105" s="30"/>
      <c r="G105" s="30"/>
      <c r="H105" s="30"/>
      <c r="I105" s="9">
        <f t="shared" si="0"/>
        <v>0</v>
      </c>
      <c r="J105" s="31"/>
      <c r="K105" s="9">
        <f t="shared" si="1"/>
        <v>0</v>
      </c>
    </row>
    <row r="106" spans="1:11" ht="15" customHeight="1" x14ac:dyDescent="0.25">
      <c r="A106" s="33"/>
      <c r="B106" s="35"/>
      <c r="C106" s="28"/>
      <c r="D106" s="35"/>
      <c r="E106" s="29"/>
      <c r="F106" s="30"/>
      <c r="G106" s="30"/>
      <c r="H106" s="30"/>
      <c r="I106" s="9">
        <f t="shared" si="0"/>
        <v>0</v>
      </c>
      <c r="J106" s="31"/>
      <c r="K106" s="9">
        <f t="shared" si="1"/>
        <v>0</v>
      </c>
    </row>
    <row r="107" spans="1:11" ht="15" customHeight="1" x14ac:dyDescent="0.25">
      <c r="A107" s="37"/>
      <c r="B107" s="37"/>
      <c r="C107" s="28"/>
      <c r="D107" s="35"/>
      <c r="E107" s="29"/>
      <c r="F107" s="30"/>
      <c r="G107" s="30"/>
      <c r="H107" s="30"/>
      <c r="I107" s="9">
        <f t="shared" si="0"/>
        <v>0</v>
      </c>
      <c r="J107" s="23"/>
      <c r="K107" s="9">
        <f>F107+I107+J107</f>
        <v>0</v>
      </c>
    </row>
    <row r="108" spans="1:11" ht="15" customHeight="1" x14ac:dyDescent="0.25">
      <c r="A108" s="33"/>
      <c r="B108" s="34"/>
      <c r="C108" s="28"/>
      <c r="D108" s="35"/>
      <c r="E108" s="29"/>
      <c r="F108" s="30"/>
      <c r="G108" s="30"/>
      <c r="H108" s="30"/>
      <c r="I108" s="9">
        <f t="shared" si="0"/>
        <v>0</v>
      </c>
      <c r="J108" s="31"/>
      <c r="K108" s="9">
        <f t="shared" si="1"/>
        <v>0</v>
      </c>
    </row>
    <row r="109" spans="1:11" ht="15" customHeight="1" x14ac:dyDescent="0.25">
      <c r="A109" s="33"/>
      <c r="B109" s="34"/>
      <c r="C109" s="28"/>
      <c r="D109" s="35"/>
      <c r="E109" s="29"/>
      <c r="F109" s="30"/>
      <c r="G109" s="30"/>
      <c r="H109" s="30"/>
      <c r="I109" s="9">
        <f t="shared" si="0"/>
        <v>0</v>
      </c>
      <c r="J109" s="31"/>
      <c r="K109" s="9">
        <f t="shared" si="1"/>
        <v>0</v>
      </c>
    </row>
    <row r="110" spans="1:11" ht="15" customHeight="1" x14ac:dyDescent="0.25">
      <c r="A110" s="33"/>
      <c r="B110" s="35"/>
      <c r="C110" s="28"/>
      <c r="D110" s="35"/>
      <c r="E110" s="29"/>
      <c r="F110" s="30"/>
      <c r="G110" s="30"/>
      <c r="H110" s="30"/>
      <c r="I110" s="9">
        <f t="shared" si="0"/>
        <v>0</v>
      </c>
      <c r="J110" s="31"/>
      <c r="K110" s="9">
        <f t="shared" si="1"/>
        <v>0</v>
      </c>
    </row>
    <row r="111" spans="1:11" ht="15" customHeight="1" x14ac:dyDescent="0.25">
      <c r="A111" s="33"/>
      <c r="B111" s="34"/>
      <c r="C111" s="28"/>
      <c r="D111" s="35"/>
      <c r="E111" s="29"/>
      <c r="F111" s="30"/>
      <c r="G111" s="30"/>
      <c r="H111" s="30"/>
      <c r="I111" s="9">
        <f t="shared" si="0"/>
        <v>0</v>
      </c>
      <c r="J111" s="31"/>
      <c r="K111" s="9">
        <f t="shared" si="1"/>
        <v>0</v>
      </c>
    </row>
    <row r="112" spans="1:11" ht="15" customHeight="1" x14ac:dyDescent="0.25">
      <c r="A112" s="33"/>
      <c r="B112" s="34"/>
      <c r="C112" s="28"/>
      <c r="D112" s="35"/>
      <c r="E112" s="29"/>
      <c r="F112" s="30"/>
      <c r="G112" s="30"/>
      <c r="H112" s="30"/>
      <c r="I112" s="9">
        <f t="shared" si="0"/>
        <v>0</v>
      </c>
      <c r="J112" s="31"/>
      <c r="K112" s="9">
        <f t="shared" si="1"/>
        <v>0</v>
      </c>
    </row>
    <row r="113" spans="1:11" ht="15" customHeight="1" x14ac:dyDescent="0.25">
      <c r="A113" s="33"/>
      <c r="B113" s="34"/>
      <c r="C113" s="28"/>
      <c r="D113" s="35"/>
      <c r="E113" s="29"/>
      <c r="F113" s="30"/>
      <c r="G113" s="30"/>
      <c r="H113" s="30"/>
      <c r="I113" s="9">
        <f t="shared" si="0"/>
        <v>0</v>
      </c>
      <c r="J113" s="31"/>
      <c r="K113" s="9">
        <f t="shared" si="1"/>
        <v>0</v>
      </c>
    </row>
    <row r="114" spans="1:11" ht="15" customHeight="1" x14ac:dyDescent="0.25">
      <c r="A114" s="33"/>
      <c r="B114" s="34"/>
      <c r="C114" s="28"/>
      <c r="D114" s="35"/>
      <c r="E114" s="29"/>
      <c r="F114" s="30"/>
      <c r="G114" s="30"/>
      <c r="H114" s="30"/>
      <c r="I114" s="9">
        <f t="shared" si="0"/>
        <v>0</v>
      </c>
      <c r="J114" s="31"/>
      <c r="K114" s="9">
        <f t="shared" si="1"/>
        <v>0</v>
      </c>
    </row>
    <row r="115" spans="1:11" ht="15" customHeight="1" x14ac:dyDescent="0.25">
      <c r="A115" s="33"/>
      <c r="B115" s="34"/>
      <c r="C115" s="28"/>
      <c r="D115" s="35"/>
      <c r="E115" s="29"/>
      <c r="F115" s="30"/>
      <c r="G115" s="30"/>
      <c r="H115" s="30"/>
      <c r="I115" s="9">
        <f t="shared" si="0"/>
        <v>0</v>
      </c>
      <c r="J115" s="31"/>
      <c r="K115" s="9">
        <f t="shared" si="1"/>
        <v>0</v>
      </c>
    </row>
    <row r="116" spans="1:11" ht="15" customHeight="1" x14ac:dyDescent="0.25">
      <c r="A116" s="33"/>
      <c r="B116" s="34"/>
      <c r="C116" s="28"/>
      <c r="D116" s="35"/>
      <c r="E116" s="29"/>
      <c r="F116" s="30"/>
      <c r="G116" s="30"/>
      <c r="H116" s="30"/>
      <c r="I116" s="9">
        <f t="shared" si="0"/>
        <v>0</v>
      </c>
      <c r="J116" s="31"/>
      <c r="K116" s="9">
        <f t="shared" si="1"/>
        <v>0</v>
      </c>
    </row>
    <row r="117" spans="1:11" ht="15" customHeight="1" x14ac:dyDescent="0.25">
      <c r="A117" s="33"/>
      <c r="B117" s="34"/>
      <c r="C117" s="28"/>
      <c r="D117" s="35"/>
      <c r="E117" s="29"/>
      <c r="F117" s="30"/>
      <c r="G117" s="30"/>
      <c r="H117" s="30"/>
      <c r="I117" s="9">
        <f t="shared" si="0"/>
        <v>0</v>
      </c>
      <c r="J117" s="31"/>
      <c r="K117" s="9">
        <f t="shared" si="1"/>
        <v>0</v>
      </c>
    </row>
    <row r="118" spans="1:11" ht="15" customHeight="1" x14ac:dyDescent="0.25">
      <c r="A118" s="33"/>
      <c r="B118" s="34"/>
      <c r="C118" s="28"/>
      <c r="D118" s="35"/>
      <c r="E118" s="29"/>
      <c r="F118" s="30"/>
      <c r="G118" s="30"/>
      <c r="H118" s="30"/>
      <c r="I118" s="9">
        <f t="shared" si="0"/>
        <v>0</v>
      </c>
      <c r="J118" s="31"/>
      <c r="K118" s="9">
        <f t="shared" si="1"/>
        <v>0</v>
      </c>
    </row>
    <row r="119" spans="1:11" ht="15" customHeight="1" x14ac:dyDescent="0.25">
      <c r="A119" s="33"/>
      <c r="B119" s="34"/>
      <c r="C119" s="28"/>
      <c r="D119" s="35"/>
      <c r="E119" s="29"/>
      <c r="F119" s="30"/>
      <c r="G119" s="30"/>
      <c r="H119" s="30"/>
      <c r="I119" s="9">
        <f t="shared" si="0"/>
        <v>0</v>
      </c>
      <c r="J119" s="31"/>
      <c r="K119" s="9">
        <f t="shared" si="1"/>
        <v>0</v>
      </c>
    </row>
    <row r="120" spans="1:11" ht="15" customHeight="1" x14ac:dyDescent="0.25">
      <c r="A120" s="33"/>
      <c r="B120" s="34"/>
      <c r="C120" s="28"/>
      <c r="D120" s="35"/>
      <c r="E120" s="29"/>
      <c r="F120" s="30"/>
      <c r="G120" s="30"/>
      <c r="H120" s="30"/>
      <c r="I120" s="9">
        <f t="shared" si="0"/>
        <v>0</v>
      </c>
      <c r="J120" s="31"/>
      <c r="K120" s="9">
        <f t="shared" si="1"/>
        <v>0</v>
      </c>
    </row>
    <row r="121" spans="1:11" ht="15" customHeight="1" x14ac:dyDescent="0.25">
      <c r="A121" s="33"/>
      <c r="B121" s="34"/>
      <c r="C121" s="28"/>
      <c r="D121" s="35"/>
      <c r="E121" s="29"/>
      <c r="F121" s="30"/>
      <c r="G121" s="30"/>
      <c r="H121" s="30"/>
      <c r="I121" s="9">
        <f t="shared" si="0"/>
        <v>0</v>
      </c>
      <c r="J121" s="31"/>
      <c r="K121" s="9">
        <f t="shared" si="1"/>
        <v>0</v>
      </c>
    </row>
    <row r="122" spans="1:11" ht="15" customHeight="1" x14ac:dyDescent="0.25">
      <c r="A122" s="33"/>
      <c r="B122" s="34"/>
      <c r="C122" s="28"/>
      <c r="D122" s="35"/>
      <c r="E122" s="29"/>
      <c r="F122" s="30"/>
      <c r="G122" s="30"/>
      <c r="H122" s="30"/>
      <c r="I122" s="9">
        <f t="shared" si="0"/>
        <v>0</v>
      </c>
      <c r="J122" s="31"/>
      <c r="K122" s="9">
        <f t="shared" si="1"/>
        <v>0</v>
      </c>
    </row>
    <row r="123" spans="1:11" ht="15" customHeight="1" x14ac:dyDescent="0.25">
      <c r="A123" s="33"/>
      <c r="B123" s="34"/>
      <c r="C123" s="28"/>
      <c r="D123" s="35"/>
      <c r="E123" s="29"/>
      <c r="F123" s="30"/>
      <c r="G123" s="30"/>
      <c r="H123" s="30"/>
      <c r="I123" s="9">
        <f t="shared" si="0"/>
        <v>0</v>
      </c>
      <c r="J123" s="31"/>
      <c r="K123" s="9">
        <f t="shared" si="1"/>
        <v>0</v>
      </c>
    </row>
    <row r="124" spans="1:11" ht="15" customHeight="1" x14ac:dyDescent="0.25">
      <c r="A124" s="33"/>
      <c r="B124" s="35"/>
      <c r="C124" s="28"/>
      <c r="D124" s="35"/>
      <c r="E124" s="29"/>
      <c r="F124" s="30"/>
      <c r="G124" s="30"/>
      <c r="H124" s="30"/>
      <c r="I124" s="9">
        <f t="shared" si="0"/>
        <v>0</v>
      </c>
      <c r="J124" s="31"/>
      <c r="K124" s="9">
        <f t="shared" si="1"/>
        <v>0</v>
      </c>
    </row>
    <row r="125" spans="1:11" ht="15" customHeight="1" x14ac:dyDescent="0.25">
      <c r="A125" s="33"/>
      <c r="B125" s="34"/>
      <c r="C125" s="28"/>
      <c r="D125" s="35"/>
      <c r="E125" s="29"/>
      <c r="F125" s="30"/>
      <c r="G125" s="30"/>
      <c r="H125" s="30"/>
      <c r="I125" s="9">
        <f t="shared" si="0"/>
        <v>0</v>
      </c>
      <c r="J125" s="31"/>
      <c r="K125" s="9">
        <f t="shared" si="1"/>
        <v>0</v>
      </c>
    </row>
    <row r="126" spans="1:11" ht="15" customHeight="1" x14ac:dyDescent="0.25">
      <c r="A126" s="33"/>
      <c r="B126" s="35"/>
      <c r="C126" s="28"/>
      <c r="D126" s="35"/>
      <c r="E126" s="29"/>
      <c r="F126" s="30"/>
      <c r="G126" s="30"/>
      <c r="H126" s="30"/>
      <c r="I126" s="9">
        <f t="shared" si="0"/>
        <v>0</v>
      </c>
      <c r="J126" s="31"/>
      <c r="K126" s="9">
        <f t="shared" si="1"/>
        <v>0</v>
      </c>
    </row>
    <row r="127" spans="1:11" ht="15" customHeight="1" x14ac:dyDescent="0.25">
      <c r="A127" s="33"/>
      <c r="B127" s="35"/>
      <c r="C127" s="28"/>
      <c r="D127" s="35"/>
      <c r="E127" s="29"/>
      <c r="F127" s="30"/>
      <c r="G127" s="30"/>
      <c r="H127" s="30"/>
      <c r="I127" s="9">
        <f t="shared" si="0"/>
        <v>0</v>
      </c>
      <c r="J127" s="31"/>
      <c r="K127" s="9">
        <f t="shared" si="1"/>
        <v>0</v>
      </c>
    </row>
    <row r="128" spans="1:11" ht="15" customHeight="1" x14ac:dyDescent="0.25">
      <c r="A128" s="33"/>
      <c r="B128" s="34"/>
      <c r="C128" s="28"/>
      <c r="D128" s="35"/>
      <c r="E128" s="29"/>
      <c r="F128" s="30"/>
      <c r="G128" s="30"/>
      <c r="H128" s="30"/>
      <c r="I128" s="9">
        <f t="shared" si="0"/>
        <v>0</v>
      </c>
      <c r="J128" s="31"/>
      <c r="K128" s="9">
        <f t="shared" si="1"/>
        <v>0</v>
      </c>
    </row>
    <row r="129" spans="1:11" x14ac:dyDescent="0.25">
      <c r="A129" s="33"/>
      <c r="B129" s="35"/>
      <c r="C129" s="28"/>
      <c r="D129" s="35"/>
      <c r="E129" s="29"/>
      <c r="F129" s="30"/>
      <c r="G129" s="30"/>
      <c r="H129" s="30"/>
      <c r="I129" s="9">
        <f t="shared" si="0"/>
        <v>0</v>
      </c>
      <c r="J129" s="31"/>
      <c r="K129" s="9">
        <f t="shared" si="1"/>
        <v>0</v>
      </c>
    </row>
    <row r="130" spans="1:11" x14ac:dyDescent="0.25">
      <c r="A130" s="33"/>
      <c r="B130" s="35"/>
      <c r="C130" s="28"/>
      <c r="D130" s="35"/>
      <c r="E130" s="29"/>
      <c r="F130" s="30"/>
      <c r="G130" s="30"/>
      <c r="H130" s="30"/>
      <c r="I130" s="9">
        <f t="shared" si="0"/>
        <v>0</v>
      </c>
      <c r="J130" s="31"/>
      <c r="K130" s="9">
        <f t="shared" si="1"/>
        <v>0</v>
      </c>
    </row>
    <row r="131" spans="1:11" x14ac:dyDescent="0.25">
      <c r="A131" s="33"/>
      <c r="B131" s="35"/>
      <c r="C131" s="28"/>
      <c r="D131" s="35"/>
      <c r="E131" s="29"/>
      <c r="F131" s="30"/>
      <c r="G131" s="30"/>
      <c r="H131" s="30"/>
      <c r="I131" s="9">
        <f t="shared" si="0"/>
        <v>0</v>
      </c>
      <c r="J131" s="31"/>
      <c r="K131" s="9">
        <f t="shared" si="1"/>
        <v>0</v>
      </c>
    </row>
    <row r="132" spans="1:11" x14ac:dyDescent="0.25">
      <c r="A132" s="33"/>
      <c r="B132" s="35"/>
      <c r="C132" s="28"/>
      <c r="D132" s="35"/>
      <c r="E132" s="29"/>
      <c r="F132" s="30"/>
      <c r="G132" s="30"/>
      <c r="H132" s="30"/>
      <c r="I132" s="9">
        <f t="shared" si="0"/>
        <v>0</v>
      </c>
      <c r="J132" s="31"/>
      <c r="K132" s="9">
        <f t="shared" si="1"/>
        <v>0</v>
      </c>
    </row>
    <row r="133" spans="1:11" x14ac:dyDescent="0.25">
      <c r="A133" s="33"/>
      <c r="B133" s="35"/>
      <c r="C133" s="28"/>
      <c r="D133" s="35"/>
      <c r="E133" s="29"/>
      <c r="F133" s="30"/>
      <c r="G133" s="30"/>
      <c r="H133" s="30"/>
      <c r="I133" s="9">
        <f t="shared" si="0"/>
        <v>0</v>
      </c>
      <c r="J133" s="31"/>
      <c r="K133" s="9">
        <f t="shared" si="1"/>
        <v>0</v>
      </c>
    </row>
    <row r="134" spans="1:11" x14ac:dyDescent="0.25">
      <c r="A134" s="33"/>
      <c r="B134" s="35"/>
      <c r="C134" s="28"/>
      <c r="D134" s="35"/>
      <c r="E134" s="29"/>
      <c r="F134" s="30"/>
      <c r="G134" s="30"/>
      <c r="H134" s="30"/>
      <c r="I134" s="9">
        <f t="shared" si="0"/>
        <v>0</v>
      </c>
      <c r="J134" s="31"/>
      <c r="K134" s="9">
        <f t="shared" si="1"/>
        <v>0</v>
      </c>
    </row>
    <row r="135" spans="1:11" x14ac:dyDescent="0.25">
      <c r="A135" s="33"/>
      <c r="B135" s="35"/>
      <c r="C135" s="28"/>
      <c r="D135" s="154"/>
      <c r="E135" s="29"/>
      <c r="F135" s="30"/>
      <c r="G135" s="30"/>
      <c r="H135" s="30"/>
      <c r="I135" s="9">
        <f t="shared" si="0"/>
        <v>0</v>
      </c>
      <c r="J135" s="31"/>
      <c r="K135" s="9">
        <f t="shared" si="1"/>
        <v>0</v>
      </c>
    </row>
    <row r="136" spans="1:11" x14ac:dyDescent="0.25">
      <c r="A136" s="39" t="s">
        <v>11</v>
      </c>
      <c r="B136" s="39"/>
      <c r="C136" s="39"/>
      <c r="D136" s="155"/>
      <c r="E136" s="39"/>
      <c r="F136" s="40">
        <f>SUM(F4:F135)</f>
        <v>11354.279999999999</v>
      </c>
      <c r="G136" s="41">
        <f>SUM(G4:G134)</f>
        <v>1530.04</v>
      </c>
      <c r="H136" s="41">
        <f>SUM(H4:H135)</f>
        <v>233.29</v>
      </c>
      <c r="I136" s="40">
        <f>SUM(I4:I135)</f>
        <v>1763.33</v>
      </c>
      <c r="J136" s="42">
        <f>SUM(J5:J134)</f>
        <v>171</v>
      </c>
      <c r="K136" s="43">
        <f>SUM(K4:K135)</f>
        <v>12946.61</v>
      </c>
    </row>
    <row r="139" spans="1:11" ht="15.75" thickBot="1" x14ac:dyDescent="0.3"/>
    <row r="140" spans="1:11" ht="30" x14ac:dyDescent="0.25">
      <c r="A140" s="44" t="s">
        <v>1</v>
      </c>
      <c r="B140" s="45" t="s">
        <v>2</v>
      </c>
      <c r="C140" s="46" t="s">
        <v>26</v>
      </c>
      <c r="D140" s="46" t="s">
        <v>4</v>
      </c>
      <c r="E140" s="46" t="s">
        <v>5</v>
      </c>
      <c r="F140" s="46" t="s">
        <v>6</v>
      </c>
      <c r="G140" s="46" t="s">
        <v>7</v>
      </c>
      <c r="H140" s="46" t="s">
        <v>8</v>
      </c>
      <c r="I140" s="46" t="s">
        <v>9</v>
      </c>
      <c r="J140" s="47" t="s">
        <v>10</v>
      </c>
      <c r="K140" s="2" t="s">
        <v>11</v>
      </c>
    </row>
    <row r="141" spans="1:11" x14ac:dyDescent="0.25">
      <c r="A141" s="33">
        <v>45363</v>
      </c>
      <c r="B141" s="48" t="s">
        <v>1094</v>
      </c>
      <c r="C141" s="36" t="s">
        <v>1092</v>
      </c>
      <c r="D141" s="36" t="s">
        <v>1093</v>
      </c>
      <c r="E141" s="36" t="s">
        <v>30</v>
      </c>
      <c r="F141" s="30">
        <v>310</v>
      </c>
      <c r="G141" s="30">
        <v>65.099999999999994</v>
      </c>
      <c r="H141" s="30"/>
      <c r="I141" s="30">
        <f t="shared" ref="I141:I146" si="2">G141+H141</f>
        <v>65.099999999999994</v>
      </c>
      <c r="J141" s="31"/>
      <c r="K141" s="50">
        <f>F141+I141-J141</f>
        <v>375.1</v>
      </c>
    </row>
    <row r="142" spans="1:11" x14ac:dyDescent="0.25">
      <c r="A142" s="33">
        <v>45357</v>
      </c>
      <c r="B142" s="36" t="s">
        <v>1095</v>
      </c>
      <c r="C142" s="26" t="s">
        <v>1097</v>
      </c>
      <c r="D142" t="s">
        <v>1098</v>
      </c>
      <c r="E142" s="36" t="s">
        <v>30</v>
      </c>
      <c r="F142" s="30">
        <v>510</v>
      </c>
      <c r="G142" s="30">
        <v>107.1</v>
      </c>
      <c r="H142" s="30"/>
      <c r="I142" s="30">
        <f t="shared" si="2"/>
        <v>107.1</v>
      </c>
      <c r="J142" s="31"/>
      <c r="K142" s="50">
        <f>F142+I142-J142</f>
        <v>617.1</v>
      </c>
    </row>
    <row r="143" spans="1:11" x14ac:dyDescent="0.25">
      <c r="A143" s="33">
        <v>45376</v>
      </c>
      <c r="B143" s="36" t="s">
        <v>690</v>
      </c>
      <c r="C143" s="36" t="s">
        <v>1092</v>
      </c>
      <c r="D143" s="36" t="s">
        <v>1093</v>
      </c>
      <c r="E143" s="36" t="s">
        <v>30</v>
      </c>
      <c r="F143" s="30">
        <v>90</v>
      </c>
      <c r="G143" s="30">
        <v>18.899999999999999</v>
      </c>
      <c r="H143" s="30"/>
      <c r="I143" s="30">
        <f t="shared" si="2"/>
        <v>18.899999999999999</v>
      </c>
      <c r="J143" s="31"/>
      <c r="K143" s="50">
        <f>F143+I143-J143</f>
        <v>108.9</v>
      </c>
    </row>
    <row r="144" spans="1:11" x14ac:dyDescent="0.25">
      <c r="A144" s="33">
        <v>45378</v>
      </c>
      <c r="B144" s="36" t="s">
        <v>691</v>
      </c>
      <c r="C144" s="36" t="s">
        <v>1099</v>
      </c>
      <c r="D144" s="36" t="s">
        <v>1100</v>
      </c>
      <c r="E144" s="36" t="s">
        <v>30</v>
      </c>
      <c r="F144" s="30">
        <v>50</v>
      </c>
      <c r="G144" s="30">
        <v>10.5</v>
      </c>
      <c r="H144" s="30"/>
      <c r="I144" s="30">
        <f t="shared" si="2"/>
        <v>10.5</v>
      </c>
      <c r="J144" s="31"/>
      <c r="K144" s="50">
        <f>F144+I144-J144</f>
        <v>60.5</v>
      </c>
    </row>
    <row r="145" spans="1:11" x14ac:dyDescent="0.25">
      <c r="A145" s="33">
        <v>45381</v>
      </c>
      <c r="B145" s="36" t="s">
        <v>1096</v>
      </c>
      <c r="C145" s="14" t="s">
        <v>27</v>
      </c>
      <c r="D145" s="49" t="s">
        <v>28</v>
      </c>
      <c r="E145" s="36" t="s">
        <v>29</v>
      </c>
      <c r="F145" s="30">
        <v>1400</v>
      </c>
      <c r="G145" s="30">
        <f>F145*21/100</f>
        <v>294</v>
      </c>
      <c r="H145" s="30"/>
      <c r="I145" s="30">
        <f t="shared" si="2"/>
        <v>294</v>
      </c>
      <c r="J145" s="31">
        <v>266</v>
      </c>
      <c r="K145" s="50">
        <f>F145+I145-J145</f>
        <v>1428</v>
      </c>
    </row>
    <row r="146" spans="1:11" x14ac:dyDescent="0.25">
      <c r="A146" s="36"/>
      <c r="B146" s="36"/>
      <c r="C146" s="36"/>
      <c r="D146" s="36"/>
      <c r="E146" s="36"/>
      <c r="F146" s="30"/>
      <c r="G146" s="30"/>
      <c r="H146" s="30"/>
      <c r="I146" s="30">
        <f t="shared" si="2"/>
        <v>0</v>
      </c>
      <c r="J146" s="31"/>
      <c r="K146" s="50"/>
    </row>
    <row r="147" spans="1:11" x14ac:dyDescent="0.25">
      <c r="A147" s="319" t="s">
        <v>11</v>
      </c>
      <c r="B147" s="319"/>
      <c r="C147" s="319"/>
      <c r="D147" s="319"/>
      <c r="E147" s="319"/>
      <c r="F147" s="40">
        <f>SUM(F141:F146)</f>
        <v>2360</v>
      </c>
      <c r="G147" s="36"/>
      <c r="H147" s="36"/>
      <c r="I147" s="40">
        <f>SUM(I141:I146)</f>
        <v>495.6</v>
      </c>
      <c r="J147" s="51"/>
      <c r="K147" s="14"/>
    </row>
  </sheetData>
  <mergeCells count="1">
    <mergeCell ref="A147:E147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459F-54DA-4343-A1DE-588F512138B4}">
  <dimension ref="A1:O193"/>
  <sheetViews>
    <sheetView topLeftCell="A157" workbookViewId="0">
      <selection activeCell="D194" sqref="D194"/>
    </sheetView>
  </sheetViews>
  <sheetFormatPr baseColWidth="10" defaultRowHeight="15" x14ac:dyDescent="0.25"/>
  <cols>
    <col min="1" max="1" width="18.85546875" customWidth="1"/>
    <col min="2" max="2" width="18.140625" customWidth="1"/>
    <col min="3" max="3" width="36.5703125" customWidth="1"/>
    <col min="4" max="4" width="18.140625" customWidth="1"/>
    <col min="5" max="5" width="17.85546875" customWidth="1"/>
    <col min="6" max="6" width="12" customWidth="1"/>
    <col min="9" max="9" width="24.7109375" customWidth="1"/>
    <col min="10" max="10" width="13" bestFit="1" customWidth="1"/>
    <col min="12" max="12" width="15" customWidth="1"/>
    <col min="14" max="14" width="22.28515625" customWidth="1"/>
  </cols>
  <sheetData>
    <row r="1" spans="1:15" x14ac:dyDescent="0.25">
      <c r="A1" s="319" t="s">
        <v>1</v>
      </c>
      <c r="B1" s="319" t="s">
        <v>2</v>
      </c>
      <c r="C1" s="319" t="s">
        <v>32</v>
      </c>
      <c r="D1" s="319" t="s">
        <v>33</v>
      </c>
      <c r="E1" s="319" t="s">
        <v>408</v>
      </c>
      <c r="F1" s="319" t="s">
        <v>11</v>
      </c>
      <c r="G1" s="319" t="s">
        <v>34</v>
      </c>
      <c r="H1" s="319"/>
      <c r="I1" s="319" t="s">
        <v>35</v>
      </c>
      <c r="J1" s="319" t="s">
        <v>36</v>
      </c>
      <c r="K1" s="319" t="s">
        <v>37</v>
      </c>
      <c r="L1" s="319" t="s">
        <v>38</v>
      </c>
      <c r="M1" s="319" t="s">
        <v>39</v>
      </c>
      <c r="N1" s="320" t="s">
        <v>38</v>
      </c>
      <c r="O1" s="319" t="s">
        <v>40</v>
      </c>
    </row>
    <row r="2" spans="1:15" x14ac:dyDescent="0.25">
      <c r="A2" s="320"/>
      <c r="B2" s="320"/>
      <c r="C2" s="320"/>
      <c r="D2" s="320"/>
      <c r="E2" s="320"/>
      <c r="F2" s="320"/>
      <c r="G2" s="52" t="s">
        <v>41</v>
      </c>
      <c r="H2" s="53" t="s">
        <v>42</v>
      </c>
      <c r="I2" s="320"/>
      <c r="J2" s="320"/>
      <c r="K2" s="320"/>
      <c r="L2" s="320"/>
      <c r="M2" s="319"/>
      <c r="N2" s="321"/>
      <c r="O2" s="319"/>
    </row>
    <row r="3" spans="1:15" x14ac:dyDescent="0.25">
      <c r="A3" s="54">
        <v>45352</v>
      </c>
      <c r="B3" s="55" t="s">
        <v>1106</v>
      </c>
      <c r="C3" s="55" t="s">
        <v>43</v>
      </c>
      <c r="D3" s="56">
        <f t="shared" ref="D3:D66" si="0">F3/1.21</f>
        <v>181.81818181818181</v>
      </c>
      <c r="E3" s="56">
        <f>D3*10/100</f>
        <v>18.18181818181818</v>
      </c>
      <c r="F3" s="57">
        <v>220</v>
      </c>
      <c r="G3" s="56"/>
      <c r="H3" s="58">
        <f>F3-G3</f>
        <v>220</v>
      </c>
      <c r="I3" s="136" t="s">
        <v>514</v>
      </c>
      <c r="J3" s="137">
        <v>220</v>
      </c>
      <c r="K3" s="137"/>
      <c r="L3" s="55"/>
      <c r="M3" s="138"/>
      <c r="N3" s="22"/>
      <c r="O3" s="22"/>
    </row>
    <row r="4" spans="1:15" x14ac:dyDescent="0.25">
      <c r="A4" s="54">
        <v>45352</v>
      </c>
      <c r="B4" s="55" t="s">
        <v>1107</v>
      </c>
      <c r="C4" s="55" t="s">
        <v>43</v>
      </c>
      <c r="D4" s="56">
        <f t="shared" si="0"/>
        <v>115.70247933884298</v>
      </c>
      <c r="E4" s="56">
        <f t="shared" ref="E4:E67" si="1">D4*10/100</f>
        <v>11.570247933884298</v>
      </c>
      <c r="F4" s="61">
        <v>140</v>
      </c>
      <c r="G4" s="56"/>
      <c r="H4" s="58">
        <f t="shared" ref="H4:H22" si="2">F4-G4</f>
        <v>140</v>
      </c>
      <c r="I4" s="136" t="s">
        <v>1263</v>
      </c>
      <c r="J4" s="137">
        <v>140</v>
      </c>
      <c r="K4" s="137"/>
      <c r="L4" s="55"/>
      <c r="M4" s="138"/>
      <c r="N4" s="22"/>
      <c r="O4" s="22"/>
    </row>
    <row r="5" spans="1:15" x14ac:dyDescent="0.25">
      <c r="A5" s="54">
        <v>45352</v>
      </c>
      <c r="B5" s="55" t="s">
        <v>1108</v>
      </c>
      <c r="C5" s="55" t="s">
        <v>43</v>
      </c>
      <c r="D5" s="56">
        <f t="shared" si="0"/>
        <v>202.47933884297521</v>
      </c>
      <c r="E5" s="56">
        <f t="shared" si="1"/>
        <v>20.247933884297524</v>
      </c>
      <c r="F5" s="166">
        <v>245</v>
      </c>
      <c r="G5" s="166">
        <v>50</v>
      </c>
      <c r="H5" s="58">
        <f t="shared" si="2"/>
        <v>195</v>
      </c>
      <c r="I5" s="136" t="s">
        <v>1264</v>
      </c>
      <c r="J5" s="137">
        <v>170</v>
      </c>
      <c r="K5" s="137">
        <v>30</v>
      </c>
      <c r="L5" s="55" t="s">
        <v>252</v>
      </c>
      <c r="M5" s="138">
        <v>45</v>
      </c>
      <c r="N5" s="22" t="s">
        <v>45</v>
      </c>
      <c r="O5" s="22"/>
    </row>
    <row r="6" spans="1:15" x14ac:dyDescent="0.25">
      <c r="A6" s="54">
        <v>45352</v>
      </c>
      <c r="B6" s="55" t="s">
        <v>1109</v>
      </c>
      <c r="C6" s="55" t="s">
        <v>43</v>
      </c>
      <c r="D6" s="56">
        <f t="shared" si="0"/>
        <v>177.68595041322314</v>
      </c>
      <c r="E6" s="56">
        <f t="shared" si="1"/>
        <v>17.768595041322314</v>
      </c>
      <c r="F6" s="61">
        <v>215</v>
      </c>
      <c r="G6" s="56">
        <v>50</v>
      </c>
      <c r="H6" s="58">
        <f t="shared" si="2"/>
        <v>165</v>
      </c>
      <c r="I6" s="136" t="s">
        <v>1265</v>
      </c>
      <c r="J6" s="137">
        <v>170</v>
      </c>
      <c r="K6" s="137"/>
      <c r="L6" s="55"/>
      <c r="M6" s="138">
        <v>45</v>
      </c>
      <c r="N6" s="22" t="s">
        <v>45</v>
      </c>
      <c r="O6" s="22"/>
    </row>
    <row r="7" spans="1:15" x14ac:dyDescent="0.25">
      <c r="A7" s="54">
        <v>45352</v>
      </c>
      <c r="B7" s="55" t="s">
        <v>1110</v>
      </c>
      <c r="C7" s="55" t="s">
        <v>43</v>
      </c>
      <c r="D7" s="56">
        <f t="shared" si="0"/>
        <v>140.49586776859505</v>
      </c>
      <c r="E7" s="56">
        <f t="shared" si="1"/>
        <v>14.049586776859506</v>
      </c>
      <c r="F7" s="61">
        <v>170</v>
      </c>
      <c r="G7" s="56">
        <v>50</v>
      </c>
      <c r="H7" s="58">
        <f t="shared" si="2"/>
        <v>120</v>
      </c>
      <c r="I7" s="136" t="s">
        <v>1266</v>
      </c>
      <c r="J7" s="137">
        <v>170</v>
      </c>
      <c r="K7" s="137"/>
      <c r="L7" s="55"/>
      <c r="M7" s="138"/>
      <c r="N7" s="139"/>
      <c r="O7" s="22"/>
    </row>
    <row r="8" spans="1:15" x14ac:dyDescent="0.25">
      <c r="A8" s="54">
        <v>45352</v>
      </c>
      <c r="B8" s="55" t="s">
        <v>1111</v>
      </c>
      <c r="C8" s="55" t="s">
        <v>43</v>
      </c>
      <c r="D8" s="56">
        <f t="shared" si="0"/>
        <v>115.70247933884298</v>
      </c>
      <c r="E8" s="56">
        <f t="shared" si="1"/>
        <v>11.570247933884298</v>
      </c>
      <c r="F8" s="61">
        <v>140</v>
      </c>
      <c r="G8" s="56"/>
      <c r="H8" s="58">
        <f t="shared" si="2"/>
        <v>140</v>
      </c>
      <c r="I8" s="136" t="s">
        <v>603</v>
      </c>
      <c r="J8" s="137">
        <v>140</v>
      </c>
      <c r="K8" s="137"/>
      <c r="L8" s="55"/>
      <c r="M8" s="138"/>
      <c r="N8" s="22"/>
      <c r="O8" s="22"/>
    </row>
    <row r="9" spans="1:15" x14ac:dyDescent="0.25">
      <c r="A9" s="54">
        <v>45352</v>
      </c>
      <c r="B9" s="55" t="s">
        <v>1112</v>
      </c>
      <c r="C9" s="55" t="s">
        <v>43</v>
      </c>
      <c r="D9" s="56">
        <f t="shared" si="0"/>
        <v>157.02479338842977</v>
      </c>
      <c r="E9" s="56">
        <f t="shared" si="1"/>
        <v>15.702479338842977</v>
      </c>
      <c r="F9" s="63">
        <v>190</v>
      </c>
      <c r="G9" s="63"/>
      <c r="H9" s="58">
        <f t="shared" si="2"/>
        <v>190</v>
      </c>
      <c r="I9" s="64" t="s">
        <v>1267</v>
      </c>
      <c r="J9" s="137">
        <v>190</v>
      </c>
      <c r="K9" s="137"/>
      <c r="L9" s="55"/>
      <c r="M9" s="138"/>
      <c r="N9" s="22"/>
      <c r="O9" s="22"/>
    </row>
    <row r="10" spans="1:15" x14ac:dyDescent="0.25">
      <c r="A10" s="54">
        <v>45352</v>
      </c>
      <c r="B10" s="55" t="s">
        <v>1113</v>
      </c>
      <c r="C10" s="55" t="s">
        <v>43</v>
      </c>
      <c r="D10" s="56">
        <f t="shared" si="0"/>
        <v>148.7603305785124</v>
      </c>
      <c r="E10" s="56">
        <f t="shared" si="1"/>
        <v>14.876033057851238</v>
      </c>
      <c r="F10" s="63">
        <v>180</v>
      </c>
      <c r="G10" s="63"/>
      <c r="H10" s="58">
        <f t="shared" si="2"/>
        <v>180</v>
      </c>
      <c r="I10" s="64" t="s">
        <v>603</v>
      </c>
      <c r="J10" s="137">
        <v>180</v>
      </c>
      <c r="K10" s="137"/>
      <c r="L10" s="55"/>
      <c r="M10" s="138"/>
      <c r="N10" s="22"/>
      <c r="O10" s="22"/>
    </row>
    <row r="11" spans="1:15" x14ac:dyDescent="0.25">
      <c r="A11" s="54">
        <v>45352</v>
      </c>
      <c r="B11" s="55" t="s">
        <v>1114</v>
      </c>
      <c r="C11" s="55" t="s">
        <v>43</v>
      </c>
      <c r="D11" s="56">
        <f t="shared" si="0"/>
        <v>198.34710743801654</v>
      </c>
      <c r="E11" s="56">
        <f t="shared" si="1"/>
        <v>19.834710743801654</v>
      </c>
      <c r="F11" s="63">
        <v>240</v>
      </c>
      <c r="G11" s="63"/>
      <c r="H11" s="58">
        <f t="shared" si="2"/>
        <v>240</v>
      </c>
      <c r="I11" s="64" t="s">
        <v>1268</v>
      </c>
      <c r="J11" s="137">
        <v>220</v>
      </c>
      <c r="K11" s="137">
        <v>20</v>
      </c>
      <c r="L11" s="55" t="s">
        <v>252</v>
      </c>
      <c r="M11" s="138"/>
      <c r="N11" s="22"/>
      <c r="O11" s="22"/>
    </row>
    <row r="12" spans="1:15" x14ac:dyDescent="0.25">
      <c r="A12" s="54">
        <v>45352</v>
      </c>
      <c r="B12" s="55" t="s">
        <v>1115</v>
      </c>
      <c r="C12" s="55" t="s">
        <v>43</v>
      </c>
      <c r="D12" s="56">
        <f t="shared" si="0"/>
        <v>181.81818181818181</v>
      </c>
      <c r="E12" s="56">
        <f t="shared" si="1"/>
        <v>18.18181818181818</v>
      </c>
      <c r="F12" s="63">
        <v>220</v>
      </c>
      <c r="G12" s="63">
        <v>50</v>
      </c>
      <c r="H12" s="58">
        <f t="shared" si="2"/>
        <v>170</v>
      </c>
      <c r="I12" s="64" t="s">
        <v>1269</v>
      </c>
      <c r="J12" s="137">
        <v>220</v>
      </c>
      <c r="K12" s="137"/>
      <c r="L12" s="55"/>
      <c r="M12" s="138"/>
      <c r="N12" s="22"/>
      <c r="O12" s="22"/>
    </row>
    <row r="13" spans="1:15" x14ac:dyDescent="0.25">
      <c r="A13" s="54">
        <v>45353</v>
      </c>
      <c r="B13" s="55" t="s">
        <v>1116</v>
      </c>
      <c r="C13" s="55" t="s">
        <v>43</v>
      </c>
      <c r="D13" s="56">
        <f t="shared" si="0"/>
        <v>181.81818181818181</v>
      </c>
      <c r="E13" s="56">
        <f t="shared" si="1"/>
        <v>18.18181818181818</v>
      </c>
      <c r="F13" s="63">
        <v>220</v>
      </c>
      <c r="G13" s="63">
        <v>50</v>
      </c>
      <c r="H13" s="58">
        <f t="shared" si="2"/>
        <v>170</v>
      </c>
      <c r="I13" s="64" t="s">
        <v>1270</v>
      </c>
      <c r="J13" s="137">
        <v>220</v>
      </c>
      <c r="K13" s="137"/>
      <c r="L13" s="55"/>
      <c r="M13" s="138"/>
      <c r="N13" s="22"/>
      <c r="O13" s="22"/>
    </row>
    <row r="14" spans="1:15" x14ac:dyDescent="0.25">
      <c r="A14" s="54">
        <v>45353</v>
      </c>
      <c r="B14" s="55" t="s">
        <v>1117</v>
      </c>
      <c r="C14" s="55" t="s">
        <v>43</v>
      </c>
      <c r="D14" s="56">
        <f t="shared" si="0"/>
        <v>148.7603305785124</v>
      </c>
      <c r="E14" s="56">
        <f t="shared" si="1"/>
        <v>14.876033057851238</v>
      </c>
      <c r="F14" s="63">
        <v>180</v>
      </c>
      <c r="G14" s="63"/>
      <c r="H14" s="58">
        <f t="shared" si="2"/>
        <v>180</v>
      </c>
      <c r="I14" s="64" t="s">
        <v>603</v>
      </c>
      <c r="J14" s="137">
        <v>180</v>
      </c>
      <c r="K14" s="137"/>
      <c r="L14" s="55"/>
      <c r="M14" s="138"/>
      <c r="N14" s="22"/>
      <c r="O14" s="22"/>
    </row>
    <row r="15" spans="1:15" x14ac:dyDescent="0.25">
      <c r="A15" s="54">
        <v>45353</v>
      </c>
      <c r="B15" s="55" t="s">
        <v>1118</v>
      </c>
      <c r="C15" s="55" t="s">
        <v>43</v>
      </c>
      <c r="D15" s="56">
        <f t="shared" si="0"/>
        <v>157.02479338842977</v>
      </c>
      <c r="E15" s="56">
        <f t="shared" si="1"/>
        <v>15.702479338842977</v>
      </c>
      <c r="F15" s="63">
        <v>190</v>
      </c>
      <c r="G15" s="63"/>
      <c r="H15" s="58">
        <f t="shared" si="2"/>
        <v>190</v>
      </c>
      <c r="I15" s="64" t="s">
        <v>1271</v>
      </c>
      <c r="J15" s="137">
        <v>190</v>
      </c>
      <c r="K15" s="137"/>
      <c r="L15" s="55"/>
      <c r="M15" s="138"/>
      <c r="N15" s="22"/>
      <c r="O15" s="22"/>
    </row>
    <row r="16" spans="1:15" x14ac:dyDescent="0.25">
      <c r="A16" s="54">
        <v>45353</v>
      </c>
      <c r="B16" s="55" t="s">
        <v>1119</v>
      </c>
      <c r="C16" s="55" t="s">
        <v>43</v>
      </c>
      <c r="D16" s="56">
        <f t="shared" si="0"/>
        <v>198.34710743801654</v>
      </c>
      <c r="E16" s="56">
        <f t="shared" si="1"/>
        <v>19.834710743801654</v>
      </c>
      <c r="F16" s="63">
        <v>240</v>
      </c>
      <c r="G16" s="63">
        <v>50</v>
      </c>
      <c r="H16" s="58">
        <f t="shared" si="2"/>
        <v>190</v>
      </c>
      <c r="I16" s="64" t="s">
        <v>1272</v>
      </c>
      <c r="J16" s="137">
        <v>220</v>
      </c>
      <c r="K16" s="137">
        <v>20</v>
      </c>
      <c r="L16" s="55" t="s">
        <v>252</v>
      </c>
      <c r="M16" s="140"/>
      <c r="N16" s="22"/>
      <c r="O16" s="22"/>
    </row>
    <row r="17" spans="1:15" x14ac:dyDescent="0.25">
      <c r="A17" s="54">
        <v>45353</v>
      </c>
      <c r="B17" s="55" t="s">
        <v>1120</v>
      </c>
      <c r="C17" s="55" t="s">
        <v>43</v>
      </c>
      <c r="D17" s="56">
        <f t="shared" si="0"/>
        <v>256.198347107438</v>
      </c>
      <c r="E17" s="56">
        <f t="shared" si="1"/>
        <v>25.619834710743799</v>
      </c>
      <c r="F17" s="63">
        <v>310</v>
      </c>
      <c r="G17" s="63">
        <v>150</v>
      </c>
      <c r="H17" s="58">
        <f t="shared" si="2"/>
        <v>160</v>
      </c>
      <c r="I17" s="64" t="s">
        <v>1273</v>
      </c>
      <c r="J17" s="137">
        <v>310</v>
      </c>
      <c r="K17" s="137"/>
      <c r="L17" s="55"/>
      <c r="M17" s="138"/>
      <c r="N17" s="22"/>
      <c r="O17" s="22"/>
    </row>
    <row r="18" spans="1:15" x14ac:dyDescent="0.25">
      <c r="A18" s="54">
        <v>45353</v>
      </c>
      <c r="B18" s="55" t="s">
        <v>1121</v>
      </c>
      <c r="C18" s="55" t="s">
        <v>43</v>
      </c>
      <c r="D18" s="56">
        <f t="shared" si="0"/>
        <v>214.87603305785126</v>
      </c>
      <c r="E18" s="56">
        <f t="shared" si="1"/>
        <v>21.487603305785125</v>
      </c>
      <c r="F18" s="63">
        <v>260</v>
      </c>
      <c r="G18" s="63">
        <v>50</v>
      </c>
      <c r="H18" s="58">
        <f t="shared" si="2"/>
        <v>210</v>
      </c>
      <c r="I18" s="64" t="s">
        <v>1274</v>
      </c>
      <c r="J18" s="137">
        <v>220</v>
      </c>
      <c r="K18" s="137">
        <v>40</v>
      </c>
      <c r="L18" s="55" t="s">
        <v>252</v>
      </c>
      <c r="M18" s="138"/>
      <c r="N18" s="22"/>
      <c r="O18" s="22"/>
    </row>
    <row r="19" spans="1:15" x14ac:dyDescent="0.25">
      <c r="A19" s="54">
        <v>45353</v>
      </c>
      <c r="B19" s="55" t="s">
        <v>1122</v>
      </c>
      <c r="C19" s="55" t="s">
        <v>43</v>
      </c>
      <c r="D19" s="56">
        <f t="shared" si="0"/>
        <v>173.55371900826447</v>
      </c>
      <c r="E19" s="56">
        <f t="shared" si="1"/>
        <v>17.355371900826448</v>
      </c>
      <c r="F19" s="63">
        <v>210</v>
      </c>
      <c r="G19" s="63">
        <v>50</v>
      </c>
      <c r="H19" s="58">
        <f t="shared" si="2"/>
        <v>160</v>
      </c>
      <c r="I19" s="64" t="s">
        <v>1275</v>
      </c>
      <c r="J19" s="137">
        <v>210</v>
      </c>
      <c r="K19" s="137"/>
      <c r="L19" s="55"/>
      <c r="M19" s="138"/>
      <c r="N19" s="22"/>
      <c r="O19" s="22"/>
    </row>
    <row r="20" spans="1:15" x14ac:dyDescent="0.25">
      <c r="A20" s="54">
        <v>45353</v>
      </c>
      <c r="B20" s="55" t="s">
        <v>1123</v>
      </c>
      <c r="C20" s="55" t="s">
        <v>43</v>
      </c>
      <c r="D20" s="56">
        <f t="shared" si="0"/>
        <v>181.81818181818181</v>
      </c>
      <c r="E20" s="56">
        <f t="shared" si="1"/>
        <v>18.18181818181818</v>
      </c>
      <c r="F20" s="63">
        <v>220</v>
      </c>
      <c r="G20" s="63">
        <v>220</v>
      </c>
      <c r="H20" s="58">
        <f t="shared" si="2"/>
        <v>0</v>
      </c>
      <c r="I20" s="64" t="s">
        <v>1276</v>
      </c>
      <c r="J20" s="137">
        <v>220</v>
      </c>
      <c r="K20" s="137"/>
      <c r="L20" s="55"/>
      <c r="M20" s="138"/>
      <c r="N20" s="22"/>
      <c r="O20" s="22"/>
    </row>
    <row r="21" spans="1:15" x14ac:dyDescent="0.25">
      <c r="A21" s="54">
        <v>45353</v>
      </c>
      <c r="B21" s="55" t="s">
        <v>1124</v>
      </c>
      <c r="C21" s="55" t="s">
        <v>43</v>
      </c>
      <c r="D21" s="56">
        <f t="shared" si="0"/>
        <v>223.14049586776861</v>
      </c>
      <c r="E21" s="56">
        <f t="shared" si="1"/>
        <v>22.314049586776861</v>
      </c>
      <c r="F21" s="63">
        <v>270</v>
      </c>
      <c r="G21" s="66">
        <v>50</v>
      </c>
      <c r="H21" s="58">
        <f t="shared" si="2"/>
        <v>220</v>
      </c>
      <c r="I21" s="64" t="s">
        <v>1277</v>
      </c>
      <c r="J21" s="137">
        <v>270</v>
      </c>
      <c r="K21" s="137"/>
      <c r="L21" s="55"/>
      <c r="M21" s="138"/>
      <c r="N21" s="22"/>
      <c r="O21" s="22"/>
    </row>
    <row r="22" spans="1:15" x14ac:dyDescent="0.25">
      <c r="A22" s="54">
        <v>45353</v>
      </c>
      <c r="B22" s="55" t="s">
        <v>1125</v>
      </c>
      <c r="C22" s="55" t="s">
        <v>43</v>
      </c>
      <c r="D22" s="56">
        <f t="shared" si="0"/>
        <v>115.70247933884298</v>
      </c>
      <c r="E22" s="56">
        <f t="shared" si="1"/>
        <v>11.570247933884298</v>
      </c>
      <c r="F22" s="63">
        <v>140</v>
      </c>
      <c r="G22" s="56">
        <v>50</v>
      </c>
      <c r="H22" s="58">
        <f t="shared" si="2"/>
        <v>90</v>
      </c>
      <c r="I22" s="64" t="s">
        <v>1278</v>
      </c>
      <c r="J22" s="137">
        <v>140</v>
      </c>
      <c r="K22" s="137"/>
      <c r="L22" s="55"/>
      <c r="M22" s="138"/>
      <c r="N22" s="22"/>
      <c r="O22" s="22"/>
    </row>
    <row r="23" spans="1:15" x14ac:dyDescent="0.25">
      <c r="A23" s="54">
        <v>45353</v>
      </c>
      <c r="B23" s="55" t="s">
        <v>1126</v>
      </c>
      <c r="C23" s="55" t="s">
        <v>43</v>
      </c>
      <c r="D23" s="56">
        <f t="shared" si="0"/>
        <v>140.49586776859505</v>
      </c>
      <c r="E23" s="56">
        <f t="shared" si="1"/>
        <v>14.049586776859506</v>
      </c>
      <c r="F23" s="63">
        <v>170</v>
      </c>
      <c r="G23" s="56">
        <v>50</v>
      </c>
      <c r="H23" s="58">
        <f t="shared" ref="H23:H69" si="3">F23-G23</f>
        <v>120</v>
      </c>
      <c r="I23" s="64" t="s">
        <v>1279</v>
      </c>
      <c r="J23" s="137">
        <v>170</v>
      </c>
      <c r="K23" s="137"/>
      <c r="L23" s="55"/>
      <c r="M23" s="138"/>
      <c r="N23" s="22"/>
      <c r="O23" s="22"/>
    </row>
    <row r="24" spans="1:15" x14ac:dyDescent="0.25">
      <c r="A24" s="54">
        <v>45353</v>
      </c>
      <c r="B24" s="55" t="s">
        <v>1127</v>
      </c>
      <c r="C24" s="55" t="s">
        <v>43</v>
      </c>
      <c r="D24" s="56">
        <f t="shared" si="0"/>
        <v>157.02479338842977</v>
      </c>
      <c r="E24" s="56">
        <f t="shared" si="1"/>
        <v>15.702479338842977</v>
      </c>
      <c r="F24" s="63">
        <v>190</v>
      </c>
      <c r="G24" s="56">
        <v>50</v>
      </c>
      <c r="H24" s="58">
        <f t="shared" si="3"/>
        <v>140</v>
      </c>
      <c r="I24" s="64" t="s">
        <v>1280</v>
      </c>
      <c r="J24" s="137">
        <v>170</v>
      </c>
      <c r="K24" s="137">
        <v>20</v>
      </c>
      <c r="L24" s="55" t="s">
        <v>252</v>
      </c>
      <c r="M24" s="138"/>
      <c r="N24" s="22"/>
      <c r="O24" s="22"/>
    </row>
    <row r="25" spans="1:15" x14ac:dyDescent="0.25">
      <c r="A25" s="54">
        <v>45353</v>
      </c>
      <c r="B25" s="55" t="s">
        <v>1128</v>
      </c>
      <c r="C25" s="55" t="s">
        <v>43</v>
      </c>
      <c r="D25" s="56">
        <f t="shared" si="0"/>
        <v>173.55371900826447</v>
      </c>
      <c r="E25" s="56">
        <f t="shared" si="1"/>
        <v>17.355371900826448</v>
      </c>
      <c r="F25" s="63">
        <v>210</v>
      </c>
      <c r="G25" s="56"/>
      <c r="H25" s="58">
        <f t="shared" si="3"/>
        <v>210</v>
      </c>
      <c r="I25" s="64" t="s">
        <v>1267</v>
      </c>
      <c r="J25" s="137">
        <v>210</v>
      </c>
      <c r="K25" s="137"/>
      <c r="L25" s="55"/>
      <c r="M25" s="138"/>
      <c r="N25" s="22"/>
      <c r="O25" s="22"/>
    </row>
    <row r="26" spans="1:15" x14ac:dyDescent="0.25">
      <c r="A26" s="54">
        <v>45353</v>
      </c>
      <c r="B26" s="55" t="s">
        <v>1129</v>
      </c>
      <c r="C26" s="55" t="s">
        <v>43</v>
      </c>
      <c r="D26" s="56">
        <f t="shared" si="0"/>
        <v>165.28925619834712</v>
      </c>
      <c r="E26" s="56">
        <f t="shared" si="1"/>
        <v>16.528925619834713</v>
      </c>
      <c r="F26" s="61">
        <v>200</v>
      </c>
      <c r="G26" s="56"/>
      <c r="H26" s="58">
        <f t="shared" si="3"/>
        <v>200</v>
      </c>
      <c r="I26" s="64" t="s">
        <v>1281</v>
      </c>
      <c r="J26" s="137">
        <v>200</v>
      </c>
      <c r="K26" s="137"/>
      <c r="L26" s="55"/>
      <c r="M26" s="141"/>
      <c r="N26" s="142"/>
      <c r="O26" s="142"/>
    </row>
    <row r="27" spans="1:15" x14ac:dyDescent="0.25">
      <c r="A27" s="54">
        <v>45353</v>
      </c>
      <c r="B27" s="55" t="s">
        <v>1130</v>
      </c>
      <c r="C27" s="55" t="s">
        <v>43</v>
      </c>
      <c r="D27" s="56">
        <f t="shared" si="0"/>
        <v>181.81818181818181</v>
      </c>
      <c r="E27" s="56">
        <f t="shared" si="1"/>
        <v>18.18181818181818</v>
      </c>
      <c r="F27" s="61">
        <v>220</v>
      </c>
      <c r="G27" s="56"/>
      <c r="H27" s="58">
        <f t="shared" si="3"/>
        <v>220</v>
      </c>
      <c r="I27" s="64" t="s">
        <v>1040</v>
      </c>
      <c r="J27" s="137">
        <v>220</v>
      </c>
      <c r="K27" s="143"/>
      <c r="L27" s="70"/>
      <c r="M27" s="138"/>
      <c r="N27" s="22"/>
      <c r="O27" s="22"/>
    </row>
    <row r="28" spans="1:15" x14ac:dyDescent="0.25">
      <c r="A28" s="54">
        <v>45353</v>
      </c>
      <c r="B28" s="55" t="s">
        <v>1131</v>
      </c>
      <c r="C28" s="55" t="s">
        <v>43</v>
      </c>
      <c r="D28" s="56">
        <f t="shared" si="0"/>
        <v>181.81818181818181</v>
      </c>
      <c r="E28" s="56">
        <f t="shared" si="1"/>
        <v>18.18181818181818</v>
      </c>
      <c r="F28" s="61">
        <v>220</v>
      </c>
      <c r="G28" s="56">
        <v>50</v>
      </c>
      <c r="H28" s="58">
        <f t="shared" si="3"/>
        <v>170</v>
      </c>
      <c r="I28" s="136" t="s">
        <v>1283</v>
      </c>
      <c r="J28" s="137">
        <v>220</v>
      </c>
      <c r="K28" s="137"/>
      <c r="L28" s="70"/>
      <c r="M28" s="138"/>
      <c r="N28" s="22"/>
      <c r="O28" s="22"/>
    </row>
    <row r="29" spans="1:15" x14ac:dyDescent="0.25">
      <c r="A29" s="54">
        <v>45353</v>
      </c>
      <c r="B29" s="55" t="s">
        <v>1132</v>
      </c>
      <c r="C29" s="55" t="s">
        <v>43</v>
      </c>
      <c r="D29" s="56">
        <f t="shared" si="0"/>
        <v>157.02479338842977</v>
      </c>
      <c r="E29" s="56">
        <f t="shared" si="1"/>
        <v>15.702479338842977</v>
      </c>
      <c r="F29" s="61">
        <v>190</v>
      </c>
      <c r="G29" s="56"/>
      <c r="H29" s="58">
        <f t="shared" si="3"/>
        <v>190</v>
      </c>
      <c r="I29" s="136" t="s">
        <v>1282</v>
      </c>
      <c r="J29" s="137">
        <v>190</v>
      </c>
      <c r="K29" s="137"/>
      <c r="L29" s="55"/>
      <c r="M29" s="138"/>
      <c r="N29" s="22"/>
      <c r="O29" s="22"/>
    </row>
    <row r="30" spans="1:15" x14ac:dyDescent="0.25">
      <c r="A30" s="54">
        <v>45353</v>
      </c>
      <c r="B30" s="55" t="s">
        <v>1133</v>
      </c>
      <c r="C30" s="55" t="s">
        <v>43</v>
      </c>
      <c r="D30" s="56">
        <f t="shared" si="0"/>
        <v>107.43801652892563</v>
      </c>
      <c r="E30" s="56">
        <f t="shared" si="1"/>
        <v>10.743801652892563</v>
      </c>
      <c r="F30" s="61">
        <v>130</v>
      </c>
      <c r="G30" s="56"/>
      <c r="H30" s="58">
        <f t="shared" si="3"/>
        <v>130</v>
      </c>
      <c r="I30" s="64" t="s">
        <v>514</v>
      </c>
      <c r="J30" s="137">
        <v>130</v>
      </c>
      <c r="K30" s="137"/>
      <c r="L30" s="55"/>
      <c r="M30" s="138"/>
      <c r="N30" s="22"/>
      <c r="O30" s="22"/>
    </row>
    <row r="31" spans="1:15" x14ac:dyDescent="0.25">
      <c r="A31" s="54">
        <v>45353</v>
      </c>
      <c r="B31" s="55" t="s">
        <v>1134</v>
      </c>
      <c r="C31" s="55" t="s">
        <v>43</v>
      </c>
      <c r="D31" s="56">
        <f t="shared" si="0"/>
        <v>132.2314049586777</v>
      </c>
      <c r="E31" s="56">
        <f t="shared" si="1"/>
        <v>13.223140495867769</v>
      </c>
      <c r="F31" s="61">
        <v>160</v>
      </c>
      <c r="G31" s="56"/>
      <c r="H31" s="58">
        <f t="shared" si="3"/>
        <v>160</v>
      </c>
      <c r="I31" s="64" t="s">
        <v>603</v>
      </c>
      <c r="J31" s="137">
        <v>160</v>
      </c>
      <c r="K31" s="137"/>
      <c r="L31" s="55"/>
      <c r="M31" s="138"/>
      <c r="N31" s="22"/>
      <c r="O31" s="22"/>
    </row>
    <row r="32" spans="1:15" x14ac:dyDescent="0.25">
      <c r="A32" s="54">
        <v>45353</v>
      </c>
      <c r="B32" s="55" t="s">
        <v>1135</v>
      </c>
      <c r="C32" s="55" t="s">
        <v>43</v>
      </c>
      <c r="D32" s="56">
        <f t="shared" si="0"/>
        <v>140.49586776859505</v>
      </c>
      <c r="E32" s="56">
        <f t="shared" si="1"/>
        <v>14.049586776859506</v>
      </c>
      <c r="F32" s="61">
        <v>170</v>
      </c>
      <c r="G32" s="56"/>
      <c r="H32" s="58">
        <f t="shared" si="3"/>
        <v>170</v>
      </c>
      <c r="I32" s="136" t="s">
        <v>603</v>
      </c>
      <c r="J32" s="137">
        <v>170</v>
      </c>
      <c r="K32" s="137"/>
      <c r="L32" s="55"/>
      <c r="M32" s="138"/>
      <c r="N32" s="22"/>
      <c r="O32" s="22"/>
    </row>
    <row r="33" spans="1:15" x14ac:dyDescent="0.25">
      <c r="A33" s="54">
        <v>45353</v>
      </c>
      <c r="B33" s="55" t="s">
        <v>1136</v>
      </c>
      <c r="C33" s="55" t="s">
        <v>43</v>
      </c>
      <c r="D33" s="56">
        <f t="shared" si="0"/>
        <v>140.49586776859505</v>
      </c>
      <c r="E33" s="56">
        <f t="shared" si="1"/>
        <v>14.049586776859506</v>
      </c>
      <c r="F33" s="61">
        <v>170</v>
      </c>
      <c r="G33" s="56">
        <v>50</v>
      </c>
      <c r="H33" s="58">
        <f t="shared" si="3"/>
        <v>120</v>
      </c>
      <c r="I33" s="136" t="s">
        <v>1284</v>
      </c>
      <c r="J33" s="137">
        <v>170</v>
      </c>
      <c r="K33" s="137"/>
      <c r="L33" s="55"/>
      <c r="M33" s="138"/>
      <c r="N33" s="22"/>
      <c r="O33" s="22"/>
    </row>
    <row r="34" spans="1:15" x14ac:dyDescent="0.25">
      <c r="A34" s="54">
        <v>45354</v>
      </c>
      <c r="B34" s="55" t="s">
        <v>1137</v>
      </c>
      <c r="C34" s="55" t="s">
        <v>43</v>
      </c>
      <c r="D34" s="56">
        <f t="shared" si="0"/>
        <v>219.00826446280993</v>
      </c>
      <c r="E34" s="56">
        <f t="shared" si="1"/>
        <v>21.900826446280995</v>
      </c>
      <c r="F34" s="61">
        <v>265</v>
      </c>
      <c r="G34" s="56">
        <v>50</v>
      </c>
      <c r="H34" s="58">
        <f t="shared" si="3"/>
        <v>215</v>
      </c>
      <c r="I34" s="136" t="s">
        <v>1285</v>
      </c>
      <c r="J34" s="137">
        <v>220</v>
      </c>
      <c r="K34" s="137"/>
      <c r="L34" s="55"/>
      <c r="M34" s="138">
        <v>45</v>
      </c>
      <c r="N34" s="22" t="s">
        <v>45</v>
      </c>
      <c r="O34" s="22"/>
    </row>
    <row r="35" spans="1:15" x14ac:dyDescent="0.25">
      <c r="A35" s="54">
        <v>45354</v>
      </c>
      <c r="B35" s="55" t="s">
        <v>1138</v>
      </c>
      <c r="C35" s="55" t="s">
        <v>43</v>
      </c>
      <c r="D35" s="56">
        <f t="shared" si="0"/>
        <v>140.49586776859505</v>
      </c>
      <c r="E35" s="56">
        <f t="shared" si="1"/>
        <v>14.049586776859506</v>
      </c>
      <c r="F35" s="61">
        <v>170</v>
      </c>
      <c r="G35" s="56">
        <v>170</v>
      </c>
      <c r="H35" s="58">
        <f t="shared" si="3"/>
        <v>0</v>
      </c>
      <c r="I35" s="136" t="s">
        <v>1286</v>
      </c>
      <c r="J35" s="137">
        <v>170</v>
      </c>
      <c r="K35" s="137"/>
      <c r="L35" s="55"/>
      <c r="M35" s="138"/>
      <c r="N35" s="22"/>
      <c r="O35" s="22"/>
    </row>
    <row r="36" spans="1:15" x14ac:dyDescent="0.25">
      <c r="A36" s="54">
        <v>45355</v>
      </c>
      <c r="B36" s="55" t="s">
        <v>1139</v>
      </c>
      <c r="C36" s="55" t="s">
        <v>43</v>
      </c>
      <c r="D36" s="56">
        <f t="shared" si="0"/>
        <v>214.87603305785126</v>
      </c>
      <c r="E36" s="56">
        <f t="shared" si="1"/>
        <v>21.487603305785125</v>
      </c>
      <c r="F36" s="61">
        <v>260</v>
      </c>
      <c r="G36" s="56">
        <v>50</v>
      </c>
      <c r="H36" s="58">
        <f t="shared" si="3"/>
        <v>210</v>
      </c>
      <c r="I36" s="64" t="s">
        <v>1287</v>
      </c>
      <c r="J36" s="137">
        <v>220</v>
      </c>
      <c r="K36" s="137">
        <v>40</v>
      </c>
      <c r="L36" s="55" t="s">
        <v>252</v>
      </c>
      <c r="M36" s="138"/>
      <c r="N36" s="22"/>
      <c r="O36" s="22"/>
    </row>
    <row r="37" spans="1:15" x14ac:dyDescent="0.25">
      <c r="A37" s="54">
        <v>45356</v>
      </c>
      <c r="B37" s="55" t="s">
        <v>1140</v>
      </c>
      <c r="C37" s="55" t="s">
        <v>43</v>
      </c>
      <c r="D37" s="56">
        <f t="shared" si="0"/>
        <v>140.49586776859505</v>
      </c>
      <c r="E37" s="56">
        <f t="shared" si="1"/>
        <v>14.049586776859506</v>
      </c>
      <c r="F37" s="61">
        <v>170</v>
      </c>
      <c r="G37" s="56">
        <v>50</v>
      </c>
      <c r="H37" s="58">
        <f t="shared" si="3"/>
        <v>120</v>
      </c>
      <c r="I37" s="64" t="s">
        <v>1288</v>
      </c>
      <c r="J37" s="137">
        <v>170</v>
      </c>
      <c r="K37" s="137"/>
      <c r="L37" s="55"/>
      <c r="M37" s="138"/>
      <c r="N37" s="22"/>
      <c r="O37" s="22"/>
    </row>
    <row r="38" spans="1:15" x14ac:dyDescent="0.25">
      <c r="A38" s="54">
        <v>45356</v>
      </c>
      <c r="B38" s="55" t="s">
        <v>1141</v>
      </c>
      <c r="C38" s="55" t="s">
        <v>43</v>
      </c>
      <c r="D38" s="56">
        <f t="shared" si="0"/>
        <v>115.70247933884298</v>
      </c>
      <c r="E38" s="56">
        <f t="shared" si="1"/>
        <v>11.570247933884298</v>
      </c>
      <c r="F38" s="63">
        <v>140</v>
      </c>
      <c r="G38" s="63"/>
      <c r="H38" s="58">
        <f t="shared" si="3"/>
        <v>140</v>
      </c>
      <c r="I38" s="64" t="s">
        <v>603</v>
      </c>
      <c r="J38" s="137">
        <v>140</v>
      </c>
      <c r="K38" s="144"/>
      <c r="L38" s="55"/>
      <c r="M38" s="138"/>
      <c r="N38" s="22"/>
      <c r="O38" s="22"/>
    </row>
    <row r="39" spans="1:15" x14ac:dyDescent="0.25">
      <c r="A39" s="54">
        <v>45357</v>
      </c>
      <c r="B39" s="55" t="s">
        <v>1142</v>
      </c>
      <c r="C39" s="55" t="s">
        <v>43</v>
      </c>
      <c r="D39" s="56">
        <f t="shared" si="0"/>
        <v>148.7603305785124</v>
      </c>
      <c r="E39" s="56">
        <f t="shared" si="1"/>
        <v>14.876033057851238</v>
      </c>
      <c r="F39" s="63">
        <v>180</v>
      </c>
      <c r="G39" s="63"/>
      <c r="H39" s="58">
        <f t="shared" si="3"/>
        <v>180</v>
      </c>
      <c r="I39" s="64" t="s">
        <v>603</v>
      </c>
      <c r="J39" s="137">
        <v>180</v>
      </c>
      <c r="K39" s="137"/>
      <c r="L39" s="55"/>
      <c r="M39" s="138"/>
      <c r="N39" s="22"/>
      <c r="O39" s="22"/>
    </row>
    <row r="40" spans="1:15" x14ac:dyDescent="0.25">
      <c r="A40" s="71">
        <v>45359</v>
      </c>
      <c r="B40" s="55" t="s">
        <v>1143</v>
      </c>
      <c r="C40" s="55" t="s">
        <v>43</v>
      </c>
      <c r="D40" s="56">
        <f t="shared" si="0"/>
        <v>140.49586776859505</v>
      </c>
      <c r="E40" s="56">
        <f t="shared" si="1"/>
        <v>14.049586776859506</v>
      </c>
      <c r="F40" s="63">
        <v>170</v>
      </c>
      <c r="G40" s="63">
        <v>50</v>
      </c>
      <c r="H40" s="58">
        <f t="shared" si="3"/>
        <v>120</v>
      </c>
      <c r="I40" s="64" t="s">
        <v>1289</v>
      </c>
      <c r="J40" s="137">
        <v>170</v>
      </c>
      <c r="K40" s="137"/>
      <c r="L40" s="55"/>
      <c r="M40" s="138"/>
      <c r="N40" s="22"/>
      <c r="O40" s="22"/>
    </row>
    <row r="41" spans="1:15" x14ac:dyDescent="0.25">
      <c r="A41" s="71">
        <v>45359</v>
      </c>
      <c r="B41" s="55" t="s">
        <v>1144</v>
      </c>
      <c r="C41" s="55" t="s">
        <v>43</v>
      </c>
      <c r="D41" s="56">
        <f t="shared" si="0"/>
        <v>115.70247933884298</v>
      </c>
      <c r="E41" s="56">
        <f t="shared" si="1"/>
        <v>11.570247933884298</v>
      </c>
      <c r="F41" s="63">
        <v>140</v>
      </c>
      <c r="G41" s="63"/>
      <c r="H41" s="58">
        <f t="shared" si="3"/>
        <v>140</v>
      </c>
      <c r="I41" s="64" t="s">
        <v>603</v>
      </c>
      <c r="J41" s="137">
        <v>140</v>
      </c>
      <c r="K41" s="137"/>
      <c r="L41" s="55"/>
      <c r="M41" s="138"/>
      <c r="N41" s="22"/>
      <c r="O41" s="22"/>
    </row>
    <row r="42" spans="1:15" x14ac:dyDescent="0.25">
      <c r="A42" s="71">
        <v>45359</v>
      </c>
      <c r="B42" s="55" t="s">
        <v>1145</v>
      </c>
      <c r="C42" s="55" t="s">
        <v>43</v>
      </c>
      <c r="D42" s="56">
        <f t="shared" si="0"/>
        <v>115.70247933884298</v>
      </c>
      <c r="E42" s="56">
        <f t="shared" si="1"/>
        <v>11.570247933884298</v>
      </c>
      <c r="F42" s="63">
        <v>140</v>
      </c>
      <c r="G42" s="63"/>
      <c r="H42" s="58">
        <f t="shared" si="3"/>
        <v>140</v>
      </c>
      <c r="I42" s="64" t="s">
        <v>603</v>
      </c>
      <c r="J42" s="137">
        <v>220</v>
      </c>
      <c r="K42" s="137"/>
      <c r="L42" s="55"/>
      <c r="M42" s="138"/>
      <c r="N42" s="22"/>
      <c r="O42" s="22"/>
    </row>
    <row r="43" spans="1:15" x14ac:dyDescent="0.25">
      <c r="A43" s="71">
        <v>45359</v>
      </c>
      <c r="B43" s="55" t="s">
        <v>1146</v>
      </c>
      <c r="C43" s="55" t="s">
        <v>43</v>
      </c>
      <c r="D43" s="56">
        <f t="shared" si="0"/>
        <v>181.81818181818181</v>
      </c>
      <c r="E43" s="56">
        <f t="shared" si="1"/>
        <v>18.18181818181818</v>
      </c>
      <c r="F43" s="63">
        <v>220</v>
      </c>
      <c r="G43" s="63">
        <v>50</v>
      </c>
      <c r="H43" s="58">
        <f t="shared" si="3"/>
        <v>170</v>
      </c>
      <c r="I43" s="64" t="s">
        <v>1290</v>
      </c>
      <c r="J43" s="137">
        <v>210</v>
      </c>
      <c r="K43" s="137"/>
      <c r="L43" s="55"/>
      <c r="M43" s="138"/>
      <c r="N43" s="22"/>
      <c r="O43" s="22"/>
    </row>
    <row r="44" spans="1:15" x14ac:dyDescent="0.25">
      <c r="A44" s="71">
        <v>45359</v>
      </c>
      <c r="B44" s="55" t="s">
        <v>1147</v>
      </c>
      <c r="C44" s="55" t="s">
        <v>43</v>
      </c>
      <c r="D44" s="56">
        <f t="shared" si="0"/>
        <v>173.55371900826447</v>
      </c>
      <c r="E44" s="56">
        <f t="shared" si="1"/>
        <v>17.355371900826448</v>
      </c>
      <c r="F44" s="63">
        <v>210</v>
      </c>
      <c r="G44" s="63">
        <v>50</v>
      </c>
      <c r="H44" s="58">
        <f t="shared" si="3"/>
        <v>160</v>
      </c>
      <c r="I44" s="64" t="s">
        <v>1291</v>
      </c>
      <c r="J44" s="137">
        <v>140</v>
      </c>
      <c r="K44" s="137"/>
      <c r="L44" s="55"/>
      <c r="M44" s="138"/>
      <c r="N44" s="22"/>
      <c r="O44" s="22"/>
    </row>
    <row r="45" spans="1:15" x14ac:dyDescent="0.25">
      <c r="A45" s="71">
        <v>45359</v>
      </c>
      <c r="B45" s="55" t="s">
        <v>1148</v>
      </c>
      <c r="C45" s="55" t="s">
        <v>43</v>
      </c>
      <c r="D45" s="56">
        <f t="shared" si="0"/>
        <v>239.6694214876033</v>
      </c>
      <c r="E45" s="56">
        <f t="shared" si="1"/>
        <v>23.966942148760332</v>
      </c>
      <c r="F45" s="63">
        <v>290</v>
      </c>
      <c r="G45" s="63">
        <v>50</v>
      </c>
      <c r="H45" s="58">
        <f t="shared" si="3"/>
        <v>240</v>
      </c>
      <c r="I45" s="64" t="s">
        <v>1292</v>
      </c>
      <c r="J45" s="137">
        <v>270</v>
      </c>
      <c r="K45" s="137">
        <v>20</v>
      </c>
      <c r="L45" s="55" t="s">
        <v>252</v>
      </c>
      <c r="M45" s="138"/>
      <c r="N45" s="22"/>
      <c r="O45" s="22"/>
    </row>
    <row r="46" spans="1:15" x14ac:dyDescent="0.25">
      <c r="A46" s="71">
        <v>45359</v>
      </c>
      <c r="B46" s="55" t="s">
        <v>1149</v>
      </c>
      <c r="C46" s="55" t="s">
        <v>43</v>
      </c>
      <c r="D46" s="56">
        <f t="shared" si="0"/>
        <v>181.81818181818181</v>
      </c>
      <c r="E46" s="56">
        <f t="shared" si="1"/>
        <v>18.18181818181818</v>
      </c>
      <c r="F46" s="63">
        <v>220</v>
      </c>
      <c r="G46" s="63">
        <v>50</v>
      </c>
      <c r="H46" s="58">
        <f t="shared" si="3"/>
        <v>170</v>
      </c>
      <c r="I46" s="64" t="s">
        <v>1293</v>
      </c>
      <c r="J46" s="137">
        <v>170</v>
      </c>
      <c r="K46" s="137"/>
      <c r="L46" s="55"/>
      <c r="M46" s="138"/>
      <c r="N46" s="22"/>
      <c r="O46" s="22"/>
    </row>
    <row r="47" spans="1:15" x14ac:dyDescent="0.25">
      <c r="A47" s="71">
        <v>45359</v>
      </c>
      <c r="B47" s="55" t="s">
        <v>1150</v>
      </c>
      <c r="C47" s="55" t="s">
        <v>43</v>
      </c>
      <c r="D47" s="56">
        <f t="shared" si="0"/>
        <v>181.81818181818181</v>
      </c>
      <c r="E47" s="56">
        <f t="shared" si="1"/>
        <v>18.18181818181818</v>
      </c>
      <c r="F47" s="63">
        <v>220</v>
      </c>
      <c r="G47" s="63">
        <v>50</v>
      </c>
      <c r="H47" s="58">
        <f t="shared" si="3"/>
        <v>170</v>
      </c>
      <c r="I47" s="64" t="s">
        <v>1294</v>
      </c>
      <c r="J47" s="137">
        <v>220</v>
      </c>
      <c r="K47" s="137"/>
      <c r="L47" s="55"/>
      <c r="M47" s="138"/>
      <c r="N47" s="22"/>
      <c r="O47" s="22"/>
    </row>
    <row r="48" spans="1:15" x14ac:dyDescent="0.25">
      <c r="A48" s="71">
        <v>45359</v>
      </c>
      <c r="B48" s="55" t="s">
        <v>1151</v>
      </c>
      <c r="C48" s="55" t="s">
        <v>43</v>
      </c>
      <c r="D48" s="56">
        <f t="shared" si="0"/>
        <v>206.61157024793388</v>
      </c>
      <c r="E48" s="56">
        <f t="shared" si="1"/>
        <v>20.661157024793386</v>
      </c>
      <c r="F48" s="63">
        <v>250</v>
      </c>
      <c r="G48" s="63">
        <v>50</v>
      </c>
      <c r="H48" s="58">
        <f t="shared" si="3"/>
        <v>200</v>
      </c>
      <c r="I48" s="64" t="s">
        <v>1295</v>
      </c>
      <c r="J48" s="137">
        <v>220</v>
      </c>
      <c r="K48" s="137">
        <v>30</v>
      </c>
      <c r="L48" s="55" t="s">
        <v>252</v>
      </c>
      <c r="M48" s="138"/>
      <c r="N48" s="22"/>
      <c r="O48" s="22"/>
    </row>
    <row r="49" spans="1:15" x14ac:dyDescent="0.25">
      <c r="A49" s="71">
        <v>45360</v>
      </c>
      <c r="B49" s="55" t="s">
        <v>1152</v>
      </c>
      <c r="C49" s="55" t="s">
        <v>43</v>
      </c>
      <c r="D49" s="56">
        <f t="shared" si="0"/>
        <v>256.198347107438</v>
      </c>
      <c r="E49" s="56">
        <f t="shared" si="1"/>
        <v>25.619834710743799</v>
      </c>
      <c r="F49" s="63">
        <v>310</v>
      </c>
      <c r="G49" s="63">
        <v>310</v>
      </c>
      <c r="H49" s="58">
        <f t="shared" si="3"/>
        <v>0</v>
      </c>
      <c r="I49" s="64" t="s">
        <v>1296</v>
      </c>
      <c r="J49" s="137">
        <v>310</v>
      </c>
      <c r="K49" s="137"/>
      <c r="L49" s="55"/>
      <c r="M49" s="138"/>
      <c r="N49" s="22"/>
      <c r="O49" s="22"/>
    </row>
    <row r="50" spans="1:15" x14ac:dyDescent="0.25">
      <c r="A50" s="71">
        <v>45360</v>
      </c>
      <c r="B50" s="55" t="s">
        <v>1153</v>
      </c>
      <c r="C50" s="55" t="s">
        <v>43</v>
      </c>
      <c r="D50" s="56">
        <f t="shared" si="0"/>
        <v>223.14049586776861</v>
      </c>
      <c r="E50" s="56">
        <f t="shared" si="1"/>
        <v>22.314049586776861</v>
      </c>
      <c r="F50" s="63">
        <v>270</v>
      </c>
      <c r="G50" s="63">
        <v>50</v>
      </c>
      <c r="H50" s="58">
        <f t="shared" si="3"/>
        <v>220</v>
      </c>
      <c r="I50" s="64" t="s">
        <v>1297</v>
      </c>
      <c r="J50" s="137">
        <v>270</v>
      </c>
      <c r="K50" s="137"/>
      <c r="L50" s="55"/>
      <c r="M50" s="138"/>
      <c r="N50" s="22"/>
      <c r="O50" s="22"/>
    </row>
    <row r="51" spans="1:15" x14ac:dyDescent="0.25">
      <c r="A51" s="71">
        <v>45360</v>
      </c>
      <c r="B51" s="55" t="s">
        <v>1154</v>
      </c>
      <c r="C51" s="55" t="s">
        <v>43</v>
      </c>
      <c r="D51" s="56">
        <f t="shared" si="0"/>
        <v>223.14049586776861</v>
      </c>
      <c r="E51" s="56">
        <f t="shared" si="1"/>
        <v>22.314049586776861</v>
      </c>
      <c r="F51" s="63">
        <v>270</v>
      </c>
      <c r="G51" s="63">
        <v>270</v>
      </c>
      <c r="H51" s="58">
        <f t="shared" si="3"/>
        <v>0</v>
      </c>
      <c r="I51" s="64" t="s">
        <v>1298</v>
      </c>
      <c r="J51" s="137">
        <v>270</v>
      </c>
      <c r="K51" s="137"/>
      <c r="L51" s="55"/>
      <c r="M51" s="138"/>
      <c r="N51" s="22"/>
      <c r="O51" s="22"/>
    </row>
    <row r="52" spans="1:15" x14ac:dyDescent="0.25">
      <c r="A52" s="73">
        <v>45360</v>
      </c>
      <c r="B52" s="55" t="s">
        <v>1155</v>
      </c>
      <c r="C52" s="55" t="s">
        <v>43</v>
      </c>
      <c r="D52" s="56">
        <f t="shared" si="0"/>
        <v>276.85950413223139</v>
      </c>
      <c r="E52" s="56">
        <f t="shared" si="1"/>
        <v>27.685950413223139</v>
      </c>
      <c r="F52" s="63">
        <v>335</v>
      </c>
      <c r="G52" s="63">
        <v>50</v>
      </c>
      <c r="H52" s="58">
        <f t="shared" si="3"/>
        <v>285</v>
      </c>
      <c r="I52" s="145" t="s">
        <v>1299</v>
      </c>
      <c r="J52" s="146">
        <v>270</v>
      </c>
      <c r="K52" s="146">
        <v>20</v>
      </c>
      <c r="L52" s="14" t="s">
        <v>252</v>
      </c>
      <c r="M52" s="138">
        <v>45</v>
      </c>
      <c r="N52" s="22" t="s">
        <v>45</v>
      </c>
      <c r="O52" s="142"/>
    </row>
    <row r="53" spans="1:15" x14ac:dyDescent="0.25">
      <c r="A53" s="71">
        <v>45360</v>
      </c>
      <c r="B53" s="55" t="s">
        <v>1156</v>
      </c>
      <c r="C53" s="55" t="s">
        <v>43</v>
      </c>
      <c r="D53" s="56">
        <f t="shared" si="0"/>
        <v>206.61157024793388</v>
      </c>
      <c r="E53" s="56">
        <f t="shared" si="1"/>
        <v>20.661157024793386</v>
      </c>
      <c r="F53" s="63">
        <v>250</v>
      </c>
      <c r="G53" s="63">
        <v>50</v>
      </c>
      <c r="H53" s="58">
        <f t="shared" si="3"/>
        <v>200</v>
      </c>
      <c r="I53" s="64" t="s">
        <v>1300</v>
      </c>
      <c r="J53" s="137">
        <v>220</v>
      </c>
      <c r="K53" s="137">
        <v>30</v>
      </c>
      <c r="L53" s="55" t="s">
        <v>252</v>
      </c>
      <c r="M53" s="138"/>
      <c r="N53" s="22"/>
      <c r="O53" s="22"/>
    </row>
    <row r="54" spans="1:15" x14ac:dyDescent="0.25">
      <c r="A54" s="71">
        <v>45360</v>
      </c>
      <c r="B54" s="55" t="s">
        <v>1157</v>
      </c>
      <c r="C54" s="55" t="s">
        <v>43</v>
      </c>
      <c r="D54" s="56">
        <f t="shared" si="0"/>
        <v>115.70247933884298</v>
      </c>
      <c r="E54" s="56">
        <f t="shared" si="1"/>
        <v>11.570247933884298</v>
      </c>
      <c r="F54" s="63">
        <v>140</v>
      </c>
      <c r="G54" s="63"/>
      <c r="H54" s="58">
        <f t="shared" si="3"/>
        <v>140</v>
      </c>
      <c r="I54" s="64" t="s">
        <v>603</v>
      </c>
      <c r="J54" s="137">
        <v>140</v>
      </c>
      <c r="K54" s="137"/>
      <c r="L54" s="55"/>
      <c r="M54" s="138"/>
      <c r="N54" s="22"/>
      <c r="O54" s="22"/>
    </row>
    <row r="55" spans="1:15" x14ac:dyDescent="0.25">
      <c r="A55" s="71">
        <v>45360</v>
      </c>
      <c r="B55" s="55" t="s">
        <v>1158</v>
      </c>
      <c r="C55" s="55" t="s">
        <v>43</v>
      </c>
      <c r="D55" s="56">
        <f t="shared" si="0"/>
        <v>140.49586776859505</v>
      </c>
      <c r="E55" s="56">
        <f t="shared" si="1"/>
        <v>14.049586776859506</v>
      </c>
      <c r="F55" s="63">
        <v>170</v>
      </c>
      <c r="G55" s="63">
        <v>50</v>
      </c>
      <c r="H55" s="58">
        <f t="shared" si="3"/>
        <v>120</v>
      </c>
      <c r="I55" s="64" t="s">
        <v>1301</v>
      </c>
      <c r="J55" s="137">
        <v>170</v>
      </c>
      <c r="K55" s="137"/>
      <c r="L55" s="55"/>
      <c r="M55" s="138"/>
      <c r="N55" s="22"/>
      <c r="O55" s="22"/>
    </row>
    <row r="56" spans="1:15" x14ac:dyDescent="0.25">
      <c r="A56" s="71">
        <v>45360</v>
      </c>
      <c r="B56" s="55" t="s">
        <v>1159</v>
      </c>
      <c r="C56" s="55" t="s">
        <v>43</v>
      </c>
      <c r="D56" s="56">
        <f t="shared" si="0"/>
        <v>140.49586776859505</v>
      </c>
      <c r="E56" s="56">
        <f t="shared" si="1"/>
        <v>14.049586776859506</v>
      </c>
      <c r="F56" s="63">
        <v>170</v>
      </c>
      <c r="G56" s="63">
        <v>50</v>
      </c>
      <c r="H56" s="58">
        <f t="shared" si="3"/>
        <v>120</v>
      </c>
      <c r="I56" s="64" t="s">
        <v>358</v>
      </c>
      <c r="J56" s="137">
        <v>170</v>
      </c>
      <c r="K56" s="137"/>
      <c r="L56" s="55"/>
      <c r="M56" s="138"/>
      <c r="N56" s="22"/>
      <c r="O56" s="22"/>
    </row>
    <row r="57" spans="1:15" x14ac:dyDescent="0.25">
      <c r="A57" s="71">
        <v>45360</v>
      </c>
      <c r="B57" s="55" t="s">
        <v>1160</v>
      </c>
      <c r="C57" s="55" t="s">
        <v>43</v>
      </c>
      <c r="D57" s="56">
        <f t="shared" si="0"/>
        <v>115.70247933884298</v>
      </c>
      <c r="E57" s="56">
        <f t="shared" si="1"/>
        <v>11.570247933884298</v>
      </c>
      <c r="F57" s="63">
        <v>140</v>
      </c>
      <c r="G57" s="63"/>
      <c r="H57" s="58">
        <f t="shared" si="3"/>
        <v>140</v>
      </c>
      <c r="I57" s="64" t="s">
        <v>603</v>
      </c>
      <c r="J57" s="137">
        <v>140</v>
      </c>
      <c r="K57" s="137"/>
      <c r="L57" s="55"/>
      <c r="M57" s="138"/>
      <c r="N57" s="22"/>
      <c r="O57" s="22"/>
    </row>
    <row r="58" spans="1:15" x14ac:dyDescent="0.25">
      <c r="A58" s="73">
        <v>45360</v>
      </c>
      <c r="B58" s="55" t="s">
        <v>1161</v>
      </c>
      <c r="C58" s="55" t="s">
        <v>43</v>
      </c>
      <c r="D58" s="56">
        <f t="shared" si="0"/>
        <v>107.43801652892563</v>
      </c>
      <c r="E58" s="56">
        <f t="shared" si="1"/>
        <v>10.743801652892563</v>
      </c>
      <c r="F58" s="63">
        <v>130</v>
      </c>
      <c r="G58" s="63"/>
      <c r="H58" s="58">
        <f t="shared" si="3"/>
        <v>130</v>
      </c>
      <c r="I58" s="64" t="s">
        <v>514</v>
      </c>
      <c r="J58" s="137">
        <v>130</v>
      </c>
      <c r="K58" s="137"/>
      <c r="L58" s="55"/>
      <c r="M58" s="138"/>
      <c r="N58" s="22"/>
      <c r="O58" s="22"/>
    </row>
    <row r="59" spans="1:15" x14ac:dyDescent="0.25">
      <c r="A59" s="71">
        <v>45360</v>
      </c>
      <c r="B59" s="55" t="s">
        <v>1162</v>
      </c>
      <c r="C59" s="55" t="s">
        <v>43</v>
      </c>
      <c r="D59" s="56">
        <f t="shared" si="0"/>
        <v>140.49586776859505</v>
      </c>
      <c r="E59" s="56">
        <f t="shared" si="1"/>
        <v>14.049586776859506</v>
      </c>
      <c r="F59" s="63">
        <v>170</v>
      </c>
      <c r="G59" s="63">
        <v>50</v>
      </c>
      <c r="H59" s="58">
        <f t="shared" si="3"/>
        <v>120</v>
      </c>
      <c r="I59" s="64" t="s">
        <v>1302</v>
      </c>
      <c r="J59" s="137">
        <v>170</v>
      </c>
      <c r="K59" s="137"/>
      <c r="L59" s="55"/>
      <c r="M59" s="138"/>
      <c r="N59" s="22"/>
      <c r="O59" s="22"/>
    </row>
    <row r="60" spans="1:15" x14ac:dyDescent="0.25">
      <c r="A60" s="71">
        <v>45360</v>
      </c>
      <c r="B60" s="55" t="s">
        <v>1163</v>
      </c>
      <c r="C60" s="55" t="s">
        <v>43</v>
      </c>
      <c r="D60" s="56">
        <f t="shared" si="0"/>
        <v>173.55371900826447</v>
      </c>
      <c r="E60" s="56">
        <f t="shared" si="1"/>
        <v>17.355371900826448</v>
      </c>
      <c r="F60" s="63">
        <v>210</v>
      </c>
      <c r="G60" s="63">
        <v>50</v>
      </c>
      <c r="H60" s="58">
        <f t="shared" si="3"/>
        <v>160</v>
      </c>
      <c r="I60" s="64" t="s">
        <v>1303</v>
      </c>
      <c r="J60" s="137">
        <v>170</v>
      </c>
      <c r="K60" s="137">
        <v>40</v>
      </c>
      <c r="L60" s="55" t="s">
        <v>252</v>
      </c>
      <c r="M60" s="138"/>
      <c r="N60" s="22"/>
      <c r="O60" s="22"/>
    </row>
    <row r="61" spans="1:15" x14ac:dyDescent="0.25">
      <c r="A61" s="71">
        <v>45360</v>
      </c>
      <c r="B61" s="55" t="s">
        <v>1164</v>
      </c>
      <c r="C61" s="55" t="s">
        <v>43</v>
      </c>
      <c r="D61" s="56">
        <f t="shared" si="0"/>
        <v>115.70247933884298</v>
      </c>
      <c r="E61" s="56">
        <f t="shared" si="1"/>
        <v>11.570247933884298</v>
      </c>
      <c r="F61" s="63">
        <v>140</v>
      </c>
      <c r="G61" s="63"/>
      <c r="H61" s="58">
        <f t="shared" si="3"/>
        <v>140</v>
      </c>
      <c r="I61" s="64" t="s">
        <v>1304</v>
      </c>
      <c r="J61" s="137">
        <v>140</v>
      </c>
      <c r="K61" s="137"/>
      <c r="L61" s="55"/>
      <c r="M61" s="138"/>
      <c r="N61" s="22"/>
      <c r="O61" s="22"/>
    </row>
    <row r="62" spans="1:15" x14ac:dyDescent="0.25">
      <c r="A62" s="71">
        <v>45360</v>
      </c>
      <c r="B62" s="55" t="s">
        <v>1165</v>
      </c>
      <c r="C62" s="55" t="s">
        <v>43</v>
      </c>
      <c r="D62" s="56">
        <f t="shared" si="0"/>
        <v>140.49586776859505</v>
      </c>
      <c r="E62" s="56">
        <f t="shared" si="1"/>
        <v>14.049586776859506</v>
      </c>
      <c r="F62" s="63">
        <v>170</v>
      </c>
      <c r="G62" s="63">
        <v>50</v>
      </c>
      <c r="H62" s="58">
        <f t="shared" si="3"/>
        <v>120</v>
      </c>
      <c r="I62" s="64" t="s">
        <v>1305</v>
      </c>
      <c r="J62" s="137">
        <v>170</v>
      </c>
      <c r="K62" s="137"/>
      <c r="L62" s="55"/>
      <c r="M62" s="138"/>
      <c r="N62" s="22"/>
      <c r="O62" s="22"/>
    </row>
    <row r="63" spans="1:15" x14ac:dyDescent="0.25">
      <c r="A63" s="71">
        <v>45360</v>
      </c>
      <c r="B63" s="55" t="s">
        <v>1166</v>
      </c>
      <c r="C63" s="55" t="s">
        <v>43</v>
      </c>
      <c r="D63" s="56">
        <f t="shared" si="0"/>
        <v>140.49586776859505</v>
      </c>
      <c r="E63" s="56">
        <f t="shared" si="1"/>
        <v>14.049586776859506</v>
      </c>
      <c r="F63" s="63">
        <v>170</v>
      </c>
      <c r="G63" s="63">
        <v>50</v>
      </c>
      <c r="H63" s="58">
        <f t="shared" si="3"/>
        <v>120</v>
      </c>
      <c r="I63" s="64" t="s">
        <v>675</v>
      </c>
      <c r="J63" s="137">
        <v>170</v>
      </c>
      <c r="K63" s="137"/>
      <c r="L63" s="55"/>
      <c r="M63" s="138"/>
      <c r="N63" s="22"/>
      <c r="O63" s="22"/>
    </row>
    <row r="64" spans="1:15" x14ac:dyDescent="0.25">
      <c r="A64" s="73">
        <v>45360</v>
      </c>
      <c r="B64" s="55" t="s">
        <v>1167</v>
      </c>
      <c r="C64" s="55" t="s">
        <v>43</v>
      </c>
      <c r="D64" s="56">
        <f t="shared" si="0"/>
        <v>173.55371900826447</v>
      </c>
      <c r="E64" s="56">
        <f t="shared" si="1"/>
        <v>17.355371900826448</v>
      </c>
      <c r="F64" s="63">
        <v>210</v>
      </c>
      <c r="G64" s="63">
        <v>50</v>
      </c>
      <c r="H64" s="58">
        <f t="shared" si="3"/>
        <v>160</v>
      </c>
      <c r="I64" s="64" t="s">
        <v>1306</v>
      </c>
      <c r="J64" s="137">
        <v>170</v>
      </c>
      <c r="K64" s="137">
        <v>40</v>
      </c>
      <c r="L64" s="55" t="s">
        <v>252</v>
      </c>
      <c r="M64" s="138"/>
      <c r="N64" s="22"/>
      <c r="O64" s="22"/>
    </row>
    <row r="65" spans="1:15" x14ac:dyDescent="0.25">
      <c r="A65" s="71">
        <v>45360</v>
      </c>
      <c r="B65" s="55" t="s">
        <v>1168</v>
      </c>
      <c r="C65" s="55" t="s">
        <v>43</v>
      </c>
      <c r="D65" s="56">
        <f t="shared" si="0"/>
        <v>140.49586776859505</v>
      </c>
      <c r="E65" s="56">
        <f t="shared" si="1"/>
        <v>14.049586776859506</v>
      </c>
      <c r="F65" s="63">
        <v>170</v>
      </c>
      <c r="G65" s="63"/>
      <c r="H65" s="58">
        <f t="shared" si="3"/>
        <v>170</v>
      </c>
      <c r="I65" s="64" t="s">
        <v>368</v>
      </c>
      <c r="J65" s="137">
        <v>170</v>
      </c>
      <c r="K65" s="137"/>
      <c r="L65" s="55"/>
      <c r="M65" s="138"/>
      <c r="N65" s="22"/>
      <c r="O65" s="22"/>
    </row>
    <row r="66" spans="1:15" x14ac:dyDescent="0.25">
      <c r="A66" s="71">
        <v>45360</v>
      </c>
      <c r="B66" s="55" t="s">
        <v>1169</v>
      </c>
      <c r="C66" s="55" t="s">
        <v>43</v>
      </c>
      <c r="D66" s="56">
        <f t="shared" si="0"/>
        <v>140.49586776859505</v>
      </c>
      <c r="E66" s="56">
        <f t="shared" si="1"/>
        <v>14.049586776859506</v>
      </c>
      <c r="F66" s="63">
        <v>170</v>
      </c>
      <c r="G66" s="63">
        <v>50</v>
      </c>
      <c r="H66" s="58">
        <f t="shared" si="3"/>
        <v>120</v>
      </c>
      <c r="I66" s="64" t="s">
        <v>1307</v>
      </c>
      <c r="J66" s="137">
        <v>170</v>
      </c>
      <c r="K66" s="137"/>
      <c r="L66" s="55"/>
      <c r="M66" s="138"/>
      <c r="N66" s="22"/>
      <c r="O66" s="22"/>
    </row>
    <row r="67" spans="1:15" x14ac:dyDescent="0.25">
      <c r="A67" s="71">
        <v>45360</v>
      </c>
      <c r="B67" s="55" t="s">
        <v>1170</v>
      </c>
      <c r="C67" s="55" t="s">
        <v>43</v>
      </c>
      <c r="D67" s="56">
        <f t="shared" ref="D67:D130" si="4">F67/1.21</f>
        <v>107.43801652892563</v>
      </c>
      <c r="E67" s="56">
        <f t="shared" si="1"/>
        <v>10.743801652892563</v>
      </c>
      <c r="F67" s="63">
        <v>130</v>
      </c>
      <c r="G67" s="63"/>
      <c r="H67" s="58">
        <f t="shared" si="3"/>
        <v>130</v>
      </c>
      <c r="I67" s="64" t="s">
        <v>514</v>
      </c>
      <c r="J67" s="137">
        <v>130</v>
      </c>
      <c r="K67" s="137"/>
      <c r="L67" s="55"/>
      <c r="M67" s="138"/>
      <c r="N67" s="22"/>
      <c r="O67" s="22"/>
    </row>
    <row r="68" spans="1:15" x14ac:dyDescent="0.25">
      <c r="A68" s="71">
        <v>45360</v>
      </c>
      <c r="B68" s="55" t="s">
        <v>1171</v>
      </c>
      <c r="C68" s="55" t="s">
        <v>43</v>
      </c>
      <c r="D68" s="56">
        <f t="shared" si="4"/>
        <v>107.43801652892563</v>
      </c>
      <c r="E68" s="56">
        <f t="shared" ref="E68:E131" si="5">D68*10/100</f>
        <v>10.743801652892563</v>
      </c>
      <c r="F68" s="63">
        <v>130</v>
      </c>
      <c r="G68" s="63"/>
      <c r="H68" s="58">
        <f t="shared" si="3"/>
        <v>130</v>
      </c>
      <c r="I68" s="64" t="s">
        <v>514</v>
      </c>
      <c r="J68" s="137">
        <v>130</v>
      </c>
      <c r="K68" s="137"/>
      <c r="L68" s="55"/>
      <c r="M68" s="138"/>
      <c r="N68" s="22"/>
      <c r="O68" s="22"/>
    </row>
    <row r="69" spans="1:15" x14ac:dyDescent="0.25">
      <c r="A69" s="73">
        <v>45360</v>
      </c>
      <c r="B69" s="55" t="s">
        <v>1172</v>
      </c>
      <c r="C69" s="55" t="s">
        <v>43</v>
      </c>
      <c r="D69" s="56">
        <f t="shared" si="4"/>
        <v>140.49586776859505</v>
      </c>
      <c r="E69" s="56">
        <f t="shared" si="5"/>
        <v>14.049586776859506</v>
      </c>
      <c r="F69" s="63">
        <v>170</v>
      </c>
      <c r="G69" s="63">
        <v>50</v>
      </c>
      <c r="H69" s="58">
        <f t="shared" si="3"/>
        <v>120</v>
      </c>
      <c r="I69" s="64" t="s">
        <v>1308</v>
      </c>
      <c r="J69" s="137">
        <v>170</v>
      </c>
      <c r="K69" s="137"/>
      <c r="L69" s="55"/>
      <c r="M69" s="138"/>
      <c r="N69" s="22"/>
      <c r="O69" s="22"/>
    </row>
    <row r="70" spans="1:15" x14ac:dyDescent="0.25">
      <c r="A70" s="71">
        <v>45360</v>
      </c>
      <c r="B70" s="55" t="s">
        <v>1173</v>
      </c>
      <c r="C70" s="55" t="s">
        <v>43</v>
      </c>
      <c r="D70" s="56">
        <f t="shared" si="4"/>
        <v>140.49586776859505</v>
      </c>
      <c r="E70" s="56">
        <f t="shared" si="5"/>
        <v>14.049586776859506</v>
      </c>
      <c r="F70" s="63">
        <v>170</v>
      </c>
      <c r="G70" s="63">
        <v>50</v>
      </c>
      <c r="H70" s="58">
        <f t="shared" ref="H70:H133" si="6">F70-G70</f>
        <v>120</v>
      </c>
      <c r="I70" s="64" t="s">
        <v>368</v>
      </c>
      <c r="J70" s="137">
        <v>170</v>
      </c>
      <c r="K70" s="137"/>
      <c r="L70" s="55"/>
      <c r="M70" s="138"/>
      <c r="N70" s="22"/>
      <c r="O70" s="22"/>
    </row>
    <row r="71" spans="1:15" x14ac:dyDescent="0.25">
      <c r="A71" s="71">
        <v>45360</v>
      </c>
      <c r="B71" s="55" t="s">
        <v>1174</v>
      </c>
      <c r="C71" s="55" t="s">
        <v>43</v>
      </c>
      <c r="D71" s="56">
        <f t="shared" si="4"/>
        <v>181.81818181818181</v>
      </c>
      <c r="E71" s="56">
        <f t="shared" si="5"/>
        <v>18.18181818181818</v>
      </c>
      <c r="F71" s="63">
        <v>220</v>
      </c>
      <c r="G71" s="63">
        <v>50</v>
      </c>
      <c r="H71" s="58">
        <f t="shared" si="6"/>
        <v>170</v>
      </c>
      <c r="I71" s="64" t="s">
        <v>1309</v>
      </c>
      <c r="J71" s="137">
        <v>220</v>
      </c>
      <c r="K71" s="137"/>
      <c r="L71" s="55"/>
      <c r="M71" s="138"/>
      <c r="N71" s="22"/>
      <c r="O71" s="22"/>
    </row>
    <row r="72" spans="1:15" x14ac:dyDescent="0.25">
      <c r="A72" s="71">
        <v>45360</v>
      </c>
      <c r="B72" s="55" t="s">
        <v>1175</v>
      </c>
      <c r="C72" s="55" t="s">
        <v>43</v>
      </c>
      <c r="D72" s="56">
        <f t="shared" si="4"/>
        <v>181.81818181818181</v>
      </c>
      <c r="E72" s="56">
        <f t="shared" si="5"/>
        <v>18.18181818181818</v>
      </c>
      <c r="F72" s="63">
        <v>220</v>
      </c>
      <c r="G72" s="63">
        <v>220</v>
      </c>
      <c r="H72" s="58">
        <f t="shared" si="6"/>
        <v>0</v>
      </c>
      <c r="I72" s="64" t="s">
        <v>1310</v>
      </c>
      <c r="J72" s="137">
        <v>220</v>
      </c>
      <c r="K72" s="137"/>
      <c r="L72" s="55"/>
      <c r="M72" s="138"/>
      <c r="N72" s="22"/>
      <c r="O72" s="22"/>
    </row>
    <row r="73" spans="1:15" x14ac:dyDescent="0.25">
      <c r="A73" s="71">
        <v>45360</v>
      </c>
      <c r="B73" s="55" t="s">
        <v>1176</v>
      </c>
      <c r="C73" s="55" t="s">
        <v>43</v>
      </c>
      <c r="D73" s="56">
        <f t="shared" si="4"/>
        <v>165.28925619834712</v>
      </c>
      <c r="E73" s="56">
        <f t="shared" si="5"/>
        <v>16.528925619834713</v>
      </c>
      <c r="F73" s="63">
        <v>200</v>
      </c>
      <c r="G73" s="63">
        <v>50</v>
      </c>
      <c r="H73" s="58">
        <f t="shared" si="6"/>
        <v>150</v>
      </c>
      <c r="I73" s="64" t="s">
        <v>1311</v>
      </c>
      <c r="J73" s="137">
        <v>220</v>
      </c>
      <c r="K73" s="137">
        <v>30</v>
      </c>
      <c r="L73" s="55" t="s">
        <v>252</v>
      </c>
      <c r="M73" s="138"/>
      <c r="N73" s="22"/>
      <c r="O73" s="22"/>
    </row>
    <row r="74" spans="1:15" x14ac:dyDescent="0.25">
      <c r="A74" s="71">
        <v>45360</v>
      </c>
      <c r="B74" s="55" t="s">
        <v>1177</v>
      </c>
      <c r="C74" s="55" t="s">
        <v>43</v>
      </c>
      <c r="D74" s="56">
        <f t="shared" si="4"/>
        <v>165.28925619834712</v>
      </c>
      <c r="E74" s="56">
        <f t="shared" si="5"/>
        <v>16.528925619834713</v>
      </c>
      <c r="F74" s="63">
        <v>200</v>
      </c>
      <c r="G74" s="63"/>
      <c r="H74" s="58">
        <f t="shared" si="6"/>
        <v>200</v>
      </c>
      <c r="I74" s="64" t="s">
        <v>603</v>
      </c>
      <c r="J74" s="137">
        <v>200</v>
      </c>
      <c r="K74" s="137"/>
      <c r="L74" s="55"/>
      <c r="M74" s="138"/>
      <c r="N74" s="22"/>
      <c r="O74" s="22"/>
    </row>
    <row r="75" spans="1:15" x14ac:dyDescent="0.25">
      <c r="A75" s="73">
        <v>45360</v>
      </c>
      <c r="B75" s="55" t="s">
        <v>1178</v>
      </c>
      <c r="C75" s="55" t="s">
        <v>43</v>
      </c>
      <c r="D75" s="56">
        <f t="shared" si="4"/>
        <v>148.7603305785124</v>
      </c>
      <c r="E75" s="56">
        <f t="shared" si="5"/>
        <v>14.876033057851238</v>
      </c>
      <c r="F75" s="63">
        <v>180</v>
      </c>
      <c r="G75" s="66"/>
      <c r="H75" s="58">
        <f t="shared" si="6"/>
        <v>180</v>
      </c>
      <c r="I75" s="64" t="s">
        <v>603</v>
      </c>
      <c r="J75" s="137">
        <v>180</v>
      </c>
      <c r="K75" s="137"/>
      <c r="L75" s="55"/>
      <c r="M75" s="138"/>
      <c r="N75" s="22"/>
      <c r="O75" s="22"/>
    </row>
    <row r="76" spans="1:15" x14ac:dyDescent="0.25">
      <c r="A76" s="71">
        <v>45360</v>
      </c>
      <c r="B76" s="55" t="s">
        <v>1179</v>
      </c>
      <c r="C76" s="55" t="s">
        <v>43</v>
      </c>
      <c r="D76" s="56">
        <f t="shared" si="4"/>
        <v>181.81818181818181</v>
      </c>
      <c r="E76" s="56">
        <f t="shared" si="5"/>
        <v>18.18181818181818</v>
      </c>
      <c r="F76" s="63">
        <v>220</v>
      </c>
      <c r="G76" s="63">
        <v>220</v>
      </c>
      <c r="H76" s="58">
        <f t="shared" si="6"/>
        <v>0</v>
      </c>
      <c r="I76" s="64" t="s">
        <v>1298</v>
      </c>
      <c r="J76" s="137">
        <v>220</v>
      </c>
      <c r="K76" s="137"/>
      <c r="L76" s="55"/>
      <c r="M76" s="138"/>
      <c r="N76" s="22"/>
      <c r="O76" s="22"/>
    </row>
    <row r="77" spans="1:15" x14ac:dyDescent="0.25">
      <c r="A77" s="71">
        <v>45360</v>
      </c>
      <c r="B77" s="55" t="s">
        <v>1180</v>
      </c>
      <c r="C77" s="55" t="s">
        <v>43</v>
      </c>
      <c r="D77" s="56">
        <f t="shared" si="4"/>
        <v>181.81818181818181</v>
      </c>
      <c r="E77" s="56">
        <f t="shared" si="5"/>
        <v>18.18181818181818</v>
      </c>
      <c r="F77" s="63">
        <v>220</v>
      </c>
      <c r="G77" s="63"/>
      <c r="H77" s="58">
        <f t="shared" si="6"/>
        <v>220</v>
      </c>
      <c r="I77" s="64" t="s">
        <v>1312</v>
      </c>
      <c r="J77" s="137">
        <v>220</v>
      </c>
      <c r="K77" s="77"/>
      <c r="L77" s="55"/>
      <c r="M77" s="138"/>
      <c r="N77" s="22"/>
      <c r="O77" s="22"/>
    </row>
    <row r="78" spans="1:15" x14ac:dyDescent="0.25">
      <c r="A78" s="71">
        <v>45361</v>
      </c>
      <c r="B78" s="55" t="s">
        <v>1181</v>
      </c>
      <c r="C78" s="55" t="s">
        <v>43</v>
      </c>
      <c r="D78" s="56">
        <f t="shared" si="4"/>
        <v>181.81818181818181</v>
      </c>
      <c r="E78" s="56">
        <f t="shared" si="5"/>
        <v>18.18181818181818</v>
      </c>
      <c r="F78" s="78">
        <v>220</v>
      </c>
      <c r="G78" s="78">
        <v>50</v>
      </c>
      <c r="H78" s="58">
        <f t="shared" si="6"/>
        <v>170</v>
      </c>
      <c r="I78" s="64" t="s">
        <v>368</v>
      </c>
      <c r="J78" s="147">
        <v>220</v>
      </c>
      <c r="K78" s="80"/>
      <c r="L78" s="81"/>
      <c r="M78" s="148"/>
      <c r="N78" s="149"/>
      <c r="O78" s="149"/>
    </row>
    <row r="79" spans="1:15" x14ac:dyDescent="0.25">
      <c r="A79" s="71">
        <v>45361</v>
      </c>
      <c r="B79" s="55" t="s">
        <v>1182</v>
      </c>
      <c r="C79" s="55" t="s">
        <v>43</v>
      </c>
      <c r="D79" s="56">
        <f t="shared" si="4"/>
        <v>140.49586776859505</v>
      </c>
      <c r="E79" s="56">
        <f t="shared" si="5"/>
        <v>14.049586776859506</v>
      </c>
      <c r="F79" s="84">
        <v>170</v>
      </c>
      <c r="G79" s="63">
        <v>50</v>
      </c>
      <c r="H79" s="58">
        <f t="shared" si="6"/>
        <v>120</v>
      </c>
      <c r="I79" s="64" t="s">
        <v>1313</v>
      </c>
      <c r="J79" s="97">
        <v>170</v>
      </c>
      <c r="K79" s="85"/>
      <c r="L79" s="14"/>
      <c r="M79" s="97"/>
      <c r="N79" s="97"/>
      <c r="O79" s="97"/>
    </row>
    <row r="80" spans="1:15" x14ac:dyDescent="0.25">
      <c r="A80" s="71">
        <v>45363</v>
      </c>
      <c r="B80" s="55" t="s">
        <v>1183</v>
      </c>
      <c r="C80" s="55" t="s">
        <v>43</v>
      </c>
      <c r="D80" s="56">
        <f t="shared" si="4"/>
        <v>115.70247933884298</v>
      </c>
      <c r="E80" s="56">
        <f t="shared" si="5"/>
        <v>11.570247933884298</v>
      </c>
      <c r="F80" s="84">
        <v>140</v>
      </c>
      <c r="G80" s="63"/>
      <c r="H80" s="58">
        <f t="shared" si="6"/>
        <v>140</v>
      </c>
      <c r="I80" s="64" t="s">
        <v>1314</v>
      </c>
      <c r="J80" s="97">
        <v>140</v>
      </c>
      <c r="K80" s="85"/>
      <c r="L80" s="14"/>
      <c r="M80" s="97"/>
      <c r="N80" s="97"/>
      <c r="O80" s="97"/>
    </row>
    <row r="81" spans="1:15" x14ac:dyDescent="0.25">
      <c r="A81" s="71">
        <v>45363</v>
      </c>
      <c r="B81" s="55" t="s">
        <v>1184</v>
      </c>
      <c r="C81" s="55" t="s">
        <v>43</v>
      </c>
      <c r="D81" s="56">
        <f t="shared" si="4"/>
        <v>115.70247933884298</v>
      </c>
      <c r="E81" s="56">
        <f t="shared" si="5"/>
        <v>11.570247933884298</v>
      </c>
      <c r="F81" s="84">
        <v>140</v>
      </c>
      <c r="G81" s="63"/>
      <c r="H81" s="58">
        <f t="shared" si="6"/>
        <v>140</v>
      </c>
      <c r="I81" s="64" t="s">
        <v>603</v>
      </c>
      <c r="J81" s="97">
        <v>140</v>
      </c>
      <c r="K81" s="85"/>
      <c r="L81" s="14"/>
      <c r="M81" s="97"/>
      <c r="N81" s="97"/>
      <c r="O81" s="97"/>
    </row>
    <row r="82" spans="1:15" x14ac:dyDescent="0.25">
      <c r="A82" s="71">
        <v>45365</v>
      </c>
      <c r="B82" s="55" t="s">
        <v>1185</v>
      </c>
      <c r="C82" s="55" t="s">
        <v>43</v>
      </c>
      <c r="D82" s="56">
        <f t="shared" si="4"/>
        <v>157.02479338842977</v>
      </c>
      <c r="E82" s="56">
        <f t="shared" si="5"/>
        <v>15.702479338842977</v>
      </c>
      <c r="F82" s="84">
        <v>190</v>
      </c>
      <c r="G82" s="63"/>
      <c r="H82" s="58">
        <f t="shared" si="6"/>
        <v>190</v>
      </c>
      <c r="I82" s="64" t="s">
        <v>603</v>
      </c>
      <c r="J82" s="97">
        <v>190</v>
      </c>
      <c r="K82" s="85"/>
      <c r="L82" s="14"/>
      <c r="M82" s="97"/>
      <c r="N82" s="97"/>
      <c r="O82" s="97"/>
    </row>
    <row r="83" spans="1:15" x14ac:dyDescent="0.25">
      <c r="A83" s="71">
        <v>45366</v>
      </c>
      <c r="B83" s="55" t="s">
        <v>1186</v>
      </c>
      <c r="C83" s="55" t="s">
        <v>43</v>
      </c>
      <c r="D83" s="56">
        <f t="shared" si="4"/>
        <v>140.49586776859505</v>
      </c>
      <c r="E83" s="56">
        <f t="shared" si="5"/>
        <v>14.049586776859506</v>
      </c>
      <c r="F83" s="84">
        <v>170</v>
      </c>
      <c r="G83" s="66">
        <v>50</v>
      </c>
      <c r="H83" s="58">
        <f t="shared" si="6"/>
        <v>120</v>
      </c>
      <c r="I83" s="64" t="s">
        <v>1315</v>
      </c>
      <c r="J83" s="97">
        <v>170</v>
      </c>
      <c r="K83" s="85"/>
      <c r="L83" s="14"/>
      <c r="M83" s="97"/>
      <c r="N83" s="97"/>
      <c r="O83" s="97"/>
    </row>
    <row r="84" spans="1:15" x14ac:dyDescent="0.25">
      <c r="A84" s="71">
        <v>45366</v>
      </c>
      <c r="B84" s="55" t="s">
        <v>1187</v>
      </c>
      <c r="C84" s="55" t="s">
        <v>43</v>
      </c>
      <c r="D84" s="56">
        <f t="shared" si="4"/>
        <v>99.173553719008268</v>
      </c>
      <c r="E84" s="56">
        <f t="shared" si="5"/>
        <v>9.9173553719008272</v>
      </c>
      <c r="F84" s="84">
        <v>120</v>
      </c>
      <c r="G84" s="63"/>
      <c r="H84" s="58">
        <f t="shared" si="6"/>
        <v>120</v>
      </c>
      <c r="I84" s="64" t="s">
        <v>603</v>
      </c>
      <c r="J84" s="97">
        <v>120</v>
      </c>
      <c r="K84" s="85"/>
      <c r="L84" s="14"/>
      <c r="M84" s="97"/>
      <c r="N84" s="97"/>
      <c r="O84" s="97"/>
    </row>
    <row r="85" spans="1:15" x14ac:dyDescent="0.25">
      <c r="A85" s="71">
        <v>45366</v>
      </c>
      <c r="B85" s="55" t="s">
        <v>1188</v>
      </c>
      <c r="C85" s="55" t="s">
        <v>43</v>
      </c>
      <c r="D85" s="56">
        <f t="shared" si="4"/>
        <v>214.87603305785126</v>
      </c>
      <c r="E85" s="56">
        <f t="shared" si="5"/>
        <v>21.487603305785125</v>
      </c>
      <c r="F85" s="84">
        <v>260</v>
      </c>
      <c r="G85" s="63">
        <v>50</v>
      </c>
      <c r="H85" s="58">
        <f t="shared" si="6"/>
        <v>210</v>
      </c>
      <c r="I85" s="64" t="s">
        <v>1316</v>
      </c>
      <c r="J85" s="97">
        <v>220</v>
      </c>
      <c r="K85" s="85">
        <v>40</v>
      </c>
      <c r="L85" s="14" t="s">
        <v>252</v>
      </c>
      <c r="M85" s="97"/>
      <c r="N85" s="97"/>
      <c r="O85" s="97"/>
    </row>
    <row r="86" spans="1:15" x14ac:dyDescent="0.25">
      <c r="A86" s="99">
        <v>45366</v>
      </c>
      <c r="B86" s="55" t="s">
        <v>1189</v>
      </c>
      <c r="C86" s="55" t="s">
        <v>43</v>
      </c>
      <c r="D86" s="56">
        <f t="shared" si="4"/>
        <v>256.198347107438</v>
      </c>
      <c r="E86" s="56">
        <f t="shared" si="5"/>
        <v>25.619834710743799</v>
      </c>
      <c r="F86" s="84">
        <v>310</v>
      </c>
      <c r="G86" s="63">
        <v>50</v>
      </c>
      <c r="H86" s="58">
        <f t="shared" si="6"/>
        <v>260</v>
      </c>
      <c r="I86" s="64" t="s">
        <v>1317</v>
      </c>
      <c r="J86" s="97">
        <v>270</v>
      </c>
      <c r="K86" s="85">
        <v>40</v>
      </c>
      <c r="L86" s="14" t="s">
        <v>252</v>
      </c>
      <c r="M86" s="97"/>
      <c r="N86" s="97"/>
      <c r="O86" s="97"/>
    </row>
    <row r="87" spans="1:15" x14ac:dyDescent="0.25">
      <c r="A87" s="99">
        <v>45366</v>
      </c>
      <c r="B87" s="55" t="s">
        <v>1190</v>
      </c>
      <c r="C87" s="55" t="s">
        <v>43</v>
      </c>
      <c r="D87" s="56">
        <f t="shared" si="4"/>
        <v>115.70247933884298</v>
      </c>
      <c r="E87" s="56">
        <f t="shared" si="5"/>
        <v>11.570247933884298</v>
      </c>
      <c r="F87" s="84">
        <v>140</v>
      </c>
      <c r="G87" s="63"/>
      <c r="H87" s="58">
        <f t="shared" si="6"/>
        <v>140</v>
      </c>
      <c r="I87" s="64" t="s">
        <v>1314</v>
      </c>
      <c r="J87" s="97">
        <v>140</v>
      </c>
      <c r="K87" s="85"/>
      <c r="L87" s="86"/>
      <c r="M87" s="97"/>
      <c r="N87" s="97"/>
      <c r="O87" s="97"/>
    </row>
    <row r="88" spans="1:15" x14ac:dyDescent="0.25">
      <c r="A88" s="99">
        <v>45366</v>
      </c>
      <c r="B88" s="55" t="s">
        <v>1191</v>
      </c>
      <c r="C88" s="55" t="s">
        <v>43</v>
      </c>
      <c r="D88" s="56">
        <f t="shared" si="4"/>
        <v>115.70247933884298</v>
      </c>
      <c r="E88" s="56">
        <f t="shared" si="5"/>
        <v>11.570247933884298</v>
      </c>
      <c r="F88" s="84">
        <v>140</v>
      </c>
      <c r="G88" s="63"/>
      <c r="H88" s="58">
        <f t="shared" si="6"/>
        <v>140</v>
      </c>
      <c r="I88" s="64" t="s">
        <v>603</v>
      </c>
      <c r="J88" s="97">
        <v>140</v>
      </c>
      <c r="K88" s="85"/>
      <c r="L88" s="14"/>
      <c r="M88" s="150"/>
      <c r="N88" s="97"/>
      <c r="O88" s="97"/>
    </row>
    <row r="89" spans="1:15" x14ac:dyDescent="0.25">
      <c r="A89" s="99">
        <v>45366</v>
      </c>
      <c r="B89" s="55" t="s">
        <v>1192</v>
      </c>
      <c r="C89" s="55" t="s">
        <v>43</v>
      </c>
      <c r="D89" s="56">
        <f t="shared" si="4"/>
        <v>115.70247933884298</v>
      </c>
      <c r="E89" s="56">
        <f t="shared" si="5"/>
        <v>11.570247933884298</v>
      </c>
      <c r="F89" s="84">
        <v>140</v>
      </c>
      <c r="G89" s="63"/>
      <c r="H89" s="58">
        <f t="shared" si="6"/>
        <v>140</v>
      </c>
      <c r="I89" s="64" t="s">
        <v>603</v>
      </c>
      <c r="J89" s="97">
        <v>140</v>
      </c>
      <c r="K89" s="85"/>
      <c r="L89" s="14"/>
      <c r="M89" s="97"/>
      <c r="N89" s="97"/>
      <c r="O89" s="97"/>
    </row>
    <row r="90" spans="1:15" x14ac:dyDescent="0.25">
      <c r="A90" s="99">
        <v>45366</v>
      </c>
      <c r="B90" s="55" t="s">
        <v>1193</v>
      </c>
      <c r="C90" s="55" t="s">
        <v>43</v>
      </c>
      <c r="D90" s="56">
        <f t="shared" si="4"/>
        <v>165.28925619834712</v>
      </c>
      <c r="E90" s="56">
        <f t="shared" si="5"/>
        <v>16.528925619834713</v>
      </c>
      <c r="F90" s="84">
        <v>200</v>
      </c>
      <c r="G90" s="122">
        <v>50</v>
      </c>
      <c r="H90" s="58">
        <f t="shared" si="6"/>
        <v>150</v>
      </c>
      <c r="I90" s="64" t="s">
        <v>1318</v>
      </c>
      <c r="J90" s="97">
        <v>200</v>
      </c>
      <c r="K90" s="85"/>
      <c r="L90" s="14"/>
      <c r="M90" s="97"/>
      <c r="N90" s="97"/>
      <c r="O90" s="97"/>
    </row>
    <row r="91" spans="1:15" x14ac:dyDescent="0.25">
      <c r="A91" s="99">
        <v>45366</v>
      </c>
      <c r="B91" s="55" t="s">
        <v>1194</v>
      </c>
      <c r="C91" s="55" t="s">
        <v>43</v>
      </c>
      <c r="D91" s="56">
        <f t="shared" si="4"/>
        <v>280.9917355371901</v>
      </c>
      <c r="E91" s="56">
        <f t="shared" si="5"/>
        <v>28.099173553719012</v>
      </c>
      <c r="F91" s="84">
        <v>340</v>
      </c>
      <c r="G91" s="122"/>
      <c r="H91" s="58">
        <f t="shared" si="6"/>
        <v>340</v>
      </c>
      <c r="I91" s="64" t="s">
        <v>603</v>
      </c>
      <c r="J91" s="97">
        <v>220</v>
      </c>
      <c r="K91" s="85"/>
      <c r="L91" s="14"/>
      <c r="M91" s="97">
        <v>120</v>
      </c>
      <c r="N91" s="97" t="s">
        <v>1319</v>
      </c>
      <c r="O91" s="97"/>
    </row>
    <row r="92" spans="1:15" x14ac:dyDescent="0.25">
      <c r="A92" s="99">
        <v>45367</v>
      </c>
      <c r="B92" s="55" t="s">
        <v>1195</v>
      </c>
      <c r="C92" s="55" t="s">
        <v>43</v>
      </c>
      <c r="D92" s="56">
        <f t="shared" si="4"/>
        <v>148.7603305785124</v>
      </c>
      <c r="E92" s="56">
        <f t="shared" si="5"/>
        <v>14.876033057851238</v>
      </c>
      <c r="F92" s="84">
        <v>180</v>
      </c>
      <c r="G92" s="63"/>
      <c r="H92" s="58">
        <f t="shared" si="6"/>
        <v>180</v>
      </c>
      <c r="I92" s="64" t="s">
        <v>1320</v>
      </c>
      <c r="J92" s="97">
        <v>180</v>
      </c>
      <c r="K92" s="85"/>
      <c r="L92" s="14"/>
      <c r="M92" s="97"/>
      <c r="N92" s="97"/>
      <c r="O92" s="97"/>
    </row>
    <row r="93" spans="1:15" x14ac:dyDescent="0.25">
      <c r="A93" s="99">
        <v>45367</v>
      </c>
      <c r="B93" s="55" t="s">
        <v>1196</v>
      </c>
      <c r="C93" s="55" t="s">
        <v>43</v>
      </c>
      <c r="D93" s="56">
        <f t="shared" si="4"/>
        <v>140.49586776859505</v>
      </c>
      <c r="E93" s="56">
        <f t="shared" si="5"/>
        <v>14.049586776859506</v>
      </c>
      <c r="F93" s="84">
        <v>170</v>
      </c>
      <c r="G93" s="63">
        <v>50</v>
      </c>
      <c r="H93" s="58">
        <f t="shared" si="6"/>
        <v>120</v>
      </c>
      <c r="I93" s="64" t="s">
        <v>1321</v>
      </c>
      <c r="J93" s="97">
        <v>170</v>
      </c>
      <c r="K93" s="85"/>
      <c r="L93" s="14"/>
      <c r="M93" s="97"/>
      <c r="N93" s="97"/>
      <c r="O93" s="97"/>
    </row>
    <row r="94" spans="1:15" x14ac:dyDescent="0.25">
      <c r="A94" s="99">
        <v>45367</v>
      </c>
      <c r="B94" s="55" t="s">
        <v>1197</v>
      </c>
      <c r="C94" s="55" t="s">
        <v>43</v>
      </c>
      <c r="D94" s="56">
        <f t="shared" si="4"/>
        <v>165.28925619834712</v>
      </c>
      <c r="E94" s="56">
        <f t="shared" si="5"/>
        <v>16.528925619834713</v>
      </c>
      <c r="F94" s="84">
        <v>200</v>
      </c>
      <c r="G94" s="63">
        <v>50</v>
      </c>
      <c r="H94" s="58">
        <f t="shared" si="6"/>
        <v>150</v>
      </c>
      <c r="I94" s="64" t="s">
        <v>1322</v>
      </c>
      <c r="J94" s="97">
        <v>170</v>
      </c>
      <c r="K94" s="85">
        <v>30</v>
      </c>
      <c r="L94" s="14" t="s">
        <v>252</v>
      </c>
      <c r="M94" s="97"/>
      <c r="N94" s="97"/>
      <c r="O94" s="97"/>
    </row>
    <row r="95" spans="1:15" x14ac:dyDescent="0.25">
      <c r="A95" s="99">
        <v>45367</v>
      </c>
      <c r="B95" s="55" t="s">
        <v>1198</v>
      </c>
      <c r="C95" s="55" t="s">
        <v>43</v>
      </c>
      <c r="D95" s="56">
        <f t="shared" si="4"/>
        <v>140.49586776859505</v>
      </c>
      <c r="E95" s="56">
        <f t="shared" si="5"/>
        <v>14.049586776859506</v>
      </c>
      <c r="F95" s="84">
        <v>170</v>
      </c>
      <c r="G95" s="63">
        <v>50</v>
      </c>
      <c r="H95" s="58">
        <f t="shared" si="6"/>
        <v>120</v>
      </c>
      <c r="I95" s="64" t="s">
        <v>1323</v>
      </c>
      <c r="J95" s="97">
        <v>170</v>
      </c>
      <c r="K95" s="85"/>
      <c r="L95" s="14"/>
      <c r="M95" s="97"/>
      <c r="N95" s="97"/>
      <c r="O95" s="97"/>
    </row>
    <row r="96" spans="1:15" x14ac:dyDescent="0.25">
      <c r="A96" s="99">
        <v>45367</v>
      </c>
      <c r="B96" s="55" t="s">
        <v>1199</v>
      </c>
      <c r="C96" s="55" t="s">
        <v>43</v>
      </c>
      <c r="D96" s="56">
        <f t="shared" si="4"/>
        <v>140.49586776859505</v>
      </c>
      <c r="E96" s="56">
        <f t="shared" si="5"/>
        <v>14.049586776859506</v>
      </c>
      <c r="F96" s="84">
        <v>170</v>
      </c>
      <c r="G96" s="63">
        <v>50</v>
      </c>
      <c r="H96" s="58">
        <f t="shared" si="6"/>
        <v>120</v>
      </c>
      <c r="I96" s="64" t="s">
        <v>1324</v>
      </c>
      <c r="J96" s="97">
        <v>170</v>
      </c>
      <c r="K96" s="85"/>
      <c r="L96" s="14"/>
      <c r="M96" s="97"/>
      <c r="N96" s="97"/>
      <c r="O96" s="97"/>
    </row>
    <row r="97" spans="1:15" x14ac:dyDescent="0.25">
      <c r="A97" s="99">
        <v>45367</v>
      </c>
      <c r="B97" s="55" t="s">
        <v>1200</v>
      </c>
      <c r="C97" s="55" t="s">
        <v>43</v>
      </c>
      <c r="D97" s="56">
        <f t="shared" si="4"/>
        <v>140.49586776859505</v>
      </c>
      <c r="E97" s="56">
        <f t="shared" si="5"/>
        <v>14.049586776859506</v>
      </c>
      <c r="F97" s="88">
        <v>170</v>
      </c>
      <c r="G97" s="89">
        <v>50</v>
      </c>
      <c r="H97" s="58">
        <f t="shared" si="6"/>
        <v>120</v>
      </c>
      <c r="I97" s="90" t="s">
        <v>1325</v>
      </c>
      <c r="J97" s="151">
        <v>170</v>
      </c>
      <c r="K97" s="92"/>
      <c r="L97" s="93"/>
      <c r="M97" s="151"/>
      <c r="N97" s="151"/>
      <c r="O97" s="151"/>
    </row>
    <row r="98" spans="1:15" x14ac:dyDescent="0.25">
      <c r="A98" s="99">
        <v>45367</v>
      </c>
      <c r="B98" s="55" t="s">
        <v>1201</v>
      </c>
      <c r="C98" s="55" t="s">
        <v>43</v>
      </c>
      <c r="D98" s="56">
        <f t="shared" si="4"/>
        <v>181.81818181818181</v>
      </c>
      <c r="E98" s="56">
        <f t="shared" si="5"/>
        <v>18.18181818181818</v>
      </c>
      <c r="F98" s="75">
        <v>220</v>
      </c>
      <c r="G98" s="75">
        <v>50</v>
      </c>
      <c r="H98" s="58">
        <f t="shared" si="6"/>
        <v>170</v>
      </c>
      <c r="I98" s="94" t="s">
        <v>1326</v>
      </c>
      <c r="J98" s="97">
        <v>220</v>
      </c>
      <c r="K98" s="85"/>
      <c r="L98" s="14"/>
      <c r="M98" s="97"/>
      <c r="N98" s="97"/>
      <c r="O98" s="97"/>
    </row>
    <row r="99" spans="1:15" x14ac:dyDescent="0.25">
      <c r="A99" s="99">
        <v>45367</v>
      </c>
      <c r="B99" s="55" t="s">
        <v>1202</v>
      </c>
      <c r="C99" s="55" t="s">
        <v>43</v>
      </c>
      <c r="D99" s="56">
        <f t="shared" si="4"/>
        <v>223.14049586776861</v>
      </c>
      <c r="E99" s="56">
        <f t="shared" si="5"/>
        <v>22.314049586776861</v>
      </c>
      <c r="F99" s="75">
        <v>270</v>
      </c>
      <c r="G99" s="75">
        <v>50</v>
      </c>
      <c r="H99" s="58">
        <f t="shared" si="6"/>
        <v>220</v>
      </c>
      <c r="I99" s="94" t="s">
        <v>1327</v>
      </c>
      <c r="J99" s="97">
        <v>270</v>
      </c>
      <c r="K99" s="85"/>
      <c r="L99" s="14"/>
      <c r="M99" s="97"/>
      <c r="N99" s="97"/>
      <c r="O99" s="97"/>
    </row>
    <row r="100" spans="1:15" x14ac:dyDescent="0.25">
      <c r="A100" s="99">
        <v>45367</v>
      </c>
      <c r="B100" s="55" t="s">
        <v>1203</v>
      </c>
      <c r="C100" s="55" t="s">
        <v>43</v>
      </c>
      <c r="D100" s="56">
        <f t="shared" si="4"/>
        <v>148.7603305785124</v>
      </c>
      <c r="E100" s="56">
        <f t="shared" si="5"/>
        <v>14.876033057851238</v>
      </c>
      <c r="F100" s="96">
        <v>180</v>
      </c>
      <c r="G100" s="50"/>
      <c r="H100" s="58">
        <f t="shared" si="6"/>
        <v>180</v>
      </c>
      <c r="I100" s="94" t="s">
        <v>603</v>
      </c>
      <c r="J100" s="97">
        <v>180</v>
      </c>
      <c r="K100" s="85"/>
      <c r="L100" s="14"/>
      <c r="M100" s="97"/>
      <c r="N100" s="97"/>
      <c r="O100" s="97"/>
    </row>
    <row r="101" spans="1:15" x14ac:dyDescent="0.25">
      <c r="A101" s="99">
        <v>45367</v>
      </c>
      <c r="B101" s="55" t="s">
        <v>1204</v>
      </c>
      <c r="C101" s="55" t="s">
        <v>43</v>
      </c>
      <c r="D101" s="56">
        <f t="shared" si="4"/>
        <v>140.49586776859505</v>
      </c>
      <c r="E101" s="56">
        <f t="shared" si="5"/>
        <v>14.049586776859506</v>
      </c>
      <c r="F101" s="96">
        <v>170</v>
      </c>
      <c r="G101" s="50">
        <v>50</v>
      </c>
      <c r="H101" s="58">
        <f t="shared" si="6"/>
        <v>120</v>
      </c>
      <c r="I101" s="94" t="s">
        <v>1328</v>
      </c>
      <c r="J101" s="97">
        <v>170</v>
      </c>
      <c r="K101" s="85"/>
      <c r="L101" s="14"/>
      <c r="M101" s="97"/>
      <c r="N101" s="97"/>
      <c r="O101" s="97"/>
    </row>
    <row r="102" spans="1:15" x14ac:dyDescent="0.25">
      <c r="A102" s="99">
        <v>45367</v>
      </c>
      <c r="B102" s="55" t="s">
        <v>1205</v>
      </c>
      <c r="C102" s="55" t="s">
        <v>43</v>
      </c>
      <c r="D102" s="56">
        <f t="shared" si="4"/>
        <v>140.49586776859505</v>
      </c>
      <c r="E102" s="56">
        <f t="shared" si="5"/>
        <v>14.049586776859506</v>
      </c>
      <c r="F102" s="96">
        <v>170</v>
      </c>
      <c r="G102" s="50">
        <v>50</v>
      </c>
      <c r="H102" s="58">
        <f t="shared" si="6"/>
        <v>120</v>
      </c>
      <c r="I102" s="94" t="s">
        <v>368</v>
      </c>
      <c r="J102" s="97">
        <v>220</v>
      </c>
      <c r="K102" s="85"/>
      <c r="L102" s="14"/>
      <c r="M102" s="97"/>
      <c r="N102" s="97"/>
      <c r="O102" s="97"/>
    </row>
    <row r="103" spans="1:15" x14ac:dyDescent="0.25">
      <c r="A103" s="99">
        <v>45367</v>
      </c>
      <c r="B103" s="55" t="s">
        <v>1206</v>
      </c>
      <c r="C103" s="55" t="s">
        <v>43</v>
      </c>
      <c r="D103" s="56">
        <f t="shared" si="4"/>
        <v>173.55371900826447</v>
      </c>
      <c r="E103" s="56">
        <f t="shared" si="5"/>
        <v>17.355371900826448</v>
      </c>
      <c r="F103" s="96">
        <v>210</v>
      </c>
      <c r="G103" s="50"/>
      <c r="H103" s="58">
        <f t="shared" si="6"/>
        <v>210</v>
      </c>
      <c r="I103" s="94" t="s">
        <v>1329</v>
      </c>
      <c r="J103" s="97">
        <v>210</v>
      </c>
      <c r="K103" s="85"/>
      <c r="L103" s="14"/>
      <c r="M103" s="97"/>
      <c r="N103" s="97"/>
      <c r="O103" s="97"/>
    </row>
    <row r="104" spans="1:15" x14ac:dyDescent="0.25">
      <c r="A104" s="99">
        <v>45367</v>
      </c>
      <c r="B104" s="55" t="s">
        <v>1207</v>
      </c>
      <c r="C104" s="55" t="s">
        <v>43</v>
      </c>
      <c r="D104" s="56">
        <f t="shared" si="4"/>
        <v>219.00826446280993</v>
      </c>
      <c r="E104" s="56">
        <f t="shared" si="5"/>
        <v>21.900826446280995</v>
      </c>
      <c r="F104" s="96">
        <v>265</v>
      </c>
      <c r="G104" s="50">
        <v>50</v>
      </c>
      <c r="H104" s="58">
        <f t="shared" si="6"/>
        <v>215</v>
      </c>
      <c r="I104" s="94" t="s">
        <v>1330</v>
      </c>
      <c r="J104" s="97">
        <v>220</v>
      </c>
      <c r="K104" s="85"/>
      <c r="L104" s="14"/>
      <c r="M104" s="97">
        <v>45</v>
      </c>
      <c r="N104" s="97" t="s">
        <v>45</v>
      </c>
      <c r="O104" s="97"/>
    </row>
    <row r="105" spans="1:15" x14ac:dyDescent="0.25">
      <c r="A105" s="99">
        <v>45367</v>
      </c>
      <c r="B105" s="55" t="s">
        <v>1208</v>
      </c>
      <c r="C105" s="55" t="s">
        <v>43</v>
      </c>
      <c r="D105" s="56">
        <f t="shared" si="4"/>
        <v>157.02479338842977</v>
      </c>
      <c r="E105" s="56">
        <f t="shared" si="5"/>
        <v>15.702479338842977</v>
      </c>
      <c r="F105" s="96">
        <v>190</v>
      </c>
      <c r="G105" s="50"/>
      <c r="H105" s="58">
        <f t="shared" si="6"/>
        <v>190</v>
      </c>
      <c r="I105" s="94" t="s">
        <v>1040</v>
      </c>
      <c r="J105" s="97">
        <v>190</v>
      </c>
      <c r="K105" s="85"/>
      <c r="L105" s="14"/>
      <c r="M105" s="97"/>
      <c r="N105" s="97"/>
      <c r="O105" s="97"/>
    </row>
    <row r="106" spans="1:15" x14ac:dyDescent="0.25">
      <c r="A106" s="99">
        <v>45367</v>
      </c>
      <c r="B106" s="55" t="s">
        <v>1209</v>
      </c>
      <c r="C106" s="55" t="s">
        <v>43</v>
      </c>
      <c r="D106" s="56">
        <f t="shared" si="4"/>
        <v>223.14049586776861</v>
      </c>
      <c r="E106" s="56">
        <f t="shared" si="5"/>
        <v>22.314049586776861</v>
      </c>
      <c r="F106" s="96">
        <v>270</v>
      </c>
      <c r="G106" s="50">
        <v>50</v>
      </c>
      <c r="H106" s="58">
        <f t="shared" si="6"/>
        <v>220</v>
      </c>
      <c r="I106" s="94" t="s">
        <v>1331</v>
      </c>
      <c r="J106" s="97">
        <v>270</v>
      </c>
      <c r="K106" s="85"/>
      <c r="L106" s="14"/>
      <c r="M106" s="97"/>
      <c r="N106" s="97"/>
      <c r="O106" s="97"/>
    </row>
    <row r="107" spans="1:15" x14ac:dyDescent="0.25">
      <c r="A107" s="99">
        <v>45367</v>
      </c>
      <c r="B107" s="55" t="s">
        <v>1210</v>
      </c>
      <c r="C107" s="55" t="s">
        <v>43</v>
      </c>
      <c r="D107" s="56">
        <f t="shared" si="4"/>
        <v>396.69421487603307</v>
      </c>
      <c r="E107" s="56">
        <f t="shared" si="5"/>
        <v>39.669421487603309</v>
      </c>
      <c r="F107" s="96">
        <v>480</v>
      </c>
      <c r="G107" s="50">
        <v>50</v>
      </c>
      <c r="H107" s="58">
        <f t="shared" si="6"/>
        <v>430</v>
      </c>
      <c r="I107" s="94" t="s">
        <v>1332</v>
      </c>
      <c r="J107" s="97">
        <v>485</v>
      </c>
      <c r="K107" s="85"/>
      <c r="L107" s="14"/>
      <c r="M107" s="97"/>
      <c r="N107" s="97"/>
      <c r="O107" s="97"/>
    </row>
    <row r="108" spans="1:15" x14ac:dyDescent="0.25">
      <c r="A108" s="99">
        <v>45367</v>
      </c>
      <c r="B108" s="55" t="s">
        <v>1211</v>
      </c>
      <c r="C108" s="55" t="s">
        <v>43</v>
      </c>
      <c r="D108" s="56">
        <f t="shared" si="4"/>
        <v>223.14049586776861</v>
      </c>
      <c r="E108" s="56">
        <f t="shared" si="5"/>
        <v>22.314049586776861</v>
      </c>
      <c r="F108" s="96">
        <v>270</v>
      </c>
      <c r="G108" s="50">
        <v>50</v>
      </c>
      <c r="H108" s="58">
        <f t="shared" si="6"/>
        <v>220</v>
      </c>
      <c r="I108" s="94" t="s">
        <v>1333</v>
      </c>
      <c r="J108" s="97">
        <v>270</v>
      </c>
      <c r="K108" s="85"/>
      <c r="L108" s="14"/>
      <c r="M108" s="97"/>
      <c r="N108" s="97"/>
      <c r="O108" s="97"/>
    </row>
    <row r="109" spans="1:15" x14ac:dyDescent="0.25">
      <c r="A109" s="99">
        <v>45367</v>
      </c>
      <c r="B109" s="55" t="s">
        <v>1212</v>
      </c>
      <c r="C109" s="55" t="s">
        <v>43</v>
      </c>
      <c r="D109" s="56">
        <f t="shared" si="4"/>
        <v>295.86776859504135</v>
      </c>
      <c r="E109" s="56">
        <f t="shared" si="5"/>
        <v>29.586776859504134</v>
      </c>
      <c r="F109" s="96">
        <v>358</v>
      </c>
      <c r="G109" s="50">
        <v>50</v>
      </c>
      <c r="H109" s="58">
        <f t="shared" si="6"/>
        <v>308</v>
      </c>
      <c r="I109" s="94" t="s">
        <v>1334</v>
      </c>
      <c r="J109" s="97">
        <v>270</v>
      </c>
      <c r="K109" s="85">
        <v>30</v>
      </c>
      <c r="L109" s="14" t="s">
        <v>252</v>
      </c>
      <c r="M109" s="97">
        <v>58</v>
      </c>
      <c r="N109" s="97" t="s">
        <v>560</v>
      </c>
      <c r="O109" s="97"/>
    </row>
    <row r="110" spans="1:15" x14ac:dyDescent="0.25">
      <c r="A110" s="99">
        <v>45367</v>
      </c>
      <c r="B110" s="55" t="s">
        <v>1213</v>
      </c>
      <c r="C110" s="55" t="s">
        <v>43</v>
      </c>
      <c r="D110" s="56">
        <f t="shared" si="4"/>
        <v>198.34710743801654</v>
      </c>
      <c r="E110" s="56">
        <f t="shared" si="5"/>
        <v>19.834710743801654</v>
      </c>
      <c r="F110" s="96">
        <v>240</v>
      </c>
      <c r="G110" s="50">
        <v>50</v>
      </c>
      <c r="H110" s="58">
        <f t="shared" si="6"/>
        <v>190</v>
      </c>
      <c r="I110" s="94" t="s">
        <v>1335</v>
      </c>
      <c r="J110" s="97">
        <v>240</v>
      </c>
      <c r="K110" s="85"/>
      <c r="L110" s="14"/>
      <c r="M110" s="97"/>
      <c r="N110" s="97"/>
      <c r="O110" s="97"/>
    </row>
    <row r="111" spans="1:15" x14ac:dyDescent="0.25">
      <c r="A111" s="99">
        <v>45367</v>
      </c>
      <c r="B111" s="55" t="s">
        <v>1214</v>
      </c>
      <c r="C111" s="55" t="s">
        <v>43</v>
      </c>
      <c r="D111" s="56">
        <f t="shared" si="4"/>
        <v>206.61157024793388</v>
      </c>
      <c r="E111" s="56">
        <f t="shared" si="5"/>
        <v>20.661157024793386</v>
      </c>
      <c r="F111" s="96">
        <v>250</v>
      </c>
      <c r="G111" s="50"/>
      <c r="H111" s="58">
        <f t="shared" si="6"/>
        <v>250</v>
      </c>
      <c r="I111" s="94" t="s">
        <v>514</v>
      </c>
      <c r="J111" s="97">
        <v>250</v>
      </c>
      <c r="K111" s="85"/>
      <c r="L111" s="14"/>
      <c r="M111" s="97"/>
      <c r="N111" s="97"/>
      <c r="O111" s="97"/>
    </row>
    <row r="112" spans="1:15" x14ac:dyDescent="0.25">
      <c r="A112" s="99">
        <v>45367</v>
      </c>
      <c r="B112" s="55" t="s">
        <v>1215</v>
      </c>
      <c r="C112" s="55" t="s">
        <v>43</v>
      </c>
      <c r="D112" s="56">
        <f t="shared" si="4"/>
        <v>260.3305785123967</v>
      </c>
      <c r="E112" s="56">
        <f t="shared" si="5"/>
        <v>26.033057851239668</v>
      </c>
      <c r="F112" s="96">
        <v>315</v>
      </c>
      <c r="G112" s="50">
        <v>50</v>
      </c>
      <c r="H112" s="58">
        <f t="shared" si="6"/>
        <v>265</v>
      </c>
      <c r="I112" s="94" t="s">
        <v>1337</v>
      </c>
      <c r="J112" s="97">
        <v>270</v>
      </c>
      <c r="K112" s="85"/>
      <c r="L112" s="14"/>
      <c r="M112" s="97">
        <v>45</v>
      </c>
      <c r="N112" s="97" t="s">
        <v>45</v>
      </c>
      <c r="O112" s="97"/>
    </row>
    <row r="113" spans="1:15" x14ac:dyDescent="0.25">
      <c r="A113" s="99">
        <v>45367</v>
      </c>
      <c r="B113" s="55" t="s">
        <v>1216</v>
      </c>
      <c r="C113" s="55" t="s">
        <v>43</v>
      </c>
      <c r="D113" s="56">
        <f t="shared" si="4"/>
        <v>206.61157024793388</v>
      </c>
      <c r="E113" s="56">
        <f t="shared" si="5"/>
        <v>20.661157024793386</v>
      </c>
      <c r="F113" s="96">
        <v>250</v>
      </c>
      <c r="G113" s="50">
        <v>50</v>
      </c>
      <c r="H113" s="58">
        <f t="shared" si="6"/>
        <v>200</v>
      </c>
      <c r="I113" s="94" t="s">
        <v>1338</v>
      </c>
      <c r="J113" s="97">
        <v>220</v>
      </c>
      <c r="K113" s="85">
        <v>30</v>
      </c>
      <c r="L113" s="14" t="s">
        <v>252</v>
      </c>
      <c r="M113" s="97"/>
      <c r="N113" s="97"/>
      <c r="O113" s="97"/>
    </row>
    <row r="114" spans="1:15" x14ac:dyDescent="0.25">
      <c r="A114" s="99">
        <v>45367</v>
      </c>
      <c r="B114" s="55" t="s">
        <v>1217</v>
      </c>
      <c r="C114" s="55" t="s">
        <v>43</v>
      </c>
      <c r="D114" s="56">
        <f t="shared" si="4"/>
        <v>330.57851239669424</v>
      </c>
      <c r="E114" s="56">
        <f t="shared" si="5"/>
        <v>33.057851239669425</v>
      </c>
      <c r="F114" s="96">
        <v>400</v>
      </c>
      <c r="G114" s="50">
        <v>50</v>
      </c>
      <c r="H114" s="58">
        <f t="shared" si="6"/>
        <v>350</v>
      </c>
      <c r="I114" s="94" t="s">
        <v>1322</v>
      </c>
      <c r="J114" s="97">
        <v>400</v>
      </c>
      <c r="K114" s="85"/>
      <c r="L114" s="14"/>
      <c r="M114" s="97"/>
      <c r="N114" s="97"/>
      <c r="O114" s="97"/>
    </row>
    <row r="115" spans="1:15" x14ac:dyDescent="0.25">
      <c r="A115" s="99">
        <v>45367</v>
      </c>
      <c r="B115" s="55" t="s">
        <v>1218</v>
      </c>
      <c r="C115" s="55" t="s">
        <v>43</v>
      </c>
      <c r="D115" s="56">
        <f t="shared" si="4"/>
        <v>190.08264462809919</v>
      </c>
      <c r="E115" s="56">
        <f t="shared" si="5"/>
        <v>19.008264462809919</v>
      </c>
      <c r="F115" s="96">
        <v>230</v>
      </c>
      <c r="G115" s="50">
        <v>50</v>
      </c>
      <c r="H115" s="58">
        <f t="shared" si="6"/>
        <v>180</v>
      </c>
      <c r="I115" s="94" t="s">
        <v>1339</v>
      </c>
      <c r="J115" s="97">
        <v>170</v>
      </c>
      <c r="K115" s="85">
        <v>60</v>
      </c>
      <c r="L115" s="14" t="s">
        <v>252</v>
      </c>
      <c r="M115" s="97"/>
      <c r="N115" s="97"/>
      <c r="O115" s="97"/>
    </row>
    <row r="116" spans="1:15" x14ac:dyDescent="0.25">
      <c r="A116" s="99">
        <v>45367</v>
      </c>
      <c r="B116" s="55" t="s">
        <v>1219</v>
      </c>
      <c r="C116" s="55" t="s">
        <v>43</v>
      </c>
      <c r="D116" s="56">
        <f t="shared" si="4"/>
        <v>214.87603305785126</v>
      </c>
      <c r="E116" s="56">
        <f t="shared" si="5"/>
        <v>21.487603305785125</v>
      </c>
      <c r="F116" s="96">
        <v>260</v>
      </c>
      <c r="G116" s="50"/>
      <c r="H116" s="58">
        <f t="shared" si="6"/>
        <v>260</v>
      </c>
      <c r="I116" s="94" t="s">
        <v>514</v>
      </c>
      <c r="J116" s="97">
        <v>260</v>
      </c>
      <c r="K116" s="85"/>
      <c r="L116" s="14"/>
      <c r="M116" s="97"/>
      <c r="N116" s="97"/>
      <c r="O116" s="97"/>
    </row>
    <row r="117" spans="1:15" x14ac:dyDescent="0.25">
      <c r="A117" s="99">
        <v>45367</v>
      </c>
      <c r="B117" s="55" t="s">
        <v>1220</v>
      </c>
      <c r="C117" s="55" t="s">
        <v>43</v>
      </c>
      <c r="D117" s="56">
        <f t="shared" si="4"/>
        <v>140.49586776859505</v>
      </c>
      <c r="E117" s="56">
        <f t="shared" si="5"/>
        <v>14.049586776859506</v>
      </c>
      <c r="F117" s="96">
        <v>170</v>
      </c>
      <c r="G117" s="50">
        <v>50</v>
      </c>
      <c r="H117" s="58">
        <f t="shared" si="6"/>
        <v>120</v>
      </c>
      <c r="I117" s="94" t="s">
        <v>1340</v>
      </c>
      <c r="J117" s="97">
        <v>170</v>
      </c>
      <c r="K117" s="85"/>
      <c r="L117" s="14"/>
      <c r="M117" s="97"/>
      <c r="N117" s="97"/>
      <c r="O117" s="97"/>
    </row>
    <row r="118" spans="1:15" x14ac:dyDescent="0.25">
      <c r="A118" s="99">
        <v>45367</v>
      </c>
      <c r="B118" s="55" t="s">
        <v>1221</v>
      </c>
      <c r="C118" s="55" t="s">
        <v>43</v>
      </c>
      <c r="D118" s="56">
        <f t="shared" si="4"/>
        <v>140.49586776859505</v>
      </c>
      <c r="E118" s="56">
        <f t="shared" si="5"/>
        <v>14.049586776859506</v>
      </c>
      <c r="F118" s="96">
        <v>170</v>
      </c>
      <c r="G118" s="50">
        <v>50</v>
      </c>
      <c r="H118" s="58">
        <f t="shared" si="6"/>
        <v>120</v>
      </c>
      <c r="I118" s="94" t="s">
        <v>1341</v>
      </c>
      <c r="J118" s="97">
        <v>170</v>
      </c>
      <c r="K118" s="85"/>
      <c r="L118" s="14"/>
      <c r="M118" s="97"/>
      <c r="N118" s="97"/>
      <c r="O118" s="97"/>
    </row>
    <row r="119" spans="1:15" x14ac:dyDescent="0.25">
      <c r="A119" s="99">
        <v>45367</v>
      </c>
      <c r="B119" s="55" t="s">
        <v>1222</v>
      </c>
      <c r="C119" s="55" t="s">
        <v>43</v>
      </c>
      <c r="D119" s="56">
        <f t="shared" si="4"/>
        <v>140.49586776859505</v>
      </c>
      <c r="E119" s="56">
        <f t="shared" si="5"/>
        <v>14.049586776859506</v>
      </c>
      <c r="F119" s="96">
        <v>170</v>
      </c>
      <c r="G119" s="50">
        <v>50</v>
      </c>
      <c r="H119" s="58">
        <f t="shared" si="6"/>
        <v>120</v>
      </c>
      <c r="I119" s="94" t="s">
        <v>1342</v>
      </c>
      <c r="J119" s="97">
        <v>170</v>
      </c>
      <c r="K119" s="85"/>
      <c r="L119" s="14"/>
      <c r="M119" s="97"/>
      <c r="N119" s="97"/>
      <c r="O119" s="97"/>
    </row>
    <row r="120" spans="1:15" x14ac:dyDescent="0.25">
      <c r="A120" s="99">
        <v>45367</v>
      </c>
      <c r="B120" s="55" t="s">
        <v>1223</v>
      </c>
      <c r="C120" s="55" t="s">
        <v>43</v>
      </c>
      <c r="D120" s="56">
        <f t="shared" si="4"/>
        <v>140.49586776859505</v>
      </c>
      <c r="E120" s="56">
        <f t="shared" si="5"/>
        <v>14.049586776859506</v>
      </c>
      <c r="F120" s="96">
        <v>170</v>
      </c>
      <c r="G120" s="50">
        <v>50</v>
      </c>
      <c r="H120" s="58">
        <f t="shared" si="6"/>
        <v>120</v>
      </c>
      <c r="I120" s="94" t="s">
        <v>1343</v>
      </c>
      <c r="J120" s="97">
        <v>170</v>
      </c>
      <c r="K120" s="85"/>
      <c r="L120" s="14"/>
      <c r="M120" s="97"/>
      <c r="N120" s="97"/>
      <c r="O120" s="97"/>
    </row>
    <row r="121" spans="1:15" x14ac:dyDescent="0.25">
      <c r="A121" s="165">
        <v>45368</v>
      </c>
      <c r="B121" s="55" t="s">
        <v>1224</v>
      </c>
      <c r="C121" s="55" t="s">
        <v>43</v>
      </c>
      <c r="D121" s="56">
        <f t="shared" si="4"/>
        <v>140.49586776859505</v>
      </c>
      <c r="E121" s="56">
        <f t="shared" si="5"/>
        <v>14.049586776859506</v>
      </c>
      <c r="F121" s="96">
        <v>170</v>
      </c>
      <c r="G121" s="50">
        <v>50</v>
      </c>
      <c r="H121" s="58">
        <f t="shared" si="6"/>
        <v>120</v>
      </c>
      <c r="I121" s="94" t="s">
        <v>1344</v>
      </c>
      <c r="J121" s="97">
        <v>170</v>
      </c>
      <c r="K121" s="85"/>
      <c r="L121" s="14"/>
      <c r="M121" s="97"/>
      <c r="N121" s="97"/>
      <c r="O121" s="97"/>
    </row>
    <row r="122" spans="1:15" x14ac:dyDescent="0.25">
      <c r="A122" s="165">
        <v>45368</v>
      </c>
      <c r="B122" s="55" t="s">
        <v>1225</v>
      </c>
      <c r="C122" s="55" t="s">
        <v>43</v>
      </c>
      <c r="D122" s="56">
        <f t="shared" si="4"/>
        <v>338.84297520661158</v>
      </c>
      <c r="E122" s="56">
        <f t="shared" si="5"/>
        <v>33.884297520661157</v>
      </c>
      <c r="F122" s="96">
        <v>410</v>
      </c>
      <c r="G122" s="50">
        <v>50</v>
      </c>
      <c r="H122" s="58">
        <f t="shared" si="6"/>
        <v>360</v>
      </c>
      <c r="I122" s="94" t="s">
        <v>1310</v>
      </c>
      <c r="J122" s="97">
        <v>410</v>
      </c>
      <c r="K122" s="85"/>
      <c r="L122" s="14"/>
      <c r="M122" s="97"/>
      <c r="N122" s="97"/>
      <c r="O122" s="97"/>
    </row>
    <row r="123" spans="1:15" x14ac:dyDescent="0.25">
      <c r="A123" s="73">
        <v>45368</v>
      </c>
      <c r="B123" s="55" t="s">
        <v>1226</v>
      </c>
      <c r="C123" s="55" t="s">
        <v>43</v>
      </c>
      <c r="D123" s="56">
        <f t="shared" si="4"/>
        <v>181.81818181818181</v>
      </c>
      <c r="E123" s="56">
        <f t="shared" si="5"/>
        <v>18.18181818181818</v>
      </c>
      <c r="F123" s="96">
        <v>220</v>
      </c>
      <c r="G123" s="50">
        <v>50</v>
      </c>
      <c r="H123" s="58">
        <f t="shared" si="6"/>
        <v>170</v>
      </c>
      <c r="I123" s="94" t="s">
        <v>1345</v>
      </c>
      <c r="J123" s="97">
        <v>220</v>
      </c>
      <c r="K123" s="85"/>
      <c r="L123" s="14"/>
      <c r="M123" s="97"/>
      <c r="N123" s="97"/>
      <c r="O123" s="97"/>
    </row>
    <row r="124" spans="1:15" x14ac:dyDescent="0.25">
      <c r="A124" s="165">
        <v>45368</v>
      </c>
      <c r="B124" s="55" t="s">
        <v>1227</v>
      </c>
      <c r="C124" s="55" t="s">
        <v>43</v>
      </c>
      <c r="D124" s="56">
        <f t="shared" si="4"/>
        <v>140.49586776859505</v>
      </c>
      <c r="E124" s="56">
        <f t="shared" si="5"/>
        <v>14.049586776859506</v>
      </c>
      <c r="F124" s="96">
        <v>170</v>
      </c>
      <c r="G124" s="50">
        <v>50</v>
      </c>
      <c r="H124" s="58">
        <f t="shared" si="6"/>
        <v>120</v>
      </c>
      <c r="I124" s="94" t="s">
        <v>1346</v>
      </c>
      <c r="J124" s="97">
        <v>170</v>
      </c>
      <c r="K124" s="85"/>
      <c r="L124" s="14"/>
      <c r="M124" s="97"/>
      <c r="N124" s="97"/>
      <c r="O124" s="97"/>
    </row>
    <row r="125" spans="1:15" x14ac:dyDescent="0.25">
      <c r="A125" s="165">
        <v>45368</v>
      </c>
      <c r="B125" s="55" t="s">
        <v>1228</v>
      </c>
      <c r="C125" s="55" t="s">
        <v>43</v>
      </c>
      <c r="D125" s="56">
        <f t="shared" si="4"/>
        <v>140.49586776859505</v>
      </c>
      <c r="E125" s="56">
        <f t="shared" si="5"/>
        <v>14.049586776859506</v>
      </c>
      <c r="F125" s="96">
        <v>170</v>
      </c>
      <c r="G125" s="50">
        <v>50</v>
      </c>
      <c r="H125" s="58">
        <f t="shared" si="6"/>
        <v>120</v>
      </c>
      <c r="I125" s="94" t="s">
        <v>368</v>
      </c>
      <c r="J125" s="97">
        <v>170</v>
      </c>
      <c r="K125" s="85"/>
      <c r="L125" s="14"/>
      <c r="M125" s="97"/>
      <c r="N125" s="97"/>
      <c r="O125" s="97"/>
    </row>
    <row r="126" spans="1:15" x14ac:dyDescent="0.25">
      <c r="A126" s="95">
        <v>45370</v>
      </c>
      <c r="B126" s="55" t="s">
        <v>1229</v>
      </c>
      <c r="C126" s="55" t="s">
        <v>43</v>
      </c>
      <c r="D126" s="56">
        <f t="shared" si="4"/>
        <v>140.49586776859505</v>
      </c>
      <c r="E126" s="56">
        <f t="shared" si="5"/>
        <v>14.049586776859506</v>
      </c>
      <c r="F126" s="96">
        <v>170</v>
      </c>
      <c r="G126" s="50">
        <v>50</v>
      </c>
      <c r="H126" s="58">
        <f t="shared" si="6"/>
        <v>120</v>
      </c>
      <c r="I126" s="94" t="s">
        <v>1347</v>
      </c>
      <c r="J126" s="97">
        <v>170</v>
      </c>
      <c r="K126" s="85"/>
      <c r="L126" s="14"/>
      <c r="M126" s="97"/>
      <c r="N126" s="97"/>
      <c r="O126" s="97"/>
    </row>
    <row r="127" spans="1:15" x14ac:dyDescent="0.25">
      <c r="A127" s="159">
        <v>45370</v>
      </c>
      <c r="B127" s="55" t="s">
        <v>1230</v>
      </c>
      <c r="C127" s="55" t="s">
        <v>43</v>
      </c>
      <c r="D127" s="56">
        <f t="shared" si="4"/>
        <v>243.801652892562</v>
      </c>
      <c r="E127" s="56">
        <f t="shared" si="5"/>
        <v>24.380165289256201</v>
      </c>
      <c r="F127" s="75">
        <v>295</v>
      </c>
      <c r="G127" s="75">
        <v>50</v>
      </c>
      <c r="H127" s="58">
        <f t="shared" si="6"/>
        <v>245</v>
      </c>
      <c r="I127" s="14" t="s">
        <v>1348</v>
      </c>
      <c r="J127" s="146">
        <v>270</v>
      </c>
      <c r="K127" s="146">
        <v>25</v>
      </c>
      <c r="L127" s="14" t="s">
        <v>252</v>
      </c>
      <c r="M127" s="14"/>
      <c r="N127" s="14"/>
      <c r="O127" s="14"/>
    </row>
    <row r="128" spans="1:15" x14ac:dyDescent="0.25">
      <c r="A128" s="95">
        <v>45370</v>
      </c>
      <c r="B128" s="55" t="s">
        <v>1231</v>
      </c>
      <c r="C128" s="55" t="s">
        <v>43</v>
      </c>
      <c r="D128" s="56">
        <f t="shared" si="4"/>
        <v>173.55371900826447</v>
      </c>
      <c r="E128" s="56">
        <f t="shared" si="5"/>
        <v>17.355371900826448</v>
      </c>
      <c r="F128" s="75">
        <v>210</v>
      </c>
      <c r="G128" s="75"/>
      <c r="H128" s="58">
        <f t="shared" si="6"/>
        <v>210</v>
      </c>
      <c r="I128" s="14" t="s">
        <v>603</v>
      </c>
      <c r="J128" s="146">
        <v>210</v>
      </c>
      <c r="K128" s="146"/>
      <c r="L128" s="14"/>
      <c r="M128" s="14"/>
      <c r="N128" s="14"/>
      <c r="O128" s="14"/>
    </row>
    <row r="129" spans="1:15" x14ac:dyDescent="0.25">
      <c r="A129" s="159">
        <v>45372</v>
      </c>
      <c r="B129" s="55" t="s">
        <v>1232</v>
      </c>
      <c r="C129" s="55" t="s">
        <v>43</v>
      </c>
      <c r="D129" s="56">
        <f t="shared" si="4"/>
        <v>82.644628099173559</v>
      </c>
      <c r="E129" s="56">
        <f t="shared" si="5"/>
        <v>8.2644628099173563</v>
      </c>
      <c r="F129" s="75">
        <v>100</v>
      </c>
      <c r="G129" s="75"/>
      <c r="H129" s="58">
        <f t="shared" si="6"/>
        <v>100</v>
      </c>
      <c r="I129" s="14" t="s">
        <v>603</v>
      </c>
      <c r="J129" s="146">
        <v>100</v>
      </c>
      <c r="K129" s="146"/>
      <c r="L129" s="14"/>
      <c r="M129" s="14"/>
      <c r="N129" s="14"/>
      <c r="O129" s="14"/>
    </row>
    <row r="130" spans="1:15" x14ac:dyDescent="0.25">
      <c r="A130" s="95">
        <v>45372</v>
      </c>
      <c r="B130" s="55" t="s">
        <v>1233</v>
      </c>
      <c r="C130" s="55" t="s">
        <v>43</v>
      </c>
      <c r="D130" s="56">
        <f t="shared" si="4"/>
        <v>173.55371900826447</v>
      </c>
      <c r="E130" s="56">
        <f t="shared" si="5"/>
        <v>17.355371900826448</v>
      </c>
      <c r="F130" s="75">
        <v>210</v>
      </c>
      <c r="G130" s="75"/>
      <c r="H130" s="58">
        <f t="shared" si="6"/>
        <v>210</v>
      </c>
      <c r="I130" s="14" t="s">
        <v>1349</v>
      </c>
      <c r="J130" s="146">
        <v>210</v>
      </c>
      <c r="K130" s="146"/>
      <c r="L130" s="14"/>
      <c r="M130" s="14"/>
      <c r="N130" s="14"/>
      <c r="O130" s="14"/>
    </row>
    <row r="131" spans="1:15" x14ac:dyDescent="0.25">
      <c r="A131" s="159">
        <v>45372</v>
      </c>
      <c r="B131" s="55" t="s">
        <v>1234</v>
      </c>
      <c r="C131" s="55" t="s">
        <v>43</v>
      </c>
      <c r="D131" s="56">
        <f t="shared" ref="D131:D185" si="7">F131/1.21</f>
        <v>173.55371900826447</v>
      </c>
      <c r="E131" s="56">
        <f t="shared" si="5"/>
        <v>17.355371900826448</v>
      </c>
      <c r="F131" s="75">
        <v>210</v>
      </c>
      <c r="G131" s="75"/>
      <c r="H131" s="58">
        <f t="shared" si="6"/>
        <v>210</v>
      </c>
      <c r="I131" s="14" t="s">
        <v>603</v>
      </c>
      <c r="J131" s="146">
        <v>210</v>
      </c>
      <c r="K131" s="146"/>
      <c r="L131" s="14"/>
      <c r="M131" s="14"/>
      <c r="N131" s="14"/>
      <c r="O131" s="14"/>
    </row>
    <row r="132" spans="1:15" x14ac:dyDescent="0.25">
      <c r="A132" s="95">
        <v>45373</v>
      </c>
      <c r="B132" s="55" t="s">
        <v>1235</v>
      </c>
      <c r="C132" s="55" t="s">
        <v>43</v>
      </c>
      <c r="D132" s="56">
        <f t="shared" si="7"/>
        <v>140.49586776859505</v>
      </c>
      <c r="E132" s="56">
        <f t="shared" ref="E132:E185" si="8">D132*10/100</f>
        <v>14.049586776859506</v>
      </c>
      <c r="F132" s="75">
        <v>170</v>
      </c>
      <c r="G132" s="75">
        <v>50</v>
      </c>
      <c r="H132" s="58">
        <f t="shared" si="6"/>
        <v>120</v>
      </c>
      <c r="I132" s="14" t="s">
        <v>1350</v>
      </c>
      <c r="J132" s="146">
        <v>170</v>
      </c>
      <c r="K132" s="146"/>
      <c r="L132" s="14"/>
      <c r="M132" s="14"/>
      <c r="N132" s="14"/>
      <c r="O132" s="14"/>
    </row>
    <row r="133" spans="1:15" x14ac:dyDescent="0.25">
      <c r="A133" s="159">
        <v>45373</v>
      </c>
      <c r="B133" s="55" t="s">
        <v>1236</v>
      </c>
      <c r="C133" s="55" t="s">
        <v>43</v>
      </c>
      <c r="D133" s="56">
        <f t="shared" si="7"/>
        <v>115.70247933884298</v>
      </c>
      <c r="E133" s="56">
        <f t="shared" si="8"/>
        <v>11.570247933884298</v>
      </c>
      <c r="F133" s="75">
        <v>140</v>
      </c>
      <c r="G133" s="75">
        <v>50</v>
      </c>
      <c r="H133" s="58">
        <f t="shared" si="6"/>
        <v>90</v>
      </c>
      <c r="I133" s="14" t="s">
        <v>368</v>
      </c>
      <c r="J133" s="146">
        <v>140</v>
      </c>
      <c r="K133" s="146"/>
      <c r="L133" s="14"/>
      <c r="M133" s="14"/>
      <c r="N133" s="14"/>
      <c r="O133" s="14"/>
    </row>
    <row r="134" spans="1:15" x14ac:dyDescent="0.25">
      <c r="A134" s="95">
        <v>45373</v>
      </c>
      <c r="B134" s="55" t="s">
        <v>1237</v>
      </c>
      <c r="C134" s="55" t="s">
        <v>43</v>
      </c>
      <c r="D134" s="56">
        <f t="shared" si="7"/>
        <v>181.81818181818181</v>
      </c>
      <c r="E134" s="56">
        <f t="shared" si="8"/>
        <v>18.18181818181818</v>
      </c>
      <c r="F134" s="75">
        <v>220</v>
      </c>
      <c r="G134" s="75">
        <v>50</v>
      </c>
      <c r="H134" s="58">
        <f t="shared" ref="H134:H185" si="9">F134-G134</f>
        <v>170</v>
      </c>
      <c r="I134" s="14" t="s">
        <v>1351</v>
      </c>
      <c r="J134" s="146">
        <v>220</v>
      </c>
      <c r="K134" s="146"/>
      <c r="L134" s="14"/>
      <c r="M134" s="14"/>
      <c r="N134" s="14"/>
      <c r="O134" s="14"/>
    </row>
    <row r="135" spans="1:15" x14ac:dyDescent="0.25">
      <c r="A135" s="159">
        <v>45373</v>
      </c>
      <c r="B135" s="55" t="s">
        <v>1238</v>
      </c>
      <c r="C135" s="55" t="s">
        <v>43</v>
      </c>
      <c r="D135" s="56">
        <f t="shared" si="7"/>
        <v>256.198347107438</v>
      </c>
      <c r="E135" s="56">
        <f t="shared" si="8"/>
        <v>25.619834710743799</v>
      </c>
      <c r="F135" s="75">
        <v>310</v>
      </c>
      <c r="G135" s="75">
        <v>50</v>
      </c>
      <c r="H135" s="58">
        <f t="shared" si="9"/>
        <v>260</v>
      </c>
      <c r="I135" s="14" t="s">
        <v>1352</v>
      </c>
      <c r="J135" s="146">
        <v>310</v>
      </c>
      <c r="K135" s="146"/>
      <c r="L135" s="14"/>
      <c r="M135" s="14"/>
      <c r="N135" s="14"/>
      <c r="O135" s="14"/>
    </row>
    <row r="136" spans="1:15" x14ac:dyDescent="0.25">
      <c r="A136" s="95">
        <v>45373</v>
      </c>
      <c r="B136" s="55" t="s">
        <v>1239</v>
      </c>
      <c r="C136" s="55" t="s">
        <v>43</v>
      </c>
      <c r="D136" s="56">
        <f t="shared" si="7"/>
        <v>148.7603305785124</v>
      </c>
      <c r="E136" s="56">
        <f t="shared" si="8"/>
        <v>14.876033057851238</v>
      </c>
      <c r="F136" s="75">
        <v>180</v>
      </c>
      <c r="G136" s="75"/>
      <c r="H136" s="58">
        <f t="shared" si="9"/>
        <v>180</v>
      </c>
      <c r="I136" s="14" t="s">
        <v>603</v>
      </c>
      <c r="J136" s="146">
        <v>180</v>
      </c>
      <c r="K136" s="146"/>
      <c r="L136" s="14"/>
      <c r="M136" s="14"/>
      <c r="N136" s="14"/>
      <c r="O136" s="14"/>
    </row>
    <row r="137" spans="1:15" x14ac:dyDescent="0.25">
      <c r="A137" s="159">
        <v>45373</v>
      </c>
      <c r="B137" s="55" t="s">
        <v>1240</v>
      </c>
      <c r="C137" s="55" t="s">
        <v>43</v>
      </c>
      <c r="D137" s="56">
        <f t="shared" si="7"/>
        <v>148.7603305785124</v>
      </c>
      <c r="E137" s="56">
        <f t="shared" si="8"/>
        <v>14.876033057851238</v>
      </c>
      <c r="F137" s="75">
        <v>180</v>
      </c>
      <c r="G137" s="75"/>
      <c r="H137" s="58">
        <f t="shared" si="9"/>
        <v>180</v>
      </c>
      <c r="I137" s="14" t="s">
        <v>603</v>
      </c>
      <c r="J137" s="146">
        <v>180</v>
      </c>
      <c r="K137" s="146"/>
      <c r="L137" s="14"/>
      <c r="M137" s="14"/>
      <c r="N137" s="14"/>
      <c r="O137" s="14"/>
    </row>
    <row r="138" spans="1:15" x14ac:dyDescent="0.25">
      <c r="A138" s="95">
        <v>45374</v>
      </c>
      <c r="B138" s="55" t="s">
        <v>1241</v>
      </c>
      <c r="C138" s="55" t="s">
        <v>43</v>
      </c>
      <c r="D138" s="56">
        <f t="shared" si="7"/>
        <v>115.70247933884298</v>
      </c>
      <c r="E138" s="56">
        <f t="shared" si="8"/>
        <v>11.570247933884298</v>
      </c>
      <c r="F138" s="75">
        <v>140</v>
      </c>
      <c r="G138" s="75">
        <v>50</v>
      </c>
      <c r="H138" s="58">
        <f t="shared" si="9"/>
        <v>90</v>
      </c>
      <c r="I138" s="14" t="s">
        <v>1353</v>
      </c>
      <c r="J138" s="146">
        <v>140</v>
      </c>
      <c r="K138" s="146"/>
      <c r="L138" s="14"/>
      <c r="M138" s="14"/>
      <c r="N138" s="14"/>
      <c r="O138" s="14"/>
    </row>
    <row r="139" spans="1:15" x14ac:dyDescent="0.25">
      <c r="A139" s="159">
        <v>45374</v>
      </c>
      <c r="B139" s="55" t="s">
        <v>1242</v>
      </c>
      <c r="C139" s="55" t="s">
        <v>43</v>
      </c>
      <c r="D139" s="56">
        <f t="shared" si="7"/>
        <v>148.7603305785124</v>
      </c>
      <c r="E139" s="56">
        <f t="shared" si="8"/>
        <v>14.876033057851238</v>
      </c>
      <c r="F139" s="75">
        <v>180</v>
      </c>
      <c r="G139" s="75"/>
      <c r="H139" s="58">
        <f t="shared" si="9"/>
        <v>180</v>
      </c>
      <c r="I139" s="14" t="s">
        <v>1271</v>
      </c>
      <c r="J139" s="146">
        <v>180</v>
      </c>
      <c r="K139" s="146"/>
      <c r="L139" s="14"/>
      <c r="M139" s="14"/>
      <c r="N139" s="14"/>
      <c r="O139" s="14"/>
    </row>
    <row r="140" spans="1:15" x14ac:dyDescent="0.25">
      <c r="A140" s="95">
        <v>45374</v>
      </c>
      <c r="B140" s="55" t="s">
        <v>1243</v>
      </c>
      <c r="C140" s="55" t="s">
        <v>43</v>
      </c>
      <c r="D140" s="56">
        <f t="shared" si="7"/>
        <v>177.68595041322314</v>
      </c>
      <c r="E140" s="56">
        <f t="shared" si="8"/>
        <v>17.768595041322314</v>
      </c>
      <c r="F140" s="75">
        <v>215</v>
      </c>
      <c r="G140" s="75">
        <v>50</v>
      </c>
      <c r="H140" s="58">
        <f t="shared" si="9"/>
        <v>165</v>
      </c>
      <c r="I140" s="14" t="s">
        <v>1354</v>
      </c>
      <c r="J140" s="146">
        <v>170</v>
      </c>
      <c r="K140" s="146"/>
      <c r="L140" s="14"/>
      <c r="M140" s="75">
        <v>45</v>
      </c>
      <c r="N140" s="14" t="s">
        <v>45</v>
      </c>
      <c r="O140" s="14"/>
    </row>
    <row r="141" spans="1:15" x14ac:dyDescent="0.25">
      <c r="A141" s="159">
        <v>45374</v>
      </c>
      <c r="B141" s="55" t="s">
        <v>1244</v>
      </c>
      <c r="C141" s="55" t="s">
        <v>43</v>
      </c>
      <c r="D141" s="56">
        <f t="shared" si="7"/>
        <v>115.70247933884298</v>
      </c>
      <c r="E141" s="56">
        <f t="shared" si="8"/>
        <v>11.570247933884298</v>
      </c>
      <c r="F141" s="75">
        <v>140</v>
      </c>
      <c r="G141" s="75"/>
      <c r="H141" s="58">
        <f t="shared" si="9"/>
        <v>140</v>
      </c>
      <c r="I141" s="14" t="s">
        <v>1355</v>
      </c>
      <c r="J141" s="146">
        <v>140</v>
      </c>
      <c r="K141" s="146"/>
      <c r="L141" s="14"/>
      <c r="M141" s="14"/>
      <c r="N141" s="14"/>
      <c r="O141" s="14"/>
    </row>
    <row r="142" spans="1:15" x14ac:dyDescent="0.25">
      <c r="A142" s="95">
        <v>45374</v>
      </c>
      <c r="B142" s="55" t="s">
        <v>1245</v>
      </c>
      <c r="C142" s="55" t="s">
        <v>43</v>
      </c>
      <c r="D142" s="56">
        <f t="shared" si="7"/>
        <v>165.28925619834712</v>
      </c>
      <c r="E142" s="56">
        <f t="shared" si="8"/>
        <v>16.528925619834713</v>
      </c>
      <c r="F142" s="75">
        <v>200</v>
      </c>
      <c r="G142" s="75">
        <v>50</v>
      </c>
      <c r="H142" s="58">
        <f t="shared" si="9"/>
        <v>150</v>
      </c>
      <c r="I142" s="14" t="s">
        <v>1356</v>
      </c>
      <c r="J142" s="146">
        <v>170</v>
      </c>
      <c r="K142" s="146">
        <v>30</v>
      </c>
      <c r="L142" s="14" t="s">
        <v>252</v>
      </c>
      <c r="M142" s="14"/>
      <c r="N142" s="14"/>
      <c r="O142" s="14"/>
    </row>
    <row r="143" spans="1:15" x14ac:dyDescent="0.25">
      <c r="A143" s="159">
        <v>45374</v>
      </c>
      <c r="B143" s="55" t="s">
        <v>1246</v>
      </c>
      <c r="C143" s="55" t="s">
        <v>43</v>
      </c>
      <c r="D143" s="56">
        <f t="shared" si="7"/>
        <v>157.02479338842977</v>
      </c>
      <c r="E143" s="56">
        <f t="shared" si="8"/>
        <v>15.702479338842977</v>
      </c>
      <c r="F143" s="75">
        <v>190</v>
      </c>
      <c r="G143" s="75">
        <v>50</v>
      </c>
      <c r="H143" s="58">
        <f t="shared" si="9"/>
        <v>140</v>
      </c>
      <c r="I143" s="14" t="s">
        <v>1357</v>
      </c>
      <c r="J143" s="146">
        <v>170</v>
      </c>
      <c r="K143" s="146">
        <v>20</v>
      </c>
      <c r="L143" s="14" t="s">
        <v>252</v>
      </c>
      <c r="M143" s="146"/>
      <c r="N143" s="14"/>
      <c r="O143" s="14"/>
    </row>
    <row r="144" spans="1:15" x14ac:dyDescent="0.25">
      <c r="A144" s="159">
        <v>45374</v>
      </c>
      <c r="B144" s="55" t="s">
        <v>1247</v>
      </c>
      <c r="C144" s="55" t="s">
        <v>43</v>
      </c>
      <c r="D144" s="56">
        <f t="shared" si="7"/>
        <v>260.3305785123967</v>
      </c>
      <c r="E144" s="56">
        <f t="shared" si="8"/>
        <v>26.033057851239668</v>
      </c>
      <c r="F144" s="75">
        <v>315</v>
      </c>
      <c r="G144" s="75">
        <v>50</v>
      </c>
      <c r="H144" s="58">
        <f t="shared" si="9"/>
        <v>265</v>
      </c>
      <c r="I144" s="14" t="s">
        <v>1358</v>
      </c>
      <c r="J144" s="146">
        <v>270</v>
      </c>
      <c r="K144" s="146"/>
      <c r="L144" s="14"/>
      <c r="M144" s="146">
        <v>45</v>
      </c>
      <c r="N144" s="14" t="s">
        <v>45</v>
      </c>
      <c r="O144" s="14"/>
    </row>
    <row r="145" spans="1:15" x14ac:dyDescent="0.25">
      <c r="A145" s="159">
        <v>45374</v>
      </c>
      <c r="B145" s="55" t="s">
        <v>1248</v>
      </c>
      <c r="C145" s="55" t="s">
        <v>43</v>
      </c>
      <c r="D145" s="56">
        <f t="shared" si="7"/>
        <v>115.70247933884298</v>
      </c>
      <c r="E145" s="56">
        <f t="shared" si="8"/>
        <v>11.570247933884298</v>
      </c>
      <c r="F145" s="75">
        <v>140</v>
      </c>
      <c r="G145" s="75"/>
      <c r="H145" s="58">
        <f t="shared" si="9"/>
        <v>140</v>
      </c>
      <c r="I145" s="14" t="s">
        <v>1039</v>
      </c>
      <c r="J145" s="146">
        <v>140</v>
      </c>
      <c r="K145" s="14"/>
      <c r="L145" s="14"/>
      <c r="M145" s="146"/>
      <c r="N145" s="14"/>
      <c r="O145" s="14"/>
    </row>
    <row r="146" spans="1:15" x14ac:dyDescent="0.25">
      <c r="A146" s="159">
        <v>45374</v>
      </c>
      <c r="B146" s="55" t="s">
        <v>1249</v>
      </c>
      <c r="C146" s="55" t="s">
        <v>43</v>
      </c>
      <c r="D146" s="56">
        <f t="shared" si="7"/>
        <v>107.43801652892563</v>
      </c>
      <c r="E146" s="56">
        <f t="shared" si="8"/>
        <v>10.743801652892563</v>
      </c>
      <c r="F146" s="75">
        <v>130</v>
      </c>
      <c r="G146" s="75"/>
      <c r="H146" s="58">
        <f t="shared" si="9"/>
        <v>130</v>
      </c>
      <c r="I146" s="14" t="s">
        <v>1336</v>
      </c>
      <c r="J146" s="146">
        <v>130</v>
      </c>
      <c r="K146" s="146"/>
      <c r="L146" s="14"/>
      <c r="M146" s="146"/>
      <c r="N146" s="14"/>
      <c r="O146" s="14"/>
    </row>
    <row r="147" spans="1:15" x14ac:dyDescent="0.25">
      <c r="A147" s="95">
        <v>45374</v>
      </c>
      <c r="B147" s="55" t="s">
        <v>1250</v>
      </c>
      <c r="C147" s="55" t="s">
        <v>43</v>
      </c>
      <c r="D147" s="56">
        <f t="shared" si="7"/>
        <v>280.9917355371901</v>
      </c>
      <c r="E147" s="56">
        <f t="shared" si="8"/>
        <v>28.099173553719012</v>
      </c>
      <c r="F147" s="75">
        <v>340</v>
      </c>
      <c r="G147" s="75">
        <v>50</v>
      </c>
      <c r="H147" s="58">
        <f t="shared" si="9"/>
        <v>290</v>
      </c>
      <c r="I147" s="14" t="s">
        <v>1359</v>
      </c>
      <c r="J147" s="146">
        <v>340</v>
      </c>
      <c r="K147" s="14"/>
      <c r="L147" s="14"/>
      <c r="M147" s="146"/>
      <c r="N147" s="14"/>
      <c r="O147" s="14"/>
    </row>
    <row r="148" spans="1:15" x14ac:dyDescent="0.25">
      <c r="A148" s="159">
        <v>45374</v>
      </c>
      <c r="B148" s="55" t="s">
        <v>1251</v>
      </c>
      <c r="C148" s="55" t="s">
        <v>43</v>
      </c>
      <c r="D148" s="56">
        <f t="shared" si="7"/>
        <v>148.7603305785124</v>
      </c>
      <c r="E148" s="56">
        <f t="shared" si="8"/>
        <v>14.876033057851238</v>
      </c>
      <c r="F148" s="75">
        <v>180</v>
      </c>
      <c r="G148" s="75"/>
      <c r="H148" s="58">
        <f t="shared" si="9"/>
        <v>180</v>
      </c>
      <c r="I148" s="14" t="s">
        <v>603</v>
      </c>
      <c r="J148" s="146">
        <v>180</v>
      </c>
      <c r="K148" s="14"/>
      <c r="L148" s="14"/>
      <c r="M148" s="146"/>
      <c r="N148" s="14"/>
      <c r="O148" s="14"/>
    </row>
    <row r="149" spans="1:15" x14ac:dyDescent="0.25">
      <c r="A149" s="95">
        <v>45374</v>
      </c>
      <c r="B149" s="55" t="s">
        <v>1252</v>
      </c>
      <c r="C149" s="55" t="s">
        <v>43</v>
      </c>
      <c r="D149" s="56">
        <f t="shared" si="7"/>
        <v>206.61157024793388</v>
      </c>
      <c r="E149" s="56">
        <f t="shared" si="8"/>
        <v>20.661157024793386</v>
      </c>
      <c r="F149" s="75">
        <v>250</v>
      </c>
      <c r="G149" s="75">
        <v>50</v>
      </c>
      <c r="H149" s="58">
        <f t="shared" si="9"/>
        <v>200</v>
      </c>
      <c r="I149" s="14" t="s">
        <v>368</v>
      </c>
      <c r="J149" s="146">
        <v>220</v>
      </c>
      <c r="K149" s="146">
        <v>30</v>
      </c>
      <c r="L149" s="14" t="s">
        <v>252</v>
      </c>
      <c r="M149" s="146"/>
      <c r="N149" s="14"/>
      <c r="O149" s="14"/>
    </row>
    <row r="150" spans="1:15" x14ac:dyDescent="0.25">
      <c r="A150" s="159">
        <v>45374</v>
      </c>
      <c r="B150" s="55" t="s">
        <v>1253</v>
      </c>
      <c r="C150" s="55" t="s">
        <v>43</v>
      </c>
      <c r="D150" s="56">
        <f t="shared" si="7"/>
        <v>206.61157024793388</v>
      </c>
      <c r="E150" s="56">
        <f t="shared" si="8"/>
        <v>20.661157024793386</v>
      </c>
      <c r="F150" s="75">
        <v>250</v>
      </c>
      <c r="G150" s="75">
        <v>50</v>
      </c>
      <c r="H150" s="58">
        <f t="shared" si="9"/>
        <v>200</v>
      </c>
      <c r="I150" s="14" t="s">
        <v>1360</v>
      </c>
      <c r="J150" s="146">
        <v>220</v>
      </c>
      <c r="K150" s="146">
        <v>30</v>
      </c>
      <c r="L150" s="14" t="s">
        <v>252</v>
      </c>
      <c r="M150" s="146"/>
      <c r="N150" s="14"/>
      <c r="O150" s="14"/>
    </row>
    <row r="151" spans="1:15" x14ac:dyDescent="0.25">
      <c r="A151" s="159">
        <v>45374</v>
      </c>
      <c r="B151" s="55" t="s">
        <v>1254</v>
      </c>
      <c r="C151" s="55" t="s">
        <v>43</v>
      </c>
      <c r="D151" s="56">
        <f t="shared" si="7"/>
        <v>181.81818181818181</v>
      </c>
      <c r="E151" s="56">
        <f t="shared" si="8"/>
        <v>18.18181818181818</v>
      </c>
      <c r="F151" s="75">
        <v>220</v>
      </c>
      <c r="G151" s="75">
        <v>220</v>
      </c>
      <c r="H151" s="58">
        <f t="shared" si="9"/>
        <v>0</v>
      </c>
      <c r="I151" s="14" t="s">
        <v>1361</v>
      </c>
      <c r="J151" s="146">
        <v>220</v>
      </c>
      <c r="K151" s="14"/>
      <c r="L151" s="14"/>
      <c r="M151" s="146"/>
      <c r="N151" s="14"/>
      <c r="O151" s="14"/>
    </row>
    <row r="152" spans="1:15" x14ac:dyDescent="0.25">
      <c r="A152" s="159">
        <v>45374</v>
      </c>
      <c r="B152" s="55" t="s">
        <v>1255</v>
      </c>
      <c r="C152" s="55" t="s">
        <v>43</v>
      </c>
      <c r="D152" s="56">
        <f t="shared" si="7"/>
        <v>107.43801652892563</v>
      </c>
      <c r="E152" s="56">
        <f t="shared" si="8"/>
        <v>10.743801652892563</v>
      </c>
      <c r="F152" s="75">
        <v>130</v>
      </c>
      <c r="G152" s="75"/>
      <c r="H152" s="58">
        <f t="shared" si="9"/>
        <v>130</v>
      </c>
      <c r="I152" s="14" t="s">
        <v>514</v>
      </c>
      <c r="J152" s="146">
        <v>130</v>
      </c>
      <c r="K152" s="146"/>
      <c r="L152" s="14"/>
      <c r="M152" s="146"/>
      <c r="N152" s="14"/>
      <c r="O152" s="14"/>
    </row>
    <row r="153" spans="1:15" x14ac:dyDescent="0.25">
      <c r="A153" s="159">
        <v>45374</v>
      </c>
      <c r="B153" s="55" t="s">
        <v>1256</v>
      </c>
      <c r="C153" s="55" t="s">
        <v>43</v>
      </c>
      <c r="D153" s="56">
        <f t="shared" si="7"/>
        <v>115.70247933884298</v>
      </c>
      <c r="E153" s="56">
        <f t="shared" si="8"/>
        <v>11.570247933884298</v>
      </c>
      <c r="F153" s="75">
        <v>140</v>
      </c>
      <c r="G153" s="75"/>
      <c r="H153" s="58">
        <f t="shared" si="9"/>
        <v>140</v>
      </c>
      <c r="I153" s="14" t="s">
        <v>1040</v>
      </c>
      <c r="J153" s="146">
        <v>140</v>
      </c>
      <c r="K153" s="14"/>
      <c r="L153" s="14"/>
      <c r="M153" s="14"/>
      <c r="N153" s="14"/>
      <c r="O153" s="14"/>
    </row>
    <row r="154" spans="1:15" x14ac:dyDescent="0.25">
      <c r="A154" s="95">
        <v>45374</v>
      </c>
      <c r="B154" s="55" t="s">
        <v>1257</v>
      </c>
      <c r="C154" s="55" t="s">
        <v>43</v>
      </c>
      <c r="D154" s="56">
        <f t="shared" si="7"/>
        <v>107.43801652892563</v>
      </c>
      <c r="E154" s="56">
        <f t="shared" si="8"/>
        <v>10.743801652892563</v>
      </c>
      <c r="F154" s="75">
        <v>130</v>
      </c>
      <c r="G154" s="75"/>
      <c r="H154" s="58">
        <f t="shared" si="9"/>
        <v>130</v>
      </c>
      <c r="I154" s="14" t="s">
        <v>514</v>
      </c>
      <c r="J154" s="146">
        <v>130</v>
      </c>
      <c r="K154" s="14"/>
      <c r="L154" s="14"/>
      <c r="M154" s="14"/>
      <c r="N154" s="14"/>
      <c r="O154" s="14"/>
    </row>
    <row r="155" spans="1:15" x14ac:dyDescent="0.25">
      <c r="A155" s="159">
        <v>45374</v>
      </c>
      <c r="B155" s="55" t="s">
        <v>1258</v>
      </c>
      <c r="C155" s="55" t="s">
        <v>43</v>
      </c>
      <c r="D155" s="56">
        <f t="shared" si="7"/>
        <v>99.173553719008268</v>
      </c>
      <c r="E155" s="56">
        <f t="shared" si="8"/>
        <v>9.9173553719008272</v>
      </c>
      <c r="F155" s="75">
        <v>120</v>
      </c>
      <c r="G155" s="75"/>
      <c r="H155" s="58">
        <f t="shared" si="9"/>
        <v>120</v>
      </c>
      <c r="I155" s="14" t="s">
        <v>368</v>
      </c>
      <c r="J155" s="146">
        <v>170</v>
      </c>
      <c r="K155" s="14"/>
      <c r="L155" s="14"/>
      <c r="M155" s="14"/>
      <c r="N155" s="14"/>
      <c r="O155" s="14"/>
    </row>
    <row r="156" spans="1:15" x14ac:dyDescent="0.25">
      <c r="A156" s="95">
        <v>45374</v>
      </c>
      <c r="B156" s="55" t="s">
        <v>1259</v>
      </c>
      <c r="C156" s="55" t="s">
        <v>43</v>
      </c>
      <c r="D156" s="56">
        <f t="shared" si="7"/>
        <v>256.198347107438</v>
      </c>
      <c r="E156" s="56">
        <f t="shared" si="8"/>
        <v>25.619834710743799</v>
      </c>
      <c r="F156" s="75">
        <v>310</v>
      </c>
      <c r="G156" s="75"/>
      <c r="H156" s="58">
        <f t="shared" si="9"/>
        <v>310</v>
      </c>
      <c r="I156" s="14" t="s">
        <v>603</v>
      </c>
      <c r="J156" s="146">
        <v>310</v>
      </c>
      <c r="K156" s="14"/>
      <c r="L156" s="14"/>
      <c r="M156" s="14"/>
      <c r="N156" s="14"/>
      <c r="O156" s="14"/>
    </row>
    <row r="157" spans="1:15" x14ac:dyDescent="0.25">
      <c r="A157" s="159">
        <v>45374</v>
      </c>
      <c r="B157" s="55" t="s">
        <v>1260</v>
      </c>
      <c r="C157" s="55" t="s">
        <v>43</v>
      </c>
      <c r="D157" s="56">
        <f t="shared" si="7"/>
        <v>214.87603305785126</v>
      </c>
      <c r="E157" s="56">
        <f t="shared" si="8"/>
        <v>21.487603305785125</v>
      </c>
      <c r="F157" s="75">
        <v>260</v>
      </c>
      <c r="G157" s="75">
        <v>50</v>
      </c>
      <c r="H157" s="58">
        <f t="shared" si="9"/>
        <v>210</v>
      </c>
      <c r="I157" s="14" t="s">
        <v>1396</v>
      </c>
      <c r="J157" s="146">
        <v>220</v>
      </c>
      <c r="K157" s="75">
        <v>40</v>
      </c>
      <c r="L157" s="14" t="s">
        <v>252</v>
      </c>
      <c r="M157" s="14"/>
      <c r="N157" s="14"/>
      <c r="O157" s="14"/>
    </row>
    <row r="158" spans="1:15" x14ac:dyDescent="0.25">
      <c r="A158" s="159">
        <v>45375</v>
      </c>
      <c r="B158" s="55" t="s">
        <v>1261</v>
      </c>
      <c r="C158" s="55" t="s">
        <v>43</v>
      </c>
      <c r="D158" s="75">
        <f t="shared" si="7"/>
        <v>115.70247933884298</v>
      </c>
      <c r="E158" s="75">
        <f t="shared" si="8"/>
        <v>11.570247933884298</v>
      </c>
      <c r="F158" s="75">
        <v>140</v>
      </c>
      <c r="G158" s="75"/>
      <c r="H158" s="58">
        <f t="shared" si="9"/>
        <v>140</v>
      </c>
      <c r="I158" s="14" t="s">
        <v>603</v>
      </c>
      <c r="J158" s="75">
        <v>140</v>
      </c>
      <c r="K158" s="75"/>
      <c r="L158" s="14"/>
      <c r="M158" s="14"/>
      <c r="N158" s="14"/>
      <c r="O158" s="14"/>
    </row>
    <row r="159" spans="1:15" x14ac:dyDescent="0.25">
      <c r="A159" s="159">
        <v>45375</v>
      </c>
      <c r="B159" s="55" t="s">
        <v>1262</v>
      </c>
      <c r="C159" s="55" t="s">
        <v>43</v>
      </c>
      <c r="D159" s="75">
        <f t="shared" si="7"/>
        <v>181.81818181818181</v>
      </c>
      <c r="E159" s="75">
        <f t="shared" si="8"/>
        <v>18.18181818181818</v>
      </c>
      <c r="F159" s="75">
        <v>220</v>
      </c>
      <c r="G159" s="75"/>
      <c r="H159" s="58">
        <f t="shared" si="9"/>
        <v>220</v>
      </c>
      <c r="I159" s="14" t="s">
        <v>514</v>
      </c>
      <c r="J159" s="75">
        <v>220</v>
      </c>
      <c r="K159" s="75"/>
      <c r="L159" s="14"/>
      <c r="M159" s="14"/>
      <c r="N159" s="14"/>
      <c r="O159" s="14"/>
    </row>
    <row r="160" spans="1:15" x14ac:dyDescent="0.25">
      <c r="A160" s="159">
        <v>45375</v>
      </c>
      <c r="B160" s="55" t="s">
        <v>1362</v>
      </c>
      <c r="C160" s="55" t="s">
        <v>43</v>
      </c>
      <c r="D160" s="75">
        <f t="shared" si="7"/>
        <v>214.87603305785126</v>
      </c>
      <c r="E160" s="75">
        <f t="shared" si="8"/>
        <v>21.487603305785125</v>
      </c>
      <c r="F160" s="75">
        <v>260</v>
      </c>
      <c r="G160" s="75"/>
      <c r="H160" s="58">
        <f t="shared" si="9"/>
        <v>260</v>
      </c>
      <c r="I160" s="14" t="s">
        <v>368</v>
      </c>
      <c r="J160" s="75">
        <v>160</v>
      </c>
      <c r="K160" s="75"/>
      <c r="L160" s="14"/>
      <c r="M160" s="14"/>
      <c r="N160" s="14"/>
      <c r="O160" s="14"/>
    </row>
    <row r="161" spans="1:15" x14ac:dyDescent="0.25">
      <c r="A161" s="159">
        <v>45375</v>
      </c>
      <c r="B161" s="55" t="s">
        <v>1363</v>
      </c>
      <c r="C161" s="55" t="s">
        <v>43</v>
      </c>
      <c r="D161" s="75">
        <f t="shared" si="7"/>
        <v>157.02479338842977</v>
      </c>
      <c r="E161" s="75">
        <f t="shared" si="8"/>
        <v>15.702479338842977</v>
      </c>
      <c r="F161" s="75">
        <v>190</v>
      </c>
      <c r="G161" s="75"/>
      <c r="H161" s="58">
        <f t="shared" si="9"/>
        <v>190</v>
      </c>
      <c r="I161" s="14" t="s">
        <v>1397</v>
      </c>
      <c r="J161" s="75">
        <v>190</v>
      </c>
      <c r="K161" s="75"/>
      <c r="L161" s="14"/>
      <c r="M161" s="14"/>
      <c r="N161" s="14"/>
      <c r="O161" s="14"/>
    </row>
    <row r="162" spans="1:15" x14ac:dyDescent="0.25">
      <c r="A162" s="159">
        <v>45375</v>
      </c>
      <c r="B162" s="55" t="s">
        <v>1364</v>
      </c>
      <c r="C162" s="55" t="s">
        <v>43</v>
      </c>
      <c r="D162" s="75">
        <f t="shared" si="7"/>
        <v>190.08264462809919</v>
      </c>
      <c r="E162" s="75">
        <f t="shared" si="8"/>
        <v>19.008264462809919</v>
      </c>
      <c r="F162" s="75">
        <v>230</v>
      </c>
      <c r="G162" s="75"/>
      <c r="H162" s="58">
        <f t="shared" si="9"/>
        <v>230</v>
      </c>
      <c r="I162" s="14" t="s">
        <v>1398</v>
      </c>
      <c r="J162" s="75">
        <v>230</v>
      </c>
      <c r="K162" s="75"/>
      <c r="L162" s="14"/>
      <c r="M162" s="14"/>
      <c r="N162" s="14"/>
      <c r="O162" s="14"/>
    </row>
    <row r="163" spans="1:15" x14ac:dyDescent="0.25">
      <c r="A163" s="159">
        <v>45375</v>
      </c>
      <c r="B163" s="55" t="s">
        <v>1365</v>
      </c>
      <c r="C163" s="55" t="s">
        <v>43</v>
      </c>
      <c r="D163" s="75">
        <f t="shared" si="7"/>
        <v>223.14049586776861</v>
      </c>
      <c r="E163" s="75">
        <f t="shared" si="8"/>
        <v>22.314049586776861</v>
      </c>
      <c r="F163" s="75">
        <v>270</v>
      </c>
      <c r="G163" s="75">
        <v>50</v>
      </c>
      <c r="H163" s="58">
        <f t="shared" si="9"/>
        <v>220</v>
      </c>
      <c r="I163" s="14" t="s">
        <v>1399</v>
      </c>
      <c r="J163" s="75">
        <v>270</v>
      </c>
      <c r="K163" s="75"/>
      <c r="L163" s="14"/>
      <c r="M163" s="14"/>
      <c r="N163" s="14"/>
      <c r="O163" s="14"/>
    </row>
    <row r="164" spans="1:15" x14ac:dyDescent="0.25">
      <c r="A164" s="159">
        <v>45375</v>
      </c>
      <c r="B164" s="55" t="s">
        <v>1366</v>
      </c>
      <c r="C164" s="55" t="s">
        <v>43</v>
      </c>
      <c r="D164" s="75">
        <f t="shared" si="7"/>
        <v>223.14049586776861</v>
      </c>
      <c r="E164" s="75">
        <f t="shared" si="8"/>
        <v>22.314049586776861</v>
      </c>
      <c r="F164" s="75">
        <v>270</v>
      </c>
      <c r="G164" s="75">
        <v>50</v>
      </c>
      <c r="H164" s="58">
        <f t="shared" si="9"/>
        <v>220</v>
      </c>
      <c r="I164" s="14" t="s">
        <v>1400</v>
      </c>
      <c r="J164" s="75">
        <v>270</v>
      </c>
      <c r="K164" s="75"/>
      <c r="L164" s="14"/>
      <c r="M164" s="14"/>
      <c r="N164" s="14"/>
      <c r="O164" s="14"/>
    </row>
    <row r="165" spans="1:15" x14ac:dyDescent="0.25">
      <c r="A165" s="159">
        <v>45376</v>
      </c>
      <c r="B165" s="55" t="s">
        <v>1367</v>
      </c>
      <c r="C165" s="55" t="s">
        <v>43</v>
      </c>
      <c r="D165" s="75">
        <f t="shared" si="7"/>
        <v>181.81818181818181</v>
      </c>
      <c r="E165" s="75">
        <f t="shared" si="8"/>
        <v>18.18181818181818</v>
      </c>
      <c r="F165" s="75">
        <v>220</v>
      </c>
      <c r="G165" s="75"/>
      <c r="H165" s="58">
        <f t="shared" si="9"/>
        <v>220</v>
      </c>
      <c r="I165" s="14" t="s">
        <v>603</v>
      </c>
      <c r="J165" s="75">
        <v>220</v>
      </c>
      <c r="K165" s="75"/>
      <c r="L165" s="14"/>
      <c r="M165" s="14"/>
      <c r="N165" s="14"/>
      <c r="O165" s="14"/>
    </row>
    <row r="166" spans="1:15" x14ac:dyDescent="0.25">
      <c r="A166" s="159">
        <v>45377</v>
      </c>
      <c r="B166" s="55" t="s">
        <v>1368</v>
      </c>
      <c r="C166" s="55" t="s">
        <v>43</v>
      </c>
      <c r="D166" s="75">
        <f t="shared" si="7"/>
        <v>272.72727272727275</v>
      </c>
      <c r="E166" s="75">
        <f t="shared" si="8"/>
        <v>27.272727272727273</v>
      </c>
      <c r="F166" s="75">
        <v>330</v>
      </c>
      <c r="G166" s="75">
        <v>50</v>
      </c>
      <c r="H166" s="58">
        <f t="shared" si="9"/>
        <v>280</v>
      </c>
      <c r="I166" s="14" t="s">
        <v>1401</v>
      </c>
      <c r="J166" s="75">
        <v>270</v>
      </c>
      <c r="K166" s="75">
        <v>40</v>
      </c>
      <c r="L166" s="14" t="s">
        <v>252</v>
      </c>
      <c r="M166" s="14"/>
      <c r="N166" s="14"/>
      <c r="O166" s="14"/>
    </row>
    <row r="167" spans="1:15" x14ac:dyDescent="0.25">
      <c r="A167" s="159">
        <v>45378</v>
      </c>
      <c r="B167" s="55" t="s">
        <v>1369</v>
      </c>
      <c r="C167" s="55" t="s">
        <v>43</v>
      </c>
      <c r="D167" s="75">
        <f t="shared" si="7"/>
        <v>148.7603305785124</v>
      </c>
      <c r="E167" s="75">
        <f t="shared" si="8"/>
        <v>14.876033057851238</v>
      </c>
      <c r="F167" s="75">
        <v>180</v>
      </c>
      <c r="G167" s="75"/>
      <c r="H167" s="58">
        <f t="shared" si="9"/>
        <v>180</v>
      </c>
      <c r="I167" s="14" t="s">
        <v>603</v>
      </c>
      <c r="J167" s="75">
        <v>180</v>
      </c>
      <c r="K167" s="75"/>
      <c r="L167" s="14"/>
      <c r="M167" s="14"/>
      <c r="N167" s="14"/>
      <c r="O167" s="14"/>
    </row>
    <row r="168" spans="1:15" x14ac:dyDescent="0.25">
      <c r="A168" s="159">
        <v>45378</v>
      </c>
      <c r="B168" s="55" t="s">
        <v>1370</v>
      </c>
      <c r="C168" s="55" t="s">
        <v>43</v>
      </c>
      <c r="D168" s="75">
        <f t="shared" si="7"/>
        <v>181.81818181818181</v>
      </c>
      <c r="E168" s="75">
        <f t="shared" si="8"/>
        <v>18.18181818181818</v>
      </c>
      <c r="F168" s="75">
        <v>220</v>
      </c>
      <c r="G168" s="75">
        <v>50</v>
      </c>
      <c r="H168" s="58">
        <f t="shared" si="9"/>
        <v>170</v>
      </c>
      <c r="I168" s="14" t="s">
        <v>1402</v>
      </c>
      <c r="J168" s="75">
        <v>220</v>
      </c>
      <c r="K168" s="75"/>
      <c r="L168" s="14"/>
      <c r="M168" s="14"/>
      <c r="N168" s="14"/>
      <c r="O168" s="14"/>
    </row>
    <row r="169" spans="1:15" x14ac:dyDescent="0.25">
      <c r="A169" s="159">
        <v>45378</v>
      </c>
      <c r="B169" s="55" t="s">
        <v>1371</v>
      </c>
      <c r="C169" s="55" t="s">
        <v>43</v>
      </c>
      <c r="D169" s="75">
        <f t="shared" si="7"/>
        <v>148.7603305785124</v>
      </c>
      <c r="E169" s="75">
        <f t="shared" si="8"/>
        <v>14.876033057851238</v>
      </c>
      <c r="F169" s="75">
        <v>180</v>
      </c>
      <c r="G169" s="75"/>
      <c r="H169" s="58">
        <f t="shared" si="9"/>
        <v>180</v>
      </c>
      <c r="I169" s="14" t="s">
        <v>603</v>
      </c>
      <c r="J169" s="75">
        <v>180</v>
      </c>
      <c r="K169" s="75"/>
      <c r="L169" s="14"/>
      <c r="M169" s="14"/>
      <c r="N169" s="14"/>
      <c r="O169" s="14"/>
    </row>
    <row r="170" spans="1:15" x14ac:dyDescent="0.25">
      <c r="A170" s="159">
        <v>45379</v>
      </c>
      <c r="B170" s="55" t="s">
        <v>1372</v>
      </c>
      <c r="C170" s="55" t="s">
        <v>43</v>
      </c>
      <c r="D170" s="75">
        <f t="shared" si="7"/>
        <v>338.84297520661158</v>
      </c>
      <c r="E170" s="75">
        <f t="shared" si="8"/>
        <v>33.884297520661157</v>
      </c>
      <c r="F170" s="75">
        <v>410</v>
      </c>
      <c r="G170" s="75">
        <v>50</v>
      </c>
      <c r="H170" s="58">
        <f t="shared" si="9"/>
        <v>360</v>
      </c>
      <c r="I170" s="14" t="s">
        <v>1403</v>
      </c>
      <c r="J170" s="75">
        <v>410</v>
      </c>
      <c r="K170" s="75"/>
      <c r="L170" s="14"/>
      <c r="M170" s="14"/>
      <c r="N170" s="14"/>
      <c r="O170" s="14"/>
    </row>
    <row r="171" spans="1:15" x14ac:dyDescent="0.25">
      <c r="A171" s="159">
        <v>45379</v>
      </c>
      <c r="B171" s="55" t="s">
        <v>1373</v>
      </c>
      <c r="C171" s="55" t="s">
        <v>43</v>
      </c>
      <c r="D171" s="75">
        <f t="shared" si="7"/>
        <v>256.198347107438</v>
      </c>
      <c r="E171" s="75">
        <f t="shared" si="8"/>
        <v>25.619834710743799</v>
      </c>
      <c r="F171" s="75">
        <v>310</v>
      </c>
      <c r="G171" s="75">
        <v>50</v>
      </c>
      <c r="H171" s="58">
        <f t="shared" si="9"/>
        <v>260</v>
      </c>
      <c r="I171" s="14" t="s">
        <v>1404</v>
      </c>
      <c r="J171" s="75">
        <v>270</v>
      </c>
      <c r="K171" s="75">
        <v>40</v>
      </c>
      <c r="L171" s="14" t="s">
        <v>252</v>
      </c>
      <c r="M171" s="14"/>
      <c r="N171" s="14"/>
      <c r="O171" s="14"/>
    </row>
    <row r="172" spans="1:15" x14ac:dyDescent="0.25">
      <c r="A172" s="159">
        <v>45380</v>
      </c>
      <c r="B172" s="55" t="s">
        <v>1374</v>
      </c>
      <c r="C172" s="55" t="s">
        <v>43</v>
      </c>
      <c r="D172" s="75">
        <f t="shared" si="7"/>
        <v>181.81818181818181</v>
      </c>
      <c r="E172" s="75">
        <f t="shared" si="8"/>
        <v>18.18181818181818</v>
      </c>
      <c r="F172" s="75">
        <v>220</v>
      </c>
      <c r="G172" s="75">
        <v>50</v>
      </c>
      <c r="H172" s="58">
        <f t="shared" si="9"/>
        <v>170</v>
      </c>
      <c r="I172" s="14" t="s">
        <v>368</v>
      </c>
      <c r="J172" s="75">
        <v>220</v>
      </c>
      <c r="K172" s="75"/>
      <c r="L172" s="14"/>
      <c r="M172" s="14"/>
      <c r="N172" s="14"/>
      <c r="O172" s="14"/>
    </row>
    <row r="173" spans="1:15" x14ac:dyDescent="0.25">
      <c r="A173" s="159">
        <v>45381</v>
      </c>
      <c r="B173" s="55" t="s">
        <v>1375</v>
      </c>
      <c r="C173" s="55" t="s">
        <v>43</v>
      </c>
      <c r="D173" s="75">
        <f t="shared" si="7"/>
        <v>239.6694214876033</v>
      </c>
      <c r="E173" s="75">
        <f t="shared" si="8"/>
        <v>23.966942148760332</v>
      </c>
      <c r="F173" s="75">
        <v>290</v>
      </c>
      <c r="G173" s="75">
        <v>50</v>
      </c>
      <c r="H173" s="58">
        <f t="shared" si="9"/>
        <v>240</v>
      </c>
      <c r="I173" s="14" t="s">
        <v>1405</v>
      </c>
      <c r="J173" s="75">
        <v>270</v>
      </c>
      <c r="K173" s="75">
        <v>20</v>
      </c>
      <c r="L173" s="14" t="s">
        <v>252</v>
      </c>
      <c r="M173" s="14"/>
      <c r="N173" s="14"/>
      <c r="O173" s="14"/>
    </row>
    <row r="174" spans="1:15" x14ac:dyDescent="0.25">
      <c r="A174" s="159">
        <v>45381</v>
      </c>
      <c r="B174" s="55" t="s">
        <v>1376</v>
      </c>
      <c r="C174" s="55" t="s">
        <v>43</v>
      </c>
      <c r="D174" s="75">
        <f t="shared" si="7"/>
        <v>165.28925619834712</v>
      </c>
      <c r="E174" s="75">
        <f t="shared" si="8"/>
        <v>16.528925619834713</v>
      </c>
      <c r="F174" s="75">
        <v>200</v>
      </c>
      <c r="G174" s="75"/>
      <c r="H174" s="58">
        <f t="shared" si="9"/>
        <v>200</v>
      </c>
      <c r="I174" s="14" t="s">
        <v>603</v>
      </c>
      <c r="J174" s="75">
        <v>200</v>
      </c>
      <c r="K174" s="75"/>
      <c r="L174" s="14"/>
      <c r="M174" s="14"/>
      <c r="N174" s="14"/>
      <c r="O174" s="14"/>
    </row>
    <row r="175" spans="1:15" x14ac:dyDescent="0.25">
      <c r="A175" s="159">
        <v>45381</v>
      </c>
      <c r="B175" s="55" t="s">
        <v>1377</v>
      </c>
      <c r="C175" s="55" t="s">
        <v>43</v>
      </c>
      <c r="D175" s="75">
        <f t="shared" si="7"/>
        <v>148.7603305785124</v>
      </c>
      <c r="E175" s="75">
        <f t="shared" si="8"/>
        <v>14.876033057851238</v>
      </c>
      <c r="F175" s="75">
        <v>180</v>
      </c>
      <c r="G175" s="75"/>
      <c r="H175" s="58">
        <f t="shared" si="9"/>
        <v>180</v>
      </c>
      <c r="I175" s="14" t="s">
        <v>603</v>
      </c>
      <c r="J175" s="75">
        <v>180</v>
      </c>
      <c r="K175" s="75"/>
      <c r="L175" s="14"/>
      <c r="M175" s="14"/>
      <c r="N175" s="14"/>
      <c r="O175" s="14"/>
    </row>
    <row r="176" spans="1:15" x14ac:dyDescent="0.25">
      <c r="A176" s="159">
        <v>45381</v>
      </c>
      <c r="B176" s="55" t="s">
        <v>1378</v>
      </c>
      <c r="C176" s="55" t="s">
        <v>43</v>
      </c>
      <c r="D176" s="75">
        <f t="shared" si="7"/>
        <v>223.14049586776861</v>
      </c>
      <c r="E176" s="75">
        <f t="shared" si="8"/>
        <v>22.314049586776861</v>
      </c>
      <c r="F176" s="75">
        <v>270</v>
      </c>
      <c r="G176" s="75">
        <v>50</v>
      </c>
      <c r="H176" s="58">
        <f t="shared" si="9"/>
        <v>220</v>
      </c>
      <c r="I176" s="14" t="s">
        <v>368</v>
      </c>
      <c r="J176" s="75">
        <v>270</v>
      </c>
      <c r="K176" s="75"/>
      <c r="L176" s="14"/>
      <c r="M176" s="14"/>
      <c r="N176" s="14"/>
      <c r="O176" s="14"/>
    </row>
    <row r="177" spans="1:15" x14ac:dyDescent="0.25">
      <c r="A177" s="159">
        <v>45381</v>
      </c>
      <c r="B177" s="55" t="s">
        <v>1379</v>
      </c>
      <c r="C177" s="55" t="s">
        <v>43</v>
      </c>
      <c r="D177" s="75">
        <f t="shared" si="7"/>
        <v>223.14049586776861</v>
      </c>
      <c r="E177" s="75">
        <f t="shared" si="8"/>
        <v>22.314049586776861</v>
      </c>
      <c r="F177" s="75">
        <v>270</v>
      </c>
      <c r="G177" s="75">
        <v>50</v>
      </c>
      <c r="H177" s="58">
        <f t="shared" si="9"/>
        <v>220</v>
      </c>
      <c r="I177" s="14" t="s">
        <v>1406</v>
      </c>
      <c r="J177" s="75">
        <v>270</v>
      </c>
      <c r="K177" s="75"/>
      <c r="L177" s="14"/>
      <c r="M177" s="14"/>
      <c r="N177" s="14"/>
      <c r="O177" s="14"/>
    </row>
    <row r="178" spans="1:15" x14ac:dyDescent="0.25">
      <c r="A178" s="159">
        <v>45381</v>
      </c>
      <c r="B178" s="55" t="s">
        <v>1380</v>
      </c>
      <c r="C178" s="55" t="s">
        <v>43</v>
      </c>
      <c r="D178" s="75">
        <f t="shared" si="7"/>
        <v>181.81818181818181</v>
      </c>
      <c r="E178" s="75">
        <f t="shared" si="8"/>
        <v>18.18181818181818</v>
      </c>
      <c r="F178" s="75">
        <v>220</v>
      </c>
      <c r="G178" s="75"/>
      <c r="H178" s="58">
        <f t="shared" si="9"/>
        <v>220</v>
      </c>
      <c r="I178" s="14" t="s">
        <v>603</v>
      </c>
      <c r="J178" s="75">
        <v>220</v>
      </c>
      <c r="K178" s="75"/>
      <c r="L178" s="14"/>
      <c r="M178" s="14"/>
      <c r="N178" s="14"/>
      <c r="O178" s="14"/>
    </row>
    <row r="179" spans="1:15" x14ac:dyDescent="0.25">
      <c r="A179" s="159">
        <v>45381</v>
      </c>
      <c r="B179" s="55" t="s">
        <v>1381</v>
      </c>
      <c r="C179" s="55" t="s">
        <v>43</v>
      </c>
      <c r="D179" s="75">
        <f t="shared" si="7"/>
        <v>115.70247933884298</v>
      </c>
      <c r="E179" s="75">
        <f t="shared" si="8"/>
        <v>11.570247933884298</v>
      </c>
      <c r="F179" s="75">
        <v>140</v>
      </c>
      <c r="G179" s="75"/>
      <c r="H179" s="58">
        <f t="shared" si="9"/>
        <v>140</v>
      </c>
      <c r="I179" s="14" t="s">
        <v>1407</v>
      </c>
      <c r="J179" s="75">
        <v>140</v>
      </c>
      <c r="K179" s="75"/>
      <c r="L179" s="14"/>
      <c r="M179" s="14"/>
      <c r="N179" s="14"/>
      <c r="O179" s="14"/>
    </row>
    <row r="180" spans="1:15" x14ac:dyDescent="0.25">
      <c r="A180" s="159">
        <v>45381</v>
      </c>
      <c r="B180" s="55" t="s">
        <v>1382</v>
      </c>
      <c r="C180" s="55" t="s">
        <v>43</v>
      </c>
      <c r="D180" s="75">
        <f t="shared" si="7"/>
        <v>115.70247933884298</v>
      </c>
      <c r="E180" s="75">
        <f t="shared" si="8"/>
        <v>11.570247933884298</v>
      </c>
      <c r="F180" s="75">
        <v>140</v>
      </c>
      <c r="G180" s="75"/>
      <c r="H180" s="58">
        <f t="shared" si="9"/>
        <v>140</v>
      </c>
      <c r="I180" s="14" t="s">
        <v>603</v>
      </c>
      <c r="J180" s="75">
        <v>140</v>
      </c>
      <c r="K180" s="75"/>
      <c r="L180" s="14"/>
      <c r="M180" s="14"/>
      <c r="N180" s="14"/>
      <c r="O180" s="14"/>
    </row>
    <row r="181" spans="1:15" x14ac:dyDescent="0.25">
      <c r="A181" s="159">
        <v>45381</v>
      </c>
      <c r="B181" s="55" t="s">
        <v>1383</v>
      </c>
      <c r="C181" s="55" t="s">
        <v>43</v>
      </c>
      <c r="D181" s="75">
        <f t="shared" si="7"/>
        <v>140.49586776859505</v>
      </c>
      <c r="E181" s="75">
        <f t="shared" si="8"/>
        <v>14.049586776859506</v>
      </c>
      <c r="F181" s="75">
        <v>170</v>
      </c>
      <c r="G181" s="75">
        <v>50</v>
      </c>
      <c r="H181" s="58">
        <f t="shared" si="9"/>
        <v>120</v>
      </c>
      <c r="I181" s="14" t="s">
        <v>1408</v>
      </c>
      <c r="J181" s="75">
        <v>170</v>
      </c>
      <c r="K181" s="75"/>
      <c r="L181" s="14"/>
      <c r="M181" s="14"/>
      <c r="N181" s="14"/>
      <c r="O181" s="14"/>
    </row>
    <row r="182" spans="1:15" x14ac:dyDescent="0.25">
      <c r="A182" s="159">
        <v>45381</v>
      </c>
      <c r="B182" s="55" t="s">
        <v>1384</v>
      </c>
      <c r="C182" s="55" t="s">
        <v>43</v>
      </c>
      <c r="D182" s="75">
        <f t="shared" si="7"/>
        <v>140.49586776859505</v>
      </c>
      <c r="E182" s="75">
        <f t="shared" si="8"/>
        <v>14.049586776859506</v>
      </c>
      <c r="F182" s="75">
        <v>170</v>
      </c>
      <c r="G182" s="75">
        <v>50</v>
      </c>
      <c r="H182" s="58">
        <f t="shared" si="9"/>
        <v>120</v>
      </c>
      <c r="I182" s="14" t="s">
        <v>1409</v>
      </c>
      <c r="J182" s="75">
        <v>170</v>
      </c>
      <c r="K182" s="75"/>
      <c r="L182" s="14"/>
      <c r="M182" s="14"/>
      <c r="N182" s="14"/>
      <c r="O182" s="14"/>
    </row>
    <row r="183" spans="1:15" x14ac:dyDescent="0.25">
      <c r="A183" s="159">
        <v>45381</v>
      </c>
      <c r="B183" s="55" t="s">
        <v>1385</v>
      </c>
      <c r="C183" s="55" t="s">
        <v>43</v>
      </c>
      <c r="D183" s="75">
        <f t="shared" si="7"/>
        <v>140.49586776859505</v>
      </c>
      <c r="E183" s="75">
        <f t="shared" si="8"/>
        <v>14.049586776859506</v>
      </c>
      <c r="F183" s="75">
        <v>170</v>
      </c>
      <c r="G183" s="75"/>
      <c r="H183" s="58">
        <f t="shared" si="9"/>
        <v>170</v>
      </c>
      <c r="I183" s="14" t="s">
        <v>603</v>
      </c>
      <c r="J183" s="75">
        <v>170</v>
      </c>
      <c r="K183" s="75"/>
      <c r="L183" s="14"/>
      <c r="M183" s="14"/>
      <c r="N183" s="14"/>
      <c r="O183" s="14"/>
    </row>
    <row r="184" spans="1:15" x14ac:dyDescent="0.25">
      <c r="A184" s="159">
        <v>45381</v>
      </c>
      <c r="B184" s="55" t="s">
        <v>1386</v>
      </c>
      <c r="C184" s="55" t="s">
        <v>43</v>
      </c>
      <c r="D184" s="75">
        <f t="shared" si="7"/>
        <v>140.49586776859505</v>
      </c>
      <c r="E184" s="75">
        <f t="shared" si="8"/>
        <v>14.049586776859506</v>
      </c>
      <c r="F184" s="75">
        <v>170</v>
      </c>
      <c r="G184" s="75">
        <v>50</v>
      </c>
      <c r="H184" s="58">
        <f t="shared" si="9"/>
        <v>120</v>
      </c>
      <c r="I184" s="14" t="s">
        <v>1410</v>
      </c>
      <c r="J184" s="75">
        <v>170</v>
      </c>
      <c r="K184" s="75"/>
      <c r="L184" s="14"/>
      <c r="M184" s="14"/>
      <c r="N184" s="14"/>
      <c r="O184" s="14"/>
    </row>
    <row r="185" spans="1:15" x14ac:dyDescent="0.25">
      <c r="A185" s="159">
        <v>45382</v>
      </c>
      <c r="B185" s="55" t="s">
        <v>1387</v>
      </c>
      <c r="C185" s="55" t="s">
        <v>43</v>
      </c>
      <c r="D185" s="75">
        <f t="shared" si="7"/>
        <v>256.198347107438</v>
      </c>
      <c r="E185" s="75">
        <f t="shared" si="8"/>
        <v>25.619834710743799</v>
      </c>
      <c r="F185" s="75">
        <v>310</v>
      </c>
      <c r="G185" s="75">
        <v>50</v>
      </c>
      <c r="H185" s="58">
        <f t="shared" si="9"/>
        <v>260</v>
      </c>
      <c r="I185" s="14" t="s">
        <v>368</v>
      </c>
      <c r="J185" s="75">
        <v>270</v>
      </c>
      <c r="K185" s="75">
        <v>30</v>
      </c>
      <c r="L185" s="14" t="s">
        <v>252</v>
      </c>
      <c r="M185" s="14"/>
      <c r="N185" s="14"/>
      <c r="O185" s="14"/>
    </row>
    <row r="188" spans="1:15" x14ac:dyDescent="0.25">
      <c r="D188" s="175">
        <f>SUM(D3:D187)</f>
        <v>31580.991735537187</v>
      </c>
    </row>
    <row r="193" spans="4:4" x14ac:dyDescent="0.25">
      <c r="D193" s="175">
        <f>D188+'FACTURAS SIMPLIFICAS FEBRERO 24'!D162+'FACTURAS SIMPLIFICADAS ENERO 24'!D114</f>
        <v>79850.413223140466</v>
      </c>
    </row>
  </sheetData>
  <mergeCells count="14">
    <mergeCell ref="F1:F2"/>
    <mergeCell ref="A1:A2"/>
    <mergeCell ref="B1:B2"/>
    <mergeCell ref="C1:C2"/>
    <mergeCell ref="D1:D2"/>
    <mergeCell ref="E1:E2"/>
    <mergeCell ref="N1:N2"/>
    <mergeCell ref="O1:O2"/>
    <mergeCell ref="G1:H1"/>
    <mergeCell ref="I1:I2"/>
    <mergeCell ref="J1:J2"/>
    <mergeCell ref="K1:K2"/>
    <mergeCell ref="L1:L2"/>
    <mergeCell ref="M1:M2"/>
  </mergeCells>
  <phoneticPr fontId="6" type="noConversion"/>
  <conditionalFormatting sqref="A3:A39">
    <cfRule type="expression" dxfId="98" priority="13" stopIfTrue="1">
      <formula>EXACT($C3,"HUMMER")</formula>
    </cfRule>
    <cfRule type="expression" dxfId="97" priority="14" stopIfTrue="1">
      <formula>EXACT($C3,"BLANCA")</formula>
    </cfRule>
    <cfRule type="expression" dxfId="96" priority="15" stopIfTrue="1">
      <formula>EXACT($C3,"ROSA")</formula>
    </cfRule>
  </conditionalFormatting>
  <conditionalFormatting sqref="A128">
    <cfRule type="expression" dxfId="95" priority="40" stopIfTrue="1">
      <formula>EXACT($C128,"HUMMER")</formula>
    </cfRule>
    <cfRule type="expression" dxfId="94" priority="41" stopIfTrue="1">
      <formula>EXACT($C128,"BLANCA")</formula>
    </cfRule>
    <cfRule type="expression" dxfId="93" priority="42" stopIfTrue="1">
      <formula>EXACT($C128,"ROSA")</formula>
    </cfRule>
  </conditionalFormatting>
  <conditionalFormatting sqref="A130">
    <cfRule type="expression" dxfId="92" priority="37" stopIfTrue="1">
      <formula>EXACT($C130,"HUMMER")</formula>
    </cfRule>
    <cfRule type="expression" dxfId="91" priority="38" stopIfTrue="1">
      <formula>EXACT($C130,"BLANCA")</formula>
    </cfRule>
    <cfRule type="expression" dxfId="90" priority="39" stopIfTrue="1">
      <formula>EXACT($C130,"ROSA")</formula>
    </cfRule>
  </conditionalFormatting>
  <conditionalFormatting sqref="A132">
    <cfRule type="expression" dxfId="89" priority="34" stopIfTrue="1">
      <formula>EXACT($C132,"HUMMER")</formula>
    </cfRule>
    <cfRule type="expression" dxfId="88" priority="35" stopIfTrue="1">
      <formula>EXACT($C132,"BLANCA")</formula>
    </cfRule>
    <cfRule type="expression" dxfId="87" priority="36" stopIfTrue="1">
      <formula>EXACT($C132,"ROSA")</formula>
    </cfRule>
  </conditionalFormatting>
  <conditionalFormatting sqref="A134">
    <cfRule type="expression" dxfId="86" priority="33" stopIfTrue="1">
      <formula>EXACT($C134,"ROSA")</formula>
    </cfRule>
    <cfRule type="expression" dxfId="85" priority="32" stopIfTrue="1">
      <formula>EXACT($C134,"BLANCA")</formula>
    </cfRule>
    <cfRule type="expression" dxfId="84" priority="31" stopIfTrue="1">
      <formula>EXACT($C134,"HUMMER")</formula>
    </cfRule>
  </conditionalFormatting>
  <conditionalFormatting sqref="A136">
    <cfRule type="expression" dxfId="83" priority="29" stopIfTrue="1">
      <formula>EXACT($C136,"BLANCA")</formula>
    </cfRule>
    <cfRule type="expression" dxfId="82" priority="28" stopIfTrue="1">
      <formula>EXACT($C136,"HUMMER")</formula>
    </cfRule>
    <cfRule type="expression" dxfId="81" priority="30" stopIfTrue="1">
      <formula>EXACT($C136,"ROSA")</formula>
    </cfRule>
  </conditionalFormatting>
  <conditionalFormatting sqref="A138">
    <cfRule type="expression" dxfId="80" priority="27" stopIfTrue="1">
      <formula>EXACT($C138,"ROSA")</formula>
    </cfRule>
    <cfRule type="expression" dxfId="79" priority="25" stopIfTrue="1">
      <formula>EXACT($C138,"HUMMER")</formula>
    </cfRule>
    <cfRule type="expression" dxfId="78" priority="26" stopIfTrue="1">
      <formula>EXACT($C138,"BLANCA")</formula>
    </cfRule>
  </conditionalFormatting>
  <conditionalFormatting sqref="A140">
    <cfRule type="expression" dxfId="77" priority="23" stopIfTrue="1">
      <formula>EXACT($C140,"BLANCA")</formula>
    </cfRule>
    <cfRule type="expression" dxfId="76" priority="22" stopIfTrue="1">
      <formula>EXACT($C140,"HUMMER")</formula>
    </cfRule>
    <cfRule type="expression" dxfId="75" priority="24" stopIfTrue="1">
      <formula>EXACT($C140,"ROSA")</formula>
    </cfRule>
  </conditionalFormatting>
  <conditionalFormatting sqref="A142">
    <cfRule type="expression" dxfId="74" priority="19" stopIfTrue="1">
      <formula>EXACT($C142,"HUMMER")</formula>
    </cfRule>
    <cfRule type="expression" dxfId="73" priority="20" stopIfTrue="1">
      <formula>EXACT($C142,"BLANCA")</formula>
    </cfRule>
    <cfRule type="expression" dxfId="72" priority="21" stopIfTrue="1">
      <formula>EXACT($C142,"ROSA")</formula>
    </cfRule>
  </conditionalFormatting>
  <conditionalFormatting sqref="A147">
    <cfRule type="expression" dxfId="71" priority="10" stopIfTrue="1">
      <formula>EXACT($C147,"HUMMER")</formula>
    </cfRule>
    <cfRule type="expression" dxfId="70" priority="11" stopIfTrue="1">
      <formula>EXACT($C147,"BLANCA")</formula>
    </cfRule>
    <cfRule type="expression" dxfId="69" priority="12" stopIfTrue="1">
      <formula>EXACT($C147,"ROSA")</formula>
    </cfRule>
  </conditionalFormatting>
  <conditionalFormatting sqref="A149">
    <cfRule type="expression" dxfId="68" priority="9" stopIfTrue="1">
      <formula>EXACT($C149,"ROSA")</formula>
    </cfRule>
    <cfRule type="expression" dxfId="67" priority="7" stopIfTrue="1">
      <formula>EXACT($C149,"HUMMER")</formula>
    </cfRule>
    <cfRule type="expression" dxfId="66" priority="8" stopIfTrue="1">
      <formula>EXACT($C149,"BLANCA")</formula>
    </cfRule>
  </conditionalFormatting>
  <conditionalFormatting sqref="A154">
    <cfRule type="expression" dxfId="65" priority="6" stopIfTrue="1">
      <formula>EXACT($C154,"ROSA")</formula>
    </cfRule>
    <cfRule type="expression" dxfId="64" priority="5" stopIfTrue="1">
      <formula>EXACT($C154,"BLANCA")</formula>
    </cfRule>
    <cfRule type="expression" dxfId="63" priority="4" stopIfTrue="1">
      <formula>EXACT($C154,"HUMMER")</formula>
    </cfRule>
  </conditionalFormatting>
  <conditionalFormatting sqref="A156">
    <cfRule type="expression" dxfId="62" priority="3" stopIfTrue="1">
      <formula>EXACT($C156,"ROSA")</formula>
    </cfRule>
    <cfRule type="expression" dxfId="61" priority="2" stopIfTrue="1">
      <formula>EXACT($C156,"BLANCA")</formula>
    </cfRule>
    <cfRule type="expression" dxfId="60" priority="1" stopIfTrue="1">
      <formula>EXACT($C156,"HUMMER")</formula>
    </cfRule>
  </conditionalFormatting>
  <conditionalFormatting sqref="F3:F4 F100:F126 A121:A126">
    <cfRule type="expression" dxfId="59" priority="52" stopIfTrue="1">
      <formula>EXACT($C3,"HUMMER")</formula>
    </cfRule>
    <cfRule type="expression" dxfId="58" priority="53" stopIfTrue="1">
      <formula>EXACT($C3,"BLANCA")</formula>
    </cfRule>
    <cfRule type="expression" dxfId="57" priority="54" stopIfTrue="1">
      <formula>EXACT($C3,"ROSA")</formula>
    </cfRule>
  </conditionalFormatting>
  <conditionalFormatting sqref="F6:F8">
    <cfRule type="expression" dxfId="56" priority="72" stopIfTrue="1">
      <formula>EXACT($C5,"ROSA")</formula>
    </cfRule>
    <cfRule type="expression" dxfId="55" priority="70" stopIfTrue="1">
      <formula>EXACT($C5,"HUMMER")</formula>
    </cfRule>
    <cfRule type="expression" dxfId="54" priority="71" stopIfTrue="1">
      <formula>EXACT($C5,"BLANCA")</formula>
    </cfRule>
  </conditionalFormatting>
  <conditionalFormatting sqref="F26:F35 F37">
    <cfRule type="expression" dxfId="53" priority="55" stopIfTrue="1">
      <formula>EXACT($C26,"HUMMER")</formula>
    </cfRule>
    <cfRule type="expression" dxfId="52" priority="56" stopIfTrue="1">
      <formula>EXACT($C26,"BLANCA")</formula>
    </cfRule>
    <cfRule type="expression" dxfId="51" priority="57" stopIfTrue="1">
      <formula>EXACT($C26,"ROSA")</formula>
    </cfRule>
  </conditionalFormatting>
  <conditionalFormatting sqref="F36">
    <cfRule type="expression" dxfId="50" priority="64" stopIfTrue="1">
      <formula>EXACT($C39,"HUMMER")</formula>
    </cfRule>
    <cfRule type="expression" dxfId="49" priority="65" stopIfTrue="1">
      <formula>EXACT($C39,"BLANCA")</formula>
    </cfRule>
    <cfRule type="expression" dxfId="48" priority="66" stopIfTrue="1">
      <formula>EXACT($C39,"ROSA")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DBA4-F1A0-47AA-945F-0F384D393ABC}">
  <dimension ref="A1:M77"/>
  <sheetViews>
    <sheetView topLeftCell="A54" workbookViewId="0">
      <selection activeCell="C49" sqref="C49"/>
    </sheetView>
  </sheetViews>
  <sheetFormatPr baseColWidth="10" defaultRowHeight="15" x14ac:dyDescent="0.25"/>
  <cols>
    <col min="2" max="2" width="40" customWidth="1"/>
    <col min="3" max="3" width="51.5703125" customWidth="1"/>
    <col min="4" max="4" width="19.28515625" customWidth="1"/>
    <col min="5" max="5" width="37" customWidth="1"/>
  </cols>
  <sheetData>
    <row r="1" spans="1:12" x14ac:dyDescent="0.25">
      <c r="A1" t="s">
        <v>0</v>
      </c>
      <c r="B1" s="1">
        <v>45383</v>
      </c>
    </row>
    <row r="3" spans="1:12" ht="30" x14ac:dyDescent="0.2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2" x14ac:dyDescent="0.25">
      <c r="A4" s="11"/>
      <c r="B4" s="12"/>
      <c r="C4" s="13"/>
      <c r="D4" s="14"/>
      <c r="E4" s="15"/>
      <c r="F4" s="16"/>
      <c r="G4" s="16"/>
      <c r="H4" s="16"/>
      <c r="I4" s="9"/>
      <c r="J4" s="17"/>
      <c r="K4" s="9"/>
    </row>
    <row r="5" spans="1:12" x14ac:dyDescent="0.25">
      <c r="A5" s="11">
        <v>45383</v>
      </c>
      <c r="B5" s="12" t="s">
        <v>837</v>
      </c>
      <c r="C5" s="13" t="s">
        <v>12</v>
      </c>
      <c r="D5" s="108" t="s">
        <v>13</v>
      </c>
      <c r="E5" s="15" t="s">
        <v>14</v>
      </c>
      <c r="F5" s="16">
        <v>1650</v>
      </c>
      <c r="G5" s="16"/>
      <c r="H5" s="16"/>
      <c r="I5" s="9">
        <f t="shared" ref="I5:I66" si="0">G5+H5</f>
        <v>0</v>
      </c>
      <c r="J5" s="17"/>
      <c r="K5" s="9">
        <f t="shared" ref="K5:K66" si="1">F5+I5-J5</f>
        <v>1650</v>
      </c>
      <c r="L5" t="s">
        <v>41</v>
      </c>
    </row>
    <row r="6" spans="1:12" x14ac:dyDescent="0.25">
      <c r="A6" s="5">
        <v>45384</v>
      </c>
      <c r="B6" s="6" t="s">
        <v>1020</v>
      </c>
      <c r="C6" s="7" t="s">
        <v>1021</v>
      </c>
      <c r="D6" s="152" t="s">
        <v>1022</v>
      </c>
      <c r="E6" s="8" t="s">
        <v>17</v>
      </c>
      <c r="F6" s="9">
        <v>24.79</v>
      </c>
      <c r="G6" s="9">
        <v>5.21</v>
      </c>
      <c r="H6" s="9"/>
      <c r="I6" s="9">
        <f t="shared" si="0"/>
        <v>5.21</v>
      </c>
      <c r="J6" s="23"/>
      <c r="K6" s="9">
        <f t="shared" si="1"/>
        <v>30</v>
      </c>
      <c r="L6" t="s">
        <v>42</v>
      </c>
    </row>
    <row r="7" spans="1:12" x14ac:dyDescent="0.25">
      <c r="A7" s="24">
        <v>45384</v>
      </c>
      <c r="B7" s="25" t="s">
        <v>1417</v>
      </c>
      <c r="C7" s="28" t="s">
        <v>721</v>
      </c>
      <c r="D7" s="35" t="s">
        <v>24</v>
      </c>
      <c r="E7" s="29" t="s">
        <v>25</v>
      </c>
      <c r="F7" s="9">
        <v>11.45</v>
      </c>
      <c r="G7" s="9">
        <v>1.1499999999999999</v>
      </c>
      <c r="H7" s="22"/>
      <c r="I7" s="9">
        <f t="shared" si="0"/>
        <v>1.1499999999999999</v>
      </c>
      <c r="J7" s="23"/>
      <c r="K7" s="9">
        <f t="shared" si="1"/>
        <v>12.6</v>
      </c>
      <c r="L7" t="s">
        <v>42</v>
      </c>
    </row>
    <row r="8" spans="1:12" x14ac:dyDescent="0.25">
      <c r="A8" s="18">
        <v>45385</v>
      </c>
      <c r="B8" s="27" t="s">
        <v>1419</v>
      </c>
      <c r="C8" s="28" t="s">
        <v>310</v>
      </c>
      <c r="D8" s="152" t="s">
        <v>311</v>
      </c>
      <c r="E8" s="29" t="s">
        <v>1418</v>
      </c>
      <c r="F8" s="30">
        <v>55.1</v>
      </c>
      <c r="G8" s="30">
        <v>7.22</v>
      </c>
      <c r="H8" s="30">
        <v>2.0699999999999998</v>
      </c>
      <c r="I8" s="9">
        <f t="shared" si="0"/>
        <v>9.2899999999999991</v>
      </c>
      <c r="J8" s="31"/>
      <c r="K8" s="9">
        <f t="shared" si="1"/>
        <v>64.39</v>
      </c>
      <c r="L8" t="s">
        <v>42</v>
      </c>
    </row>
    <row r="9" spans="1:12" x14ac:dyDescent="0.25">
      <c r="A9" s="18">
        <v>45386</v>
      </c>
      <c r="B9" s="27" t="s">
        <v>1420</v>
      </c>
      <c r="C9" s="28" t="s">
        <v>1421</v>
      </c>
      <c r="D9" s="153" t="s">
        <v>21</v>
      </c>
      <c r="E9" s="29" t="s">
        <v>1422</v>
      </c>
      <c r="F9" s="30">
        <v>136.66999999999999</v>
      </c>
      <c r="G9" s="30">
        <v>28.7</v>
      </c>
      <c r="H9" s="30"/>
      <c r="I9" s="9">
        <f t="shared" si="0"/>
        <v>28.7</v>
      </c>
      <c r="J9" s="31"/>
      <c r="K9" s="9">
        <f t="shared" si="1"/>
        <v>165.36999999999998</v>
      </c>
      <c r="L9" t="s">
        <v>42</v>
      </c>
    </row>
    <row r="10" spans="1:12" x14ac:dyDescent="0.25">
      <c r="A10" s="18">
        <v>45387</v>
      </c>
      <c r="B10" s="27" t="s">
        <v>1423</v>
      </c>
      <c r="C10" s="20" t="s">
        <v>1424</v>
      </c>
      <c r="D10" s="152" t="s">
        <v>712</v>
      </c>
      <c r="E10" s="21" t="s">
        <v>1418</v>
      </c>
      <c r="F10" s="30">
        <v>66.06</v>
      </c>
      <c r="G10" s="30">
        <v>13.87</v>
      </c>
      <c r="H10" s="30"/>
      <c r="I10" s="9">
        <f t="shared" si="0"/>
        <v>13.87</v>
      </c>
      <c r="J10" s="31"/>
      <c r="K10" s="9">
        <f t="shared" si="1"/>
        <v>79.930000000000007</v>
      </c>
      <c r="L10" t="s">
        <v>41</v>
      </c>
    </row>
    <row r="11" spans="1:12" x14ac:dyDescent="0.25">
      <c r="A11" s="33">
        <v>45388</v>
      </c>
      <c r="B11" s="34" t="s">
        <v>1425</v>
      </c>
      <c r="C11" s="28" t="s">
        <v>1426</v>
      </c>
      <c r="D11" s="105" t="s">
        <v>581</v>
      </c>
      <c r="E11" s="29" t="s">
        <v>1427</v>
      </c>
      <c r="F11" s="30">
        <v>57.81</v>
      </c>
      <c r="G11" s="30">
        <v>12.14</v>
      </c>
      <c r="H11" s="30"/>
      <c r="I11" s="9">
        <f t="shared" si="0"/>
        <v>12.14</v>
      </c>
      <c r="J11" s="31"/>
      <c r="K11" s="9">
        <f t="shared" si="1"/>
        <v>69.95</v>
      </c>
      <c r="L11" t="s">
        <v>267</v>
      </c>
    </row>
    <row r="12" spans="1:12" x14ac:dyDescent="0.25">
      <c r="A12" s="33">
        <v>45392</v>
      </c>
      <c r="B12" s="35" t="s">
        <v>1428</v>
      </c>
      <c r="C12" s="28" t="s">
        <v>1424</v>
      </c>
      <c r="D12" s="35" t="s">
        <v>712</v>
      </c>
      <c r="E12" s="29" t="s">
        <v>1418</v>
      </c>
      <c r="F12" s="30">
        <v>72.959999999999994</v>
      </c>
      <c r="G12" s="30">
        <v>15.32</v>
      </c>
      <c r="H12" s="30"/>
      <c r="I12" s="9">
        <f t="shared" si="0"/>
        <v>15.32</v>
      </c>
      <c r="J12" s="31"/>
      <c r="K12" s="9">
        <f t="shared" si="1"/>
        <v>88.28</v>
      </c>
      <c r="L12" t="s">
        <v>41</v>
      </c>
    </row>
    <row r="13" spans="1:12" x14ac:dyDescent="0.25">
      <c r="A13" s="33">
        <v>45394</v>
      </c>
      <c r="B13" s="35" t="s">
        <v>1429</v>
      </c>
      <c r="C13" s="28" t="s">
        <v>1430</v>
      </c>
      <c r="D13" s="35" t="s">
        <v>1431</v>
      </c>
      <c r="E13" s="29" t="s">
        <v>281</v>
      </c>
      <c r="F13" s="30">
        <v>126.07</v>
      </c>
      <c r="G13" s="30">
        <v>1.39</v>
      </c>
      <c r="H13" s="30">
        <v>11.95</v>
      </c>
      <c r="I13" s="9">
        <f t="shared" si="0"/>
        <v>13.34</v>
      </c>
      <c r="J13" s="31"/>
      <c r="K13" s="9">
        <f t="shared" si="1"/>
        <v>139.41</v>
      </c>
      <c r="L13" t="s">
        <v>267</v>
      </c>
    </row>
    <row r="14" spans="1:12" x14ac:dyDescent="0.25">
      <c r="A14" s="100">
        <v>45395</v>
      </c>
      <c r="B14" s="157" t="s">
        <v>1432</v>
      </c>
      <c r="C14" s="28" t="s">
        <v>1426</v>
      </c>
      <c r="D14" s="36" t="s">
        <v>581</v>
      </c>
      <c r="E14" s="29" t="s">
        <v>1427</v>
      </c>
      <c r="F14" s="30">
        <v>57.81</v>
      </c>
      <c r="G14" s="30">
        <v>12.14</v>
      </c>
      <c r="H14" s="30"/>
      <c r="I14" s="9">
        <f t="shared" si="0"/>
        <v>12.14</v>
      </c>
      <c r="J14" s="31"/>
      <c r="K14" s="9">
        <f t="shared" si="1"/>
        <v>69.95</v>
      </c>
      <c r="L14" t="s">
        <v>267</v>
      </c>
    </row>
    <row r="15" spans="1:12" x14ac:dyDescent="0.25">
      <c r="A15" s="86">
        <v>45395</v>
      </c>
      <c r="B15" s="14">
        <v>94941449090</v>
      </c>
      <c r="C15" s="109" t="s">
        <v>1433</v>
      </c>
      <c r="D15" s="108" t="s">
        <v>1434</v>
      </c>
      <c r="E15" s="14" t="s">
        <v>1435</v>
      </c>
      <c r="F15" s="60">
        <v>11.49</v>
      </c>
      <c r="G15" s="30">
        <v>2.41</v>
      </c>
      <c r="H15" s="30"/>
      <c r="I15" s="9">
        <f t="shared" si="0"/>
        <v>2.41</v>
      </c>
      <c r="J15" s="31"/>
      <c r="K15" s="9">
        <f t="shared" si="1"/>
        <v>13.9</v>
      </c>
      <c r="L15" t="s">
        <v>42</v>
      </c>
    </row>
    <row r="16" spans="1:12" x14ac:dyDescent="0.25">
      <c r="A16" s="86">
        <v>45395</v>
      </c>
      <c r="B16" s="108">
        <v>100224</v>
      </c>
      <c r="C16" s="156" t="s">
        <v>1436</v>
      </c>
      <c r="D16" s="35" t="s">
        <v>280</v>
      </c>
      <c r="E16" s="14" t="s">
        <v>281</v>
      </c>
      <c r="F16" s="60">
        <v>18.18</v>
      </c>
      <c r="G16" s="30">
        <v>3.82</v>
      </c>
      <c r="H16" s="30"/>
      <c r="I16" s="9">
        <f t="shared" si="0"/>
        <v>3.82</v>
      </c>
      <c r="J16" s="31"/>
      <c r="K16" s="9">
        <f t="shared" si="1"/>
        <v>22</v>
      </c>
      <c r="L16" t="s">
        <v>42</v>
      </c>
    </row>
    <row r="17" spans="1:12" x14ac:dyDescent="0.25">
      <c r="A17" s="86">
        <v>45397</v>
      </c>
      <c r="B17" s="108">
        <v>30132</v>
      </c>
      <c r="C17" s="28" t="s">
        <v>1437</v>
      </c>
      <c r="D17" s="35" t="s">
        <v>401</v>
      </c>
      <c r="E17" s="14" t="s">
        <v>402</v>
      </c>
      <c r="F17" s="60">
        <v>11.54</v>
      </c>
      <c r="G17" s="30">
        <v>2.42</v>
      </c>
      <c r="H17" s="30"/>
      <c r="I17" s="9">
        <f t="shared" si="0"/>
        <v>2.42</v>
      </c>
      <c r="J17" s="31"/>
      <c r="K17" s="9">
        <f t="shared" si="1"/>
        <v>13.959999999999999</v>
      </c>
      <c r="L17" t="s">
        <v>42</v>
      </c>
    </row>
    <row r="18" spans="1:12" x14ac:dyDescent="0.25">
      <c r="A18" s="86">
        <v>45398</v>
      </c>
      <c r="B18" s="108" t="s">
        <v>1438</v>
      </c>
      <c r="C18" s="109" t="s">
        <v>721</v>
      </c>
      <c r="D18" s="108" t="s">
        <v>24</v>
      </c>
      <c r="E18" s="14" t="s">
        <v>25</v>
      </c>
      <c r="F18" s="60">
        <v>45.82</v>
      </c>
      <c r="G18" s="30"/>
      <c r="H18" s="30">
        <v>4.58</v>
      </c>
      <c r="I18" s="9">
        <f t="shared" si="0"/>
        <v>4.58</v>
      </c>
      <c r="J18" s="31"/>
      <c r="K18" s="9">
        <f t="shared" si="1"/>
        <v>50.4</v>
      </c>
      <c r="L18" t="s">
        <v>42</v>
      </c>
    </row>
    <row r="19" spans="1:12" x14ac:dyDescent="0.25">
      <c r="A19" s="86">
        <v>45399</v>
      </c>
      <c r="B19" s="111" t="s">
        <v>1439</v>
      </c>
      <c r="C19" s="109" t="s">
        <v>1426</v>
      </c>
      <c r="D19" s="108" t="s">
        <v>581</v>
      </c>
      <c r="E19" s="110" t="s">
        <v>1427</v>
      </c>
      <c r="F19" s="60">
        <v>57.81</v>
      </c>
      <c r="G19" s="30">
        <v>12.14</v>
      </c>
      <c r="H19" s="30"/>
      <c r="I19" s="9">
        <f t="shared" si="0"/>
        <v>12.14</v>
      </c>
      <c r="J19" s="31"/>
      <c r="K19" s="9">
        <f t="shared" si="1"/>
        <v>69.95</v>
      </c>
      <c r="L19" t="s">
        <v>267</v>
      </c>
    </row>
    <row r="20" spans="1:12" x14ac:dyDescent="0.25">
      <c r="A20" s="104">
        <v>45388</v>
      </c>
      <c r="B20" s="105" t="s">
        <v>1440</v>
      </c>
      <c r="C20" s="28" t="s">
        <v>1441</v>
      </c>
      <c r="D20" s="36" t="s">
        <v>1442</v>
      </c>
      <c r="E20" s="14" t="s">
        <v>281</v>
      </c>
      <c r="F20" s="30">
        <v>3.55</v>
      </c>
      <c r="G20" s="30">
        <v>0.35</v>
      </c>
      <c r="H20" s="30"/>
      <c r="I20" s="9">
        <f t="shared" si="0"/>
        <v>0.35</v>
      </c>
      <c r="J20" s="31"/>
      <c r="K20" s="9">
        <f t="shared" si="1"/>
        <v>3.9</v>
      </c>
      <c r="L20" t="s">
        <v>42</v>
      </c>
    </row>
    <row r="21" spans="1:12" x14ac:dyDescent="0.25">
      <c r="A21" s="33">
        <v>45399</v>
      </c>
      <c r="B21" s="34" t="s">
        <v>1474</v>
      </c>
      <c r="C21" s="28" t="s">
        <v>1475</v>
      </c>
      <c r="D21" s="35" t="s">
        <v>275</v>
      </c>
      <c r="E21" s="29" t="s">
        <v>1476</v>
      </c>
      <c r="F21" s="30">
        <v>114.55</v>
      </c>
      <c r="G21" s="30"/>
      <c r="H21" s="30">
        <v>11.45</v>
      </c>
      <c r="I21" s="9">
        <f t="shared" si="0"/>
        <v>11.45</v>
      </c>
      <c r="J21" s="31"/>
      <c r="K21" s="9">
        <f t="shared" si="1"/>
        <v>126</v>
      </c>
      <c r="L21" t="s">
        <v>42</v>
      </c>
    </row>
    <row r="22" spans="1:12" x14ac:dyDescent="0.25">
      <c r="A22" s="33">
        <v>45398</v>
      </c>
      <c r="B22" s="34" t="s">
        <v>426</v>
      </c>
      <c r="C22" s="28" t="s">
        <v>1523</v>
      </c>
      <c r="D22" s="35" t="s">
        <v>1524</v>
      </c>
      <c r="E22" s="29" t="s">
        <v>1476</v>
      </c>
      <c r="F22" s="30">
        <v>535.91</v>
      </c>
      <c r="G22" s="30"/>
      <c r="H22" s="30">
        <v>53.59</v>
      </c>
      <c r="I22" s="9">
        <f t="shared" si="0"/>
        <v>53.59</v>
      </c>
      <c r="J22" s="31"/>
      <c r="K22" s="9">
        <f t="shared" si="1"/>
        <v>589.5</v>
      </c>
      <c r="L22" t="s">
        <v>267</v>
      </c>
    </row>
    <row r="23" spans="1:12" x14ac:dyDescent="0.25">
      <c r="A23" s="33">
        <v>45400</v>
      </c>
      <c r="B23" s="35" t="s">
        <v>1525</v>
      </c>
      <c r="C23" s="28" t="s">
        <v>1424</v>
      </c>
      <c r="D23" s="36" t="s">
        <v>712</v>
      </c>
      <c r="E23" s="14" t="s">
        <v>1418</v>
      </c>
      <c r="F23" s="30">
        <v>43.56</v>
      </c>
      <c r="G23" s="30">
        <v>9.15</v>
      </c>
      <c r="H23" s="30"/>
      <c r="I23" s="9">
        <f t="shared" si="0"/>
        <v>9.15</v>
      </c>
      <c r="J23" s="31"/>
      <c r="K23" s="9">
        <f t="shared" si="1"/>
        <v>52.71</v>
      </c>
      <c r="L23" t="s">
        <v>41</v>
      </c>
    </row>
    <row r="24" spans="1:12" x14ac:dyDescent="0.25">
      <c r="A24" s="33">
        <v>45401</v>
      </c>
      <c r="B24" s="34" t="s">
        <v>1526</v>
      </c>
      <c r="C24" s="28" t="s">
        <v>1421</v>
      </c>
      <c r="D24" s="36" t="s">
        <v>21</v>
      </c>
      <c r="E24" s="29" t="s">
        <v>1422</v>
      </c>
      <c r="F24" s="30">
        <v>133.75</v>
      </c>
      <c r="G24" s="30">
        <v>28.09</v>
      </c>
      <c r="H24" s="30"/>
      <c r="I24" s="9">
        <f t="shared" si="0"/>
        <v>28.09</v>
      </c>
      <c r="J24" s="31"/>
      <c r="K24" s="9">
        <f t="shared" si="1"/>
        <v>161.84</v>
      </c>
      <c r="L24" t="s">
        <v>267</v>
      </c>
    </row>
    <row r="25" spans="1:12" x14ac:dyDescent="0.25">
      <c r="A25" s="33">
        <v>45401</v>
      </c>
      <c r="B25" s="35" t="s">
        <v>1527</v>
      </c>
      <c r="C25" s="28" t="s">
        <v>310</v>
      </c>
      <c r="D25" s="36" t="s">
        <v>311</v>
      </c>
      <c r="E25" s="14" t="s">
        <v>1418</v>
      </c>
      <c r="F25" s="30">
        <v>35.06</v>
      </c>
      <c r="G25" s="30">
        <v>1.93</v>
      </c>
      <c r="H25" s="30">
        <v>2.58</v>
      </c>
      <c r="I25" s="9">
        <f t="shared" si="0"/>
        <v>4.51</v>
      </c>
      <c r="J25" s="31"/>
      <c r="K25" s="9">
        <f t="shared" si="1"/>
        <v>39.57</v>
      </c>
      <c r="L25" t="s">
        <v>42</v>
      </c>
    </row>
    <row r="26" spans="1:12" x14ac:dyDescent="0.25">
      <c r="A26" s="33">
        <v>45401</v>
      </c>
      <c r="B26" s="35" t="s">
        <v>1528</v>
      </c>
      <c r="C26" s="28" t="s">
        <v>1529</v>
      </c>
      <c r="D26" s="35" t="s">
        <v>20</v>
      </c>
      <c r="E26" s="29" t="s">
        <v>17</v>
      </c>
      <c r="F26" s="30">
        <v>16.23</v>
      </c>
      <c r="G26" s="30">
        <v>3.41</v>
      </c>
      <c r="H26" s="30"/>
      <c r="I26" s="9">
        <f t="shared" si="0"/>
        <v>3.41</v>
      </c>
      <c r="J26" s="31"/>
      <c r="K26" s="9">
        <f t="shared" si="1"/>
        <v>19.64</v>
      </c>
      <c r="L26" t="s">
        <v>42</v>
      </c>
    </row>
    <row r="27" spans="1:12" x14ac:dyDescent="0.25">
      <c r="A27" s="33">
        <v>45402</v>
      </c>
      <c r="B27" s="35" t="s">
        <v>1530</v>
      </c>
      <c r="C27" s="28" t="s">
        <v>1531</v>
      </c>
      <c r="D27" s="35" t="s">
        <v>545</v>
      </c>
      <c r="E27" s="29" t="s">
        <v>17</v>
      </c>
      <c r="F27" s="30">
        <v>92.94</v>
      </c>
      <c r="G27" s="30">
        <v>19.52</v>
      </c>
      <c r="H27" s="30"/>
      <c r="I27" s="9">
        <f t="shared" si="0"/>
        <v>19.52</v>
      </c>
      <c r="J27" s="31"/>
      <c r="K27" s="9">
        <f t="shared" si="1"/>
        <v>112.46</v>
      </c>
      <c r="L27" t="s">
        <v>42</v>
      </c>
    </row>
    <row r="28" spans="1:12" x14ac:dyDescent="0.25">
      <c r="A28" s="33">
        <v>45402</v>
      </c>
      <c r="B28" s="34" t="s">
        <v>1533</v>
      </c>
      <c r="C28" s="28" t="s">
        <v>1532</v>
      </c>
      <c r="D28" s="35" t="s">
        <v>1434</v>
      </c>
      <c r="E28" s="29" t="s">
        <v>17</v>
      </c>
      <c r="F28" s="30">
        <v>41.32</v>
      </c>
      <c r="G28" s="30">
        <v>8.68</v>
      </c>
      <c r="H28" s="30"/>
      <c r="I28" s="9">
        <f t="shared" si="0"/>
        <v>8.68</v>
      </c>
      <c r="J28" s="31"/>
      <c r="K28" s="9">
        <f t="shared" si="1"/>
        <v>50</v>
      </c>
      <c r="L28" t="s">
        <v>42</v>
      </c>
    </row>
    <row r="29" spans="1:12" x14ac:dyDescent="0.25">
      <c r="A29" s="33">
        <v>45402</v>
      </c>
      <c r="B29" s="35">
        <v>784704798</v>
      </c>
      <c r="C29" s="28" t="s">
        <v>815</v>
      </c>
      <c r="D29" s="35" t="s">
        <v>387</v>
      </c>
      <c r="E29" s="29" t="s">
        <v>389</v>
      </c>
      <c r="F29" s="30">
        <v>387.6</v>
      </c>
      <c r="G29" s="30">
        <v>81.400000000000006</v>
      </c>
      <c r="H29" s="30"/>
      <c r="I29" s="9">
        <f t="shared" si="0"/>
        <v>81.400000000000006</v>
      </c>
      <c r="J29" s="31"/>
      <c r="K29" s="9">
        <f t="shared" si="1"/>
        <v>469</v>
      </c>
      <c r="L29" t="s">
        <v>295</v>
      </c>
    </row>
    <row r="30" spans="1:12" x14ac:dyDescent="0.25">
      <c r="A30" s="33">
        <v>45402</v>
      </c>
      <c r="B30" s="34" t="s">
        <v>1534</v>
      </c>
      <c r="C30" s="28" t="s">
        <v>385</v>
      </c>
      <c r="D30" s="35" t="s">
        <v>388</v>
      </c>
      <c r="E30" s="29" t="s">
        <v>389</v>
      </c>
      <c r="F30" s="30">
        <v>4.95</v>
      </c>
      <c r="G30" s="30">
        <v>1.04</v>
      </c>
      <c r="H30" s="30"/>
      <c r="I30" s="9">
        <f t="shared" si="0"/>
        <v>1.04</v>
      </c>
      <c r="J30" s="31"/>
      <c r="K30" s="9">
        <f t="shared" si="1"/>
        <v>5.99</v>
      </c>
      <c r="L30" t="s">
        <v>295</v>
      </c>
    </row>
    <row r="31" spans="1:12" x14ac:dyDescent="0.25">
      <c r="A31" s="33">
        <v>45403</v>
      </c>
      <c r="B31" s="35" t="s">
        <v>1535</v>
      </c>
      <c r="C31" s="28" t="s">
        <v>530</v>
      </c>
      <c r="D31" s="35" t="s">
        <v>16</v>
      </c>
      <c r="E31" s="29" t="s">
        <v>17</v>
      </c>
      <c r="F31" s="30">
        <v>128.29</v>
      </c>
      <c r="G31" s="30">
        <v>26.94</v>
      </c>
      <c r="H31" s="30"/>
      <c r="I31" s="9">
        <f t="shared" si="0"/>
        <v>26.94</v>
      </c>
      <c r="J31" s="31"/>
      <c r="K31" s="9">
        <f t="shared" si="1"/>
        <v>155.22999999999999</v>
      </c>
      <c r="L31" t="s">
        <v>42</v>
      </c>
    </row>
    <row r="32" spans="1:12" x14ac:dyDescent="0.25">
      <c r="A32" s="33">
        <v>45403</v>
      </c>
      <c r="B32" s="34" t="s">
        <v>1536</v>
      </c>
      <c r="C32" s="28" t="s">
        <v>530</v>
      </c>
      <c r="D32" s="35" t="s">
        <v>16</v>
      </c>
      <c r="E32" s="29" t="s">
        <v>17</v>
      </c>
      <c r="F32" s="30">
        <v>131.44</v>
      </c>
      <c r="G32" s="30">
        <v>27.6</v>
      </c>
      <c r="H32" s="30"/>
      <c r="I32" s="9">
        <f t="shared" si="0"/>
        <v>27.6</v>
      </c>
      <c r="J32" s="23"/>
      <c r="K32" s="9">
        <f>F32+I32+J32</f>
        <v>159.04</v>
      </c>
      <c r="L32" t="s">
        <v>42</v>
      </c>
    </row>
    <row r="33" spans="1:12" x14ac:dyDescent="0.25">
      <c r="A33" s="33">
        <v>45404</v>
      </c>
      <c r="B33" s="34" t="s">
        <v>347</v>
      </c>
      <c r="C33" s="28" t="s">
        <v>1537</v>
      </c>
      <c r="D33" s="35" t="s">
        <v>693</v>
      </c>
      <c r="E33" s="29" t="s">
        <v>1538</v>
      </c>
      <c r="F33" s="30">
        <v>1254.55</v>
      </c>
      <c r="G33" s="30">
        <v>125.46</v>
      </c>
      <c r="H33" s="30"/>
      <c r="I33" s="9">
        <f t="shared" si="0"/>
        <v>125.46</v>
      </c>
      <c r="J33" s="31"/>
      <c r="K33" s="9">
        <f t="shared" si="1"/>
        <v>1380.01</v>
      </c>
      <c r="L33" t="s">
        <v>41</v>
      </c>
    </row>
    <row r="34" spans="1:12" x14ac:dyDescent="0.25">
      <c r="A34" s="33">
        <v>45407</v>
      </c>
      <c r="B34" s="34" t="s">
        <v>1540</v>
      </c>
      <c r="C34" s="28" t="s">
        <v>1424</v>
      </c>
      <c r="D34" s="35" t="s">
        <v>712</v>
      </c>
      <c r="E34" s="29" t="s">
        <v>1418</v>
      </c>
      <c r="F34" s="30">
        <v>44.16</v>
      </c>
      <c r="G34" s="30">
        <v>9.27</v>
      </c>
      <c r="H34" s="30"/>
      <c r="I34" s="9">
        <f t="shared" si="0"/>
        <v>9.27</v>
      </c>
      <c r="J34" s="31"/>
      <c r="K34" s="9">
        <f t="shared" si="1"/>
        <v>53.429999999999993</v>
      </c>
      <c r="L34" t="s">
        <v>41</v>
      </c>
    </row>
    <row r="35" spans="1:12" x14ac:dyDescent="0.25">
      <c r="A35" s="33">
        <v>45405</v>
      </c>
      <c r="B35" s="34" t="s">
        <v>1541</v>
      </c>
      <c r="C35" s="28" t="s">
        <v>536</v>
      </c>
      <c r="D35" s="35" t="s">
        <v>24</v>
      </c>
      <c r="E35" s="29" t="s">
        <v>25</v>
      </c>
      <c r="F35" s="30">
        <v>34.36</v>
      </c>
      <c r="G35" s="30">
        <v>3.44</v>
      </c>
      <c r="H35" s="30"/>
      <c r="I35" s="9">
        <f t="shared" si="0"/>
        <v>3.44</v>
      </c>
      <c r="J35" s="31"/>
      <c r="K35" s="9">
        <f t="shared" si="1"/>
        <v>37.799999999999997</v>
      </c>
      <c r="L35" t="s">
        <v>42</v>
      </c>
    </row>
    <row r="36" spans="1:12" x14ac:dyDescent="0.25">
      <c r="A36" s="33">
        <v>45410</v>
      </c>
      <c r="B36" s="34" t="s">
        <v>1571</v>
      </c>
      <c r="C36" s="28" t="s">
        <v>530</v>
      </c>
      <c r="D36" s="35" t="s">
        <v>16</v>
      </c>
      <c r="E36" s="29" t="s">
        <v>17</v>
      </c>
      <c r="F36" s="30">
        <v>138.33000000000001</v>
      </c>
      <c r="G36" s="30">
        <v>29.05</v>
      </c>
      <c r="H36" s="30"/>
      <c r="I36" s="9">
        <f t="shared" si="0"/>
        <v>29.05</v>
      </c>
      <c r="J36" s="31"/>
      <c r="K36" s="9">
        <f t="shared" si="1"/>
        <v>167.38000000000002</v>
      </c>
      <c r="L36" t="s">
        <v>42</v>
      </c>
    </row>
    <row r="37" spans="1:12" x14ac:dyDescent="0.25">
      <c r="A37" s="33">
        <v>45411</v>
      </c>
      <c r="B37" s="34" t="s">
        <v>1572</v>
      </c>
      <c r="C37" s="28" t="s">
        <v>576</v>
      </c>
      <c r="D37" s="35" t="s">
        <v>577</v>
      </c>
      <c r="E37" s="29" t="s">
        <v>281</v>
      </c>
      <c r="F37" s="30">
        <v>22.3</v>
      </c>
      <c r="G37" s="30">
        <v>4.68</v>
      </c>
      <c r="H37" s="30"/>
      <c r="I37" s="9">
        <f t="shared" si="0"/>
        <v>4.68</v>
      </c>
      <c r="J37" s="31"/>
      <c r="K37" s="9">
        <f t="shared" si="1"/>
        <v>26.98</v>
      </c>
      <c r="L37" t="s">
        <v>267</v>
      </c>
    </row>
    <row r="38" spans="1:12" x14ac:dyDescent="0.25">
      <c r="A38" s="33">
        <v>45412</v>
      </c>
      <c r="B38" s="34" t="s">
        <v>1573</v>
      </c>
      <c r="C38" s="28" t="s">
        <v>1574</v>
      </c>
      <c r="D38" s="35" t="s">
        <v>1434</v>
      </c>
      <c r="E38" s="29" t="s">
        <v>17</v>
      </c>
      <c r="F38" s="30">
        <v>56.54</v>
      </c>
      <c r="G38" s="30">
        <v>11.87</v>
      </c>
      <c r="H38" s="30"/>
      <c r="I38" s="9">
        <f t="shared" si="0"/>
        <v>11.87</v>
      </c>
      <c r="J38" s="31"/>
      <c r="K38" s="9">
        <f t="shared" si="1"/>
        <v>68.41</v>
      </c>
      <c r="L38" t="s">
        <v>267</v>
      </c>
    </row>
    <row r="39" spans="1:12" x14ac:dyDescent="0.25">
      <c r="A39" s="33">
        <v>45412</v>
      </c>
      <c r="B39" s="34" t="s">
        <v>1575</v>
      </c>
      <c r="C39" s="28" t="s">
        <v>1576</v>
      </c>
      <c r="D39" s="35" t="s">
        <v>24</v>
      </c>
      <c r="E39" s="29" t="s">
        <v>25</v>
      </c>
      <c r="F39" s="30">
        <v>22.91</v>
      </c>
      <c r="G39" s="30"/>
      <c r="H39" s="30">
        <v>2.29</v>
      </c>
      <c r="I39" s="9">
        <f t="shared" si="0"/>
        <v>2.29</v>
      </c>
      <c r="J39" s="31"/>
      <c r="K39" s="9">
        <f t="shared" si="1"/>
        <v>25.2</v>
      </c>
      <c r="L39" t="s">
        <v>42</v>
      </c>
    </row>
    <row r="40" spans="1:12" x14ac:dyDescent="0.25">
      <c r="A40" s="33">
        <v>45410</v>
      </c>
      <c r="B40" s="34" t="s">
        <v>1578</v>
      </c>
      <c r="C40" s="28" t="s">
        <v>731</v>
      </c>
      <c r="D40" s="35" t="s">
        <v>323</v>
      </c>
      <c r="E40" s="14" t="s">
        <v>17</v>
      </c>
      <c r="F40" s="30">
        <v>125.25</v>
      </c>
      <c r="G40" s="30">
        <v>26.3</v>
      </c>
      <c r="H40" s="30"/>
      <c r="I40" s="9">
        <f t="shared" si="0"/>
        <v>26.3</v>
      </c>
      <c r="J40" s="31"/>
      <c r="K40" s="9">
        <f t="shared" si="1"/>
        <v>151.55000000000001</v>
      </c>
      <c r="L40" t="s">
        <v>42</v>
      </c>
    </row>
    <row r="41" spans="1:12" x14ac:dyDescent="0.25">
      <c r="A41" s="33">
        <v>45402</v>
      </c>
      <c r="B41" s="34" t="s">
        <v>1806</v>
      </c>
      <c r="C41" s="28" t="s">
        <v>1848</v>
      </c>
      <c r="D41" s="35" t="s">
        <v>1807</v>
      </c>
      <c r="E41" s="29" t="s">
        <v>797</v>
      </c>
      <c r="F41" s="30">
        <v>39.880000000000003</v>
      </c>
      <c r="G41" s="30">
        <v>8.3699999999999992</v>
      </c>
      <c r="H41" s="30"/>
      <c r="I41" s="9">
        <f t="shared" si="0"/>
        <v>8.3699999999999992</v>
      </c>
      <c r="J41" s="31"/>
      <c r="K41" s="9">
        <f t="shared" si="1"/>
        <v>48.25</v>
      </c>
      <c r="L41" t="s">
        <v>42</v>
      </c>
    </row>
    <row r="42" spans="1:12" x14ac:dyDescent="0.25">
      <c r="A42" s="33">
        <v>45401</v>
      </c>
      <c r="B42" s="34" t="s">
        <v>1847</v>
      </c>
      <c r="C42" s="28" t="s">
        <v>1436</v>
      </c>
      <c r="D42" s="35" t="s">
        <v>280</v>
      </c>
      <c r="E42" s="29" t="s">
        <v>281</v>
      </c>
      <c r="F42" s="30">
        <v>3.97</v>
      </c>
      <c r="G42" s="30">
        <v>0.83</v>
      </c>
      <c r="H42" s="30"/>
      <c r="I42" s="9">
        <f t="shared" si="0"/>
        <v>0.83</v>
      </c>
      <c r="J42" s="31"/>
      <c r="K42" s="9">
        <f t="shared" si="1"/>
        <v>4.8</v>
      </c>
      <c r="L42" t="s">
        <v>42</v>
      </c>
    </row>
    <row r="43" spans="1:12" x14ac:dyDescent="0.25">
      <c r="A43" s="33">
        <v>45399</v>
      </c>
      <c r="B43" s="34" t="s">
        <v>1849</v>
      </c>
      <c r="C43" s="28" t="s">
        <v>1850</v>
      </c>
      <c r="D43" s="35" t="s">
        <v>1851</v>
      </c>
      <c r="E43" s="29" t="s">
        <v>1852</v>
      </c>
      <c r="F43" s="30">
        <v>50</v>
      </c>
      <c r="G43" s="30">
        <v>10.5</v>
      </c>
      <c r="H43" s="30"/>
      <c r="I43" s="9">
        <f t="shared" si="0"/>
        <v>10.5</v>
      </c>
      <c r="J43" s="31"/>
      <c r="K43" s="9">
        <f t="shared" si="1"/>
        <v>60.5</v>
      </c>
      <c r="L43" t="s">
        <v>267</v>
      </c>
    </row>
    <row r="44" spans="1:12" x14ac:dyDescent="0.25">
      <c r="A44" s="33">
        <v>45412</v>
      </c>
      <c r="B44" s="34" t="s">
        <v>1960</v>
      </c>
      <c r="C44" s="28" t="s">
        <v>715</v>
      </c>
      <c r="D44" s="35" t="s">
        <v>542</v>
      </c>
      <c r="E44" s="29" t="s">
        <v>17</v>
      </c>
      <c r="F44" s="30">
        <v>2864.97</v>
      </c>
      <c r="G44" s="30">
        <v>601.64</v>
      </c>
      <c r="H44" s="30"/>
      <c r="I44" s="9">
        <f t="shared" si="0"/>
        <v>601.64</v>
      </c>
      <c r="J44" s="31"/>
      <c r="K44" s="9">
        <f t="shared" si="1"/>
        <v>3466.6099999999997</v>
      </c>
      <c r="L44" t="s">
        <v>42</v>
      </c>
    </row>
    <row r="45" spans="1:12" x14ac:dyDescent="0.25">
      <c r="A45" s="33">
        <v>45407</v>
      </c>
      <c r="B45" s="34" t="s">
        <v>1962</v>
      </c>
      <c r="C45" s="28" t="s">
        <v>2383</v>
      </c>
      <c r="D45" s="36" t="s">
        <v>2384</v>
      </c>
      <c r="E45" s="29" t="s">
        <v>699</v>
      </c>
      <c r="F45" s="30">
        <v>154.38</v>
      </c>
      <c r="G45" s="30">
        <v>32.42</v>
      </c>
      <c r="H45" s="30"/>
      <c r="I45" s="9">
        <f t="shared" si="0"/>
        <v>32.42</v>
      </c>
      <c r="J45" s="31"/>
      <c r="K45" s="9">
        <f t="shared" si="1"/>
        <v>186.8</v>
      </c>
      <c r="L45" t="s">
        <v>295</v>
      </c>
    </row>
    <row r="46" spans="1:12" x14ac:dyDescent="0.25">
      <c r="A46" s="33">
        <v>45407</v>
      </c>
      <c r="B46" s="34" t="s">
        <v>1963</v>
      </c>
      <c r="C46" s="28" t="s">
        <v>2383</v>
      </c>
      <c r="D46" s="36" t="s">
        <v>2384</v>
      </c>
      <c r="E46" s="29" t="s">
        <v>699</v>
      </c>
      <c r="F46" s="30">
        <v>17.27</v>
      </c>
      <c r="G46" s="30">
        <v>3.63</v>
      </c>
      <c r="H46" s="30"/>
      <c r="I46" s="9">
        <f t="shared" si="0"/>
        <v>3.63</v>
      </c>
      <c r="J46" s="31"/>
      <c r="K46" s="9">
        <f t="shared" si="1"/>
        <v>20.9</v>
      </c>
      <c r="L46" t="s">
        <v>295</v>
      </c>
    </row>
    <row r="47" spans="1:12" x14ac:dyDescent="0.25">
      <c r="A47" s="33">
        <v>45405</v>
      </c>
      <c r="B47" s="34" t="s">
        <v>1969</v>
      </c>
      <c r="C47" s="28" t="s">
        <v>829</v>
      </c>
      <c r="D47" s="35" t="s">
        <v>830</v>
      </c>
      <c r="E47" s="29" t="s">
        <v>797</v>
      </c>
      <c r="F47" s="30">
        <v>614.88</v>
      </c>
      <c r="G47" s="30">
        <v>129.12</v>
      </c>
      <c r="H47" s="30"/>
      <c r="I47" s="9">
        <f t="shared" si="0"/>
        <v>129.12</v>
      </c>
      <c r="J47" s="31"/>
      <c r="K47" s="9">
        <f t="shared" si="1"/>
        <v>744</v>
      </c>
      <c r="L47" t="s">
        <v>267</v>
      </c>
    </row>
    <row r="48" spans="1:12" x14ac:dyDescent="0.25">
      <c r="A48" s="33">
        <v>45391</v>
      </c>
      <c r="B48" s="34" t="s">
        <v>2376</v>
      </c>
      <c r="C48" s="28" t="s">
        <v>292</v>
      </c>
      <c r="D48" s="36" t="s">
        <v>293</v>
      </c>
      <c r="E48" s="14" t="s">
        <v>792</v>
      </c>
      <c r="F48" s="30">
        <v>107.36</v>
      </c>
      <c r="G48" s="30">
        <v>22.55</v>
      </c>
      <c r="H48" s="30"/>
      <c r="I48" s="9">
        <f t="shared" si="0"/>
        <v>22.55</v>
      </c>
      <c r="J48" s="31"/>
      <c r="K48" s="9">
        <f t="shared" si="1"/>
        <v>129.91</v>
      </c>
      <c r="L48" t="s">
        <v>295</v>
      </c>
    </row>
    <row r="49" spans="1:13" x14ac:dyDescent="0.25">
      <c r="A49" s="33">
        <v>45393</v>
      </c>
      <c r="B49" s="34" t="s">
        <v>2377</v>
      </c>
      <c r="C49" s="28" t="s">
        <v>292</v>
      </c>
      <c r="D49" s="36" t="s">
        <v>293</v>
      </c>
      <c r="E49" s="14" t="s">
        <v>792</v>
      </c>
      <c r="F49" s="30">
        <v>18.559999999999999</v>
      </c>
      <c r="G49" s="30">
        <v>3.9</v>
      </c>
      <c r="H49" s="30"/>
      <c r="I49" s="9">
        <f t="shared" si="0"/>
        <v>3.9</v>
      </c>
      <c r="J49" s="31"/>
      <c r="K49" s="9">
        <f t="shared" si="1"/>
        <v>22.459999999999997</v>
      </c>
      <c r="L49" t="s">
        <v>295</v>
      </c>
    </row>
    <row r="50" spans="1:13" x14ac:dyDescent="0.25">
      <c r="A50" s="33">
        <v>45384</v>
      </c>
      <c r="B50" s="34" t="s">
        <v>2378</v>
      </c>
      <c r="C50" s="28" t="s">
        <v>302</v>
      </c>
      <c r="D50" s="35" t="s">
        <v>386</v>
      </c>
      <c r="E50" s="14" t="s">
        <v>304</v>
      </c>
      <c r="F50" s="30">
        <v>16</v>
      </c>
      <c r="G50" s="30">
        <v>3.36</v>
      </c>
      <c r="H50" s="30"/>
      <c r="I50" s="9">
        <f t="shared" si="0"/>
        <v>3.36</v>
      </c>
      <c r="J50" s="31"/>
      <c r="K50" s="9">
        <f t="shared" si="1"/>
        <v>19.36</v>
      </c>
      <c r="L50" t="s">
        <v>295</v>
      </c>
    </row>
    <row r="51" spans="1:13" x14ac:dyDescent="0.25">
      <c r="A51" s="33">
        <v>45393</v>
      </c>
      <c r="B51" s="34" t="s">
        <v>2379</v>
      </c>
      <c r="C51" s="28" t="s">
        <v>302</v>
      </c>
      <c r="D51" s="35" t="s">
        <v>386</v>
      </c>
      <c r="E51" s="14" t="s">
        <v>304</v>
      </c>
      <c r="F51" s="30">
        <v>15</v>
      </c>
      <c r="G51" s="30">
        <v>3.15</v>
      </c>
      <c r="H51" s="30"/>
      <c r="I51" s="9">
        <f t="shared" si="0"/>
        <v>3.15</v>
      </c>
      <c r="J51" s="31"/>
      <c r="K51" s="9">
        <f t="shared" si="1"/>
        <v>18.149999999999999</v>
      </c>
      <c r="L51" t="s">
        <v>295</v>
      </c>
    </row>
    <row r="52" spans="1:13" x14ac:dyDescent="0.25">
      <c r="A52" s="33">
        <v>45398</v>
      </c>
      <c r="B52" s="34" t="s">
        <v>2380</v>
      </c>
      <c r="C52" s="28" t="s">
        <v>302</v>
      </c>
      <c r="D52" s="35" t="s">
        <v>386</v>
      </c>
      <c r="E52" s="29" t="s">
        <v>304</v>
      </c>
      <c r="F52" s="30">
        <v>23.75</v>
      </c>
      <c r="G52" s="30">
        <v>4.99</v>
      </c>
      <c r="H52" s="30"/>
      <c r="I52" s="9">
        <f t="shared" si="0"/>
        <v>4.99</v>
      </c>
      <c r="J52" s="31"/>
      <c r="K52" s="9">
        <f t="shared" si="1"/>
        <v>28.740000000000002</v>
      </c>
      <c r="L52" t="s">
        <v>295</v>
      </c>
    </row>
    <row r="53" spans="1:13" x14ac:dyDescent="0.25">
      <c r="A53" s="38">
        <v>45401</v>
      </c>
      <c r="B53" s="34" t="s">
        <v>2381</v>
      </c>
      <c r="C53" s="28" t="s">
        <v>302</v>
      </c>
      <c r="D53" s="35" t="s">
        <v>386</v>
      </c>
      <c r="E53" s="14" t="s">
        <v>304</v>
      </c>
      <c r="F53" s="30">
        <v>29.99</v>
      </c>
      <c r="G53" s="30">
        <v>6.3</v>
      </c>
      <c r="H53" s="30"/>
      <c r="I53" s="9">
        <f t="shared" si="0"/>
        <v>6.3</v>
      </c>
      <c r="J53" s="31"/>
      <c r="K53" s="9">
        <f t="shared" si="1"/>
        <v>36.29</v>
      </c>
      <c r="L53" t="s">
        <v>295</v>
      </c>
    </row>
    <row r="54" spans="1:13" x14ac:dyDescent="0.25">
      <c r="A54" s="33">
        <v>45401</v>
      </c>
      <c r="B54" s="112" t="s">
        <v>2382</v>
      </c>
      <c r="C54" s="28" t="s">
        <v>302</v>
      </c>
      <c r="D54" s="35" t="s">
        <v>386</v>
      </c>
      <c r="E54" s="29" t="s">
        <v>304</v>
      </c>
      <c r="F54" s="30">
        <v>29.99</v>
      </c>
      <c r="G54" s="30">
        <v>6.3</v>
      </c>
      <c r="H54" s="30"/>
      <c r="I54" s="9">
        <f t="shared" si="0"/>
        <v>6.3</v>
      </c>
      <c r="J54" s="31"/>
      <c r="K54" s="9">
        <f t="shared" si="1"/>
        <v>36.29</v>
      </c>
      <c r="L54" t="s">
        <v>295</v>
      </c>
    </row>
    <row r="55" spans="1:13" x14ac:dyDescent="0.25">
      <c r="A55" s="33">
        <v>45404</v>
      </c>
      <c r="B55" s="34" t="s">
        <v>2385</v>
      </c>
      <c r="C55" s="28" t="s">
        <v>302</v>
      </c>
      <c r="D55" s="35" t="s">
        <v>386</v>
      </c>
      <c r="E55" s="29" t="s">
        <v>304</v>
      </c>
      <c r="F55" s="30">
        <v>29.99</v>
      </c>
      <c r="G55" s="30">
        <v>6.3</v>
      </c>
      <c r="H55" s="30"/>
      <c r="I55" s="9">
        <f t="shared" si="0"/>
        <v>6.3</v>
      </c>
      <c r="J55" s="31"/>
      <c r="K55" s="9">
        <f t="shared" si="1"/>
        <v>36.29</v>
      </c>
      <c r="L55" t="s">
        <v>295</v>
      </c>
    </row>
    <row r="56" spans="1:13" x14ac:dyDescent="0.25">
      <c r="A56" s="33">
        <v>45408</v>
      </c>
      <c r="B56" s="34" t="s">
        <v>2389</v>
      </c>
      <c r="C56" s="28" t="s">
        <v>2390</v>
      </c>
      <c r="D56" s="35" t="s">
        <v>2391</v>
      </c>
      <c r="E56" s="29" t="s">
        <v>2392</v>
      </c>
      <c r="F56" s="30">
        <v>54.9</v>
      </c>
      <c r="G56" s="30">
        <v>5.49</v>
      </c>
      <c r="H56" s="30"/>
      <c r="I56" s="9">
        <f t="shared" si="0"/>
        <v>5.49</v>
      </c>
      <c r="J56" s="31"/>
      <c r="K56" s="9">
        <f t="shared" si="1"/>
        <v>60.39</v>
      </c>
      <c r="L56" t="s">
        <v>295</v>
      </c>
    </row>
    <row r="57" spans="1:13" x14ac:dyDescent="0.25">
      <c r="A57" s="167">
        <v>45349</v>
      </c>
      <c r="B57" s="168" t="s">
        <v>2393</v>
      </c>
      <c r="C57" s="169" t="s">
        <v>2390</v>
      </c>
      <c r="D57" s="170" t="s">
        <v>2391</v>
      </c>
      <c r="E57" s="171" t="s">
        <v>2392</v>
      </c>
      <c r="F57" s="172">
        <v>59.3</v>
      </c>
      <c r="G57" s="172">
        <v>5.93</v>
      </c>
      <c r="H57" s="172"/>
      <c r="I57" s="173">
        <f t="shared" si="0"/>
        <v>5.93</v>
      </c>
      <c r="J57" s="174"/>
      <c r="K57" s="173">
        <f t="shared" si="1"/>
        <v>65.22999999999999</v>
      </c>
      <c r="L57" s="182" t="s">
        <v>295</v>
      </c>
      <c r="M57" s="182"/>
    </row>
    <row r="58" spans="1:13" x14ac:dyDescent="0.25">
      <c r="A58" s="33">
        <v>45403</v>
      </c>
      <c r="B58" s="34" t="s">
        <v>2424</v>
      </c>
      <c r="C58" s="28" t="s">
        <v>2416</v>
      </c>
      <c r="D58" s="35" t="s">
        <v>2417</v>
      </c>
      <c r="E58" s="29" t="s">
        <v>281</v>
      </c>
      <c r="F58" s="30">
        <v>26.59</v>
      </c>
      <c r="G58" s="30">
        <v>5.58</v>
      </c>
      <c r="H58" s="30"/>
      <c r="I58" s="9">
        <f t="shared" si="0"/>
        <v>5.58</v>
      </c>
      <c r="J58" s="31"/>
      <c r="K58" s="9">
        <f t="shared" si="1"/>
        <v>32.17</v>
      </c>
      <c r="L58" t="s">
        <v>267</v>
      </c>
    </row>
    <row r="59" spans="1:13" x14ac:dyDescent="0.25">
      <c r="A59" s="33">
        <v>45404</v>
      </c>
      <c r="B59" s="34" t="s">
        <v>2421</v>
      </c>
      <c r="C59" s="28" t="s">
        <v>2422</v>
      </c>
      <c r="D59" s="35" t="s">
        <v>2423</v>
      </c>
      <c r="E59" s="29" t="s">
        <v>281</v>
      </c>
      <c r="F59" s="30">
        <v>66.099999999999994</v>
      </c>
      <c r="G59" s="30">
        <v>13.88</v>
      </c>
      <c r="H59" s="30"/>
      <c r="I59" s="9">
        <f t="shared" si="0"/>
        <v>13.88</v>
      </c>
      <c r="J59" s="31"/>
      <c r="K59" s="9">
        <f t="shared" si="1"/>
        <v>79.97999999999999</v>
      </c>
      <c r="L59" t="s">
        <v>267</v>
      </c>
    </row>
    <row r="60" spans="1:13" x14ac:dyDescent="0.25">
      <c r="A60" s="33">
        <v>45403</v>
      </c>
      <c r="B60" s="34" t="s">
        <v>2418</v>
      </c>
      <c r="C60" s="28" t="s">
        <v>2419</v>
      </c>
      <c r="D60" s="35" t="s">
        <v>2420</v>
      </c>
      <c r="E60" s="29" t="s">
        <v>281</v>
      </c>
      <c r="F60" s="30">
        <v>45.09</v>
      </c>
      <c r="G60" s="30">
        <v>9.4499999999999993</v>
      </c>
      <c r="H60" s="30"/>
      <c r="I60" s="9">
        <f t="shared" si="0"/>
        <v>9.4499999999999993</v>
      </c>
      <c r="J60" s="31"/>
      <c r="K60" s="9">
        <f t="shared" si="1"/>
        <v>54.540000000000006</v>
      </c>
      <c r="L60" t="s">
        <v>267</v>
      </c>
    </row>
    <row r="61" spans="1:13" x14ac:dyDescent="0.25">
      <c r="A61" s="33">
        <v>45411</v>
      </c>
      <c r="B61" s="34" t="s">
        <v>2412</v>
      </c>
      <c r="C61" s="28" t="s">
        <v>2413</v>
      </c>
      <c r="D61" s="35" t="s">
        <v>2414</v>
      </c>
      <c r="E61" s="29" t="s">
        <v>281</v>
      </c>
      <c r="F61" s="30">
        <v>19.829999999999998</v>
      </c>
      <c r="G61" s="30">
        <v>4.16</v>
      </c>
      <c r="H61" s="30"/>
      <c r="I61" s="9">
        <f t="shared" si="0"/>
        <v>4.16</v>
      </c>
      <c r="J61" s="31"/>
      <c r="K61" s="9">
        <f t="shared" si="1"/>
        <v>23.99</v>
      </c>
      <c r="L61" t="s">
        <v>267</v>
      </c>
    </row>
    <row r="62" spans="1:13" x14ac:dyDescent="0.25">
      <c r="A62" s="33">
        <v>45411</v>
      </c>
      <c r="B62" s="34" t="s">
        <v>2415</v>
      </c>
      <c r="C62" s="28" t="s">
        <v>2416</v>
      </c>
      <c r="D62" s="35" t="s">
        <v>2417</v>
      </c>
      <c r="E62" s="29" t="s">
        <v>281</v>
      </c>
      <c r="F62" s="30">
        <v>23.06</v>
      </c>
      <c r="G62" s="30">
        <v>4.84</v>
      </c>
      <c r="H62" s="30"/>
      <c r="I62" s="9">
        <f t="shared" si="0"/>
        <v>4.84</v>
      </c>
      <c r="J62" s="31"/>
      <c r="K62" s="9">
        <f t="shared" si="1"/>
        <v>27.9</v>
      </c>
      <c r="L62" t="s">
        <v>267</v>
      </c>
    </row>
    <row r="63" spans="1:13" x14ac:dyDescent="0.25">
      <c r="A63" s="33">
        <v>45398</v>
      </c>
      <c r="B63" s="34" t="s">
        <v>2456</v>
      </c>
      <c r="C63" s="185" t="s">
        <v>2455</v>
      </c>
      <c r="D63" s="35" t="s">
        <v>2457</v>
      </c>
      <c r="E63" s="29" t="s">
        <v>2458</v>
      </c>
      <c r="F63" s="30">
        <v>24.75</v>
      </c>
      <c r="G63" s="30">
        <v>5.19</v>
      </c>
      <c r="H63" s="30"/>
      <c r="I63" s="9">
        <f t="shared" si="0"/>
        <v>5.19</v>
      </c>
      <c r="J63" s="31"/>
      <c r="K63" s="9">
        <f t="shared" si="1"/>
        <v>29.94</v>
      </c>
      <c r="L63" t="s">
        <v>267</v>
      </c>
    </row>
    <row r="64" spans="1:13" x14ac:dyDescent="0.25">
      <c r="A64" s="33">
        <v>45383</v>
      </c>
      <c r="B64" s="34" t="s">
        <v>2505</v>
      </c>
      <c r="C64" s="28" t="s">
        <v>1412</v>
      </c>
      <c r="D64" s="36" t="s">
        <v>1414</v>
      </c>
      <c r="E64" s="29" t="s">
        <v>827</v>
      </c>
      <c r="F64" s="30">
        <v>148.76</v>
      </c>
      <c r="G64" s="30">
        <v>31.24</v>
      </c>
      <c r="H64" s="30"/>
      <c r="I64" s="9">
        <f t="shared" si="0"/>
        <v>31.24</v>
      </c>
      <c r="J64" s="31"/>
      <c r="K64" s="9">
        <f t="shared" si="1"/>
        <v>180</v>
      </c>
      <c r="L64" t="s">
        <v>41</v>
      </c>
    </row>
    <row r="65" spans="1:11" x14ac:dyDescent="0.25">
      <c r="A65" s="33">
        <v>45383</v>
      </c>
      <c r="B65" s="34" t="s">
        <v>2504</v>
      </c>
      <c r="C65" s="28" t="s">
        <v>1101</v>
      </c>
      <c r="D65" s="35" t="s">
        <v>1102</v>
      </c>
      <c r="E65" s="29" t="s">
        <v>1105</v>
      </c>
      <c r="F65" s="30">
        <v>900</v>
      </c>
      <c r="G65" s="30">
        <v>189</v>
      </c>
      <c r="H65" s="30"/>
      <c r="I65" s="9">
        <f t="shared" si="0"/>
        <v>189</v>
      </c>
      <c r="J65" s="31"/>
      <c r="K65" s="9">
        <f t="shared" si="1"/>
        <v>1089</v>
      </c>
    </row>
    <row r="66" spans="1:11" x14ac:dyDescent="0.25">
      <c r="A66" s="33"/>
      <c r="B66" s="35"/>
      <c r="C66" s="28"/>
      <c r="D66" s="154"/>
      <c r="E66" s="29"/>
      <c r="F66" s="30"/>
      <c r="G66" s="30"/>
      <c r="H66" s="30"/>
      <c r="I66" s="9">
        <f t="shared" si="0"/>
        <v>0</v>
      </c>
      <c r="J66" s="31"/>
      <c r="K66" s="9">
        <f t="shared" si="1"/>
        <v>0</v>
      </c>
    </row>
    <row r="67" spans="1:11" x14ac:dyDescent="0.25">
      <c r="A67" s="39" t="s">
        <v>11</v>
      </c>
      <c r="B67" s="39"/>
      <c r="C67" s="39"/>
      <c r="D67" s="155"/>
      <c r="E67" s="39"/>
      <c r="F67" s="40">
        <f>SUM(F5:F66)</f>
        <v>11155.479999999996</v>
      </c>
      <c r="G67" s="41">
        <f>SUM(G5:G66)</f>
        <v>1654.2300000000005</v>
      </c>
      <c r="H67" s="41">
        <f>SUM(H5:H66)</f>
        <v>88.51</v>
      </c>
      <c r="I67" s="40">
        <f>SUM(I5:I66)</f>
        <v>1742.7400000000002</v>
      </c>
      <c r="J67" s="42">
        <f>SUM(J5:J65)</f>
        <v>0</v>
      </c>
      <c r="K67" s="43">
        <f>SUM(K5:K66)</f>
        <v>12898.22</v>
      </c>
    </row>
    <row r="70" spans="1:11" ht="15.75" thickBot="1" x14ac:dyDescent="0.3"/>
    <row r="71" spans="1:11" ht="30" x14ac:dyDescent="0.25">
      <c r="A71" s="44" t="s">
        <v>1</v>
      </c>
      <c r="B71" s="45" t="s">
        <v>2</v>
      </c>
      <c r="C71" s="46" t="s">
        <v>26</v>
      </c>
      <c r="D71" s="46" t="s">
        <v>4</v>
      </c>
      <c r="E71" s="46" t="s">
        <v>5</v>
      </c>
      <c r="F71" s="46" t="s">
        <v>6</v>
      </c>
      <c r="G71" s="46" t="s">
        <v>7</v>
      </c>
      <c r="H71" s="46" t="s">
        <v>8</v>
      </c>
      <c r="I71" s="46" t="s">
        <v>9</v>
      </c>
      <c r="J71" s="47" t="s">
        <v>10</v>
      </c>
      <c r="K71" s="2" t="s">
        <v>11</v>
      </c>
    </row>
    <row r="72" spans="1:11" x14ac:dyDescent="0.25">
      <c r="A72" s="184">
        <v>45383</v>
      </c>
      <c r="B72" s="51" t="s">
        <v>2441</v>
      </c>
      <c r="C72" s="14" t="s">
        <v>2446</v>
      </c>
      <c r="D72" s="14" t="s">
        <v>2447</v>
      </c>
      <c r="E72" s="14" t="s">
        <v>30</v>
      </c>
      <c r="F72" s="60">
        <v>140</v>
      </c>
      <c r="G72" s="30">
        <v>29.4</v>
      </c>
      <c r="H72" s="30"/>
      <c r="I72" s="30">
        <f>G72+H72</f>
        <v>29.4</v>
      </c>
      <c r="J72" s="31"/>
      <c r="K72" s="50">
        <f>F72+I72-J72</f>
        <v>169.4</v>
      </c>
    </row>
    <row r="73" spans="1:11" x14ac:dyDescent="0.25">
      <c r="A73" s="184">
        <v>45383</v>
      </c>
      <c r="B73" s="51" t="s">
        <v>2442</v>
      </c>
      <c r="C73" s="14" t="s">
        <v>2448</v>
      </c>
      <c r="D73" s="14" t="s">
        <v>2449</v>
      </c>
      <c r="E73" s="14" t="s">
        <v>2450</v>
      </c>
      <c r="F73" s="60">
        <v>1400</v>
      </c>
      <c r="G73" s="30">
        <v>294</v>
      </c>
      <c r="H73" s="30"/>
      <c r="I73" s="30">
        <f>G73+H73</f>
        <v>294</v>
      </c>
      <c r="J73" s="31">
        <v>266</v>
      </c>
      <c r="K73" s="50">
        <f>F73+I73-J73</f>
        <v>1428</v>
      </c>
    </row>
    <row r="74" spans="1:11" x14ac:dyDescent="0.25">
      <c r="A74" s="184">
        <v>45411</v>
      </c>
      <c r="B74" s="36" t="s">
        <v>2443</v>
      </c>
      <c r="C74" s="26" t="s">
        <v>2451</v>
      </c>
      <c r="D74" t="s">
        <v>1093</v>
      </c>
      <c r="E74" s="26" t="s">
        <v>30</v>
      </c>
      <c r="F74" s="30">
        <v>250</v>
      </c>
      <c r="G74" s="30">
        <v>52.5</v>
      </c>
      <c r="H74" s="30"/>
      <c r="I74" s="30">
        <f>G74+H74</f>
        <v>52.5</v>
      </c>
      <c r="J74" s="31"/>
      <c r="K74" s="50">
        <f>F74+I74-J74</f>
        <v>302.5</v>
      </c>
    </row>
    <row r="75" spans="1:11" x14ac:dyDescent="0.25">
      <c r="A75" s="184">
        <v>45411</v>
      </c>
      <c r="B75" s="36" t="s">
        <v>2444</v>
      </c>
      <c r="C75" s="36" t="s">
        <v>2452</v>
      </c>
      <c r="D75" t="s">
        <v>2453</v>
      </c>
      <c r="E75" s="36" t="s">
        <v>30</v>
      </c>
      <c r="F75" s="30">
        <v>470</v>
      </c>
      <c r="G75" s="30">
        <v>98.7</v>
      </c>
      <c r="H75" s="30"/>
      <c r="I75" s="30">
        <f>G75+H75</f>
        <v>98.7</v>
      </c>
      <c r="J75" s="31"/>
      <c r="K75" s="50">
        <f>F75+I75-J75</f>
        <v>568.70000000000005</v>
      </c>
    </row>
    <row r="76" spans="1:11" x14ac:dyDescent="0.25">
      <c r="A76" s="184">
        <v>45412</v>
      </c>
      <c r="B76" s="36" t="s">
        <v>2445</v>
      </c>
      <c r="C76" s="36" t="s">
        <v>1081</v>
      </c>
      <c r="D76" t="s">
        <v>2454</v>
      </c>
      <c r="E76" s="36" t="s">
        <v>30</v>
      </c>
      <c r="F76" s="30">
        <v>720</v>
      </c>
      <c r="G76" s="30">
        <v>151.19999999999999</v>
      </c>
      <c r="H76" s="30"/>
      <c r="I76" s="30">
        <f>G76+H76</f>
        <v>151.19999999999999</v>
      </c>
      <c r="J76" s="31"/>
      <c r="K76" s="50">
        <f>F76+I76-J76</f>
        <v>871.2</v>
      </c>
    </row>
    <row r="77" spans="1:11" x14ac:dyDescent="0.25">
      <c r="A77" s="319" t="s">
        <v>11</v>
      </c>
      <c r="B77" s="319"/>
      <c r="C77" s="319"/>
      <c r="D77" s="319"/>
      <c r="E77" s="319"/>
      <c r="F77" s="40">
        <f>SUM(F72:F76)</f>
        <v>2980</v>
      </c>
      <c r="G77" s="36"/>
      <c r="H77" s="36"/>
      <c r="I77" s="40">
        <f>SUM(I72:I76)</f>
        <v>625.79999999999995</v>
      </c>
      <c r="J77" s="164">
        <f>SUM(J73:J76)</f>
        <v>266</v>
      </c>
      <c r="K77" s="160">
        <f>SUM(K72:K76)</f>
        <v>3339.8</v>
      </c>
    </row>
  </sheetData>
  <mergeCells count="1">
    <mergeCell ref="A77:E7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76CE-8DC9-4193-B2FA-A1BEBAF7FCA7}">
  <dimension ref="A1:O209"/>
  <sheetViews>
    <sheetView topLeftCell="A19" workbookViewId="0">
      <selection activeCell="E3" sqref="E3"/>
    </sheetView>
  </sheetViews>
  <sheetFormatPr baseColWidth="10" defaultRowHeight="15" x14ac:dyDescent="0.25"/>
  <cols>
    <col min="2" max="2" width="20" customWidth="1"/>
    <col min="3" max="3" width="38.5703125" customWidth="1"/>
    <col min="4" max="4" width="12" bestFit="1" customWidth="1"/>
    <col min="7" max="7" width="15.7109375" customWidth="1"/>
    <col min="9" max="9" width="21.85546875" customWidth="1"/>
    <col min="10" max="10" width="13" bestFit="1" customWidth="1"/>
  </cols>
  <sheetData>
    <row r="1" spans="1:15" x14ac:dyDescent="0.25">
      <c r="A1" s="319" t="s">
        <v>1</v>
      </c>
      <c r="B1" s="319" t="s">
        <v>2</v>
      </c>
      <c r="C1" s="319" t="s">
        <v>32</v>
      </c>
      <c r="D1" s="319" t="s">
        <v>33</v>
      </c>
      <c r="E1" s="319" t="s">
        <v>408</v>
      </c>
      <c r="F1" s="319" t="s">
        <v>11</v>
      </c>
      <c r="G1" s="319" t="s">
        <v>34</v>
      </c>
      <c r="H1" s="319"/>
      <c r="I1" s="319" t="s">
        <v>35</v>
      </c>
      <c r="J1" s="319" t="s">
        <v>36</v>
      </c>
      <c r="K1" s="319" t="s">
        <v>37</v>
      </c>
      <c r="L1" s="319" t="s">
        <v>38</v>
      </c>
      <c r="M1" s="319" t="s">
        <v>37</v>
      </c>
      <c r="N1" s="320" t="s">
        <v>38</v>
      </c>
      <c r="O1" s="319" t="s">
        <v>40</v>
      </c>
    </row>
    <row r="2" spans="1:15" x14ac:dyDescent="0.25">
      <c r="A2" s="320"/>
      <c r="B2" s="320"/>
      <c r="C2" s="320"/>
      <c r="D2" s="320"/>
      <c r="E2" s="320"/>
      <c r="F2" s="320"/>
      <c r="G2" s="52" t="s">
        <v>41</v>
      </c>
      <c r="H2" s="53" t="s">
        <v>42</v>
      </c>
      <c r="I2" s="320"/>
      <c r="J2" s="320"/>
      <c r="K2" s="320"/>
      <c r="L2" s="320"/>
      <c r="M2" s="319"/>
      <c r="N2" s="321"/>
      <c r="O2" s="319"/>
    </row>
    <row r="3" spans="1:15" x14ac:dyDescent="0.25">
      <c r="A3" s="54">
        <v>45384</v>
      </c>
      <c r="B3" s="55" t="s">
        <v>1388</v>
      </c>
      <c r="C3" s="55" t="s">
        <v>43</v>
      </c>
      <c r="D3" s="56">
        <f>F3/1.1</f>
        <v>136.36363636363635</v>
      </c>
      <c r="E3" s="56">
        <f t="shared" ref="E3:E34" si="0">D3*10/100</f>
        <v>13.636363636363635</v>
      </c>
      <c r="F3" s="57">
        <v>150</v>
      </c>
      <c r="G3" s="56"/>
      <c r="H3" s="58">
        <v>150</v>
      </c>
      <c r="I3" s="136"/>
      <c r="J3" s="137">
        <v>150</v>
      </c>
      <c r="K3" s="137"/>
      <c r="L3" s="55"/>
      <c r="M3" s="138"/>
      <c r="N3" s="22"/>
      <c r="O3" s="22"/>
    </row>
    <row r="4" spans="1:15" x14ac:dyDescent="0.25">
      <c r="A4" s="54">
        <v>45384</v>
      </c>
      <c r="B4" s="55" t="s">
        <v>1389</v>
      </c>
      <c r="C4" s="55" t="s">
        <v>43</v>
      </c>
      <c r="D4" s="56">
        <f t="shared" ref="D4:D67" si="1">F4/1.1</f>
        <v>290.90909090909088</v>
      </c>
      <c r="E4" s="56">
        <f t="shared" si="0"/>
        <v>29.09090909090909</v>
      </c>
      <c r="F4" s="61">
        <v>320</v>
      </c>
      <c r="G4" s="56"/>
      <c r="H4" s="58">
        <v>320</v>
      </c>
      <c r="I4" s="136"/>
      <c r="J4" s="137">
        <v>320</v>
      </c>
      <c r="K4" s="137"/>
      <c r="L4" s="55"/>
      <c r="M4" s="138"/>
      <c r="N4" s="22"/>
      <c r="O4" s="22"/>
    </row>
    <row r="5" spans="1:15" x14ac:dyDescent="0.25">
      <c r="A5" s="54">
        <v>45384</v>
      </c>
      <c r="B5" s="55" t="s">
        <v>1390</v>
      </c>
      <c r="C5" s="55" t="s">
        <v>43</v>
      </c>
      <c r="D5" s="56">
        <f t="shared" si="1"/>
        <v>154.54545454545453</v>
      </c>
      <c r="E5" s="56">
        <f t="shared" si="0"/>
        <v>15.454545454545453</v>
      </c>
      <c r="F5" s="61">
        <v>170</v>
      </c>
      <c r="G5" s="56"/>
      <c r="H5" s="58">
        <v>170</v>
      </c>
      <c r="I5" s="136"/>
      <c r="J5" s="137">
        <v>170</v>
      </c>
      <c r="K5" s="137"/>
      <c r="L5" s="55"/>
      <c r="M5" s="138"/>
      <c r="N5" s="22"/>
      <c r="O5" s="22"/>
    </row>
    <row r="6" spans="1:15" x14ac:dyDescent="0.25">
      <c r="A6" s="54">
        <v>45386</v>
      </c>
      <c r="B6" s="55" t="s">
        <v>1391</v>
      </c>
      <c r="C6" s="55" t="s">
        <v>43</v>
      </c>
      <c r="D6" s="56">
        <f t="shared" si="1"/>
        <v>272.72727272727269</v>
      </c>
      <c r="E6" s="56">
        <f t="shared" si="0"/>
        <v>27.27272727272727</v>
      </c>
      <c r="F6" s="61">
        <v>300</v>
      </c>
      <c r="G6" s="56">
        <v>100</v>
      </c>
      <c r="H6" s="58">
        <v>200</v>
      </c>
      <c r="I6" s="136" t="s">
        <v>1023</v>
      </c>
      <c r="J6" s="137">
        <v>300</v>
      </c>
      <c r="K6" s="137"/>
      <c r="L6" s="55"/>
      <c r="M6" s="138"/>
      <c r="N6" s="22"/>
      <c r="O6" s="22"/>
    </row>
    <row r="7" spans="1:15" x14ac:dyDescent="0.25">
      <c r="A7" s="54">
        <v>45386</v>
      </c>
      <c r="B7" s="55" t="s">
        <v>1392</v>
      </c>
      <c r="C7" s="55" t="s">
        <v>43</v>
      </c>
      <c r="D7" s="56">
        <f t="shared" si="1"/>
        <v>199.99999999999997</v>
      </c>
      <c r="E7" s="56">
        <f t="shared" si="0"/>
        <v>19.999999999999996</v>
      </c>
      <c r="F7" s="61">
        <v>220</v>
      </c>
      <c r="G7" s="56">
        <v>50</v>
      </c>
      <c r="H7" s="58">
        <v>170</v>
      </c>
      <c r="I7" s="136" t="s">
        <v>1024</v>
      </c>
      <c r="J7" s="137">
        <v>220</v>
      </c>
      <c r="K7" s="137"/>
      <c r="L7" s="55"/>
      <c r="M7" s="138"/>
      <c r="N7" s="139"/>
      <c r="O7" s="22"/>
    </row>
    <row r="8" spans="1:15" x14ac:dyDescent="0.25">
      <c r="A8" s="54">
        <v>45386</v>
      </c>
      <c r="B8" s="55" t="s">
        <v>1393</v>
      </c>
      <c r="C8" s="55" t="s">
        <v>43</v>
      </c>
      <c r="D8" s="56">
        <f t="shared" si="1"/>
        <v>163.63636363636363</v>
      </c>
      <c r="E8" s="56">
        <f t="shared" si="0"/>
        <v>16.363636363636363</v>
      </c>
      <c r="F8" s="57">
        <v>180</v>
      </c>
      <c r="G8" s="56">
        <v>50</v>
      </c>
      <c r="H8" s="58">
        <v>130</v>
      </c>
      <c r="I8" s="136" t="s">
        <v>1025</v>
      </c>
      <c r="J8" s="137">
        <v>180</v>
      </c>
      <c r="K8" s="137"/>
      <c r="L8" s="55"/>
      <c r="M8" s="138"/>
      <c r="N8" s="22"/>
      <c r="O8" s="22"/>
    </row>
    <row r="9" spans="1:15" x14ac:dyDescent="0.25">
      <c r="A9" s="54">
        <v>45386</v>
      </c>
      <c r="B9" s="55" t="s">
        <v>1394</v>
      </c>
      <c r="C9" s="55" t="s">
        <v>43</v>
      </c>
      <c r="D9" s="56">
        <f t="shared" si="1"/>
        <v>163.63636363636363</v>
      </c>
      <c r="E9" s="56">
        <f t="shared" si="0"/>
        <v>16.363636363636363</v>
      </c>
      <c r="F9" s="63">
        <v>180</v>
      </c>
      <c r="G9" s="63"/>
      <c r="H9" s="58">
        <v>180</v>
      </c>
      <c r="I9" s="64" t="s">
        <v>603</v>
      </c>
      <c r="J9" s="137">
        <v>180</v>
      </c>
      <c r="K9" s="137"/>
      <c r="L9" s="55"/>
      <c r="M9" s="138"/>
      <c r="N9" s="22"/>
      <c r="O9" s="22"/>
    </row>
    <row r="10" spans="1:15" ht="13.5" customHeight="1" x14ac:dyDescent="0.25">
      <c r="A10" s="54">
        <v>45386</v>
      </c>
      <c r="B10" s="55" t="s">
        <v>1395</v>
      </c>
      <c r="C10" s="55" t="s">
        <v>43</v>
      </c>
      <c r="D10" s="56">
        <f t="shared" si="1"/>
        <v>190.90909090909091</v>
      </c>
      <c r="E10" s="56">
        <f t="shared" si="0"/>
        <v>19.09090909090909</v>
      </c>
      <c r="F10" s="63">
        <v>210</v>
      </c>
      <c r="G10" s="63"/>
      <c r="H10" s="58">
        <v>210</v>
      </c>
      <c r="I10" s="64" t="s">
        <v>603</v>
      </c>
      <c r="J10" s="137">
        <v>210</v>
      </c>
      <c r="K10" s="137"/>
      <c r="L10" s="55"/>
      <c r="M10" s="138"/>
      <c r="N10" s="22"/>
      <c r="O10" s="22"/>
    </row>
    <row r="11" spans="1:15" x14ac:dyDescent="0.25">
      <c r="A11" s="54">
        <v>45387</v>
      </c>
      <c r="B11" s="55" t="s">
        <v>1411</v>
      </c>
      <c r="C11" s="55" t="s">
        <v>43</v>
      </c>
      <c r="D11" s="56">
        <f t="shared" si="1"/>
        <v>163.63636363636363</v>
      </c>
      <c r="E11" s="56">
        <f t="shared" si="0"/>
        <v>16.363636363636363</v>
      </c>
      <c r="F11" s="63">
        <v>180</v>
      </c>
      <c r="G11" s="63"/>
      <c r="H11" s="58">
        <v>180</v>
      </c>
      <c r="I11" s="64" t="s">
        <v>604</v>
      </c>
      <c r="J11" s="137">
        <v>180</v>
      </c>
      <c r="K11" s="137"/>
      <c r="L11" s="55"/>
      <c r="M11" s="138"/>
      <c r="N11" s="22"/>
      <c r="O11" s="22"/>
    </row>
    <row r="12" spans="1:15" x14ac:dyDescent="0.25">
      <c r="A12" s="54">
        <v>45387</v>
      </c>
      <c r="B12" s="55" t="s">
        <v>737</v>
      </c>
      <c r="C12" s="55" t="s">
        <v>43</v>
      </c>
      <c r="D12" s="56">
        <f t="shared" si="1"/>
        <v>109.09090909090908</v>
      </c>
      <c r="E12" s="56">
        <f t="shared" si="0"/>
        <v>10.909090909090908</v>
      </c>
      <c r="F12" s="63">
        <v>120</v>
      </c>
      <c r="G12" s="63"/>
      <c r="H12" s="58">
        <v>120</v>
      </c>
      <c r="I12" s="64" t="s">
        <v>603</v>
      </c>
      <c r="J12" s="137">
        <v>120</v>
      </c>
      <c r="K12" s="137"/>
      <c r="L12" s="55"/>
      <c r="M12" s="138"/>
      <c r="N12" s="22"/>
      <c r="O12" s="22"/>
    </row>
    <row r="13" spans="1:15" x14ac:dyDescent="0.25">
      <c r="A13" s="54">
        <v>45387</v>
      </c>
      <c r="B13" s="55" t="s">
        <v>738</v>
      </c>
      <c r="C13" s="55" t="s">
        <v>43</v>
      </c>
      <c r="D13" s="56">
        <f t="shared" si="1"/>
        <v>199.99999999999997</v>
      </c>
      <c r="E13" s="56">
        <f t="shared" si="0"/>
        <v>19.999999999999996</v>
      </c>
      <c r="F13" s="63">
        <v>220</v>
      </c>
      <c r="G13" s="63">
        <v>50</v>
      </c>
      <c r="H13" s="58">
        <v>170</v>
      </c>
      <c r="I13" s="64" t="s">
        <v>1026</v>
      </c>
      <c r="J13" s="137">
        <v>220</v>
      </c>
      <c r="K13" s="137"/>
      <c r="L13" s="55"/>
      <c r="M13" s="138"/>
      <c r="N13" s="22"/>
      <c r="O13" s="22"/>
    </row>
    <row r="14" spans="1:15" x14ac:dyDescent="0.25">
      <c r="A14" s="54">
        <v>45387</v>
      </c>
      <c r="B14" s="55" t="s">
        <v>739</v>
      </c>
      <c r="C14" s="55" t="s">
        <v>43</v>
      </c>
      <c r="D14" s="56">
        <f t="shared" si="1"/>
        <v>227.27272727272725</v>
      </c>
      <c r="E14" s="56">
        <f t="shared" si="0"/>
        <v>22.727272727272727</v>
      </c>
      <c r="F14" s="63">
        <v>250</v>
      </c>
      <c r="G14" s="63">
        <v>50</v>
      </c>
      <c r="H14" s="58">
        <v>200</v>
      </c>
      <c r="I14" s="64" t="s">
        <v>1027</v>
      </c>
      <c r="J14" s="137">
        <v>250</v>
      </c>
      <c r="K14" s="137"/>
      <c r="L14" s="55"/>
      <c r="M14" s="138"/>
      <c r="N14" s="22"/>
      <c r="O14" s="22"/>
    </row>
    <row r="15" spans="1:15" x14ac:dyDescent="0.25">
      <c r="A15" s="54">
        <v>45387</v>
      </c>
      <c r="B15" s="55" t="s">
        <v>740</v>
      </c>
      <c r="C15" s="55" t="s">
        <v>43</v>
      </c>
      <c r="D15" s="56">
        <f t="shared" si="1"/>
        <v>127.27272727272727</v>
      </c>
      <c r="E15" s="56">
        <f t="shared" si="0"/>
        <v>12.727272727272727</v>
      </c>
      <c r="F15" s="63">
        <v>140</v>
      </c>
      <c r="G15" s="63">
        <v>50</v>
      </c>
      <c r="H15" s="58">
        <v>90</v>
      </c>
      <c r="I15" s="64" t="s">
        <v>1028</v>
      </c>
      <c r="J15" s="137">
        <v>140</v>
      </c>
      <c r="K15" s="137"/>
      <c r="L15" s="55"/>
      <c r="M15" s="138"/>
      <c r="N15" s="22"/>
      <c r="O15" s="22"/>
    </row>
    <row r="16" spans="1:15" x14ac:dyDescent="0.25">
      <c r="A16" s="54">
        <v>45387</v>
      </c>
      <c r="B16" s="55" t="s">
        <v>741</v>
      </c>
      <c r="C16" s="55" t="s">
        <v>43</v>
      </c>
      <c r="D16" s="56">
        <f t="shared" si="1"/>
        <v>145.45454545454544</v>
      </c>
      <c r="E16" s="56">
        <f t="shared" si="0"/>
        <v>14.545454545454545</v>
      </c>
      <c r="F16" s="63">
        <v>160</v>
      </c>
      <c r="G16" s="63"/>
      <c r="H16" s="58">
        <v>160</v>
      </c>
      <c r="I16" s="64" t="s">
        <v>603</v>
      </c>
      <c r="J16" s="137">
        <v>160</v>
      </c>
      <c r="K16" s="137"/>
      <c r="L16" s="55"/>
      <c r="M16" s="140"/>
      <c r="N16" s="22"/>
      <c r="O16" s="22"/>
    </row>
    <row r="17" spans="1:15" x14ac:dyDescent="0.25">
      <c r="A17" s="54">
        <v>45387</v>
      </c>
      <c r="B17" s="55" t="s">
        <v>742</v>
      </c>
      <c r="C17" s="55" t="s">
        <v>43</v>
      </c>
      <c r="D17" s="56">
        <f t="shared" si="1"/>
        <v>127.27272727272727</v>
      </c>
      <c r="E17" s="56">
        <f t="shared" si="0"/>
        <v>12.727272727272727</v>
      </c>
      <c r="F17" s="63">
        <v>140</v>
      </c>
      <c r="G17" s="63"/>
      <c r="H17" s="58">
        <v>140</v>
      </c>
      <c r="I17" s="64" t="s">
        <v>603</v>
      </c>
      <c r="J17" s="137">
        <v>140</v>
      </c>
      <c r="K17" s="137"/>
      <c r="L17" s="55"/>
      <c r="M17" s="138"/>
      <c r="N17" s="22"/>
      <c r="O17" s="22"/>
    </row>
    <row r="18" spans="1:15" x14ac:dyDescent="0.25">
      <c r="A18" s="54">
        <v>45387</v>
      </c>
      <c r="B18" s="55" t="s">
        <v>743</v>
      </c>
      <c r="C18" s="55" t="s">
        <v>43</v>
      </c>
      <c r="D18" s="56">
        <f t="shared" si="1"/>
        <v>186.36363636363635</v>
      </c>
      <c r="E18" s="56">
        <f t="shared" si="0"/>
        <v>18.636363636363637</v>
      </c>
      <c r="F18" s="63">
        <v>205</v>
      </c>
      <c r="G18" s="63">
        <v>50</v>
      </c>
      <c r="H18" s="58">
        <v>155</v>
      </c>
      <c r="I18" s="64" t="s">
        <v>1029</v>
      </c>
      <c r="J18" s="137">
        <v>205</v>
      </c>
      <c r="K18" s="137"/>
      <c r="L18" s="55"/>
      <c r="M18" s="138"/>
      <c r="N18" s="22"/>
      <c r="O18" s="22"/>
    </row>
    <row r="19" spans="1:15" x14ac:dyDescent="0.25">
      <c r="A19" s="54">
        <v>45387</v>
      </c>
      <c r="B19" s="55" t="s">
        <v>744</v>
      </c>
      <c r="C19" s="55" t="s">
        <v>43</v>
      </c>
      <c r="D19" s="56">
        <f t="shared" si="1"/>
        <v>245.45454545454544</v>
      </c>
      <c r="E19" s="56">
        <f t="shared" si="0"/>
        <v>24.545454545454547</v>
      </c>
      <c r="F19" s="63">
        <v>270</v>
      </c>
      <c r="G19" s="63">
        <v>50</v>
      </c>
      <c r="H19" s="58">
        <v>220</v>
      </c>
      <c r="I19" s="64" t="s">
        <v>1030</v>
      </c>
      <c r="J19" s="137">
        <v>270</v>
      </c>
      <c r="K19" s="137"/>
      <c r="L19" s="55"/>
      <c r="M19" s="138"/>
      <c r="N19" s="22"/>
      <c r="O19" s="22"/>
    </row>
    <row r="20" spans="1:15" x14ac:dyDescent="0.25">
      <c r="A20" s="54">
        <v>45387</v>
      </c>
      <c r="B20" s="55" t="s">
        <v>745</v>
      </c>
      <c r="C20" s="55" t="s">
        <v>43</v>
      </c>
      <c r="D20" s="56">
        <f t="shared" si="1"/>
        <v>245.45454545454544</v>
      </c>
      <c r="E20" s="56">
        <f t="shared" si="0"/>
        <v>24.545454545454547</v>
      </c>
      <c r="F20" s="63">
        <v>270</v>
      </c>
      <c r="G20" s="63">
        <v>50</v>
      </c>
      <c r="H20" s="58">
        <v>220</v>
      </c>
      <c r="I20" s="64" t="s">
        <v>1031</v>
      </c>
      <c r="J20" s="137">
        <v>270</v>
      </c>
      <c r="K20" s="137"/>
      <c r="L20" s="55"/>
      <c r="M20" s="138"/>
      <c r="N20" s="22"/>
      <c r="O20" s="22"/>
    </row>
    <row r="21" spans="1:15" x14ac:dyDescent="0.25">
      <c r="A21" s="54">
        <v>45387</v>
      </c>
      <c r="B21" s="55" t="s">
        <v>746</v>
      </c>
      <c r="C21" s="55" t="s">
        <v>43</v>
      </c>
      <c r="D21" s="56">
        <f t="shared" si="1"/>
        <v>245.45454545454544</v>
      </c>
      <c r="E21" s="56">
        <f t="shared" si="0"/>
        <v>24.545454545454547</v>
      </c>
      <c r="F21" s="63">
        <v>270</v>
      </c>
      <c r="G21" s="66">
        <v>50</v>
      </c>
      <c r="H21" s="58">
        <v>220</v>
      </c>
      <c r="I21" s="64" t="s">
        <v>1032</v>
      </c>
      <c r="J21" s="137">
        <v>270</v>
      </c>
      <c r="K21" s="137"/>
      <c r="L21" s="55"/>
      <c r="M21" s="138"/>
      <c r="N21" s="22"/>
      <c r="O21" s="22"/>
    </row>
    <row r="22" spans="1:15" x14ac:dyDescent="0.25">
      <c r="A22" s="54">
        <v>45387</v>
      </c>
      <c r="B22" s="55" t="s">
        <v>747</v>
      </c>
      <c r="C22" s="55" t="s">
        <v>43</v>
      </c>
      <c r="D22" s="56">
        <f t="shared" si="1"/>
        <v>127.27272727272727</v>
      </c>
      <c r="E22" s="56">
        <f t="shared" si="0"/>
        <v>12.727272727272727</v>
      </c>
      <c r="F22" s="63">
        <v>140</v>
      </c>
      <c r="G22" s="56"/>
      <c r="H22" s="58">
        <v>140</v>
      </c>
      <c r="I22" s="64" t="s">
        <v>603</v>
      </c>
      <c r="J22" s="137">
        <v>140</v>
      </c>
      <c r="K22" s="137"/>
      <c r="L22" s="55"/>
      <c r="M22" s="138"/>
      <c r="N22" s="22"/>
      <c r="O22" s="22"/>
    </row>
    <row r="23" spans="1:15" x14ac:dyDescent="0.25">
      <c r="A23" s="54">
        <v>45387</v>
      </c>
      <c r="B23" s="55" t="s">
        <v>748</v>
      </c>
      <c r="C23" s="55" t="s">
        <v>43</v>
      </c>
      <c r="D23" s="56">
        <f t="shared" si="1"/>
        <v>154.54545454545453</v>
      </c>
      <c r="E23" s="56">
        <f t="shared" si="0"/>
        <v>15.454545454545453</v>
      </c>
      <c r="F23" s="63">
        <v>170</v>
      </c>
      <c r="G23" s="56">
        <v>50</v>
      </c>
      <c r="H23" s="58">
        <v>120</v>
      </c>
      <c r="I23" s="64" t="s">
        <v>1033</v>
      </c>
      <c r="J23" s="137">
        <v>170</v>
      </c>
      <c r="K23" s="137"/>
      <c r="L23" s="55"/>
      <c r="M23" s="138"/>
      <c r="N23" s="22"/>
      <c r="O23" s="22"/>
    </row>
    <row r="24" spans="1:15" x14ac:dyDescent="0.25">
      <c r="A24" s="54">
        <v>45387</v>
      </c>
      <c r="B24" s="55" t="s">
        <v>749</v>
      </c>
      <c r="C24" s="55" t="s">
        <v>43</v>
      </c>
      <c r="D24" s="56">
        <f t="shared" si="1"/>
        <v>172.72727272727272</v>
      </c>
      <c r="E24" s="56">
        <f t="shared" si="0"/>
        <v>17.272727272727273</v>
      </c>
      <c r="F24" s="63">
        <v>190</v>
      </c>
      <c r="G24" s="56"/>
      <c r="H24" s="58">
        <v>190</v>
      </c>
      <c r="I24" s="64" t="s">
        <v>1034</v>
      </c>
      <c r="J24" s="137"/>
      <c r="K24" s="137"/>
      <c r="L24" s="55"/>
      <c r="M24" s="138"/>
      <c r="N24" s="22"/>
      <c r="O24" s="22"/>
    </row>
    <row r="25" spans="1:15" x14ac:dyDescent="0.25">
      <c r="A25" s="54">
        <v>45388</v>
      </c>
      <c r="B25" s="55" t="s">
        <v>750</v>
      </c>
      <c r="C25" s="55" t="s">
        <v>43</v>
      </c>
      <c r="D25" s="56">
        <f t="shared" si="1"/>
        <v>336.36363636363632</v>
      </c>
      <c r="E25" s="56">
        <f t="shared" si="0"/>
        <v>33.636363636363633</v>
      </c>
      <c r="F25" s="63">
        <v>370</v>
      </c>
      <c r="G25" s="56">
        <v>100</v>
      </c>
      <c r="H25" s="58">
        <v>270</v>
      </c>
      <c r="I25" s="64" t="s">
        <v>1035</v>
      </c>
      <c r="J25" s="137">
        <v>370</v>
      </c>
      <c r="K25" s="137"/>
      <c r="L25" s="55"/>
      <c r="M25" s="138"/>
      <c r="N25" s="22"/>
      <c r="O25" s="22"/>
    </row>
    <row r="26" spans="1:15" x14ac:dyDescent="0.25">
      <c r="A26" s="54">
        <v>45388</v>
      </c>
      <c r="B26" s="55" t="s">
        <v>751</v>
      </c>
      <c r="C26" s="55" t="s">
        <v>43</v>
      </c>
      <c r="D26" s="56">
        <f t="shared" si="1"/>
        <v>199.99999999999997</v>
      </c>
      <c r="E26" s="56">
        <f t="shared" si="0"/>
        <v>19.999999999999996</v>
      </c>
      <c r="F26" s="61">
        <v>220</v>
      </c>
      <c r="G26" s="56">
        <v>50</v>
      </c>
      <c r="H26" s="58">
        <v>170</v>
      </c>
      <c r="I26" s="64" t="s">
        <v>1036</v>
      </c>
      <c r="J26" s="137">
        <v>220</v>
      </c>
      <c r="K26" s="137"/>
      <c r="L26" s="55"/>
      <c r="M26" s="141"/>
      <c r="N26" s="142"/>
      <c r="O26" s="142"/>
    </row>
    <row r="27" spans="1:15" x14ac:dyDescent="0.25">
      <c r="A27" s="54">
        <v>45388</v>
      </c>
      <c r="B27" s="55" t="s">
        <v>752</v>
      </c>
      <c r="C27" s="55" t="s">
        <v>43</v>
      </c>
      <c r="D27" s="56">
        <f t="shared" si="1"/>
        <v>181.81818181818181</v>
      </c>
      <c r="E27" s="56">
        <f t="shared" si="0"/>
        <v>18.18181818181818</v>
      </c>
      <c r="F27" s="61">
        <v>200</v>
      </c>
      <c r="G27" s="56"/>
      <c r="H27" s="58">
        <v>200</v>
      </c>
      <c r="I27" s="64" t="s">
        <v>604</v>
      </c>
      <c r="J27" s="137">
        <v>200</v>
      </c>
      <c r="K27" s="143"/>
      <c r="L27" s="70"/>
      <c r="M27" s="138"/>
      <c r="N27" s="22"/>
      <c r="O27" s="22"/>
    </row>
    <row r="28" spans="1:15" x14ac:dyDescent="0.25">
      <c r="A28" s="54">
        <v>45388</v>
      </c>
      <c r="B28" s="55" t="s">
        <v>753</v>
      </c>
      <c r="C28" s="55" t="s">
        <v>43</v>
      </c>
      <c r="D28" s="56">
        <f t="shared" si="1"/>
        <v>199.99999999999997</v>
      </c>
      <c r="E28" s="56">
        <f t="shared" si="0"/>
        <v>19.999999999999996</v>
      </c>
      <c r="F28" s="61">
        <v>220</v>
      </c>
      <c r="G28" s="56">
        <v>50</v>
      </c>
      <c r="H28" s="58">
        <v>170</v>
      </c>
      <c r="I28" s="136" t="s">
        <v>1037</v>
      </c>
      <c r="J28" s="137">
        <v>220</v>
      </c>
      <c r="K28" s="137"/>
      <c r="L28" s="70"/>
      <c r="M28" s="138"/>
      <c r="N28" s="22"/>
      <c r="O28" s="22"/>
    </row>
    <row r="29" spans="1:15" x14ac:dyDescent="0.25">
      <c r="A29" s="54">
        <v>45388</v>
      </c>
      <c r="B29" s="55" t="s">
        <v>754</v>
      </c>
      <c r="C29" s="55" t="s">
        <v>43</v>
      </c>
      <c r="D29" s="56">
        <f t="shared" si="1"/>
        <v>218.18181818181816</v>
      </c>
      <c r="E29" s="56">
        <f t="shared" si="0"/>
        <v>21.818181818181817</v>
      </c>
      <c r="F29" s="61">
        <v>240</v>
      </c>
      <c r="G29" s="56"/>
      <c r="H29" s="58">
        <v>240</v>
      </c>
      <c r="I29" s="55" t="s">
        <v>1039</v>
      </c>
      <c r="J29" s="137">
        <v>240</v>
      </c>
      <c r="K29" s="137"/>
      <c r="L29" s="55"/>
      <c r="M29" s="138"/>
      <c r="N29" s="22"/>
      <c r="O29" s="22"/>
    </row>
    <row r="30" spans="1:15" x14ac:dyDescent="0.25">
      <c r="A30" s="54">
        <v>45388</v>
      </c>
      <c r="B30" s="55" t="s">
        <v>755</v>
      </c>
      <c r="C30" s="55" t="s">
        <v>43</v>
      </c>
      <c r="D30" s="56">
        <f t="shared" si="1"/>
        <v>190.90909090909091</v>
      </c>
      <c r="E30" s="56">
        <f t="shared" si="0"/>
        <v>19.09090909090909</v>
      </c>
      <c r="F30" s="61">
        <v>210</v>
      </c>
      <c r="G30" s="56"/>
      <c r="H30" s="58">
        <v>210</v>
      </c>
      <c r="I30" s="64" t="s">
        <v>1039</v>
      </c>
      <c r="J30" s="137">
        <v>210</v>
      </c>
      <c r="K30" s="137"/>
      <c r="L30" s="55"/>
      <c r="M30" s="138"/>
      <c r="N30" s="22"/>
      <c r="O30" s="22"/>
    </row>
    <row r="31" spans="1:15" x14ac:dyDescent="0.25">
      <c r="A31" s="54" t="s">
        <v>1038</v>
      </c>
      <c r="B31" s="55" t="s">
        <v>756</v>
      </c>
      <c r="C31" s="55" t="s">
        <v>43</v>
      </c>
      <c r="D31" s="56">
        <f t="shared" si="1"/>
        <v>127.27272727272727</v>
      </c>
      <c r="E31" s="56">
        <f t="shared" si="0"/>
        <v>12.727272727272727</v>
      </c>
      <c r="F31" s="61">
        <v>140</v>
      </c>
      <c r="G31" s="56"/>
      <c r="H31" s="58">
        <v>140</v>
      </c>
      <c r="I31" s="64" t="s">
        <v>1040</v>
      </c>
      <c r="J31" s="137">
        <v>140</v>
      </c>
      <c r="K31" s="137"/>
      <c r="L31" s="55"/>
      <c r="M31" s="138"/>
      <c r="N31" s="22"/>
      <c r="O31" s="22"/>
    </row>
    <row r="32" spans="1:15" x14ac:dyDescent="0.25">
      <c r="A32" s="54">
        <v>45388</v>
      </c>
      <c r="B32" s="55" t="s">
        <v>757</v>
      </c>
      <c r="C32" s="55" t="s">
        <v>43</v>
      </c>
      <c r="D32" s="56">
        <f t="shared" si="1"/>
        <v>272.72727272727269</v>
      </c>
      <c r="E32" s="56">
        <f t="shared" si="0"/>
        <v>27.27272727272727</v>
      </c>
      <c r="F32" s="61">
        <v>300</v>
      </c>
      <c r="G32" s="56">
        <v>50</v>
      </c>
      <c r="H32" s="58">
        <v>50</v>
      </c>
      <c r="I32" s="136" t="s">
        <v>1041</v>
      </c>
      <c r="J32" s="137">
        <v>300</v>
      </c>
      <c r="K32" s="137"/>
      <c r="L32" s="55"/>
      <c r="M32" s="138"/>
      <c r="N32" s="22"/>
      <c r="O32" s="22"/>
    </row>
    <row r="33" spans="1:15" x14ac:dyDescent="0.25">
      <c r="A33" s="54">
        <v>45388</v>
      </c>
      <c r="B33" s="55" t="s">
        <v>758</v>
      </c>
      <c r="C33" s="55" t="s">
        <v>43</v>
      </c>
      <c r="D33" s="56">
        <f t="shared" si="1"/>
        <v>190.90909090909091</v>
      </c>
      <c r="E33" s="56">
        <f t="shared" si="0"/>
        <v>19.09090909090909</v>
      </c>
      <c r="F33" s="61">
        <v>210</v>
      </c>
      <c r="G33" s="56">
        <v>50</v>
      </c>
      <c r="H33" s="58">
        <v>160</v>
      </c>
      <c r="I33" s="136" t="s">
        <v>1042</v>
      </c>
      <c r="J33" s="137">
        <v>210</v>
      </c>
      <c r="K33" s="137"/>
      <c r="L33" s="55"/>
      <c r="M33" s="138"/>
      <c r="N33" s="22"/>
      <c r="O33" s="22"/>
    </row>
    <row r="34" spans="1:15" x14ac:dyDescent="0.25">
      <c r="A34" s="54">
        <v>45388</v>
      </c>
      <c r="B34" s="55" t="s">
        <v>759</v>
      </c>
      <c r="C34" s="55" t="s">
        <v>43</v>
      </c>
      <c r="D34" s="56">
        <f t="shared" si="1"/>
        <v>213.63636363636363</v>
      </c>
      <c r="E34" s="56">
        <f t="shared" si="0"/>
        <v>21.36363636363636</v>
      </c>
      <c r="F34" s="61">
        <v>235</v>
      </c>
      <c r="G34" s="56">
        <v>185</v>
      </c>
      <c r="H34" s="58">
        <v>50</v>
      </c>
      <c r="I34" s="136" t="s">
        <v>1043</v>
      </c>
      <c r="J34" s="137">
        <v>235</v>
      </c>
      <c r="K34" s="137"/>
      <c r="L34" s="55"/>
      <c r="M34" s="138"/>
      <c r="N34" s="22"/>
      <c r="O34" s="22"/>
    </row>
    <row r="35" spans="1:15" x14ac:dyDescent="0.25">
      <c r="A35" s="54">
        <v>45388</v>
      </c>
      <c r="B35" s="55" t="s">
        <v>760</v>
      </c>
      <c r="C35" s="55" t="s">
        <v>43</v>
      </c>
      <c r="D35" s="56">
        <f t="shared" si="1"/>
        <v>154.54545454545453</v>
      </c>
      <c r="E35" s="56">
        <f t="shared" ref="E35:E66" si="2">D35*10/100</f>
        <v>15.454545454545453</v>
      </c>
      <c r="F35" s="61">
        <v>170</v>
      </c>
      <c r="G35" s="56">
        <v>50</v>
      </c>
      <c r="H35" s="58">
        <v>120</v>
      </c>
      <c r="I35" s="136" t="s">
        <v>1044</v>
      </c>
      <c r="J35" s="137">
        <v>170</v>
      </c>
      <c r="K35" s="137"/>
      <c r="L35" s="55"/>
      <c r="M35" s="138"/>
      <c r="N35" s="22"/>
      <c r="O35" s="22"/>
    </row>
    <row r="36" spans="1:15" x14ac:dyDescent="0.25">
      <c r="A36" s="54">
        <v>45388</v>
      </c>
      <c r="B36" s="55" t="s">
        <v>761</v>
      </c>
      <c r="C36" s="55" t="s">
        <v>43</v>
      </c>
      <c r="D36" s="56">
        <f t="shared" si="1"/>
        <v>145.45454545454544</v>
      </c>
      <c r="E36" s="56">
        <f t="shared" si="2"/>
        <v>14.545454545454545</v>
      </c>
      <c r="F36" s="61">
        <v>160</v>
      </c>
      <c r="G36" s="56"/>
      <c r="H36" s="58">
        <v>160</v>
      </c>
      <c r="I36" s="64" t="s">
        <v>603</v>
      </c>
      <c r="J36" s="137">
        <v>160</v>
      </c>
      <c r="K36" s="137"/>
      <c r="L36" s="55"/>
      <c r="M36" s="138"/>
      <c r="N36" s="22"/>
      <c r="O36" s="22"/>
    </row>
    <row r="37" spans="1:15" x14ac:dyDescent="0.25">
      <c r="A37" s="54">
        <v>45388</v>
      </c>
      <c r="B37" s="55" t="s">
        <v>762</v>
      </c>
      <c r="C37" s="55" t="s">
        <v>43</v>
      </c>
      <c r="D37" s="56">
        <f t="shared" si="1"/>
        <v>345.45454545454544</v>
      </c>
      <c r="E37" s="56">
        <f t="shared" si="2"/>
        <v>34.545454545454547</v>
      </c>
      <c r="F37" s="61">
        <v>380</v>
      </c>
      <c r="G37" s="56">
        <v>50</v>
      </c>
      <c r="H37" s="58">
        <v>330</v>
      </c>
      <c r="I37" s="64" t="s">
        <v>1045</v>
      </c>
      <c r="J37" s="137">
        <v>204</v>
      </c>
      <c r="K37" s="137"/>
      <c r="L37" s="55"/>
      <c r="M37" s="138">
        <v>126</v>
      </c>
      <c r="N37" s="22" t="s">
        <v>1046</v>
      </c>
      <c r="O37" s="22"/>
    </row>
    <row r="38" spans="1:15" x14ac:dyDescent="0.25">
      <c r="A38" s="71">
        <v>45388</v>
      </c>
      <c r="B38" s="55" t="s">
        <v>763</v>
      </c>
      <c r="C38" s="55" t="s">
        <v>43</v>
      </c>
      <c r="D38" s="56">
        <f t="shared" si="1"/>
        <v>127.27272727272727</v>
      </c>
      <c r="E38" s="56">
        <f t="shared" si="2"/>
        <v>12.727272727272727</v>
      </c>
      <c r="F38" s="63">
        <v>140</v>
      </c>
      <c r="G38" s="63">
        <v>140</v>
      </c>
      <c r="H38" s="58">
        <v>0</v>
      </c>
      <c r="I38" s="64" t="s">
        <v>603</v>
      </c>
      <c r="J38" s="137">
        <v>140</v>
      </c>
      <c r="K38" s="144"/>
      <c r="L38" s="55"/>
      <c r="M38" s="138"/>
      <c r="N38" s="22"/>
      <c r="O38" s="22"/>
    </row>
    <row r="39" spans="1:15" x14ac:dyDescent="0.25">
      <c r="A39" s="71">
        <v>45388</v>
      </c>
      <c r="B39" s="55" t="s">
        <v>764</v>
      </c>
      <c r="C39" s="55" t="s">
        <v>43</v>
      </c>
      <c r="D39" s="56">
        <f t="shared" si="1"/>
        <v>413.63636363636363</v>
      </c>
      <c r="E39" s="56">
        <f t="shared" si="2"/>
        <v>41.36363636363636</v>
      </c>
      <c r="F39" s="63">
        <v>455</v>
      </c>
      <c r="G39" s="63">
        <v>105</v>
      </c>
      <c r="H39" s="58">
        <v>350</v>
      </c>
      <c r="I39" s="64" t="s">
        <v>1047</v>
      </c>
      <c r="J39" s="137">
        <v>455</v>
      </c>
      <c r="K39" s="137"/>
      <c r="L39" s="55"/>
      <c r="M39" s="138"/>
      <c r="N39" s="22"/>
      <c r="O39" s="22"/>
    </row>
    <row r="40" spans="1:15" x14ac:dyDescent="0.25">
      <c r="A40" s="71">
        <v>45388</v>
      </c>
      <c r="B40" s="55" t="s">
        <v>765</v>
      </c>
      <c r="C40" s="55" t="s">
        <v>43</v>
      </c>
      <c r="D40" s="56">
        <f t="shared" si="1"/>
        <v>268.18181818181819</v>
      </c>
      <c r="E40" s="56">
        <f t="shared" si="2"/>
        <v>26.81818181818182</v>
      </c>
      <c r="F40" s="63">
        <v>295</v>
      </c>
      <c r="G40" s="63">
        <v>50</v>
      </c>
      <c r="H40" s="58">
        <v>245</v>
      </c>
      <c r="I40" s="64" t="s">
        <v>1048</v>
      </c>
      <c r="J40" s="137">
        <v>295</v>
      </c>
      <c r="K40" s="137"/>
      <c r="L40" s="55"/>
      <c r="M40" s="138"/>
      <c r="N40" s="22"/>
      <c r="O40" s="22"/>
    </row>
    <row r="41" spans="1:15" x14ac:dyDescent="0.25">
      <c r="A41" s="71">
        <v>45388</v>
      </c>
      <c r="B41" s="55" t="s">
        <v>766</v>
      </c>
      <c r="C41" s="55" t="s">
        <v>43</v>
      </c>
      <c r="D41" s="56">
        <f t="shared" si="1"/>
        <v>163.63636363636363</v>
      </c>
      <c r="E41" s="56">
        <f t="shared" si="2"/>
        <v>16.363636363636363</v>
      </c>
      <c r="F41" s="63">
        <v>180</v>
      </c>
      <c r="G41" s="63"/>
      <c r="H41" s="58">
        <v>180</v>
      </c>
      <c r="I41" s="64" t="s">
        <v>603</v>
      </c>
      <c r="J41" s="137">
        <v>180</v>
      </c>
      <c r="K41" s="137"/>
      <c r="L41" s="55"/>
      <c r="M41" s="138"/>
      <c r="N41" s="22"/>
      <c r="O41" s="22"/>
    </row>
    <row r="42" spans="1:15" x14ac:dyDescent="0.25">
      <c r="A42" s="71">
        <v>45388</v>
      </c>
      <c r="B42" s="55" t="s">
        <v>767</v>
      </c>
      <c r="C42" s="55" t="s">
        <v>43</v>
      </c>
      <c r="D42" s="56">
        <f t="shared" si="1"/>
        <v>245.45454545454544</v>
      </c>
      <c r="E42" s="56">
        <f t="shared" si="2"/>
        <v>24.545454545454547</v>
      </c>
      <c r="F42" s="63">
        <v>270</v>
      </c>
      <c r="G42" s="63">
        <v>50</v>
      </c>
      <c r="H42" s="58">
        <v>220</v>
      </c>
      <c r="I42" s="64" t="s">
        <v>1049</v>
      </c>
      <c r="J42" s="137">
        <v>270</v>
      </c>
      <c r="K42" s="137"/>
      <c r="L42" s="55"/>
      <c r="M42" s="138"/>
      <c r="N42" s="22"/>
      <c r="O42" s="22"/>
    </row>
    <row r="43" spans="1:15" x14ac:dyDescent="0.25">
      <c r="A43" s="71">
        <v>45388</v>
      </c>
      <c r="B43" s="55" t="s">
        <v>768</v>
      </c>
      <c r="C43" s="55" t="s">
        <v>43</v>
      </c>
      <c r="D43" s="56">
        <f t="shared" si="1"/>
        <v>245.45454545454544</v>
      </c>
      <c r="E43" s="56">
        <f t="shared" si="2"/>
        <v>24.545454545454547</v>
      </c>
      <c r="F43" s="63">
        <v>270</v>
      </c>
      <c r="G43" s="63">
        <v>50</v>
      </c>
      <c r="H43" s="58">
        <v>220</v>
      </c>
      <c r="I43" s="64" t="s">
        <v>1050</v>
      </c>
      <c r="J43" s="137">
        <v>270</v>
      </c>
      <c r="K43" s="137"/>
      <c r="L43" s="55"/>
      <c r="M43" s="138"/>
      <c r="N43" s="22"/>
      <c r="O43" s="22"/>
    </row>
    <row r="44" spans="1:15" x14ac:dyDescent="0.25">
      <c r="A44" s="71">
        <v>45388</v>
      </c>
      <c r="B44" s="55" t="s">
        <v>769</v>
      </c>
      <c r="C44" s="55" t="s">
        <v>43</v>
      </c>
      <c r="D44" s="56">
        <f t="shared" si="1"/>
        <v>163.63636363636363</v>
      </c>
      <c r="E44" s="56">
        <f t="shared" si="2"/>
        <v>16.363636363636363</v>
      </c>
      <c r="F44" s="63">
        <v>180</v>
      </c>
      <c r="G44" s="63"/>
      <c r="H44" s="58">
        <v>180</v>
      </c>
      <c r="I44" s="64" t="s">
        <v>604</v>
      </c>
      <c r="J44" s="137">
        <v>180</v>
      </c>
      <c r="K44" s="137"/>
      <c r="L44" s="55"/>
      <c r="M44" s="138"/>
      <c r="N44" s="22"/>
      <c r="O44" s="22"/>
    </row>
    <row r="45" spans="1:15" x14ac:dyDescent="0.25">
      <c r="A45" s="71">
        <v>45388</v>
      </c>
      <c r="B45" s="55" t="s">
        <v>770</v>
      </c>
      <c r="C45" s="55" t="s">
        <v>43</v>
      </c>
      <c r="D45" s="56">
        <f t="shared" si="1"/>
        <v>245.45454545454544</v>
      </c>
      <c r="E45" s="56">
        <f t="shared" si="2"/>
        <v>24.545454545454547</v>
      </c>
      <c r="F45" s="63">
        <v>270</v>
      </c>
      <c r="G45" s="63">
        <v>50</v>
      </c>
      <c r="H45" s="58">
        <v>220</v>
      </c>
      <c r="I45" s="64" t="s">
        <v>368</v>
      </c>
      <c r="J45" s="137">
        <v>270</v>
      </c>
      <c r="K45" s="137"/>
      <c r="L45" s="55"/>
      <c r="M45" s="138"/>
      <c r="N45" s="22"/>
      <c r="O45" s="22"/>
    </row>
    <row r="46" spans="1:15" x14ac:dyDescent="0.25">
      <c r="A46" s="71">
        <v>45388</v>
      </c>
      <c r="B46" s="55" t="s">
        <v>771</v>
      </c>
      <c r="C46" s="55" t="s">
        <v>43</v>
      </c>
      <c r="D46" s="56">
        <f t="shared" si="1"/>
        <v>190.90909090909091</v>
      </c>
      <c r="E46" s="56">
        <f t="shared" si="2"/>
        <v>19.09090909090909</v>
      </c>
      <c r="F46" s="63">
        <v>210</v>
      </c>
      <c r="G46" s="63">
        <v>50</v>
      </c>
      <c r="H46" s="58">
        <v>160</v>
      </c>
      <c r="I46" s="64" t="s">
        <v>1051</v>
      </c>
      <c r="J46" s="137">
        <v>210</v>
      </c>
      <c r="K46" s="137"/>
      <c r="L46" s="55"/>
      <c r="M46" s="138"/>
      <c r="N46" s="22"/>
      <c r="O46" s="22"/>
    </row>
    <row r="47" spans="1:15" x14ac:dyDescent="0.25">
      <c r="A47" s="71">
        <v>45388</v>
      </c>
      <c r="B47" s="55" t="s">
        <v>772</v>
      </c>
      <c r="C47" s="55" t="s">
        <v>43</v>
      </c>
      <c r="D47" s="56">
        <f t="shared" si="1"/>
        <v>154.54545454545453</v>
      </c>
      <c r="E47" s="56">
        <f t="shared" si="2"/>
        <v>15.454545454545453</v>
      </c>
      <c r="F47" s="63">
        <v>170</v>
      </c>
      <c r="G47" s="63">
        <v>50</v>
      </c>
      <c r="H47" s="58">
        <v>120</v>
      </c>
      <c r="I47" s="64" t="s">
        <v>1052</v>
      </c>
      <c r="J47" s="137">
        <v>170</v>
      </c>
      <c r="K47" s="137"/>
      <c r="L47" s="55"/>
      <c r="M47" s="138"/>
      <c r="N47" s="22"/>
      <c r="O47" s="22"/>
    </row>
    <row r="48" spans="1:15" x14ac:dyDescent="0.25">
      <c r="A48" s="71">
        <v>45388</v>
      </c>
      <c r="B48" s="55" t="s">
        <v>773</v>
      </c>
      <c r="C48" s="55" t="s">
        <v>43</v>
      </c>
      <c r="D48" s="56">
        <f t="shared" si="1"/>
        <v>118.18181818181817</v>
      </c>
      <c r="E48" s="56">
        <f t="shared" si="2"/>
        <v>11.818181818181818</v>
      </c>
      <c r="F48" s="63">
        <v>130</v>
      </c>
      <c r="G48" s="63"/>
      <c r="H48" s="58">
        <v>130</v>
      </c>
      <c r="I48" s="64" t="s">
        <v>604</v>
      </c>
      <c r="J48" s="137">
        <v>130</v>
      </c>
      <c r="K48" s="137"/>
      <c r="L48" s="55"/>
      <c r="M48" s="138"/>
      <c r="N48" s="22"/>
      <c r="O48" s="22"/>
    </row>
    <row r="49" spans="1:15" x14ac:dyDescent="0.25">
      <c r="A49" s="71">
        <v>45388</v>
      </c>
      <c r="B49" s="55" t="s">
        <v>774</v>
      </c>
      <c r="C49" s="55" t="s">
        <v>43</v>
      </c>
      <c r="D49" s="56">
        <f t="shared" si="1"/>
        <v>118.18181818181817</v>
      </c>
      <c r="E49" s="56">
        <f t="shared" si="2"/>
        <v>11.818181818181818</v>
      </c>
      <c r="F49" s="63">
        <v>130</v>
      </c>
      <c r="G49" s="63"/>
      <c r="H49" s="58">
        <v>130</v>
      </c>
      <c r="I49" s="64" t="s">
        <v>604</v>
      </c>
      <c r="J49" s="137">
        <v>130</v>
      </c>
      <c r="K49" s="137"/>
      <c r="L49" s="55"/>
      <c r="M49" s="138"/>
      <c r="N49" s="22"/>
      <c r="O49" s="22"/>
    </row>
    <row r="50" spans="1:15" x14ac:dyDescent="0.25">
      <c r="A50" s="71">
        <v>45388</v>
      </c>
      <c r="B50" s="55" t="s">
        <v>775</v>
      </c>
      <c r="C50" s="55" t="s">
        <v>43</v>
      </c>
      <c r="D50" s="56">
        <f t="shared" si="1"/>
        <v>145.45454545454544</v>
      </c>
      <c r="E50" s="56">
        <f t="shared" si="2"/>
        <v>14.545454545454545</v>
      </c>
      <c r="F50" s="63">
        <v>160</v>
      </c>
      <c r="G50" s="63"/>
      <c r="H50" s="58">
        <v>160</v>
      </c>
      <c r="I50" s="64" t="s">
        <v>603</v>
      </c>
      <c r="J50" s="137">
        <v>160</v>
      </c>
      <c r="K50" s="137"/>
      <c r="L50" s="55"/>
      <c r="M50" s="138"/>
      <c r="N50" s="22"/>
      <c r="O50" s="22"/>
    </row>
    <row r="51" spans="1:15" x14ac:dyDescent="0.25">
      <c r="A51" s="71">
        <v>45388</v>
      </c>
      <c r="B51" s="55" t="s">
        <v>776</v>
      </c>
      <c r="C51" s="55" t="s">
        <v>43</v>
      </c>
      <c r="D51" s="56">
        <f t="shared" si="1"/>
        <v>127.27272727272727</v>
      </c>
      <c r="E51" s="56">
        <f t="shared" si="2"/>
        <v>12.727272727272727</v>
      </c>
      <c r="F51" s="63">
        <v>140</v>
      </c>
      <c r="G51" s="63"/>
      <c r="H51" s="58">
        <v>140</v>
      </c>
      <c r="I51" s="64" t="s">
        <v>603</v>
      </c>
      <c r="J51" s="137">
        <v>140</v>
      </c>
      <c r="K51" s="137"/>
      <c r="L51" s="55"/>
      <c r="M51" s="138"/>
      <c r="N51" s="22"/>
      <c r="O51" s="22"/>
    </row>
    <row r="52" spans="1:15" x14ac:dyDescent="0.25">
      <c r="A52" s="73">
        <v>45388</v>
      </c>
      <c r="B52" s="55" t="s">
        <v>777</v>
      </c>
      <c r="C52" s="55" t="s">
        <v>43</v>
      </c>
      <c r="D52" s="56">
        <f t="shared" si="1"/>
        <v>154.54545454545453</v>
      </c>
      <c r="E52" s="56">
        <f t="shared" si="2"/>
        <v>15.454545454545453</v>
      </c>
      <c r="F52" s="63">
        <v>170</v>
      </c>
      <c r="G52" s="63">
        <v>50</v>
      </c>
      <c r="H52" s="58">
        <v>120</v>
      </c>
      <c r="I52" s="145" t="s">
        <v>1053</v>
      </c>
      <c r="J52" s="146">
        <v>170</v>
      </c>
      <c r="K52" s="146"/>
      <c r="L52" s="14"/>
      <c r="M52" s="138"/>
      <c r="N52" s="22"/>
      <c r="O52" s="142"/>
    </row>
    <row r="53" spans="1:15" x14ac:dyDescent="0.25">
      <c r="A53" s="71">
        <v>45388</v>
      </c>
      <c r="B53" s="55" t="s">
        <v>778</v>
      </c>
      <c r="C53" s="55" t="s">
        <v>43</v>
      </c>
      <c r="D53" s="56">
        <f t="shared" si="1"/>
        <v>154.54545454545453</v>
      </c>
      <c r="E53" s="56">
        <f t="shared" si="2"/>
        <v>15.454545454545453</v>
      </c>
      <c r="F53" s="63">
        <v>170</v>
      </c>
      <c r="G53" s="63">
        <v>50</v>
      </c>
      <c r="H53" s="58">
        <v>170</v>
      </c>
      <c r="I53" s="64" t="s">
        <v>1054</v>
      </c>
      <c r="J53" s="137">
        <v>170</v>
      </c>
      <c r="K53" s="137"/>
      <c r="L53" s="55"/>
      <c r="M53" s="138"/>
      <c r="N53" s="22"/>
      <c r="O53" s="22"/>
    </row>
    <row r="54" spans="1:15" x14ac:dyDescent="0.25">
      <c r="A54" s="71">
        <v>45388</v>
      </c>
      <c r="B54" s="55" t="s">
        <v>779</v>
      </c>
      <c r="C54" s="55" t="s">
        <v>43</v>
      </c>
      <c r="D54" s="56">
        <f t="shared" si="1"/>
        <v>118.18181818181817</v>
      </c>
      <c r="E54" s="56">
        <f t="shared" si="2"/>
        <v>11.818181818181818</v>
      </c>
      <c r="F54" s="63">
        <v>130</v>
      </c>
      <c r="G54" s="63"/>
      <c r="H54" s="58">
        <v>130</v>
      </c>
      <c r="I54" s="64" t="s">
        <v>604</v>
      </c>
      <c r="J54" s="137">
        <v>130</v>
      </c>
      <c r="K54" s="137"/>
      <c r="L54" s="55"/>
      <c r="M54" s="138"/>
      <c r="N54" s="22"/>
      <c r="O54" s="22"/>
    </row>
    <row r="55" spans="1:15" x14ac:dyDescent="0.25">
      <c r="A55" s="71">
        <v>45388</v>
      </c>
      <c r="B55" s="55" t="s">
        <v>780</v>
      </c>
      <c r="C55" s="55" t="s">
        <v>43</v>
      </c>
      <c r="D55" s="56">
        <f t="shared" si="1"/>
        <v>145.45454545454544</v>
      </c>
      <c r="E55" s="56">
        <f t="shared" si="2"/>
        <v>14.545454545454545</v>
      </c>
      <c r="F55" s="63">
        <v>160</v>
      </c>
      <c r="G55" s="63"/>
      <c r="H55" s="58">
        <v>160</v>
      </c>
      <c r="I55" s="64" t="s">
        <v>603</v>
      </c>
      <c r="J55" s="137">
        <v>160</v>
      </c>
      <c r="K55" s="137"/>
      <c r="L55" s="55"/>
      <c r="M55" s="138"/>
      <c r="N55" s="22"/>
      <c r="O55" s="22"/>
    </row>
    <row r="56" spans="1:15" x14ac:dyDescent="0.25">
      <c r="A56" s="71">
        <v>45389</v>
      </c>
      <c r="B56" s="55" t="s">
        <v>781</v>
      </c>
      <c r="C56" s="55" t="s">
        <v>43</v>
      </c>
      <c r="D56" s="56">
        <f t="shared" si="1"/>
        <v>118.18181818181817</v>
      </c>
      <c r="E56" s="56">
        <f t="shared" si="2"/>
        <v>11.818181818181818</v>
      </c>
      <c r="F56" s="63">
        <v>130</v>
      </c>
      <c r="G56" s="63"/>
      <c r="H56" s="58">
        <v>130</v>
      </c>
      <c r="I56" s="64" t="s">
        <v>603</v>
      </c>
      <c r="J56" s="137">
        <v>130</v>
      </c>
      <c r="K56" s="137"/>
      <c r="L56" s="55"/>
      <c r="M56" s="138"/>
      <c r="N56" s="22"/>
      <c r="O56" s="22"/>
    </row>
    <row r="57" spans="1:15" x14ac:dyDescent="0.25">
      <c r="A57" s="71">
        <v>45389</v>
      </c>
      <c r="B57" s="55" t="s">
        <v>782</v>
      </c>
      <c r="C57" s="55" t="s">
        <v>43</v>
      </c>
      <c r="D57" s="56">
        <f t="shared" si="1"/>
        <v>199.99999999999997</v>
      </c>
      <c r="E57" s="56">
        <f t="shared" si="2"/>
        <v>19.999999999999996</v>
      </c>
      <c r="F57" s="63">
        <v>220</v>
      </c>
      <c r="G57" s="63">
        <v>50</v>
      </c>
      <c r="H57" s="58">
        <v>170</v>
      </c>
      <c r="I57" s="64" t="s">
        <v>368</v>
      </c>
      <c r="J57" s="137">
        <v>170</v>
      </c>
      <c r="K57" s="137"/>
      <c r="L57" s="55"/>
      <c r="M57" s="138"/>
      <c r="N57" s="22"/>
      <c r="O57" s="22"/>
    </row>
    <row r="58" spans="1:15" x14ac:dyDescent="0.25">
      <c r="A58" s="71">
        <v>45391</v>
      </c>
      <c r="B58" s="55" t="s">
        <v>783</v>
      </c>
      <c r="C58" s="55" t="s">
        <v>43</v>
      </c>
      <c r="D58" s="56">
        <f t="shared" si="1"/>
        <v>195.45454545454544</v>
      </c>
      <c r="E58" s="56">
        <f t="shared" si="2"/>
        <v>19.545454545454547</v>
      </c>
      <c r="F58" s="63">
        <v>215</v>
      </c>
      <c r="G58" s="63">
        <v>50</v>
      </c>
      <c r="H58" s="58">
        <f>F58-G58</f>
        <v>165</v>
      </c>
      <c r="I58" s="64" t="s">
        <v>1443</v>
      </c>
      <c r="J58" s="137">
        <v>170</v>
      </c>
      <c r="K58" s="137"/>
      <c r="L58" s="55"/>
      <c r="M58" s="138">
        <v>45</v>
      </c>
      <c r="N58" s="22" t="s">
        <v>1444</v>
      </c>
      <c r="O58" s="22"/>
    </row>
    <row r="59" spans="1:15" x14ac:dyDescent="0.25">
      <c r="A59" s="71">
        <v>45393</v>
      </c>
      <c r="B59" s="55" t="s">
        <v>784</v>
      </c>
      <c r="C59" s="55" t="s">
        <v>43</v>
      </c>
      <c r="D59" s="56">
        <f t="shared" si="1"/>
        <v>263.63636363636363</v>
      </c>
      <c r="E59" s="56">
        <f t="shared" si="2"/>
        <v>26.36363636363636</v>
      </c>
      <c r="F59" s="63">
        <v>290</v>
      </c>
      <c r="G59" s="63">
        <v>50</v>
      </c>
      <c r="H59" s="58">
        <f t="shared" ref="H59:H122" si="3">F59-G59</f>
        <v>240</v>
      </c>
      <c r="I59" s="64" t="s">
        <v>1445</v>
      </c>
      <c r="J59" s="137">
        <v>290</v>
      </c>
      <c r="K59" s="137"/>
      <c r="L59" s="55"/>
      <c r="M59" s="138"/>
      <c r="N59" s="22"/>
      <c r="O59" s="22"/>
    </row>
    <row r="60" spans="1:15" x14ac:dyDescent="0.25">
      <c r="A60" s="71">
        <v>45394</v>
      </c>
      <c r="B60" s="55" t="s">
        <v>785</v>
      </c>
      <c r="C60" s="55" t="s">
        <v>43</v>
      </c>
      <c r="D60" s="56">
        <f t="shared" si="1"/>
        <v>199.99999999999997</v>
      </c>
      <c r="E60" s="56">
        <f t="shared" si="2"/>
        <v>19.999999999999996</v>
      </c>
      <c r="F60" s="63">
        <v>220</v>
      </c>
      <c r="G60" s="63">
        <v>50</v>
      </c>
      <c r="H60" s="58">
        <f t="shared" si="3"/>
        <v>170</v>
      </c>
      <c r="I60" s="64" t="s">
        <v>1446</v>
      </c>
      <c r="J60" s="137">
        <v>170</v>
      </c>
      <c r="K60" s="137">
        <v>50</v>
      </c>
      <c r="L60" s="55" t="s">
        <v>252</v>
      </c>
      <c r="M60" s="138"/>
      <c r="N60" s="22"/>
      <c r="O60" s="22"/>
    </row>
    <row r="61" spans="1:15" x14ac:dyDescent="0.25">
      <c r="A61" s="71">
        <v>45394</v>
      </c>
      <c r="B61" s="55" t="s">
        <v>786</v>
      </c>
      <c r="C61" s="55" t="s">
        <v>43</v>
      </c>
      <c r="D61" s="56">
        <f t="shared" si="1"/>
        <v>172.72727272727272</v>
      </c>
      <c r="E61" s="56">
        <f t="shared" si="2"/>
        <v>17.272727272727273</v>
      </c>
      <c r="F61" s="63">
        <v>190</v>
      </c>
      <c r="G61" s="63">
        <v>50</v>
      </c>
      <c r="H61" s="58">
        <f t="shared" si="3"/>
        <v>140</v>
      </c>
      <c r="I61" s="64" t="s">
        <v>1447</v>
      </c>
      <c r="J61" s="137">
        <v>170</v>
      </c>
      <c r="K61" s="137">
        <v>20</v>
      </c>
      <c r="L61" s="55" t="s">
        <v>252</v>
      </c>
      <c r="M61" s="138"/>
      <c r="N61" s="22"/>
      <c r="O61" s="22"/>
    </row>
    <row r="62" spans="1:15" x14ac:dyDescent="0.25">
      <c r="A62" s="71">
        <v>45394</v>
      </c>
      <c r="B62" s="55" t="s">
        <v>787</v>
      </c>
      <c r="C62" s="55" t="s">
        <v>43</v>
      </c>
      <c r="D62" s="56">
        <f t="shared" si="1"/>
        <v>245.45454545454544</v>
      </c>
      <c r="E62" s="56">
        <f t="shared" si="2"/>
        <v>24.545454545454547</v>
      </c>
      <c r="F62" s="63">
        <v>270</v>
      </c>
      <c r="G62" s="63">
        <v>50</v>
      </c>
      <c r="H62" s="58">
        <f t="shared" si="3"/>
        <v>220</v>
      </c>
      <c r="I62" s="64" t="s">
        <v>1448</v>
      </c>
      <c r="J62" s="137">
        <v>270</v>
      </c>
      <c r="K62" s="137"/>
      <c r="L62" s="55"/>
      <c r="M62" s="138"/>
      <c r="N62" s="22"/>
      <c r="O62" s="22"/>
    </row>
    <row r="63" spans="1:15" x14ac:dyDescent="0.25">
      <c r="A63" s="76">
        <v>45394</v>
      </c>
      <c r="B63" s="55" t="s">
        <v>788</v>
      </c>
      <c r="C63" s="55" t="s">
        <v>43</v>
      </c>
      <c r="D63" s="56">
        <f t="shared" si="1"/>
        <v>245.45454545454544</v>
      </c>
      <c r="E63" s="56">
        <f t="shared" si="2"/>
        <v>24.545454545454547</v>
      </c>
      <c r="F63" s="63">
        <v>270</v>
      </c>
      <c r="G63" s="63">
        <v>50</v>
      </c>
      <c r="H63" s="58">
        <f t="shared" si="3"/>
        <v>220</v>
      </c>
      <c r="I63" s="64" t="s">
        <v>1449</v>
      </c>
      <c r="J63" s="137">
        <v>270</v>
      </c>
      <c r="K63" s="137"/>
      <c r="L63" s="55"/>
      <c r="M63" s="138"/>
      <c r="N63" s="22"/>
      <c r="O63" s="22"/>
    </row>
    <row r="64" spans="1:15" x14ac:dyDescent="0.25">
      <c r="A64" s="76">
        <v>45394</v>
      </c>
      <c r="B64" s="55" t="s">
        <v>789</v>
      </c>
      <c r="C64" s="55" t="s">
        <v>43</v>
      </c>
      <c r="D64" s="56">
        <f t="shared" si="1"/>
        <v>199.99999999999997</v>
      </c>
      <c r="E64" s="56">
        <f t="shared" si="2"/>
        <v>19.999999999999996</v>
      </c>
      <c r="F64" s="63">
        <v>220</v>
      </c>
      <c r="G64" s="63">
        <v>50</v>
      </c>
      <c r="H64" s="58">
        <f t="shared" si="3"/>
        <v>170</v>
      </c>
      <c r="I64" s="64" t="s">
        <v>1450</v>
      </c>
      <c r="J64" s="137">
        <v>220</v>
      </c>
      <c r="K64" s="137"/>
      <c r="L64" s="55"/>
      <c r="M64" s="138"/>
      <c r="N64" s="22"/>
      <c r="O64" s="22"/>
    </row>
    <row r="65" spans="1:15" x14ac:dyDescent="0.25">
      <c r="A65" s="76">
        <v>45394</v>
      </c>
      <c r="B65" s="55" t="s">
        <v>838</v>
      </c>
      <c r="C65" s="55" t="s">
        <v>43</v>
      </c>
      <c r="D65" s="56">
        <f t="shared" si="1"/>
        <v>127.27272727272727</v>
      </c>
      <c r="E65" s="56">
        <f t="shared" si="2"/>
        <v>12.727272727272727</v>
      </c>
      <c r="F65" s="63">
        <v>140</v>
      </c>
      <c r="G65" s="63"/>
      <c r="H65" s="58">
        <f t="shared" si="3"/>
        <v>140</v>
      </c>
      <c r="I65" s="64" t="s">
        <v>603</v>
      </c>
      <c r="J65" s="137">
        <v>140</v>
      </c>
      <c r="K65" s="137"/>
      <c r="L65" s="55"/>
      <c r="M65" s="138"/>
      <c r="N65" s="22"/>
      <c r="O65" s="22"/>
    </row>
    <row r="66" spans="1:15" x14ac:dyDescent="0.25">
      <c r="A66" s="76">
        <v>45395</v>
      </c>
      <c r="B66" s="55" t="s">
        <v>839</v>
      </c>
      <c r="C66" s="55" t="s">
        <v>43</v>
      </c>
      <c r="D66" s="56">
        <f t="shared" si="1"/>
        <v>290.90909090909088</v>
      </c>
      <c r="E66" s="56">
        <f t="shared" si="2"/>
        <v>29.09090909090909</v>
      </c>
      <c r="F66" s="63">
        <v>320</v>
      </c>
      <c r="G66" s="63">
        <v>45</v>
      </c>
      <c r="H66" s="58">
        <f t="shared" si="3"/>
        <v>275</v>
      </c>
      <c r="I66" s="64" t="s">
        <v>1451</v>
      </c>
      <c r="J66" s="137">
        <v>320</v>
      </c>
      <c r="K66" s="137"/>
      <c r="L66" s="55"/>
      <c r="M66" s="138"/>
      <c r="N66" s="22"/>
      <c r="O66" s="22"/>
    </row>
    <row r="67" spans="1:15" x14ac:dyDescent="0.25">
      <c r="A67" s="71">
        <v>45395</v>
      </c>
      <c r="B67" s="55" t="s">
        <v>840</v>
      </c>
      <c r="C67" s="55" t="s">
        <v>43</v>
      </c>
      <c r="D67" s="56">
        <f t="shared" si="1"/>
        <v>127.27272727272727</v>
      </c>
      <c r="E67" s="56">
        <f t="shared" ref="E67:E98" si="4">D67*10/100</f>
        <v>12.727272727272727</v>
      </c>
      <c r="F67" s="63">
        <v>140</v>
      </c>
      <c r="G67" s="63">
        <v>20</v>
      </c>
      <c r="H67" s="58">
        <f t="shared" si="3"/>
        <v>120</v>
      </c>
      <c r="I67" s="64" t="s">
        <v>1452</v>
      </c>
      <c r="J67" s="137">
        <v>140</v>
      </c>
      <c r="K67" s="137"/>
      <c r="L67" s="55"/>
      <c r="M67" s="138"/>
      <c r="N67" s="22"/>
      <c r="O67" s="22"/>
    </row>
    <row r="68" spans="1:15" x14ac:dyDescent="0.25">
      <c r="A68" s="71">
        <v>45395</v>
      </c>
      <c r="B68" s="55" t="s">
        <v>841</v>
      </c>
      <c r="C68" s="55" t="s">
        <v>43</v>
      </c>
      <c r="D68" s="56">
        <f t="shared" ref="D68:D131" si="5">F68/1.1</f>
        <v>172.72727272727272</v>
      </c>
      <c r="E68" s="56">
        <f t="shared" si="4"/>
        <v>17.272727272727273</v>
      </c>
      <c r="F68" s="63">
        <v>190</v>
      </c>
      <c r="G68" s="63">
        <v>50</v>
      </c>
      <c r="H68" s="58">
        <f t="shared" si="3"/>
        <v>140</v>
      </c>
      <c r="I68" s="64" t="s">
        <v>1453</v>
      </c>
      <c r="J68" s="137">
        <v>170</v>
      </c>
      <c r="K68" s="137">
        <v>20</v>
      </c>
      <c r="L68" s="55"/>
      <c r="M68" s="138"/>
      <c r="N68" s="22"/>
      <c r="O68" s="22"/>
    </row>
    <row r="69" spans="1:15" x14ac:dyDescent="0.25">
      <c r="A69" s="71">
        <v>45395</v>
      </c>
      <c r="B69" s="55" t="s">
        <v>842</v>
      </c>
      <c r="C69" s="55" t="s">
        <v>43</v>
      </c>
      <c r="D69" s="56">
        <f t="shared" si="5"/>
        <v>154.54545454545453</v>
      </c>
      <c r="E69" s="56">
        <f t="shared" si="4"/>
        <v>15.454545454545453</v>
      </c>
      <c r="F69" s="63">
        <v>170</v>
      </c>
      <c r="G69" s="63">
        <v>50</v>
      </c>
      <c r="H69" s="58">
        <f t="shared" si="3"/>
        <v>120</v>
      </c>
      <c r="I69" s="64" t="s">
        <v>1454</v>
      </c>
      <c r="J69" s="137">
        <v>170</v>
      </c>
      <c r="K69" s="137"/>
      <c r="L69" s="55"/>
      <c r="M69" s="138"/>
      <c r="N69" s="22"/>
      <c r="O69" s="22"/>
    </row>
    <row r="70" spans="1:15" x14ac:dyDescent="0.25">
      <c r="A70" s="71">
        <v>45395</v>
      </c>
      <c r="B70" s="55" t="s">
        <v>843</v>
      </c>
      <c r="C70" s="55" t="s">
        <v>43</v>
      </c>
      <c r="D70" s="56">
        <f t="shared" si="5"/>
        <v>154.54545454545453</v>
      </c>
      <c r="E70" s="56">
        <f t="shared" si="4"/>
        <v>15.454545454545453</v>
      </c>
      <c r="F70" s="63">
        <v>170</v>
      </c>
      <c r="G70" s="63">
        <v>50</v>
      </c>
      <c r="H70" s="58">
        <f t="shared" si="3"/>
        <v>120</v>
      </c>
      <c r="I70" s="64" t="s">
        <v>1455</v>
      </c>
      <c r="J70" s="137">
        <v>170</v>
      </c>
      <c r="K70" s="137"/>
      <c r="L70" s="55"/>
      <c r="M70" s="138"/>
      <c r="N70" s="22"/>
      <c r="O70" s="22"/>
    </row>
    <row r="71" spans="1:15" x14ac:dyDescent="0.25">
      <c r="A71" s="71">
        <v>45395</v>
      </c>
      <c r="B71" s="55" t="s">
        <v>844</v>
      </c>
      <c r="C71" s="55" t="s">
        <v>43</v>
      </c>
      <c r="D71" s="56">
        <f t="shared" si="5"/>
        <v>127.27272727272727</v>
      </c>
      <c r="E71" s="56">
        <f t="shared" si="4"/>
        <v>12.727272727272727</v>
      </c>
      <c r="F71" s="63">
        <v>140</v>
      </c>
      <c r="G71" s="63"/>
      <c r="H71" s="58">
        <f t="shared" si="3"/>
        <v>140</v>
      </c>
      <c r="I71" s="64" t="s">
        <v>1456</v>
      </c>
      <c r="J71" s="137">
        <v>140</v>
      </c>
      <c r="K71" s="137"/>
      <c r="L71" s="55"/>
      <c r="M71" s="138"/>
      <c r="N71" s="22"/>
      <c r="O71" s="22"/>
    </row>
    <row r="72" spans="1:15" x14ac:dyDescent="0.25">
      <c r="A72" s="71">
        <v>45395</v>
      </c>
      <c r="B72" s="55" t="s">
        <v>845</v>
      </c>
      <c r="C72" s="55" t="s">
        <v>43</v>
      </c>
      <c r="D72" s="56">
        <f t="shared" si="5"/>
        <v>163.63636363636363</v>
      </c>
      <c r="E72" s="56">
        <f t="shared" si="4"/>
        <v>16.363636363636363</v>
      </c>
      <c r="F72" s="63">
        <v>180</v>
      </c>
      <c r="G72" s="63"/>
      <c r="H72" s="58">
        <f t="shared" si="3"/>
        <v>180</v>
      </c>
      <c r="I72" s="64" t="s">
        <v>603</v>
      </c>
      <c r="J72" s="137">
        <v>180</v>
      </c>
      <c r="K72" s="137"/>
      <c r="L72" s="55"/>
      <c r="M72" s="138"/>
      <c r="N72" s="22"/>
      <c r="O72" s="22"/>
    </row>
    <row r="73" spans="1:15" x14ac:dyDescent="0.25">
      <c r="A73" s="71">
        <v>45395</v>
      </c>
      <c r="B73" s="55" t="s">
        <v>846</v>
      </c>
      <c r="C73" s="55" t="s">
        <v>43</v>
      </c>
      <c r="D73" s="56">
        <f t="shared" si="5"/>
        <v>199.99999999999997</v>
      </c>
      <c r="E73" s="56">
        <f t="shared" si="4"/>
        <v>19.999999999999996</v>
      </c>
      <c r="F73" s="63">
        <v>220</v>
      </c>
      <c r="G73" s="63"/>
      <c r="H73" s="58">
        <f t="shared" si="3"/>
        <v>220</v>
      </c>
      <c r="I73" s="64" t="s">
        <v>1034</v>
      </c>
      <c r="J73" s="137">
        <v>220</v>
      </c>
      <c r="K73" s="137"/>
      <c r="L73" s="55"/>
      <c r="M73" s="138"/>
      <c r="N73" s="22"/>
      <c r="O73" s="22"/>
    </row>
    <row r="74" spans="1:15" x14ac:dyDescent="0.25">
      <c r="A74" s="71">
        <v>45395</v>
      </c>
      <c r="B74" s="55" t="s">
        <v>847</v>
      </c>
      <c r="C74" s="55" t="s">
        <v>43</v>
      </c>
      <c r="D74" s="56">
        <f t="shared" si="5"/>
        <v>236.36363636363635</v>
      </c>
      <c r="E74" s="56">
        <f t="shared" si="4"/>
        <v>23.636363636363637</v>
      </c>
      <c r="F74" s="63">
        <v>260</v>
      </c>
      <c r="G74" s="63">
        <v>260</v>
      </c>
      <c r="H74" s="58">
        <f t="shared" si="3"/>
        <v>0</v>
      </c>
      <c r="I74" s="64" t="s">
        <v>1457</v>
      </c>
      <c r="J74" s="137">
        <v>220</v>
      </c>
      <c r="K74" s="137">
        <v>40</v>
      </c>
      <c r="L74" s="55" t="s">
        <v>252</v>
      </c>
      <c r="M74" s="138"/>
      <c r="N74" s="22"/>
      <c r="O74" s="22"/>
    </row>
    <row r="75" spans="1:15" x14ac:dyDescent="0.25">
      <c r="A75" s="71">
        <v>45395</v>
      </c>
      <c r="B75" s="55" t="s">
        <v>848</v>
      </c>
      <c r="C75" s="55" t="s">
        <v>43</v>
      </c>
      <c r="D75" s="56">
        <f t="shared" si="5"/>
        <v>199.99999999999997</v>
      </c>
      <c r="E75" s="56">
        <f t="shared" si="4"/>
        <v>19.999999999999996</v>
      </c>
      <c r="F75" s="63">
        <v>220</v>
      </c>
      <c r="G75" s="66">
        <v>220</v>
      </c>
      <c r="H75" s="58">
        <f t="shared" si="3"/>
        <v>0</v>
      </c>
      <c r="I75" s="64" t="s">
        <v>1459</v>
      </c>
      <c r="J75" s="137">
        <v>220</v>
      </c>
      <c r="K75" s="137"/>
      <c r="L75" s="55"/>
      <c r="M75" s="138"/>
      <c r="N75" s="22"/>
      <c r="O75" s="22"/>
    </row>
    <row r="76" spans="1:15" x14ac:dyDescent="0.25">
      <c r="A76" s="71">
        <v>45395</v>
      </c>
      <c r="B76" s="55" t="s">
        <v>849</v>
      </c>
      <c r="C76" s="55" t="s">
        <v>43</v>
      </c>
      <c r="D76" s="56">
        <f t="shared" si="5"/>
        <v>172.72727272727272</v>
      </c>
      <c r="E76" s="56">
        <f t="shared" si="4"/>
        <v>17.272727272727273</v>
      </c>
      <c r="F76" s="63">
        <v>190</v>
      </c>
      <c r="G76" s="63"/>
      <c r="H76" s="58">
        <f t="shared" si="3"/>
        <v>190</v>
      </c>
      <c r="I76" s="64" t="s">
        <v>1398</v>
      </c>
      <c r="J76" s="137">
        <v>190</v>
      </c>
      <c r="K76" s="137"/>
      <c r="L76" s="55"/>
      <c r="M76" s="138"/>
      <c r="N76" s="22"/>
      <c r="O76" s="22"/>
    </row>
    <row r="77" spans="1:15" x14ac:dyDescent="0.25">
      <c r="A77" s="71">
        <v>45395</v>
      </c>
      <c r="B77" s="55" t="s">
        <v>850</v>
      </c>
      <c r="C77" s="55" t="s">
        <v>43</v>
      </c>
      <c r="D77" s="56">
        <f t="shared" si="5"/>
        <v>281.81818181818181</v>
      </c>
      <c r="E77" s="56">
        <f t="shared" si="4"/>
        <v>28.18181818181818</v>
      </c>
      <c r="F77" s="63">
        <v>310</v>
      </c>
      <c r="G77" s="63">
        <v>310</v>
      </c>
      <c r="H77" s="58">
        <f t="shared" si="3"/>
        <v>0</v>
      </c>
      <c r="I77" s="64" t="s">
        <v>1460</v>
      </c>
      <c r="J77" s="137">
        <v>310</v>
      </c>
      <c r="K77" s="77"/>
      <c r="L77" s="55"/>
      <c r="M77" s="138"/>
      <c r="N77" s="22"/>
      <c r="O77" s="22"/>
    </row>
    <row r="78" spans="1:15" x14ac:dyDescent="0.25">
      <c r="A78" s="71">
        <v>45395</v>
      </c>
      <c r="B78" s="55" t="s">
        <v>851</v>
      </c>
      <c r="C78" s="55" t="s">
        <v>43</v>
      </c>
      <c r="D78" s="56">
        <f t="shared" si="5"/>
        <v>218.18181818181816</v>
      </c>
      <c r="E78" s="56">
        <f t="shared" si="4"/>
        <v>21.818181818181817</v>
      </c>
      <c r="F78" s="78">
        <v>240</v>
      </c>
      <c r="G78" s="78"/>
      <c r="H78" s="58">
        <f t="shared" si="3"/>
        <v>240</v>
      </c>
      <c r="I78" s="64" t="s">
        <v>1452</v>
      </c>
      <c r="J78" s="147">
        <v>240</v>
      </c>
      <c r="K78" s="80"/>
      <c r="L78" s="81"/>
      <c r="M78" s="148"/>
      <c r="N78" s="149"/>
      <c r="O78" s="149"/>
    </row>
    <row r="79" spans="1:15" x14ac:dyDescent="0.25">
      <c r="A79" s="71">
        <v>45395</v>
      </c>
      <c r="B79" s="55" t="s">
        <v>852</v>
      </c>
      <c r="C79" s="55" t="s">
        <v>43</v>
      </c>
      <c r="D79" s="56">
        <f t="shared" si="5"/>
        <v>281.81818181818181</v>
      </c>
      <c r="E79" s="56">
        <f t="shared" si="4"/>
        <v>28.18181818181818</v>
      </c>
      <c r="F79" s="84">
        <v>310</v>
      </c>
      <c r="G79" s="63">
        <v>50</v>
      </c>
      <c r="H79" s="58">
        <f t="shared" si="3"/>
        <v>260</v>
      </c>
      <c r="I79" s="64" t="s">
        <v>1461</v>
      </c>
      <c r="J79" s="97">
        <v>270</v>
      </c>
      <c r="K79" s="85">
        <v>40</v>
      </c>
      <c r="L79" s="14" t="s">
        <v>252</v>
      </c>
      <c r="M79" s="97"/>
      <c r="N79" s="97"/>
      <c r="O79" s="97"/>
    </row>
    <row r="80" spans="1:15" x14ac:dyDescent="0.25">
      <c r="A80" s="71">
        <v>45395</v>
      </c>
      <c r="B80" s="55" t="s">
        <v>853</v>
      </c>
      <c r="C80" s="55" t="s">
        <v>43</v>
      </c>
      <c r="D80" s="56">
        <f t="shared" si="5"/>
        <v>263.63636363636363</v>
      </c>
      <c r="E80" s="56">
        <f t="shared" si="4"/>
        <v>26.36363636363636</v>
      </c>
      <c r="F80" s="84">
        <v>290</v>
      </c>
      <c r="G80" s="63">
        <v>50</v>
      </c>
      <c r="H80" s="58">
        <f t="shared" si="3"/>
        <v>240</v>
      </c>
      <c r="I80" s="64" t="s">
        <v>1462</v>
      </c>
      <c r="J80" s="97">
        <v>270</v>
      </c>
      <c r="K80" s="85">
        <v>20</v>
      </c>
      <c r="L80" s="14" t="s">
        <v>252</v>
      </c>
      <c r="M80" s="97"/>
      <c r="N80" s="97"/>
      <c r="O80" s="97"/>
    </row>
    <row r="81" spans="1:15" x14ac:dyDescent="0.25">
      <c r="A81" s="71">
        <v>45395</v>
      </c>
      <c r="B81" s="55" t="s">
        <v>854</v>
      </c>
      <c r="C81" s="55" t="s">
        <v>43</v>
      </c>
      <c r="D81" s="56">
        <f t="shared" si="5"/>
        <v>199.99999999999997</v>
      </c>
      <c r="E81" s="56">
        <f t="shared" si="4"/>
        <v>19.999999999999996</v>
      </c>
      <c r="F81" s="84">
        <v>220</v>
      </c>
      <c r="G81" s="63">
        <v>220</v>
      </c>
      <c r="H81" s="58">
        <f t="shared" si="3"/>
        <v>0</v>
      </c>
      <c r="I81" s="64" t="s">
        <v>1463</v>
      </c>
      <c r="J81" s="97">
        <v>220</v>
      </c>
      <c r="K81" s="85"/>
      <c r="L81" s="14"/>
      <c r="M81" s="97"/>
      <c r="N81" s="97"/>
      <c r="O81" s="97"/>
    </row>
    <row r="82" spans="1:15" x14ac:dyDescent="0.25">
      <c r="A82" s="71">
        <v>45395</v>
      </c>
      <c r="B82" s="55" t="s">
        <v>855</v>
      </c>
      <c r="C82" s="55" t="s">
        <v>43</v>
      </c>
      <c r="D82" s="56">
        <f t="shared" si="5"/>
        <v>218.18181818181816</v>
      </c>
      <c r="E82" s="56">
        <f t="shared" si="4"/>
        <v>21.818181818181817</v>
      </c>
      <c r="F82" s="84">
        <v>240</v>
      </c>
      <c r="G82" s="63">
        <v>50</v>
      </c>
      <c r="H82" s="58">
        <f t="shared" si="3"/>
        <v>190</v>
      </c>
      <c r="I82" s="64" t="s">
        <v>1464</v>
      </c>
      <c r="J82" s="97">
        <v>220</v>
      </c>
      <c r="K82" s="85">
        <v>20</v>
      </c>
      <c r="L82" s="14" t="s">
        <v>252</v>
      </c>
      <c r="M82" s="97"/>
      <c r="N82" s="97"/>
      <c r="O82" s="97"/>
    </row>
    <row r="83" spans="1:15" x14ac:dyDescent="0.25">
      <c r="A83" s="71">
        <v>45395</v>
      </c>
      <c r="B83" s="55" t="s">
        <v>856</v>
      </c>
      <c r="C83" s="55" t="s">
        <v>43</v>
      </c>
      <c r="D83" s="56">
        <f t="shared" si="5"/>
        <v>281.81818181818181</v>
      </c>
      <c r="E83" s="56">
        <f t="shared" si="4"/>
        <v>28.18181818181818</v>
      </c>
      <c r="F83" s="84">
        <v>310</v>
      </c>
      <c r="G83" s="66">
        <v>50</v>
      </c>
      <c r="H83" s="58">
        <f t="shared" si="3"/>
        <v>260</v>
      </c>
      <c r="I83" s="64" t="s">
        <v>1465</v>
      </c>
      <c r="J83" s="97">
        <v>270</v>
      </c>
      <c r="K83" s="85">
        <v>40</v>
      </c>
      <c r="L83" s="14" t="s">
        <v>252</v>
      </c>
      <c r="M83" s="97"/>
      <c r="N83" s="97"/>
      <c r="O83" s="97"/>
    </row>
    <row r="84" spans="1:15" x14ac:dyDescent="0.25">
      <c r="A84" s="71">
        <v>45395</v>
      </c>
      <c r="B84" s="55" t="s">
        <v>857</v>
      </c>
      <c r="C84" s="55" t="s">
        <v>43</v>
      </c>
      <c r="D84" s="56">
        <f t="shared" si="5"/>
        <v>377.27272727272725</v>
      </c>
      <c r="E84" s="56">
        <f t="shared" si="4"/>
        <v>37.727272727272727</v>
      </c>
      <c r="F84" s="84">
        <v>415</v>
      </c>
      <c r="G84" s="63">
        <v>200</v>
      </c>
      <c r="H84" s="58">
        <f t="shared" si="3"/>
        <v>215</v>
      </c>
      <c r="I84" s="64" t="s">
        <v>1466</v>
      </c>
      <c r="J84" s="97">
        <v>415</v>
      </c>
      <c r="K84" s="85"/>
      <c r="L84" s="14"/>
      <c r="M84" s="97"/>
      <c r="N84" s="97"/>
      <c r="O84" s="97"/>
    </row>
    <row r="85" spans="1:15" x14ac:dyDescent="0.25">
      <c r="A85" s="71">
        <v>45395</v>
      </c>
      <c r="B85" s="55" t="s">
        <v>858</v>
      </c>
      <c r="C85" s="55" t="s">
        <v>43</v>
      </c>
      <c r="D85" s="56">
        <f t="shared" si="5"/>
        <v>181.81818181818181</v>
      </c>
      <c r="E85" s="56">
        <f t="shared" si="4"/>
        <v>18.18181818181818</v>
      </c>
      <c r="F85" s="84">
        <v>200</v>
      </c>
      <c r="G85" s="63"/>
      <c r="H85" s="58">
        <f t="shared" si="3"/>
        <v>200</v>
      </c>
      <c r="I85" s="64" t="s">
        <v>603</v>
      </c>
      <c r="J85" s="97">
        <v>200</v>
      </c>
      <c r="K85" s="85"/>
      <c r="L85" s="14"/>
      <c r="M85" s="97"/>
      <c r="N85" s="97"/>
      <c r="O85" s="97"/>
    </row>
    <row r="86" spans="1:15" x14ac:dyDescent="0.25">
      <c r="A86" s="71">
        <v>45395</v>
      </c>
      <c r="B86" s="55" t="s">
        <v>859</v>
      </c>
      <c r="C86" s="55" t="s">
        <v>43</v>
      </c>
      <c r="D86" s="56">
        <f t="shared" si="5"/>
        <v>281.81818181818181</v>
      </c>
      <c r="E86" s="56">
        <f t="shared" si="4"/>
        <v>28.18181818181818</v>
      </c>
      <c r="F86" s="84">
        <v>310</v>
      </c>
      <c r="G86" s="63">
        <v>50</v>
      </c>
      <c r="H86" s="58">
        <f t="shared" si="3"/>
        <v>260</v>
      </c>
      <c r="I86" s="64" t="s">
        <v>1467</v>
      </c>
      <c r="J86" s="97">
        <v>270</v>
      </c>
      <c r="K86" s="85">
        <v>40</v>
      </c>
      <c r="L86" s="14" t="s">
        <v>252</v>
      </c>
      <c r="M86" s="97"/>
      <c r="N86" s="97"/>
      <c r="O86" s="97"/>
    </row>
    <row r="87" spans="1:15" x14ac:dyDescent="0.25">
      <c r="A87" s="71">
        <v>45395</v>
      </c>
      <c r="B87" s="55" t="s">
        <v>860</v>
      </c>
      <c r="C87" s="55" t="s">
        <v>43</v>
      </c>
      <c r="D87" s="56">
        <f t="shared" si="5"/>
        <v>236.36363636363635</v>
      </c>
      <c r="E87" s="56">
        <f t="shared" si="4"/>
        <v>23.636363636363637</v>
      </c>
      <c r="F87" s="84">
        <v>260</v>
      </c>
      <c r="G87" s="63">
        <v>30</v>
      </c>
      <c r="H87" s="58">
        <f t="shared" si="3"/>
        <v>230</v>
      </c>
      <c r="I87" s="64" t="s">
        <v>1468</v>
      </c>
      <c r="J87" s="97">
        <v>220</v>
      </c>
      <c r="K87" s="85">
        <v>40</v>
      </c>
      <c r="L87" s="86" t="s">
        <v>252</v>
      </c>
      <c r="M87" s="97"/>
      <c r="N87" s="97"/>
      <c r="O87" s="97"/>
    </row>
    <row r="88" spans="1:15" x14ac:dyDescent="0.25">
      <c r="A88" s="71">
        <v>45395</v>
      </c>
      <c r="B88" s="55" t="s">
        <v>861</v>
      </c>
      <c r="C88" s="55" t="s">
        <v>43</v>
      </c>
      <c r="D88" s="56">
        <f t="shared" si="5"/>
        <v>154.54545454545453</v>
      </c>
      <c r="E88" s="56">
        <f t="shared" si="4"/>
        <v>15.454545454545453</v>
      </c>
      <c r="F88" s="84">
        <v>170</v>
      </c>
      <c r="G88" s="63">
        <v>50</v>
      </c>
      <c r="H88" s="58">
        <f t="shared" si="3"/>
        <v>120</v>
      </c>
      <c r="I88" s="64" t="s">
        <v>1469</v>
      </c>
      <c r="J88" s="97">
        <v>170</v>
      </c>
      <c r="K88" s="85"/>
      <c r="L88" s="14"/>
      <c r="M88" s="150"/>
      <c r="N88" s="97"/>
      <c r="O88" s="97"/>
    </row>
    <row r="89" spans="1:15" x14ac:dyDescent="0.25">
      <c r="A89" s="71">
        <v>45395</v>
      </c>
      <c r="B89" s="55" t="s">
        <v>862</v>
      </c>
      <c r="C89" s="55" t="s">
        <v>43</v>
      </c>
      <c r="D89" s="56">
        <f t="shared" si="5"/>
        <v>154.54545454545453</v>
      </c>
      <c r="E89" s="56">
        <f t="shared" si="4"/>
        <v>15.454545454545453</v>
      </c>
      <c r="F89" s="84">
        <v>170</v>
      </c>
      <c r="G89" s="63">
        <v>50</v>
      </c>
      <c r="H89" s="58">
        <f t="shared" si="3"/>
        <v>120</v>
      </c>
      <c r="I89" s="64" t="s">
        <v>1470</v>
      </c>
      <c r="J89" s="97">
        <v>170</v>
      </c>
      <c r="K89" s="85"/>
      <c r="L89" s="14"/>
      <c r="M89" s="97"/>
      <c r="N89" s="97"/>
      <c r="O89" s="97"/>
    </row>
    <row r="90" spans="1:15" x14ac:dyDescent="0.25">
      <c r="A90" s="71">
        <v>45395</v>
      </c>
      <c r="B90" s="55" t="s">
        <v>863</v>
      </c>
      <c r="C90" s="55" t="s">
        <v>43</v>
      </c>
      <c r="D90" s="56">
        <f t="shared" si="5"/>
        <v>154.54545454545453</v>
      </c>
      <c r="E90" s="56">
        <f t="shared" si="4"/>
        <v>15.454545454545453</v>
      </c>
      <c r="F90" s="75">
        <v>170</v>
      </c>
      <c r="G90" s="75"/>
      <c r="H90" s="58">
        <f t="shared" si="3"/>
        <v>170</v>
      </c>
      <c r="I90" s="14" t="s">
        <v>1471</v>
      </c>
      <c r="J90" s="75">
        <v>170</v>
      </c>
      <c r="K90" s="75"/>
      <c r="L90" s="14"/>
      <c r="M90" s="14"/>
      <c r="N90" s="14"/>
      <c r="O90" s="97"/>
    </row>
    <row r="91" spans="1:15" x14ac:dyDescent="0.25">
      <c r="A91" s="71">
        <v>45395</v>
      </c>
      <c r="B91" s="55" t="s">
        <v>864</v>
      </c>
      <c r="C91" s="55" t="s">
        <v>43</v>
      </c>
      <c r="D91" s="56">
        <f t="shared" si="5"/>
        <v>118.18181818181817</v>
      </c>
      <c r="E91" s="56">
        <f t="shared" si="4"/>
        <v>11.818181818181818</v>
      </c>
      <c r="F91" s="75">
        <v>130</v>
      </c>
      <c r="G91" s="75"/>
      <c r="H91" s="58">
        <f t="shared" si="3"/>
        <v>130</v>
      </c>
      <c r="I91" s="14" t="s">
        <v>514</v>
      </c>
      <c r="J91" s="75">
        <v>130</v>
      </c>
      <c r="K91" s="75"/>
      <c r="L91" s="14"/>
      <c r="M91" s="14"/>
      <c r="N91" s="14"/>
      <c r="O91" s="97"/>
    </row>
    <row r="92" spans="1:15" x14ac:dyDescent="0.25">
      <c r="A92" s="71">
        <v>45395</v>
      </c>
      <c r="B92" s="55" t="s">
        <v>865</v>
      </c>
      <c r="C92" s="55" t="s">
        <v>43</v>
      </c>
      <c r="D92" s="56">
        <f t="shared" si="5"/>
        <v>154.54545454545453</v>
      </c>
      <c r="E92" s="56">
        <f t="shared" si="4"/>
        <v>15.454545454545453</v>
      </c>
      <c r="F92" s="75">
        <v>170</v>
      </c>
      <c r="G92" s="75">
        <v>50</v>
      </c>
      <c r="H92" s="58">
        <f t="shared" si="3"/>
        <v>120</v>
      </c>
      <c r="I92" s="14" t="s">
        <v>1472</v>
      </c>
      <c r="J92" s="75">
        <v>170</v>
      </c>
      <c r="K92" s="75"/>
      <c r="L92" s="14"/>
      <c r="M92" s="14"/>
      <c r="N92" s="14"/>
      <c r="O92" s="97"/>
    </row>
    <row r="93" spans="1:15" x14ac:dyDescent="0.25">
      <c r="A93" s="71">
        <v>45395</v>
      </c>
      <c r="B93" s="55" t="s">
        <v>866</v>
      </c>
      <c r="C93" s="55" t="s">
        <v>43</v>
      </c>
      <c r="D93" s="56">
        <f t="shared" si="5"/>
        <v>154.54545454545453</v>
      </c>
      <c r="E93" s="56">
        <f t="shared" si="4"/>
        <v>15.454545454545453</v>
      </c>
      <c r="F93" s="75">
        <v>170</v>
      </c>
      <c r="G93" s="75">
        <v>50</v>
      </c>
      <c r="H93" s="58">
        <f t="shared" si="3"/>
        <v>120</v>
      </c>
      <c r="I93" s="14" t="s">
        <v>1458</v>
      </c>
      <c r="J93" s="75">
        <v>170</v>
      </c>
      <c r="K93" s="75"/>
      <c r="L93" s="14"/>
      <c r="M93" s="14"/>
      <c r="N93" s="14"/>
      <c r="O93" s="97"/>
    </row>
    <row r="94" spans="1:15" x14ac:dyDescent="0.25">
      <c r="A94" s="73">
        <v>45396</v>
      </c>
      <c r="B94" s="55" t="s">
        <v>867</v>
      </c>
      <c r="C94" s="55" t="s">
        <v>43</v>
      </c>
      <c r="D94" s="56">
        <f t="shared" si="5"/>
        <v>199.99999999999997</v>
      </c>
      <c r="E94" s="56">
        <f t="shared" si="4"/>
        <v>19.999999999999996</v>
      </c>
      <c r="F94" s="75">
        <v>220</v>
      </c>
      <c r="G94" s="75">
        <v>50</v>
      </c>
      <c r="H94" s="58">
        <f t="shared" si="3"/>
        <v>170</v>
      </c>
      <c r="I94" s="14" t="s">
        <v>368</v>
      </c>
      <c r="J94" s="75">
        <v>220</v>
      </c>
      <c r="K94" s="14"/>
      <c r="L94" s="14"/>
      <c r="M94" s="14"/>
      <c r="N94" s="14"/>
      <c r="O94" s="97"/>
    </row>
    <row r="95" spans="1:15" x14ac:dyDescent="0.25">
      <c r="A95" s="159">
        <v>45398</v>
      </c>
      <c r="B95" s="55" t="s">
        <v>868</v>
      </c>
      <c r="C95" s="55" t="s">
        <v>43</v>
      </c>
      <c r="D95" s="56">
        <f t="shared" si="5"/>
        <v>313.63636363636363</v>
      </c>
      <c r="E95" s="56">
        <f t="shared" si="4"/>
        <v>31.36363636363636</v>
      </c>
      <c r="F95" s="75">
        <v>345</v>
      </c>
      <c r="G95" s="75">
        <v>50</v>
      </c>
      <c r="H95" s="58">
        <f t="shared" si="3"/>
        <v>295</v>
      </c>
      <c r="I95" s="14" t="s">
        <v>1473</v>
      </c>
      <c r="J95" s="75">
        <v>270</v>
      </c>
      <c r="K95" s="14">
        <v>30</v>
      </c>
      <c r="L95" s="14" t="s">
        <v>252</v>
      </c>
      <c r="M95" s="14">
        <v>45</v>
      </c>
      <c r="N95" s="14" t="s">
        <v>1444</v>
      </c>
      <c r="O95" s="97"/>
    </row>
    <row r="96" spans="1:15" x14ac:dyDescent="0.25">
      <c r="A96" s="159">
        <v>45400</v>
      </c>
      <c r="B96" s="55" t="s">
        <v>869</v>
      </c>
      <c r="C96" s="55" t="s">
        <v>43</v>
      </c>
      <c r="D96" s="56">
        <f t="shared" si="5"/>
        <v>227.27272727272725</v>
      </c>
      <c r="E96" s="56">
        <f t="shared" si="4"/>
        <v>22.727272727272727</v>
      </c>
      <c r="F96" s="75">
        <v>250</v>
      </c>
      <c r="G96" s="14">
        <v>50</v>
      </c>
      <c r="H96" s="58">
        <f t="shared" si="3"/>
        <v>200</v>
      </c>
      <c r="I96" s="14" t="s">
        <v>1477</v>
      </c>
      <c r="J96" s="75">
        <v>220</v>
      </c>
      <c r="K96" s="14">
        <v>30</v>
      </c>
      <c r="L96" s="14" t="s">
        <v>252</v>
      </c>
      <c r="M96" s="14"/>
      <c r="N96" s="14"/>
      <c r="O96" s="97"/>
    </row>
    <row r="97" spans="1:15" x14ac:dyDescent="0.25">
      <c r="A97" s="159">
        <v>45401</v>
      </c>
      <c r="B97" s="55" t="s">
        <v>870</v>
      </c>
      <c r="C97" s="55" t="s">
        <v>43</v>
      </c>
      <c r="D97" s="56">
        <f t="shared" si="5"/>
        <v>263.63636363636363</v>
      </c>
      <c r="E97" s="56">
        <f t="shared" si="4"/>
        <v>26.36363636363636</v>
      </c>
      <c r="F97" s="84">
        <v>290</v>
      </c>
      <c r="G97" s="63">
        <v>50</v>
      </c>
      <c r="H97" s="58">
        <f t="shared" si="3"/>
        <v>240</v>
      </c>
      <c r="I97" s="14" t="s">
        <v>1478</v>
      </c>
      <c r="J97" s="75">
        <v>270</v>
      </c>
      <c r="K97" s="14">
        <v>20</v>
      </c>
      <c r="L97" s="14" t="s">
        <v>252</v>
      </c>
      <c r="M97" s="14"/>
      <c r="N97" s="14"/>
      <c r="O97" s="97"/>
    </row>
    <row r="98" spans="1:15" x14ac:dyDescent="0.25">
      <c r="A98" s="159">
        <v>45401</v>
      </c>
      <c r="B98" s="55" t="s">
        <v>871</v>
      </c>
      <c r="C98" s="55" t="s">
        <v>43</v>
      </c>
      <c r="D98" s="56">
        <f t="shared" si="5"/>
        <v>199.99999999999997</v>
      </c>
      <c r="E98" s="56">
        <f t="shared" si="4"/>
        <v>19.999999999999996</v>
      </c>
      <c r="F98" s="84">
        <v>220</v>
      </c>
      <c r="G98" s="63"/>
      <c r="H98" s="58">
        <f t="shared" si="3"/>
        <v>220</v>
      </c>
      <c r="I98" s="64" t="s">
        <v>603</v>
      </c>
      <c r="J98" s="97">
        <v>220</v>
      </c>
      <c r="K98" s="85"/>
      <c r="L98" s="14"/>
      <c r="M98" s="97"/>
      <c r="N98" s="97"/>
      <c r="O98" s="97"/>
    </row>
    <row r="99" spans="1:15" x14ac:dyDescent="0.25">
      <c r="A99" s="159">
        <v>45401</v>
      </c>
      <c r="B99" s="55" t="s">
        <v>872</v>
      </c>
      <c r="C99" s="55" t="s">
        <v>43</v>
      </c>
      <c r="D99" s="56">
        <f t="shared" si="5"/>
        <v>154.54545454545453</v>
      </c>
      <c r="E99" s="56">
        <f t="shared" ref="E99:E130" si="6">D99*10/100</f>
        <v>15.454545454545453</v>
      </c>
      <c r="F99" s="84">
        <v>170</v>
      </c>
      <c r="G99" s="63">
        <v>50</v>
      </c>
      <c r="H99" s="58">
        <f t="shared" si="3"/>
        <v>120</v>
      </c>
      <c r="I99" s="64" t="s">
        <v>1479</v>
      </c>
      <c r="J99" s="97">
        <v>170</v>
      </c>
      <c r="K99" s="85"/>
      <c r="L99" s="14"/>
      <c r="M99" s="97"/>
      <c r="N99" s="97"/>
      <c r="O99" s="97"/>
    </row>
    <row r="100" spans="1:15" x14ac:dyDescent="0.25">
      <c r="A100" s="159">
        <v>45401</v>
      </c>
      <c r="B100" s="55" t="s">
        <v>873</v>
      </c>
      <c r="C100" s="55" t="s">
        <v>43</v>
      </c>
      <c r="D100" s="56">
        <f t="shared" si="5"/>
        <v>199.99999999999997</v>
      </c>
      <c r="E100" s="56">
        <f t="shared" si="6"/>
        <v>19.999999999999996</v>
      </c>
      <c r="F100" s="84">
        <v>220</v>
      </c>
      <c r="G100" s="63">
        <v>50</v>
      </c>
      <c r="H100" s="58">
        <f t="shared" si="3"/>
        <v>170</v>
      </c>
      <c r="I100" s="64" t="s">
        <v>1480</v>
      </c>
      <c r="J100" s="97">
        <v>220</v>
      </c>
      <c r="K100" s="85"/>
      <c r="L100" s="14"/>
      <c r="M100" s="97"/>
      <c r="N100" s="97"/>
      <c r="O100" s="97"/>
    </row>
    <row r="101" spans="1:15" x14ac:dyDescent="0.25">
      <c r="A101" s="159">
        <v>45401</v>
      </c>
      <c r="B101" s="55" t="s">
        <v>874</v>
      </c>
      <c r="C101" s="55" t="s">
        <v>43</v>
      </c>
      <c r="D101" s="56">
        <f t="shared" si="5"/>
        <v>163.63636363636363</v>
      </c>
      <c r="E101" s="56">
        <f t="shared" si="6"/>
        <v>16.363636363636363</v>
      </c>
      <c r="F101" s="88">
        <v>180</v>
      </c>
      <c r="G101" s="89"/>
      <c r="H101" s="58">
        <f t="shared" si="3"/>
        <v>180</v>
      </c>
      <c r="I101" s="90" t="s">
        <v>603</v>
      </c>
      <c r="J101" s="151">
        <v>180</v>
      </c>
      <c r="K101" s="92"/>
      <c r="L101" s="93"/>
      <c r="M101" s="151"/>
      <c r="N101" s="151"/>
      <c r="O101" s="151"/>
    </row>
    <row r="102" spans="1:15" x14ac:dyDescent="0.25">
      <c r="A102" s="159">
        <v>45401</v>
      </c>
      <c r="B102" s="55" t="s">
        <v>875</v>
      </c>
      <c r="C102" s="55" t="s">
        <v>43</v>
      </c>
      <c r="D102" s="56">
        <f t="shared" si="5"/>
        <v>154.54545454545453</v>
      </c>
      <c r="E102" s="56">
        <f t="shared" si="6"/>
        <v>15.454545454545453</v>
      </c>
      <c r="F102" s="75">
        <v>170</v>
      </c>
      <c r="G102" s="75">
        <v>50</v>
      </c>
      <c r="H102" s="58">
        <f t="shared" si="3"/>
        <v>120</v>
      </c>
      <c r="I102" s="64" t="s">
        <v>1481</v>
      </c>
      <c r="J102" s="97">
        <v>170</v>
      </c>
      <c r="K102" s="85"/>
      <c r="L102" s="14"/>
      <c r="M102" s="97"/>
      <c r="N102" s="97"/>
      <c r="O102" s="97"/>
    </row>
    <row r="103" spans="1:15" x14ac:dyDescent="0.25">
      <c r="A103" s="159">
        <v>45401</v>
      </c>
      <c r="B103" s="55" t="s">
        <v>876</v>
      </c>
      <c r="C103" s="55" t="s">
        <v>43</v>
      </c>
      <c r="D103" s="56">
        <f t="shared" si="5"/>
        <v>127.27272727272727</v>
      </c>
      <c r="E103" s="56">
        <f t="shared" si="6"/>
        <v>12.727272727272727</v>
      </c>
      <c r="F103" s="75">
        <v>140</v>
      </c>
      <c r="G103" s="75">
        <v>50</v>
      </c>
      <c r="H103" s="58">
        <f t="shared" si="3"/>
        <v>90</v>
      </c>
      <c r="I103" s="64" t="s">
        <v>1482</v>
      </c>
      <c r="J103" s="97">
        <v>140</v>
      </c>
      <c r="K103" s="85"/>
      <c r="L103" s="14"/>
      <c r="M103" s="97"/>
      <c r="N103" s="97"/>
      <c r="O103" s="97"/>
    </row>
    <row r="104" spans="1:15" x14ac:dyDescent="0.25">
      <c r="A104" s="159">
        <v>45401</v>
      </c>
      <c r="B104" s="55" t="s">
        <v>877</v>
      </c>
      <c r="C104" s="55" t="s">
        <v>43</v>
      </c>
      <c r="D104" s="56">
        <f t="shared" si="5"/>
        <v>127.27272727272727</v>
      </c>
      <c r="E104" s="56">
        <f t="shared" si="6"/>
        <v>12.727272727272727</v>
      </c>
      <c r="F104" s="96">
        <v>140</v>
      </c>
      <c r="G104" s="50"/>
      <c r="H104" s="58">
        <f t="shared" si="3"/>
        <v>140</v>
      </c>
      <c r="I104" s="64" t="s">
        <v>603</v>
      </c>
      <c r="J104" s="97">
        <v>140</v>
      </c>
      <c r="K104" s="85"/>
      <c r="L104" s="14"/>
      <c r="M104" s="97"/>
      <c r="N104" s="97"/>
      <c r="O104" s="97"/>
    </row>
    <row r="105" spans="1:15" x14ac:dyDescent="0.25">
      <c r="A105" s="159">
        <v>45401</v>
      </c>
      <c r="B105" s="55" t="s">
        <v>878</v>
      </c>
      <c r="C105" s="55" t="s">
        <v>43</v>
      </c>
      <c r="D105" s="56">
        <f t="shared" si="5"/>
        <v>172.72727272727272</v>
      </c>
      <c r="E105" s="56">
        <f t="shared" si="6"/>
        <v>17.272727272727273</v>
      </c>
      <c r="F105" s="96">
        <v>190</v>
      </c>
      <c r="G105" s="50">
        <v>50</v>
      </c>
      <c r="H105" s="58">
        <f t="shared" si="3"/>
        <v>140</v>
      </c>
      <c r="I105" s="64" t="s">
        <v>1483</v>
      </c>
      <c r="J105" s="97">
        <v>170</v>
      </c>
      <c r="K105" s="85">
        <v>20</v>
      </c>
      <c r="L105" s="14" t="s">
        <v>252</v>
      </c>
      <c r="M105" s="97"/>
      <c r="N105" s="97"/>
      <c r="O105" s="97"/>
    </row>
    <row r="106" spans="1:15" x14ac:dyDescent="0.25">
      <c r="A106" s="159">
        <v>45401</v>
      </c>
      <c r="B106" s="55" t="s">
        <v>879</v>
      </c>
      <c r="C106" s="55" t="s">
        <v>43</v>
      </c>
      <c r="D106" s="56">
        <f t="shared" si="5"/>
        <v>163.63636363636363</v>
      </c>
      <c r="E106" s="56">
        <f t="shared" si="6"/>
        <v>16.363636363636363</v>
      </c>
      <c r="F106" s="96">
        <v>180</v>
      </c>
      <c r="G106" s="50"/>
      <c r="H106" s="58">
        <f t="shared" si="3"/>
        <v>180</v>
      </c>
      <c r="I106" s="64" t="s">
        <v>603</v>
      </c>
      <c r="J106" s="97">
        <v>180</v>
      </c>
      <c r="K106" s="85"/>
      <c r="L106" s="14"/>
      <c r="M106" s="97"/>
      <c r="N106" s="97"/>
      <c r="O106" s="97"/>
    </row>
    <row r="107" spans="1:15" x14ac:dyDescent="0.25">
      <c r="A107" s="159">
        <v>45401</v>
      </c>
      <c r="B107" s="55" t="s">
        <v>880</v>
      </c>
      <c r="C107" s="55" t="s">
        <v>43</v>
      </c>
      <c r="D107" s="56">
        <f t="shared" si="5"/>
        <v>163.63636363636363</v>
      </c>
      <c r="E107" s="56">
        <f t="shared" si="6"/>
        <v>16.363636363636363</v>
      </c>
      <c r="F107" s="96">
        <v>180</v>
      </c>
      <c r="G107" s="50">
        <v>180</v>
      </c>
      <c r="H107" s="58">
        <f t="shared" si="3"/>
        <v>0</v>
      </c>
      <c r="I107" s="64" t="s">
        <v>603</v>
      </c>
      <c r="J107" s="97">
        <v>180</v>
      </c>
      <c r="K107" s="85"/>
      <c r="L107" s="14"/>
      <c r="M107" s="97"/>
      <c r="N107" s="97"/>
      <c r="O107" s="97"/>
    </row>
    <row r="108" spans="1:15" x14ac:dyDescent="0.25">
      <c r="A108" s="159">
        <v>45401</v>
      </c>
      <c r="B108" s="55" t="s">
        <v>881</v>
      </c>
      <c r="C108" s="55" t="s">
        <v>43</v>
      </c>
      <c r="D108" s="56">
        <f t="shared" si="5"/>
        <v>563.63636363636363</v>
      </c>
      <c r="E108" s="56">
        <f t="shared" si="6"/>
        <v>56.36363636363636</v>
      </c>
      <c r="F108" s="96">
        <v>620</v>
      </c>
      <c r="G108" s="50">
        <v>50</v>
      </c>
      <c r="H108" s="58">
        <f t="shared" si="3"/>
        <v>570</v>
      </c>
      <c r="I108" s="64" t="s">
        <v>1484</v>
      </c>
      <c r="J108" s="97">
        <v>620</v>
      </c>
      <c r="K108" s="85"/>
      <c r="L108" s="14"/>
      <c r="M108" s="97"/>
      <c r="N108" s="97"/>
      <c r="O108" s="97"/>
    </row>
    <row r="109" spans="1:15" x14ac:dyDescent="0.25">
      <c r="A109" s="159">
        <v>45401</v>
      </c>
      <c r="B109" s="55" t="s">
        <v>882</v>
      </c>
      <c r="C109" s="55" t="s">
        <v>43</v>
      </c>
      <c r="D109" s="56">
        <f t="shared" si="5"/>
        <v>199.99999999999997</v>
      </c>
      <c r="E109" s="56">
        <f t="shared" si="6"/>
        <v>19.999999999999996</v>
      </c>
      <c r="F109" s="96">
        <v>220</v>
      </c>
      <c r="G109" s="50">
        <v>50</v>
      </c>
      <c r="H109" s="58">
        <f t="shared" si="3"/>
        <v>170</v>
      </c>
      <c r="I109" s="64" t="s">
        <v>1485</v>
      </c>
      <c r="J109" s="97">
        <v>170</v>
      </c>
      <c r="K109" s="85">
        <v>50</v>
      </c>
      <c r="L109" s="14" t="s">
        <v>252</v>
      </c>
      <c r="M109" s="97"/>
      <c r="N109" s="97"/>
      <c r="O109" s="97"/>
    </row>
    <row r="110" spans="1:15" x14ac:dyDescent="0.25">
      <c r="A110" s="159">
        <v>45401</v>
      </c>
      <c r="B110" s="55" t="s">
        <v>883</v>
      </c>
      <c r="C110" s="55" t="s">
        <v>43</v>
      </c>
      <c r="D110" s="56">
        <f t="shared" si="5"/>
        <v>154.54545454545453</v>
      </c>
      <c r="E110" s="56">
        <f t="shared" si="6"/>
        <v>15.454545454545453</v>
      </c>
      <c r="F110" s="96">
        <v>170</v>
      </c>
      <c r="G110" s="50">
        <v>50</v>
      </c>
      <c r="H110" s="58">
        <f t="shared" si="3"/>
        <v>120</v>
      </c>
      <c r="I110" s="64" t="s">
        <v>1486</v>
      </c>
      <c r="J110" s="97">
        <v>170</v>
      </c>
      <c r="K110" s="85"/>
      <c r="L110" s="14"/>
      <c r="M110" s="97"/>
      <c r="N110" s="97"/>
      <c r="O110" s="97"/>
    </row>
    <row r="111" spans="1:15" x14ac:dyDescent="0.25">
      <c r="A111" s="159">
        <v>45401</v>
      </c>
      <c r="B111" s="55" t="s">
        <v>884</v>
      </c>
      <c r="C111" s="55" t="s">
        <v>43</v>
      </c>
      <c r="D111" s="56">
        <f t="shared" si="5"/>
        <v>272.72727272727269</v>
      </c>
      <c r="E111" s="56">
        <f t="shared" si="6"/>
        <v>27.27272727272727</v>
      </c>
      <c r="F111" s="96">
        <v>300</v>
      </c>
      <c r="G111" s="50"/>
      <c r="H111" s="58">
        <f t="shared" si="3"/>
        <v>300</v>
      </c>
      <c r="I111" s="64" t="s">
        <v>603</v>
      </c>
      <c r="J111" s="97">
        <v>300</v>
      </c>
      <c r="K111" s="85"/>
      <c r="L111" s="14"/>
      <c r="M111" s="97"/>
      <c r="N111" s="97"/>
      <c r="O111" s="97"/>
    </row>
    <row r="112" spans="1:15" x14ac:dyDescent="0.25">
      <c r="A112" s="159">
        <v>45401</v>
      </c>
      <c r="B112" s="55" t="s">
        <v>885</v>
      </c>
      <c r="C112" s="55" t="s">
        <v>43</v>
      </c>
      <c r="D112" s="56">
        <f t="shared" si="5"/>
        <v>218.18181818181816</v>
      </c>
      <c r="E112" s="56">
        <f t="shared" si="6"/>
        <v>21.818181818181817</v>
      </c>
      <c r="F112" s="96">
        <v>240</v>
      </c>
      <c r="G112" s="50">
        <v>50</v>
      </c>
      <c r="H112" s="58">
        <f t="shared" si="3"/>
        <v>190</v>
      </c>
      <c r="I112" s="64" t="s">
        <v>1487</v>
      </c>
      <c r="J112" s="97">
        <v>240</v>
      </c>
      <c r="K112" s="85"/>
      <c r="L112" s="14"/>
      <c r="M112" s="97"/>
      <c r="N112" s="97"/>
      <c r="O112" s="97"/>
    </row>
    <row r="113" spans="1:15" x14ac:dyDescent="0.25">
      <c r="A113" s="159">
        <v>45402</v>
      </c>
      <c r="B113" s="55" t="s">
        <v>886</v>
      </c>
      <c r="C113" s="55" t="s">
        <v>43</v>
      </c>
      <c r="D113" s="56">
        <f t="shared" si="5"/>
        <v>199.99999999999997</v>
      </c>
      <c r="E113" s="56">
        <f t="shared" si="6"/>
        <v>19.999999999999996</v>
      </c>
      <c r="F113" s="96">
        <v>220</v>
      </c>
      <c r="G113" s="50"/>
      <c r="H113" s="58">
        <f t="shared" si="3"/>
        <v>220</v>
      </c>
      <c r="I113" s="64" t="s">
        <v>604</v>
      </c>
      <c r="J113" s="97">
        <v>220</v>
      </c>
      <c r="K113" s="85"/>
      <c r="L113" s="14"/>
      <c r="M113" s="97"/>
      <c r="N113" s="97"/>
      <c r="O113" s="97"/>
    </row>
    <row r="114" spans="1:15" x14ac:dyDescent="0.25">
      <c r="A114" s="159">
        <v>45402</v>
      </c>
      <c r="B114" s="55" t="s">
        <v>887</v>
      </c>
      <c r="C114" s="55" t="s">
        <v>43</v>
      </c>
      <c r="D114" s="56">
        <f t="shared" si="5"/>
        <v>172.72727272727272</v>
      </c>
      <c r="E114" s="56">
        <f t="shared" si="6"/>
        <v>17.272727272727273</v>
      </c>
      <c r="F114" s="96">
        <v>190</v>
      </c>
      <c r="G114" s="50">
        <v>50</v>
      </c>
      <c r="H114" s="58">
        <f t="shared" si="3"/>
        <v>140</v>
      </c>
      <c r="I114" s="64" t="s">
        <v>368</v>
      </c>
      <c r="J114" s="97">
        <v>190</v>
      </c>
      <c r="K114" s="85"/>
      <c r="L114" s="14"/>
      <c r="M114" s="97"/>
      <c r="N114" s="97"/>
      <c r="O114" s="97"/>
    </row>
    <row r="115" spans="1:15" x14ac:dyDescent="0.25">
      <c r="A115" s="159">
        <v>45402</v>
      </c>
      <c r="B115" s="55" t="s">
        <v>888</v>
      </c>
      <c r="C115" s="55" t="s">
        <v>43</v>
      </c>
      <c r="D115" s="56">
        <f t="shared" si="5"/>
        <v>199.99999999999997</v>
      </c>
      <c r="E115" s="56">
        <f t="shared" si="6"/>
        <v>19.999999999999996</v>
      </c>
      <c r="F115" s="96">
        <v>220</v>
      </c>
      <c r="G115" s="50">
        <v>50</v>
      </c>
      <c r="H115" s="58">
        <f t="shared" si="3"/>
        <v>170</v>
      </c>
      <c r="I115" s="64" t="s">
        <v>1488</v>
      </c>
      <c r="J115" s="97">
        <v>220</v>
      </c>
      <c r="K115" s="85"/>
      <c r="L115" s="14"/>
      <c r="M115" s="97"/>
      <c r="N115" s="97"/>
      <c r="O115" s="97"/>
    </row>
    <row r="116" spans="1:15" x14ac:dyDescent="0.25">
      <c r="A116" s="159">
        <v>45402</v>
      </c>
      <c r="B116" s="55" t="s">
        <v>889</v>
      </c>
      <c r="C116" s="55" t="s">
        <v>43</v>
      </c>
      <c r="D116" s="56">
        <f t="shared" si="5"/>
        <v>159.09090909090907</v>
      </c>
      <c r="E116" s="56">
        <f t="shared" si="6"/>
        <v>15.909090909090905</v>
      </c>
      <c r="F116" s="96">
        <v>175</v>
      </c>
      <c r="G116" s="50">
        <v>50</v>
      </c>
      <c r="H116" s="58">
        <f t="shared" si="3"/>
        <v>125</v>
      </c>
      <c r="I116" s="64" t="s">
        <v>1489</v>
      </c>
      <c r="J116" s="97">
        <v>175</v>
      </c>
      <c r="K116" s="85"/>
      <c r="L116" s="14"/>
      <c r="M116" s="97"/>
      <c r="N116" s="97"/>
      <c r="O116" s="97"/>
    </row>
    <row r="117" spans="1:15" x14ac:dyDescent="0.25">
      <c r="A117" s="159">
        <v>45402</v>
      </c>
      <c r="B117" s="55" t="s">
        <v>890</v>
      </c>
      <c r="C117" s="55" t="s">
        <v>43</v>
      </c>
      <c r="D117" s="56">
        <f t="shared" si="5"/>
        <v>181.81818181818181</v>
      </c>
      <c r="E117" s="56">
        <f t="shared" si="6"/>
        <v>18.18181818181818</v>
      </c>
      <c r="F117" s="96">
        <v>200</v>
      </c>
      <c r="G117" s="50"/>
      <c r="H117" s="58">
        <f t="shared" si="3"/>
        <v>200</v>
      </c>
      <c r="I117" s="64" t="s">
        <v>603</v>
      </c>
      <c r="J117" s="97">
        <v>200</v>
      </c>
      <c r="K117" s="85"/>
      <c r="L117" s="14"/>
      <c r="M117" s="97"/>
      <c r="N117" s="97"/>
      <c r="O117" s="97"/>
    </row>
    <row r="118" spans="1:15" x14ac:dyDescent="0.25">
      <c r="A118" s="159">
        <v>45402</v>
      </c>
      <c r="B118" s="55" t="s">
        <v>891</v>
      </c>
      <c r="C118" s="55" t="s">
        <v>43</v>
      </c>
      <c r="D118" s="56">
        <f t="shared" si="5"/>
        <v>136.36363636363635</v>
      </c>
      <c r="E118" s="56">
        <f t="shared" si="6"/>
        <v>13.636363636363635</v>
      </c>
      <c r="F118" s="96">
        <v>150</v>
      </c>
      <c r="G118" s="50"/>
      <c r="H118" s="58">
        <f t="shared" si="3"/>
        <v>150</v>
      </c>
      <c r="I118" s="64" t="s">
        <v>1490</v>
      </c>
      <c r="J118" s="97">
        <v>150</v>
      </c>
      <c r="K118" s="85"/>
      <c r="L118" s="14"/>
      <c r="M118" s="97"/>
      <c r="N118" s="97"/>
      <c r="O118" s="97"/>
    </row>
    <row r="119" spans="1:15" x14ac:dyDescent="0.25">
      <c r="A119" s="159">
        <v>45402</v>
      </c>
      <c r="B119" s="55" t="s">
        <v>892</v>
      </c>
      <c r="C119" s="55" t="s">
        <v>43</v>
      </c>
      <c r="D119" s="56">
        <f t="shared" si="5"/>
        <v>154.54545454545453</v>
      </c>
      <c r="E119" s="56">
        <f t="shared" si="6"/>
        <v>15.454545454545453</v>
      </c>
      <c r="F119" s="96">
        <v>170</v>
      </c>
      <c r="G119" s="50">
        <v>50</v>
      </c>
      <c r="H119" s="58">
        <f t="shared" si="3"/>
        <v>120</v>
      </c>
      <c r="I119" s="64" t="s">
        <v>1491</v>
      </c>
      <c r="J119" s="97">
        <v>170</v>
      </c>
      <c r="K119" s="85"/>
      <c r="L119" s="14"/>
      <c r="M119" s="97"/>
      <c r="N119" s="97"/>
      <c r="O119" s="97"/>
    </row>
    <row r="120" spans="1:15" x14ac:dyDescent="0.25">
      <c r="A120" s="159">
        <v>45402</v>
      </c>
      <c r="B120" s="55" t="s">
        <v>893</v>
      </c>
      <c r="C120" s="55" t="s">
        <v>43</v>
      </c>
      <c r="D120" s="56">
        <f t="shared" si="5"/>
        <v>181.81818181818181</v>
      </c>
      <c r="E120" s="56">
        <f t="shared" si="6"/>
        <v>18.18181818181818</v>
      </c>
      <c r="F120" s="96">
        <v>200</v>
      </c>
      <c r="G120" s="50">
        <v>50</v>
      </c>
      <c r="H120" s="58">
        <f t="shared" si="3"/>
        <v>150</v>
      </c>
      <c r="I120" s="64" t="s">
        <v>1492</v>
      </c>
      <c r="J120" s="97">
        <v>170</v>
      </c>
      <c r="K120" s="85">
        <v>30</v>
      </c>
      <c r="L120" s="14" t="s">
        <v>252</v>
      </c>
      <c r="M120" s="97"/>
      <c r="N120" s="97"/>
      <c r="O120" s="97"/>
    </row>
    <row r="121" spans="1:15" x14ac:dyDescent="0.25">
      <c r="A121" s="159">
        <v>45402</v>
      </c>
      <c r="B121" s="55" t="s">
        <v>894</v>
      </c>
      <c r="C121" s="55" t="s">
        <v>43</v>
      </c>
      <c r="D121" s="56">
        <f t="shared" si="5"/>
        <v>154.54545454545453</v>
      </c>
      <c r="E121" s="56">
        <f t="shared" si="6"/>
        <v>15.454545454545453</v>
      </c>
      <c r="F121" s="96">
        <v>170</v>
      </c>
      <c r="G121" s="50">
        <v>50</v>
      </c>
      <c r="H121" s="58">
        <f t="shared" si="3"/>
        <v>120</v>
      </c>
      <c r="I121" s="64" t="s">
        <v>1493</v>
      </c>
      <c r="J121" s="97">
        <v>170</v>
      </c>
      <c r="K121" s="85"/>
      <c r="L121" s="14"/>
      <c r="M121" s="97"/>
      <c r="N121" s="97"/>
      <c r="O121" s="97"/>
    </row>
    <row r="122" spans="1:15" x14ac:dyDescent="0.25">
      <c r="A122" s="159">
        <v>45402</v>
      </c>
      <c r="B122" s="55" t="s">
        <v>895</v>
      </c>
      <c r="C122" s="55" t="s">
        <v>43</v>
      </c>
      <c r="D122" s="56">
        <f t="shared" si="5"/>
        <v>249.99999999999997</v>
      </c>
      <c r="E122" s="56">
        <f t="shared" si="6"/>
        <v>24.999999999999996</v>
      </c>
      <c r="F122" s="96">
        <v>275</v>
      </c>
      <c r="G122" s="50">
        <v>100</v>
      </c>
      <c r="H122" s="58">
        <f t="shared" si="3"/>
        <v>175</v>
      </c>
      <c r="I122" s="64" t="s">
        <v>1494</v>
      </c>
      <c r="J122" s="97">
        <v>170</v>
      </c>
      <c r="K122" s="85">
        <v>45</v>
      </c>
      <c r="L122" s="14" t="s">
        <v>45</v>
      </c>
      <c r="M122" s="150">
        <v>60</v>
      </c>
      <c r="N122" s="97" t="s">
        <v>588</v>
      </c>
      <c r="O122" s="97"/>
    </row>
    <row r="123" spans="1:15" x14ac:dyDescent="0.25">
      <c r="A123" s="159">
        <v>45402</v>
      </c>
      <c r="B123" s="55" t="s">
        <v>896</v>
      </c>
      <c r="C123" s="55" t="s">
        <v>43</v>
      </c>
      <c r="D123" s="56">
        <f t="shared" si="5"/>
        <v>154.54545454545453</v>
      </c>
      <c r="E123" s="56">
        <f t="shared" si="6"/>
        <v>15.454545454545453</v>
      </c>
      <c r="F123" s="96">
        <v>170</v>
      </c>
      <c r="G123" s="50">
        <v>50</v>
      </c>
      <c r="H123" s="58">
        <f t="shared" ref="H123:H186" si="7">F123-G123</f>
        <v>120</v>
      </c>
      <c r="I123" s="64" t="s">
        <v>1495</v>
      </c>
      <c r="J123" s="97">
        <v>170</v>
      </c>
      <c r="K123" s="85"/>
      <c r="L123" s="14"/>
      <c r="M123" s="97"/>
      <c r="N123" s="97"/>
      <c r="O123" s="97"/>
    </row>
    <row r="124" spans="1:15" x14ac:dyDescent="0.25">
      <c r="A124" s="159">
        <v>45402</v>
      </c>
      <c r="B124" s="55" t="s">
        <v>897</v>
      </c>
      <c r="C124" s="55" t="s">
        <v>43</v>
      </c>
      <c r="D124" s="56">
        <f t="shared" si="5"/>
        <v>213.63636363636363</v>
      </c>
      <c r="E124" s="56">
        <f t="shared" si="6"/>
        <v>21.36363636363636</v>
      </c>
      <c r="F124" s="96">
        <v>235</v>
      </c>
      <c r="G124" s="50">
        <v>235</v>
      </c>
      <c r="H124" s="58">
        <f t="shared" si="7"/>
        <v>0</v>
      </c>
      <c r="I124" s="64" t="s">
        <v>1496</v>
      </c>
      <c r="J124" s="97">
        <v>170</v>
      </c>
      <c r="K124" s="85">
        <v>20</v>
      </c>
      <c r="L124" s="14" t="s">
        <v>252</v>
      </c>
      <c r="M124" s="97">
        <v>45</v>
      </c>
      <c r="N124" s="97" t="s">
        <v>1444</v>
      </c>
      <c r="O124" s="97"/>
    </row>
    <row r="125" spans="1:15" x14ac:dyDescent="0.25">
      <c r="A125" s="159">
        <v>45402</v>
      </c>
      <c r="B125" s="55" t="s">
        <v>898</v>
      </c>
      <c r="C125" s="55" t="s">
        <v>43</v>
      </c>
      <c r="D125" s="56">
        <f t="shared" si="5"/>
        <v>127.27272727272727</v>
      </c>
      <c r="E125" s="56">
        <f t="shared" si="6"/>
        <v>12.727272727272727</v>
      </c>
      <c r="F125" s="96">
        <v>140</v>
      </c>
      <c r="G125" s="50"/>
      <c r="H125" s="58">
        <f t="shared" si="7"/>
        <v>140</v>
      </c>
      <c r="I125" s="64" t="s">
        <v>1497</v>
      </c>
      <c r="J125" s="97">
        <v>140</v>
      </c>
      <c r="K125" s="85"/>
      <c r="L125" s="14"/>
      <c r="M125" s="97"/>
      <c r="N125" s="97"/>
      <c r="O125" s="97"/>
    </row>
    <row r="126" spans="1:15" x14ac:dyDescent="0.25">
      <c r="A126" s="159">
        <v>45402</v>
      </c>
      <c r="B126" s="55" t="s">
        <v>899</v>
      </c>
      <c r="C126" s="55" t="s">
        <v>43</v>
      </c>
      <c r="D126" s="56">
        <f t="shared" si="5"/>
        <v>154.54545454545453</v>
      </c>
      <c r="E126" s="56">
        <f t="shared" si="6"/>
        <v>15.454545454545453</v>
      </c>
      <c r="F126" s="96">
        <v>170</v>
      </c>
      <c r="G126" s="50">
        <v>50</v>
      </c>
      <c r="H126" s="58">
        <f t="shared" si="7"/>
        <v>120</v>
      </c>
      <c r="I126" s="64" t="s">
        <v>368</v>
      </c>
      <c r="J126" s="97">
        <v>170</v>
      </c>
      <c r="K126" s="85"/>
      <c r="L126" s="14"/>
      <c r="M126" s="97"/>
      <c r="N126" s="97"/>
      <c r="O126" s="97"/>
    </row>
    <row r="127" spans="1:15" x14ac:dyDescent="0.25">
      <c r="A127" s="159">
        <v>45402</v>
      </c>
      <c r="B127" s="55" t="s">
        <v>900</v>
      </c>
      <c r="C127" s="55" t="s">
        <v>43</v>
      </c>
      <c r="D127" s="56">
        <f t="shared" si="5"/>
        <v>127.27272727272727</v>
      </c>
      <c r="E127" s="56">
        <f t="shared" si="6"/>
        <v>12.727272727272727</v>
      </c>
      <c r="F127" s="75">
        <v>140</v>
      </c>
      <c r="G127" s="75"/>
      <c r="H127" s="58">
        <f t="shared" si="7"/>
        <v>140</v>
      </c>
      <c r="I127" s="14" t="s">
        <v>603</v>
      </c>
      <c r="J127" s="75">
        <v>140</v>
      </c>
      <c r="K127" s="14"/>
      <c r="L127" s="14"/>
      <c r="M127" s="14"/>
      <c r="N127" s="14"/>
      <c r="O127" s="97"/>
    </row>
    <row r="128" spans="1:15" x14ac:dyDescent="0.25">
      <c r="A128" s="159">
        <v>45402</v>
      </c>
      <c r="B128" s="55" t="s">
        <v>901</v>
      </c>
      <c r="C128" s="55" t="s">
        <v>43</v>
      </c>
      <c r="D128" s="56">
        <f t="shared" si="5"/>
        <v>118.18181818181817</v>
      </c>
      <c r="E128" s="56">
        <f t="shared" si="6"/>
        <v>11.818181818181818</v>
      </c>
      <c r="F128" s="84">
        <v>130</v>
      </c>
      <c r="G128" s="63"/>
      <c r="H128" s="58">
        <f t="shared" si="7"/>
        <v>130</v>
      </c>
      <c r="I128" s="64" t="s">
        <v>514</v>
      </c>
      <c r="J128" s="97">
        <v>130</v>
      </c>
      <c r="K128" s="85"/>
      <c r="L128" s="14"/>
      <c r="M128" s="97"/>
      <c r="N128" s="97"/>
      <c r="O128" s="97"/>
    </row>
    <row r="129" spans="1:15" x14ac:dyDescent="0.25">
      <c r="A129" s="159">
        <v>45402</v>
      </c>
      <c r="B129" s="55" t="s">
        <v>902</v>
      </c>
      <c r="C129" s="55" t="s">
        <v>43</v>
      </c>
      <c r="D129" s="56">
        <f t="shared" si="5"/>
        <v>154.54545454545453</v>
      </c>
      <c r="E129" s="56">
        <f t="shared" si="6"/>
        <v>15.454545454545453</v>
      </c>
      <c r="F129" s="84">
        <v>170</v>
      </c>
      <c r="G129" s="63">
        <v>50</v>
      </c>
      <c r="H129" s="58">
        <f t="shared" si="7"/>
        <v>120</v>
      </c>
      <c r="I129" s="64" t="s">
        <v>1498</v>
      </c>
      <c r="J129" s="97">
        <v>170</v>
      </c>
      <c r="K129" s="85"/>
      <c r="L129" s="14"/>
      <c r="M129" s="97"/>
      <c r="N129" s="97"/>
      <c r="O129" s="97"/>
    </row>
    <row r="130" spans="1:15" x14ac:dyDescent="0.25">
      <c r="A130" s="159">
        <v>45402</v>
      </c>
      <c r="B130" s="55" t="s">
        <v>903</v>
      </c>
      <c r="C130" s="55" t="s">
        <v>43</v>
      </c>
      <c r="D130" s="56">
        <f t="shared" si="5"/>
        <v>136.36363636363635</v>
      </c>
      <c r="E130" s="56">
        <f t="shared" si="6"/>
        <v>13.636363636363635</v>
      </c>
      <c r="F130" s="84">
        <v>150</v>
      </c>
      <c r="G130" s="63"/>
      <c r="H130" s="58">
        <f t="shared" si="7"/>
        <v>150</v>
      </c>
      <c r="I130" s="64" t="s">
        <v>1398</v>
      </c>
      <c r="J130" s="97">
        <v>150</v>
      </c>
      <c r="K130" s="85"/>
      <c r="L130" s="14"/>
      <c r="M130" s="97"/>
      <c r="N130" s="97"/>
      <c r="O130" s="97"/>
    </row>
    <row r="131" spans="1:15" x14ac:dyDescent="0.25">
      <c r="A131" s="159">
        <v>45402</v>
      </c>
      <c r="B131" s="55" t="s">
        <v>904</v>
      </c>
      <c r="C131" s="55" t="s">
        <v>43</v>
      </c>
      <c r="D131" s="56">
        <f t="shared" si="5"/>
        <v>181.81818181818181</v>
      </c>
      <c r="E131" s="56">
        <f t="shared" ref="E131:E162" si="8">D131*10/100</f>
        <v>18.18181818181818</v>
      </c>
      <c r="F131" s="84">
        <v>200</v>
      </c>
      <c r="G131" s="63"/>
      <c r="H131" s="58">
        <f t="shared" si="7"/>
        <v>200</v>
      </c>
      <c r="I131" s="64" t="s">
        <v>604</v>
      </c>
      <c r="J131" s="97">
        <v>200</v>
      </c>
      <c r="K131" s="85"/>
      <c r="L131" s="14"/>
      <c r="M131" s="97"/>
      <c r="N131" s="97"/>
      <c r="O131" s="97"/>
    </row>
    <row r="132" spans="1:15" x14ac:dyDescent="0.25">
      <c r="A132" s="159">
        <v>45402</v>
      </c>
      <c r="B132" s="55" t="s">
        <v>905</v>
      </c>
      <c r="C132" s="55" t="s">
        <v>43</v>
      </c>
      <c r="D132" s="56">
        <f t="shared" ref="D132:D195" si="9">F132/1.1</f>
        <v>350</v>
      </c>
      <c r="E132" s="56">
        <f t="shared" si="8"/>
        <v>35</v>
      </c>
      <c r="F132" s="84">
        <v>385</v>
      </c>
      <c r="G132" s="63">
        <v>50</v>
      </c>
      <c r="H132" s="58">
        <f t="shared" si="7"/>
        <v>335</v>
      </c>
      <c r="I132" s="64" t="s">
        <v>1499</v>
      </c>
      <c r="J132" s="97">
        <v>385</v>
      </c>
      <c r="K132" s="85"/>
      <c r="L132" s="14"/>
      <c r="M132" s="97"/>
      <c r="N132" s="97"/>
      <c r="O132" s="14"/>
    </row>
    <row r="133" spans="1:15" x14ac:dyDescent="0.25">
      <c r="A133" s="159">
        <v>45402</v>
      </c>
      <c r="B133" s="55" t="s">
        <v>906</v>
      </c>
      <c r="C133" s="55" t="s">
        <v>43</v>
      </c>
      <c r="D133" s="56">
        <f t="shared" si="9"/>
        <v>381.81818181818181</v>
      </c>
      <c r="E133" s="56">
        <f t="shared" si="8"/>
        <v>38.18181818181818</v>
      </c>
      <c r="F133" s="158">
        <v>420</v>
      </c>
      <c r="G133" s="63">
        <v>100</v>
      </c>
      <c r="H133" s="58">
        <f t="shared" si="7"/>
        <v>320</v>
      </c>
      <c r="I133" s="64" t="s">
        <v>1500</v>
      </c>
      <c r="J133" s="97">
        <v>420</v>
      </c>
      <c r="K133" s="85"/>
      <c r="L133" s="14"/>
      <c r="M133" s="97"/>
      <c r="N133" s="97"/>
      <c r="O133" s="14"/>
    </row>
    <row r="134" spans="1:15" x14ac:dyDescent="0.25">
      <c r="A134" s="159">
        <v>45402</v>
      </c>
      <c r="B134" s="55" t="s">
        <v>907</v>
      </c>
      <c r="C134" s="55" t="s">
        <v>43</v>
      </c>
      <c r="D134" s="56">
        <f t="shared" si="9"/>
        <v>281.81818181818181</v>
      </c>
      <c r="E134" s="56">
        <f t="shared" si="8"/>
        <v>28.18181818181818</v>
      </c>
      <c r="F134" s="84">
        <v>310</v>
      </c>
      <c r="G134" s="66">
        <v>50</v>
      </c>
      <c r="H134" s="58">
        <f t="shared" si="7"/>
        <v>260</v>
      </c>
      <c r="I134" s="64" t="s">
        <v>1501</v>
      </c>
      <c r="J134" s="97">
        <v>270</v>
      </c>
      <c r="K134" s="85">
        <v>40</v>
      </c>
      <c r="L134" s="14" t="s">
        <v>252</v>
      </c>
      <c r="M134" s="97"/>
      <c r="N134" s="97"/>
      <c r="O134" s="14"/>
    </row>
    <row r="135" spans="1:15" x14ac:dyDescent="0.25">
      <c r="A135" s="159">
        <v>45402</v>
      </c>
      <c r="B135" s="55" t="s">
        <v>908</v>
      </c>
      <c r="C135" s="55" t="s">
        <v>43</v>
      </c>
      <c r="D135" s="56">
        <f t="shared" si="9"/>
        <v>172.72727272727272</v>
      </c>
      <c r="E135" s="56">
        <f t="shared" si="8"/>
        <v>17.272727272727273</v>
      </c>
      <c r="F135" s="84">
        <v>190</v>
      </c>
      <c r="G135" s="66">
        <v>50</v>
      </c>
      <c r="H135" s="58">
        <f t="shared" si="7"/>
        <v>140</v>
      </c>
      <c r="I135" s="64" t="s">
        <v>1502</v>
      </c>
      <c r="J135" s="97">
        <v>190</v>
      </c>
      <c r="K135" s="85"/>
      <c r="L135" s="14"/>
      <c r="M135" s="97"/>
      <c r="N135" s="97"/>
      <c r="O135" s="14"/>
    </row>
    <row r="136" spans="1:15" x14ac:dyDescent="0.25">
      <c r="A136" s="159">
        <v>45402</v>
      </c>
      <c r="B136" s="55" t="s">
        <v>909</v>
      </c>
      <c r="C136" s="55" t="s">
        <v>43</v>
      </c>
      <c r="D136" s="56">
        <f t="shared" si="9"/>
        <v>218.18181818181816</v>
      </c>
      <c r="E136" s="56">
        <f t="shared" si="8"/>
        <v>21.818181818181817</v>
      </c>
      <c r="F136" s="75">
        <v>240</v>
      </c>
      <c r="G136" s="75">
        <v>50</v>
      </c>
      <c r="H136" s="58">
        <f t="shared" si="7"/>
        <v>190</v>
      </c>
      <c r="I136" s="64" t="s">
        <v>1503</v>
      </c>
      <c r="J136" s="97">
        <v>220</v>
      </c>
      <c r="K136" s="85">
        <v>20</v>
      </c>
      <c r="L136" s="14" t="s">
        <v>252</v>
      </c>
      <c r="M136" s="97"/>
      <c r="N136" s="97"/>
      <c r="O136" s="14"/>
    </row>
    <row r="137" spans="1:15" x14ac:dyDescent="0.25">
      <c r="A137" s="159">
        <v>45402</v>
      </c>
      <c r="B137" s="55" t="s">
        <v>910</v>
      </c>
      <c r="C137" s="55" t="s">
        <v>43</v>
      </c>
      <c r="D137" s="56">
        <f t="shared" si="9"/>
        <v>263.63636363636363</v>
      </c>
      <c r="E137" s="56">
        <f t="shared" si="8"/>
        <v>26.36363636363636</v>
      </c>
      <c r="F137" s="75">
        <v>290</v>
      </c>
      <c r="G137" s="75">
        <v>50</v>
      </c>
      <c r="H137" s="58">
        <f t="shared" si="7"/>
        <v>240</v>
      </c>
      <c r="I137" s="64" t="s">
        <v>1504</v>
      </c>
      <c r="J137" s="146">
        <v>270</v>
      </c>
      <c r="K137" s="146">
        <v>20</v>
      </c>
      <c r="L137" s="14"/>
      <c r="M137" s="14"/>
      <c r="N137" s="14"/>
      <c r="O137" s="14"/>
    </row>
    <row r="138" spans="1:15" x14ac:dyDescent="0.25">
      <c r="A138" s="159">
        <v>45402</v>
      </c>
      <c r="B138" s="55" t="s">
        <v>911</v>
      </c>
      <c r="C138" s="55" t="s">
        <v>43</v>
      </c>
      <c r="D138" s="56">
        <f t="shared" si="9"/>
        <v>245.45454545454544</v>
      </c>
      <c r="E138" s="56">
        <f t="shared" si="8"/>
        <v>24.545454545454547</v>
      </c>
      <c r="F138" s="75">
        <v>270</v>
      </c>
      <c r="G138" s="75">
        <v>50</v>
      </c>
      <c r="H138" s="58">
        <f t="shared" si="7"/>
        <v>220</v>
      </c>
      <c r="I138" s="64" t="s">
        <v>1505</v>
      </c>
      <c r="J138" s="146">
        <v>270</v>
      </c>
      <c r="K138" s="146"/>
      <c r="L138" s="14"/>
      <c r="M138" s="14"/>
      <c r="N138" s="14"/>
      <c r="O138" s="14"/>
    </row>
    <row r="139" spans="1:15" x14ac:dyDescent="0.25">
      <c r="A139" s="159">
        <v>45402</v>
      </c>
      <c r="B139" s="55" t="s">
        <v>912</v>
      </c>
      <c r="C139" s="55" t="s">
        <v>43</v>
      </c>
      <c r="D139" s="56">
        <f t="shared" si="9"/>
        <v>209.09090909090907</v>
      </c>
      <c r="E139" s="56">
        <f t="shared" si="8"/>
        <v>20.909090909090907</v>
      </c>
      <c r="F139" s="75">
        <v>230</v>
      </c>
      <c r="G139" s="75">
        <v>50</v>
      </c>
      <c r="H139" s="58">
        <f t="shared" si="7"/>
        <v>180</v>
      </c>
      <c r="I139" s="64" t="s">
        <v>1506</v>
      </c>
      <c r="J139" s="146">
        <v>170</v>
      </c>
      <c r="K139" s="146">
        <v>40</v>
      </c>
      <c r="L139" s="14" t="s">
        <v>252</v>
      </c>
      <c r="M139" s="14"/>
      <c r="N139" s="14"/>
      <c r="O139" s="14"/>
    </row>
    <row r="140" spans="1:15" x14ac:dyDescent="0.25">
      <c r="A140" s="159">
        <v>45402</v>
      </c>
      <c r="B140" s="55" t="s">
        <v>913</v>
      </c>
      <c r="C140" s="55" t="s">
        <v>43</v>
      </c>
      <c r="D140" s="56">
        <f t="shared" si="9"/>
        <v>154.54545454545453</v>
      </c>
      <c r="E140" s="56">
        <f t="shared" si="8"/>
        <v>15.454545454545453</v>
      </c>
      <c r="F140" s="75">
        <v>170</v>
      </c>
      <c r="G140" s="75"/>
      <c r="H140" s="58">
        <f t="shared" si="7"/>
        <v>170</v>
      </c>
      <c r="I140" s="64" t="s">
        <v>603</v>
      </c>
      <c r="J140" s="146">
        <v>170</v>
      </c>
      <c r="K140" s="146"/>
      <c r="L140" s="14"/>
      <c r="M140" s="14"/>
      <c r="N140" s="14"/>
      <c r="O140" s="14"/>
    </row>
    <row r="141" spans="1:15" x14ac:dyDescent="0.25">
      <c r="A141" s="159">
        <v>45402</v>
      </c>
      <c r="B141" s="55" t="s">
        <v>914</v>
      </c>
      <c r="C141" s="55" t="s">
        <v>43</v>
      </c>
      <c r="D141" s="56">
        <f t="shared" si="9"/>
        <v>118.18181818181817</v>
      </c>
      <c r="E141" s="56">
        <f t="shared" si="8"/>
        <v>11.818181818181818</v>
      </c>
      <c r="F141" s="75">
        <v>130</v>
      </c>
      <c r="G141" s="75"/>
      <c r="H141" s="58">
        <f t="shared" si="7"/>
        <v>130</v>
      </c>
      <c r="I141" s="64" t="s">
        <v>604</v>
      </c>
      <c r="J141" s="146">
        <v>130</v>
      </c>
      <c r="K141" s="146"/>
      <c r="L141" s="14"/>
      <c r="M141" s="14"/>
      <c r="N141" s="14"/>
      <c r="O141" s="14"/>
    </row>
    <row r="142" spans="1:15" x14ac:dyDescent="0.25">
      <c r="A142" s="159">
        <v>45402</v>
      </c>
      <c r="B142" s="55" t="s">
        <v>915</v>
      </c>
      <c r="C142" s="55" t="s">
        <v>43</v>
      </c>
      <c r="D142" s="56">
        <f t="shared" si="9"/>
        <v>127.27272727272727</v>
      </c>
      <c r="E142" s="56">
        <f t="shared" si="8"/>
        <v>12.727272727272727</v>
      </c>
      <c r="F142" s="75">
        <v>140</v>
      </c>
      <c r="G142" s="75"/>
      <c r="H142" s="58">
        <f t="shared" si="7"/>
        <v>140</v>
      </c>
      <c r="I142" s="64" t="s">
        <v>1040</v>
      </c>
      <c r="J142" s="146">
        <v>140</v>
      </c>
      <c r="K142" s="146"/>
      <c r="L142" s="14"/>
      <c r="M142" s="14"/>
      <c r="N142" s="14"/>
      <c r="O142" s="14"/>
    </row>
    <row r="143" spans="1:15" x14ac:dyDescent="0.25">
      <c r="A143" s="159">
        <v>45402</v>
      </c>
      <c r="B143" s="55" t="s">
        <v>916</v>
      </c>
      <c r="C143" s="55" t="s">
        <v>43</v>
      </c>
      <c r="D143" s="56">
        <f t="shared" si="9"/>
        <v>300</v>
      </c>
      <c r="E143" s="56">
        <f t="shared" si="8"/>
        <v>30</v>
      </c>
      <c r="F143" s="75">
        <v>330</v>
      </c>
      <c r="G143" s="75">
        <v>50</v>
      </c>
      <c r="H143" s="58">
        <f t="shared" si="7"/>
        <v>280</v>
      </c>
      <c r="I143" s="64" t="s">
        <v>1507</v>
      </c>
      <c r="J143" s="146">
        <v>170</v>
      </c>
      <c r="K143" s="146">
        <v>160</v>
      </c>
      <c r="L143" s="14" t="s">
        <v>1319</v>
      </c>
      <c r="M143" s="14"/>
      <c r="N143" s="14"/>
      <c r="O143" s="14"/>
    </row>
    <row r="144" spans="1:15" x14ac:dyDescent="0.25">
      <c r="A144" s="159">
        <v>45402</v>
      </c>
      <c r="B144" s="55" t="s">
        <v>917</v>
      </c>
      <c r="C144" s="55" t="s">
        <v>43</v>
      </c>
      <c r="D144" s="56">
        <f t="shared" si="9"/>
        <v>190.90909090909091</v>
      </c>
      <c r="E144" s="56">
        <f t="shared" si="8"/>
        <v>19.09090909090909</v>
      </c>
      <c r="F144" s="75">
        <v>210</v>
      </c>
      <c r="G144" s="75">
        <v>50</v>
      </c>
      <c r="H144" s="58">
        <f t="shared" si="7"/>
        <v>160</v>
      </c>
      <c r="I144" s="64" t="s">
        <v>1508</v>
      </c>
      <c r="J144" s="146">
        <v>170</v>
      </c>
      <c r="K144" s="146">
        <v>40</v>
      </c>
      <c r="L144" s="14" t="s">
        <v>252</v>
      </c>
      <c r="M144" s="14"/>
      <c r="N144" s="14"/>
      <c r="O144" s="14"/>
    </row>
    <row r="145" spans="1:15" x14ac:dyDescent="0.25">
      <c r="A145" s="159">
        <v>45402</v>
      </c>
      <c r="B145" s="55" t="s">
        <v>918</v>
      </c>
      <c r="C145" s="55" t="s">
        <v>43</v>
      </c>
      <c r="D145" s="56">
        <f t="shared" si="9"/>
        <v>227.27272727272725</v>
      </c>
      <c r="E145" s="56">
        <f t="shared" si="8"/>
        <v>22.727272727272727</v>
      </c>
      <c r="F145" s="75">
        <v>250</v>
      </c>
      <c r="G145" s="75">
        <v>50</v>
      </c>
      <c r="H145" s="58">
        <f t="shared" si="7"/>
        <v>200</v>
      </c>
      <c r="I145" s="64" t="s">
        <v>1509</v>
      </c>
      <c r="J145" s="146">
        <v>220</v>
      </c>
      <c r="K145" s="146">
        <v>30</v>
      </c>
      <c r="L145" s="14"/>
      <c r="M145" s="14"/>
      <c r="N145" s="14"/>
      <c r="O145" s="14"/>
    </row>
    <row r="146" spans="1:15" x14ac:dyDescent="0.25">
      <c r="A146" s="159">
        <v>45402</v>
      </c>
      <c r="B146" s="55" t="s">
        <v>919</v>
      </c>
      <c r="C146" s="55" t="s">
        <v>43</v>
      </c>
      <c r="D146" s="56">
        <f t="shared" si="9"/>
        <v>227.27272727272725</v>
      </c>
      <c r="E146" s="56">
        <f t="shared" si="8"/>
        <v>22.727272727272727</v>
      </c>
      <c r="F146" s="75">
        <v>250</v>
      </c>
      <c r="G146" s="75">
        <v>50</v>
      </c>
      <c r="H146" s="58">
        <f t="shared" si="7"/>
        <v>200</v>
      </c>
      <c r="I146" s="64" t="s">
        <v>1510</v>
      </c>
      <c r="J146" s="146">
        <v>220</v>
      </c>
      <c r="K146" s="146">
        <v>30</v>
      </c>
      <c r="L146" s="14"/>
      <c r="M146" s="14"/>
      <c r="N146" s="14"/>
      <c r="O146" s="14"/>
    </row>
    <row r="147" spans="1:15" x14ac:dyDescent="0.25">
      <c r="A147" s="159">
        <v>45402</v>
      </c>
      <c r="B147" s="55" t="s">
        <v>920</v>
      </c>
      <c r="C147" s="55" t="s">
        <v>43</v>
      </c>
      <c r="D147" s="56">
        <f t="shared" si="9"/>
        <v>227.27272727272725</v>
      </c>
      <c r="E147" s="56">
        <f t="shared" si="8"/>
        <v>22.727272727272727</v>
      </c>
      <c r="F147" s="75">
        <v>250</v>
      </c>
      <c r="G147" s="75">
        <v>50</v>
      </c>
      <c r="H147" s="58">
        <f t="shared" si="7"/>
        <v>200</v>
      </c>
      <c r="I147" s="64" t="s">
        <v>1511</v>
      </c>
      <c r="J147" s="146">
        <v>220</v>
      </c>
      <c r="K147" s="146">
        <v>30</v>
      </c>
      <c r="L147" s="14"/>
      <c r="M147" s="14"/>
      <c r="N147" s="14"/>
      <c r="O147" s="14"/>
    </row>
    <row r="148" spans="1:15" x14ac:dyDescent="0.25">
      <c r="A148" s="159">
        <v>45402</v>
      </c>
      <c r="B148" s="55" t="s">
        <v>921</v>
      </c>
      <c r="C148" s="55" t="s">
        <v>43</v>
      </c>
      <c r="D148" s="56">
        <f t="shared" si="9"/>
        <v>163.63636363636363</v>
      </c>
      <c r="E148" s="56">
        <f t="shared" si="8"/>
        <v>16.363636363636363</v>
      </c>
      <c r="F148" s="75">
        <v>180</v>
      </c>
      <c r="G148" s="75"/>
      <c r="H148" s="58">
        <f t="shared" si="7"/>
        <v>180</v>
      </c>
      <c r="I148" s="64" t="s">
        <v>514</v>
      </c>
      <c r="J148" s="146">
        <v>180</v>
      </c>
      <c r="K148" s="146"/>
      <c r="L148" s="14"/>
      <c r="M148" s="146"/>
      <c r="N148" s="14"/>
      <c r="O148" s="14"/>
    </row>
    <row r="149" spans="1:15" x14ac:dyDescent="0.25">
      <c r="A149" s="159">
        <v>45402</v>
      </c>
      <c r="B149" s="55" t="s">
        <v>922</v>
      </c>
      <c r="C149" s="55" t="s">
        <v>43</v>
      </c>
      <c r="D149" s="56">
        <f t="shared" si="9"/>
        <v>181.81818181818181</v>
      </c>
      <c r="E149" s="56">
        <f t="shared" si="8"/>
        <v>18.18181818181818</v>
      </c>
      <c r="F149" s="75">
        <v>200</v>
      </c>
      <c r="G149" s="75"/>
      <c r="H149" s="58">
        <f t="shared" si="7"/>
        <v>200</v>
      </c>
      <c r="I149" s="64" t="s">
        <v>514</v>
      </c>
      <c r="J149" s="146">
        <v>200</v>
      </c>
      <c r="K149" s="146"/>
      <c r="L149" s="14"/>
      <c r="M149" s="146"/>
      <c r="N149" s="14"/>
      <c r="O149" s="14"/>
    </row>
    <row r="150" spans="1:15" x14ac:dyDescent="0.25">
      <c r="A150" s="159">
        <v>45402</v>
      </c>
      <c r="B150" s="55" t="s">
        <v>923</v>
      </c>
      <c r="C150" s="55" t="s">
        <v>43</v>
      </c>
      <c r="D150" s="56">
        <f t="shared" si="9"/>
        <v>227.27272727272725</v>
      </c>
      <c r="E150" s="56">
        <f t="shared" si="8"/>
        <v>22.727272727272727</v>
      </c>
      <c r="F150" s="75">
        <v>250</v>
      </c>
      <c r="G150" s="75">
        <v>50</v>
      </c>
      <c r="H150" s="58">
        <f t="shared" si="7"/>
        <v>200</v>
      </c>
      <c r="I150" s="64" t="s">
        <v>423</v>
      </c>
      <c r="J150" s="146">
        <v>220</v>
      </c>
      <c r="K150" s="75">
        <v>30</v>
      </c>
      <c r="L150" s="14"/>
      <c r="M150" s="146"/>
      <c r="N150" s="14"/>
      <c r="O150" s="14"/>
    </row>
    <row r="151" spans="1:15" x14ac:dyDescent="0.25">
      <c r="A151" s="159">
        <v>45402</v>
      </c>
      <c r="B151" s="55" t="s">
        <v>924</v>
      </c>
      <c r="C151" s="55" t="s">
        <v>43</v>
      </c>
      <c r="D151" s="56">
        <f t="shared" si="9"/>
        <v>163.63636363636363</v>
      </c>
      <c r="E151" s="56">
        <f t="shared" si="8"/>
        <v>16.363636363636363</v>
      </c>
      <c r="F151" s="75">
        <v>180</v>
      </c>
      <c r="G151" s="75"/>
      <c r="H151" s="58">
        <f t="shared" si="7"/>
        <v>180</v>
      </c>
      <c r="I151" s="64" t="s">
        <v>603</v>
      </c>
      <c r="J151" s="146">
        <v>180</v>
      </c>
      <c r="K151" s="146"/>
      <c r="L151" s="14"/>
      <c r="M151" s="146"/>
      <c r="N151" s="14"/>
      <c r="O151" s="14"/>
    </row>
    <row r="152" spans="1:15" x14ac:dyDescent="0.25">
      <c r="A152" s="159">
        <v>45403</v>
      </c>
      <c r="B152" s="55" t="s">
        <v>925</v>
      </c>
      <c r="C152" s="55" t="s">
        <v>43</v>
      </c>
      <c r="D152" s="56">
        <f t="shared" si="9"/>
        <v>154.54545454545453</v>
      </c>
      <c r="E152" s="56">
        <f t="shared" si="8"/>
        <v>15.454545454545453</v>
      </c>
      <c r="F152" s="75">
        <v>170</v>
      </c>
      <c r="G152" s="75">
        <v>50</v>
      </c>
      <c r="H152" s="58">
        <f t="shared" si="7"/>
        <v>120</v>
      </c>
      <c r="I152" s="64" t="s">
        <v>1512</v>
      </c>
      <c r="J152" s="146">
        <v>170</v>
      </c>
      <c r="K152" s="14"/>
      <c r="L152" s="14"/>
      <c r="M152" s="146"/>
      <c r="N152" s="14"/>
      <c r="O152" s="14"/>
    </row>
    <row r="153" spans="1:15" x14ac:dyDescent="0.25">
      <c r="A153" s="159">
        <v>45403</v>
      </c>
      <c r="B153" s="55" t="s">
        <v>926</v>
      </c>
      <c r="C153" s="55" t="s">
        <v>43</v>
      </c>
      <c r="D153" s="56">
        <f t="shared" si="9"/>
        <v>836.36363636363626</v>
      </c>
      <c r="E153" s="56">
        <f t="shared" si="8"/>
        <v>83.636363636363626</v>
      </c>
      <c r="F153" s="75">
        <v>920</v>
      </c>
      <c r="G153" s="75">
        <v>920</v>
      </c>
      <c r="H153" s="58">
        <f t="shared" si="7"/>
        <v>0</v>
      </c>
      <c r="I153" s="64" t="s">
        <v>1513</v>
      </c>
      <c r="J153" s="146">
        <v>270</v>
      </c>
      <c r="K153" s="75">
        <v>500</v>
      </c>
      <c r="L153" s="14" t="s">
        <v>1514</v>
      </c>
      <c r="M153" s="146">
        <v>150</v>
      </c>
      <c r="N153" s="14" t="s">
        <v>1515</v>
      </c>
      <c r="O153" s="14"/>
    </row>
    <row r="154" spans="1:15" x14ac:dyDescent="0.25">
      <c r="A154" s="159">
        <v>45403</v>
      </c>
      <c r="B154" s="55" t="s">
        <v>927</v>
      </c>
      <c r="C154" s="55" t="s">
        <v>43</v>
      </c>
      <c r="D154" s="56">
        <f t="shared" si="9"/>
        <v>227.27272727272725</v>
      </c>
      <c r="E154" s="56">
        <f t="shared" si="8"/>
        <v>22.727272727272727</v>
      </c>
      <c r="F154" s="75">
        <v>250</v>
      </c>
      <c r="G154" s="75">
        <v>50</v>
      </c>
      <c r="H154" s="58">
        <f t="shared" si="7"/>
        <v>200</v>
      </c>
      <c r="I154" s="64" t="s">
        <v>1516</v>
      </c>
      <c r="J154" s="146">
        <v>220</v>
      </c>
      <c r="K154" s="146">
        <v>30</v>
      </c>
      <c r="L154" s="14" t="s">
        <v>252</v>
      </c>
      <c r="M154" s="146"/>
      <c r="N154" s="14"/>
      <c r="O154" s="14"/>
    </row>
    <row r="155" spans="1:15" x14ac:dyDescent="0.25">
      <c r="A155" s="159">
        <v>45403</v>
      </c>
      <c r="B155" s="55" t="s">
        <v>928</v>
      </c>
      <c r="C155" s="55" t="s">
        <v>43</v>
      </c>
      <c r="D155" s="56">
        <f t="shared" si="9"/>
        <v>245.45454545454544</v>
      </c>
      <c r="E155" s="56">
        <f t="shared" si="8"/>
        <v>24.545454545454547</v>
      </c>
      <c r="F155" s="75">
        <v>270</v>
      </c>
      <c r="G155" s="75">
        <v>50</v>
      </c>
      <c r="H155" s="58">
        <f t="shared" si="7"/>
        <v>220</v>
      </c>
      <c r="I155" s="64" t="s">
        <v>1517</v>
      </c>
      <c r="J155" s="146">
        <v>270</v>
      </c>
      <c r="K155" s="146"/>
      <c r="L155" s="14"/>
      <c r="M155" s="146"/>
      <c r="N155" s="14"/>
      <c r="O155" s="14"/>
    </row>
    <row r="156" spans="1:15" x14ac:dyDescent="0.25">
      <c r="A156" s="159">
        <v>45403</v>
      </c>
      <c r="B156" s="55" t="s">
        <v>929</v>
      </c>
      <c r="C156" s="55" t="s">
        <v>43</v>
      </c>
      <c r="D156" s="56">
        <f t="shared" si="9"/>
        <v>240.90909090909088</v>
      </c>
      <c r="E156" s="56">
        <f t="shared" si="8"/>
        <v>24.09090909090909</v>
      </c>
      <c r="F156" s="75">
        <v>265</v>
      </c>
      <c r="G156" s="75">
        <v>50</v>
      </c>
      <c r="H156" s="58">
        <f t="shared" si="7"/>
        <v>215</v>
      </c>
      <c r="I156" s="64" t="s">
        <v>1518</v>
      </c>
      <c r="J156" s="146">
        <v>220</v>
      </c>
      <c r="K156" s="75">
        <v>45</v>
      </c>
      <c r="L156" s="14" t="s">
        <v>45</v>
      </c>
      <c r="M156" s="146"/>
      <c r="N156" s="14"/>
      <c r="O156" s="14"/>
    </row>
    <row r="157" spans="1:15" x14ac:dyDescent="0.25">
      <c r="A157" s="159">
        <v>45405</v>
      </c>
      <c r="B157" s="55" t="s">
        <v>930</v>
      </c>
      <c r="C157" s="55" t="s">
        <v>43</v>
      </c>
      <c r="D157" s="56">
        <f t="shared" si="9"/>
        <v>172.72727272727272</v>
      </c>
      <c r="E157" s="56">
        <f t="shared" si="8"/>
        <v>17.272727272727273</v>
      </c>
      <c r="F157" s="75">
        <v>190</v>
      </c>
      <c r="G157" s="75"/>
      <c r="H157" s="58">
        <f t="shared" si="7"/>
        <v>190</v>
      </c>
      <c r="I157" s="64" t="s">
        <v>1271</v>
      </c>
      <c r="J157" s="146">
        <v>190</v>
      </c>
      <c r="K157" s="146"/>
      <c r="L157" s="14"/>
      <c r="M157" s="146"/>
      <c r="N157" s="14"/>
      <c r="O157" s="14"/>
    </row>
    <row r="158" spans="1:15" x14ac:dyDescent="0.25">
      <c r="A158" s="159">
        <v>45405</v>
      </c>
      <c r="B158" s="55" t="s">
        <v>931</v>
      </c>
      <c r="C158" s="55" t="s">
        <v>43</v>
      </c>
      <c r="D158" s="56">
        <f t="shared" si="9"/>
        <v>154.54545454545453</v>
      </c>
      <c r="E158" s="56">
        <f t="shared" si="8"/>
        <v>15.454545454545453</v>
      </c>
      <c r="F158" s="75">
        <v>170</v>
      </c>
      <c r="G158" s="75">
        <v>50</v>
      </c>
      <c r="H158" s="58">
        <f t="shared" si="7"/>
        <v>120</v>
      </c>
      <c r="I158" s="64" t="s">
        <v>1519</v>
      </c>
      <c r="J158" s="146">
        <v>170</v>
      </c>
      <c r="K158" s="75"/>
      <c r="L158" s="14"/>
      <c r="M158" s="14"/>
      <c r="N158" s="14"/>
      <c r="O158" s="14"/>
    </row>
    <row r="159" spans="1:15" x14ac:dyDescent="0.25">
      <c r="A159" s="159">
        <v>45406</v>
      </c>
      <c r="B159" s="55" t="s">
        <v>932</v>
      </c>
      <c r="C159" s="55" t="s">
        <v>43</v>
      </c>
      <c r="D159" s="56">
        <f t="shared" si="9"/>
        <v>199.99999999999997</v>
      </c>
      <c r="E159" s="56">
        <f t="shared" si="8"/>
        <v>19.999999999999996</v>
      </c>
      <c r="F159" s="75">
        <v>220</v>
      </c>
      <c r="G159" s="75">
        <v>50</v>
      </c>
      <c r="H159" s="58">
        <f t="shared" si="7"/>
        <v>170</v>
      </c>
      <c r="I159" s="64" t="s">
        <v>1520</v>
      </c>
      <c r="J159" s="146">
        <v>220</v>
      </c>
      <c r="K159" s="14"/>
      <c r="L159" s="14"/>
      <c r="M159" s="14"/>
      <c r="N159" s="14"/>
      <c r="O159" s="14"/>
    </row>
    <row r="160" spans="1:15" x14ac:dyDescent="0.25">
      <c r="A160" s="159">
        <v>45406</v>
      </c>
      <c r="B160" s="55" t="s">
        <v>933</v>
      </c>
      <c r="C160" s="55" t="s">
        <v>43</v>
      </c>
      <c r="D160" s="56">
        <f t="shared" si="9"/>
        <v>240.90909090909088</v>
      </c>
      <c r="E160" s="56">
        <f t="shared" si="8"/>
        <v>24.09090909090909</v>
      </c>
      <c r="F160" s="75">
        <v>265</v>
      </c>
      <c r="G160" s="75">
        <v>50</v>
      </c>
      <c r="H160" s="58">
        <f t="shared" si="7"/>
        <v>215</v>
      </c>
      <c r="I160" s="64" t="s">
        <v>1521</v>
      </c>
      <c r="J160" s="146">
        <v>220</v>
      </c>
      <c r="K160" s="75">
        <v>45</v>
      </c>
      <c r="L160" s="14" t="s">
        <v>45</v>
      </c>
      <c r="M160" s="14"/>
      <c r="N160" s="14"/>
      <c r="O160" s="14"/>
    </row>
    <row r="161" spans="1:15" x14ac:dyDescent="0.25">
      <c r="A161" s="159">
        <v>45406</v>
      </c>
      <c r="B161" s="55" t="s">
        <v>934</v>
      </c>
      <c r="C161" s="55" t="s">
        <v>43</v>
      </c>
      <c r="D161" s="56">
        <f t="shared" si="9"/>
        <v>199.99999999999997</v>
      </c>
      <c r="E161" s="56">
        <f t="shared" si="8"/>
        <v>19.999999999999996</v>
      </c>
      <c r="F161" s="75">
        <v>220</v>
      </c>
      <c r="G161" s="75">
        <v>50</v>
      </c>
      <c r="H161" s="58">
        <f t="shared" si="7"/>
        <v>170</v>
      </c>
      <c r="I161" s="64" t="s">
        <v>1522</v>
      </c>
      <c r="J161" s="146">
        <v>220</v>
      </c>
      <c r="K161" s="14"/>
      <c r="L161" s="14"/>
      <c r="M161" s="14"/>
      <c r="N161" s="14"/>
      <c r="O161" s="14"/>
    </row>
    <row r="162" spans="1:15" x14ac:dyDescent="0.25">
      <c r="A162" s="159">
        <v>45407</v>
      </c>
      <c r="B162" s="55" t="s">
        <v>935</v>
      </c>
      <c r="C162" s="55" t="s">
        <v>43</v>
      </c>
      <c r="D162" s="56">
        <f t="shared" si="9"/>
        <v>199.99999999999997</v>
      </c>
      <c r="E162" s="56">
        <f t="shared" si="8"/>
        <v>19.999999999999996</v>
      </c>
      <c r="F162" s="75">
        <v>220</v>
      </c>
      <c r="G162" s="75">
        <v>50</v>
      </c>
      <c r="H162" s="58">
        <f t="shared" si="7"/>
        <v>170</v>
      </c>
      <c r="I162" s="64" t="s">
        <v>1542</v>
      </c>
      <c r="J162" s="146">
        <v>220</v>
      </c>
      <c r="K162" s="14"/>
      <c r="L162" s="14"/>
      <c r="M162" s="14"/>
      <c r="N162" s="14"/>
      <c r="O162" s="14"/>
    </row>
    <row r="163" spans="1:15" x14ac:dyDescent="0.25">
      <c r="A163" s="159">
        <v>45408</v>
      </c>
      <c r="B163" s="55" t="s">
        <v>936</v>
      </c>
      <c r="C163" s="55" t="s">
        <v>43</v>
      </c>
      <c r="D163" s="56">
        <f t="shared" si="9"/>
        <v>154.54545454545453</v>
      </c>
      <c r="E163" s="137">
        <f t="shared" ref="E163:E207" si="10">D163*10/100</f>
        <v>15.454545454545453</v>
      </c>
      <c r="F163" s="146">
        <v>170</v>
      </c>
      <c r="G163" s="75">
        <v>50</v>
      </c>
      <c r="H163" s="58">
        <f t="shared" si="7"/>
        <v>120</v>
      </c>
      <c r="I163" s="64" t="s">
        <v>1543</v>
      </c>
      <c r="J163" s="146">
        <v>170</v>
      </c>
      <c r="K163" s="14"/>
      <c r="L163" s="14"/>
      <c r="M163" s="14"/>
      <c r="N163" s="14"/>
      <c r="O163" s="14"/>
    </row>
    <row r="164" spans="1:15" x14ac:dyDescent="0.25">
      <c r="A164" s="159">
        <v>45408</v>
      </c>
      <c r="B164" s="55" t="s">
        <v>937</v>
      </c>
      <c r="C164" s="55" t="s">
        <v>43</v>
      </c>
      <c r="D164" s="56">
        <f t="shared" si="9"/>
        <v>545.45454545454538</v>
      </c>
      <c r="E164" s="137">
        <f t="shared" si="10"/>
        <v>54.54545454545454</v>
      </c>
      <c r="F164" s="146">
        <v>600</v>
      </c>
      <c r="G164" s="75"/>
      <c r="H164" s="58">
        <f t="shared" si="7"/>
        <v>600</v>
      </c>
      <c r="I164" s="64" t="s">
        <v>1544</v>
      </c>
      <c r="J164" s="146">
        <v>600</v>
      </c>
      <c r="K164" s="14"/>
      <c r="L164" s="14"/>
      <c r="M164" s="14"/>
      <c r="N164" s="14"/>
      <c r="O164" s="14"/>
    </row>
    <row r="165" spans="1:15" x14ac:dyDescent="0.25">
      <c r="A165" s="159">
        <v>45408</v>
      </c>
      <c r="B165" s="55" t="s">
        <v>938</v>
      </c>
      <c r="C165" s="55" t="s">
        <v>43</v>
      </c>
      <c r="D165" s="56">
        <f t="shared" si="9"/>
        <v>154.54545454545453</v>
      </c>
      <c r="E165" s="137">
        <f t="shared" si="10"/>
        <v>15.454545454545453</v>
      </c>
      <c r="F165" s="146">
        <v>170</v>
      </c>
      <c r="G165" s="75">
        <v>50</v>
      </c>
      <c r="H165" s="58">
        <f t="shared" si="7"/>
        <v>120</v>
      </c>
      <c r="I165" s="64" t="s">
        <v>1545</v>
      </c>
      <c r="J165" s="146">
        <v>170</v>
      </c>
      <c r="K165" s="75"/>
      <c r="L165" s="14"/>
      <c r="M165" s="14"/>
      <c r="N165" s="14"/>
      <c r="O165" s="14"/>
    </row>
    <row r="166" spans="1:15" x14ac:dyDescent="0.25">
      <c r="A166" s="159">
        <v>45408</v>
      </c>
      <c r="B166" s="55" t="s">
        <v>939</v>
      </c>
      <c r="C166" s="55" t="s">
        <v>43</v>
      </c>
      <c r="D166" s="56">
        <f t="shared" si="9"/>
        <v>109.09090909090908</v>
      </c>
      <c r="E166" s="137">
        <f t="shared" si="10"/>
        <v>10.909090909090908</v>
      </c>
      <c r="F166" s="146">
        <v>120</v>
      </c>
      <c r="G166" s="75"/>
      <c r="H166" s="58">
        <f t="shared" si="7"/>
        <v>120</v>
      </c>
      <c r="I166" s="64" t="s">
        <v>603</v>
      </c>
      <c r="J166" s="146">
        <v>120</v>
      </c>
      <c r="K166" s="14"/>
      <c r="L166" s="14"/>
      <c r="M166" s="14"/>
      <c r="N166" s="14"/>
      <c r="O166" s="14"/>
    </row>
    <row r="167" spans="1:15" x14ac:dyDescent="0.25">
      <c r="A167" s="159">
        <v>45408</v>
      </c>
      <c r="B167" s="55" t="s">
        <v>940</v>
      </c>
      <c r="C167" s="55" t="s">
        <v>43</v>
      </c>
      <c r="D167" s="56">
        <f t="shared" si="9"/>
        <v>540.90909090909088</v>
      </c>
      <c r="E167" s="137">
        <f t="shared" si="10"/>
        <v>54.090909090909093</v>
      </c>
      <c r="F167" s="146">
        <v>595</v>
      </c>
      <c r="G167" s="75">
        <v>200</v>
      </c>
      <c r="H167" s="58">
        <f t="shared" si="7"/>
        <v>395</v>
      </c>
      <c r="I167" s="64" t="s">
        <v>1546</v>
      </c>
      <c r="J167" s="146">
        <v>400</v>
      </c>
      <c r="K167" s="14">
        <v>45</v>
      </c>
      <c r="L167" s="14" t="s">
        <v>45</v>
      </c>
      <c r="M167" s="14">
        <v>150</v>
      </c>
      <c r="N167" s="14" t="s">
        <v>1548</v>
      </c>
      <c r="O167" s="14"/>
    </row>
    <row r="168" spans="1:15" x14ac:dyDescent="0.25">
      <c r="A168" s="159">
        <v>45408</v>
      </c>
      <c r="B168" s="55" t="s">
        <v>941</v>
      </c>
      <c r="C168" s="55" t="s">
        <v>43</v>
      </c>
      <c r="D168" s="56">
        <f t="shared" si="9"/>
        <v>163.63636363636363</v>
      </c>
      <c r="E168" s="137">
        <f t="shared" si="10"/>
        <v>16.363636363636363</v>
      </c>
      <c r="F168" s="146">
        <v>180</v>
      </c>
      <c r="G168" s="75"/>
      <c r="H168" s="58">
        <f t="shared" si="7"/>
        <v>180</v>
      </c>
      <c r="I168" s="64" t="s">
        <v>603</v>
      </c>
      <c r="J168" s="146">
        <v>180</v>
      </c>
      <c r="K168" s="75"/>
      <c r="L168" s="14"/>
      <c r="M168" s="14"/>
      <c r="N168" s="14"/>
      <c r="O168" s="14"/>
    </row>
    <row r="169" spans="1:15" x14ac:dyDescent="0.25">
      <c r="A169" s="159">
        <v>45408</v>
      </c>
      <c r="B169" s="55" t="s">
        <v>942</v>
      </c>
      <c r="C169" s="55" t="s">
        <v>43</v>
      </c>
      <c r="D169" s="56">
        <f t="shared" si="9"/>
        <v>227.27272727272725</v>
      </c>
      <c r="E169" s="137">
        <f t="shared" si="10"/>
        <v>22.727272727272727</v>
      </c>
      <c r="F169" s="146">
        <v>250</v>
      </c>
      <c r="G169" s="75">
        <v>50</v>
      </c>
      <c r="H169" s="58">
        <f t="shared" si="7"/>
        <v>200</v>
      </c>
      <c r="I169" s="64" t="s">
        <v>1547</v>
      </c>
      <c r="J169" s="146">
        <v>250</v>
      </c>
      <c r="K169" s="14"/>
      <c r="L169" s="14"/>
      <c r="M169" s="14"/>
      <c r="N169" s="14"/>
      <c r="O169" s="14"/>
    </row>
    <row r="170" spans="1:15" x14ac:dyDescent="0.25">
      <c r="A170" s="159">
        <v>45408</v>
      </c>
      <c r="B170" s="55" t="s">
        <v>943</v>
      </c>
      <c r="C170" s="55" t="s">
        <v>43</v>
      </c>
      <c r="D170" s="56">
        <f t="shared" si="9"/>
        <v>118.18181818181817</v>
      </c>
      <c r="E170" s="137">
        <f t="shared" si="10"/>
        <v>11.818181818181818</v>
      </c>
      <c r="F170" s="146">
        <v>130</v>
      </c>
      <c r="G170" s="75"/>
      <c r="H170" s="58">
        <f t="shared" si="7"/>
        <v>130</v>
      </c>
      <c r="I170" s="64" t="s">
        <v>603</v>
      </c>
      <c r="J170" s="146">
        <v>130</v>
      </c>
      <c r="K170" s="14"/>
      <c r="L170" s="14"/>
      <c r="M170" s="14"/>
      <c r="N170" s="14"/>
      <c r="O170" s="14"/>
    </row>
    <row r="171" spans="1:15" x14ac:dyDescent="0.25">
      <c r="A171" s="159">
        <v>45409</v>
      </c>
      <c r="B171" s="55" t="s">
        <v>944</v>
      </c>
      <c r="C171" s="55" t="s">
        <v>43</v>
      </c>
      <c r="D171" s="56">
        <f t="shared" si="9"/>
        <v>236.36363636363635</v>
      </c>
      <c r="E171" s="137">
        <f t="shared" si="10"/>
        <v>23.636363636363637</v>
      </c>
      <c r="F171" s="146">
        <v>260</v>
      </c>
      <c r="G171" s="75">
        <v>50</v>
      </c>
      <c r="H171" s="58">
        <f t="shared" si="7"/>
        <v>210</v>
      </c>
      <c r="I171" s="64" t="s">
        <v>1549</v>
      </c>
      <c r="J171" s="146">
        <v>220</v>
      </c>
      <c r="K171" s="14">
        <v>40</v>
      </c>
      <c r="L171" s="14" t="s">
        <v>252</v>
      </c>
      <c r="M171" s="14"/>
      <c r="N171" s="14"/>
      <c r="O171" s="14"/>
    </row>
    <row r="172" spans="1:15" x14ac:dyDescent="0.25">
      <c r="A172" s="159">
        <v>45409</v>
      </c>
      <c r="B172" s="55" t="s">
        <v>945</v>
      </c>
      <c r="C172" s="55" t="s">
        <v>43</v>
      </c>
      <c r="D172" s="56">
        <f t="shared" si="9"/>
        <v>236.36363636363635</v>
      </c>
      <c r="E172" s="137">
        <f t="shared" si="10"/>
        <v>23.636363636363637</v>
      </c>
      <c r="F172" s="146">
        <v>260</v>
      </c>
      <c r="G172" s="75">
        <v>50</v>
      </c>
      <c r="H172" s="58">
        <f t="shared" si="7"/>
        <v>210</v>
      </c>
      <c r="I172" s="64" t="s">
        <v>1550</v>
      </c>
      <c r="J172" s="146">
        <v>220</v>
      </c>
      <c r="K172" s="14">
        <v>40</v>
      </c>
      <c r="L172" s="14" t="s">
        <v>252</v>
      </c>
      <c r="M172" s="14"/>
      <c r="N172" s="14"/>
      <c r="O172" s="14"/>
    </row>
    <row r="173" spans="1:15" x14ac:dyDescent="0.25">
      <c r="A173" s="159">
        <v>45409</v>
      </c>
      <c r="B173" s="55" t="s">
        <v>946</v>
      </c>
      <c r="C173" s="55" t="s">
        <v>43</v>
      </c>
      <c r="D173" s="56">
        <f t="shared" si="9"/>
        <v>263.63636363636363</v>
      </c>
      <c r="E173" s="137">
        <f t="shared" si="10"/>
        <v>26.36363636363636</v>
      </c>
      <c r="F173" s="146">
        <v>290</v>
      </c>
      <c r="G173" s="75">
        <v>50</v>
      </c>
      <c r="H173" s="58">
        <f t="shared" si="7"/>
        <v>240</v>
      </c>
      <c r="I173" s="64" t="s">
        <v>1551</v>
      </c>
      <c r="J173" s="146">
        <v>270</v>
      </c>
      <c r="K173" s="14">
        <v>20</v>
      </c>
      <c r="L173" s="14" t="s">
        <v>252</v>
      </c>
      <c r="M173" s="14"/>
      <c r="N173" s="14"/>
      <c r="O173" s="14"/>
    </row>
    <row r="174" spans="1:15" x14ac:dyDescent="0.25">
      <c r="A174" s="159">
        <v>45409</v>
      </c>
      <c r="B174" s="55" t="s">
        <v>947</v>
      </c>
      <c r="C174" s="55" t="s">
        <v>43</v>
      </c>
      <c r="D174" s="56">
        <f t="shared" si="9"/>
        <v>181.81818181818181</v>
      </c>
      <c r="E174" s="75">
        <f t="shared" si="10"/>
        <v>18.18181818181818</v>
      </c>
      <c r="F174" s="75">
        <v>200</v>
      </c>
      <c r="G174" s="75"/>
      <c r="H174" s="58">
        <f t="shared" si="7"/>
        <v>200</v>
      </c>
      <c r="I174" s="14" t="s">
        <v>603</v>
      </c>
      <c r="J174" s="75">
        <v>200</v>
      </c>
      <c r="K174" s="75"/>
      <c r="L174" s="14"/>
      <c r="M174" s="14"/>
      <c r="N174" s="14"/>
      <c r="O174" s="14"/>
    </row>
    <row r="175" spans="1:15" x14ac:dyDescent="0.25">
      <c r="A175" s="159">
        <v>45409</v>
      </c>
      <c r="B175" s="55" t="s">
        <v>948</v>
      </c>
      <c r="C175" s="55" t="s">
        <v>43</v>
      </c>
      <c r="D175" s="56">
        <f t="shared" si="9"/>
        <v>172.72727272727272</v>
      </c>
      <c r="E175" s="75">
        <f t="shared" si="10"/>
        <v>17.272727272727273</v>
      </c>
      <c r="F175" s="75">
        <v>190</v>
      </c>
      <c r="G175" s="75"/>
      <c r="H175" s="58">
        <f t="shared" si="7"/>
        <v>190</v>
      </c>
      <c r="I175" s="14" t="s">
        <v>603</v>
      </c>
      <c r="J175" s="75">
        <v>190</v>
      </c>
      <c r="K175" s="75"/>
      <c r="L175" s="14"/>
      <c r="M175" s="14"/>
      <c r="N175" s="14"/>
      <c r="O175" s="14"/>
    </row>
    <row r="176" spans="1:15" x14ac:dyDescent="0.25">
      <c r="A176" s="159">
        <v>45409</v>
      </c>
      <c r="B176" s="55" t="s">
        <v>949</v>
      </c>
      <c r="C176" s="55" t="s">
        <v>43</v>
      </c>
      <c r="D176" s="56">
        <f t="shared" si="9"/>
        <v>227.27272727272725</v>
      </c>
      <c r="E176" s="75">
        <f t="shared" si="10"/>
        <v>22.727272727272727</v>
      </c>
      <c r="F176" s="75">
        <v>250</v>
      </c>
      <c r="G176" s="75">
        <v>50</v>
      </c>
      <c r="H176" s="58">
        <f t="shared" si="7"/>
        <v>200</v>
      </c>
      <c r="I176" s="14" t="s">
        <v>1552</v>
      </c>
      <c r="J176" s="75">
        <v>220</v>
      </c>
      <c r="K176" s="75">
        <v>30</v>
      </c>
      <c r="L176" s="14" t="s">
        <v>252</v>
      </c>
      <c r="M176" s="14"/>
      <c r="N176" s="14"/>
      <c r="O176" s="14"/>
    </row>
    <row r="177" spans="1:15" x14ac:dyDescent="0.25">
      <c r="A177" s="159">
        <v>45409</v>
      </c>
      <c r="B177" s="55" t="s">
        <v>950</v>
      </c>
      <c r="C177" s="55" t="s">
        <v>43</v>
      </c>
      <c r="D177" s="56">
        <f t="shared" si="9"/>
        <v>172.72727272727272</v>
      </c>
      <c r="E177" s="75">
        <f t="shared" si="10"/>
        <v>17.272727272727273</v>
      </c>
      <c r="F177" s="75">
        <v>190</v>
      </c>
      <c r="G177" s="75"/>
      <c r="H177" s="58">
        <f t="shared" si="7"/>
        <v>190</v>
      </c>
      <c r="I177" s="14" t="s">
        <v>1553</v>
      </c>
      <c r="J177" s="75">
        <v>190</v>
      </c>
      <c r="K177" s="75"/>
      <c r="L177" s="14"/>
      <c r="M177" s="14"/>
      <c r="N177" s="14"/>
      <c r="O177" s="14"/>
    </row>
    <row r="178" spans="1:15" x14ac:dyDescent="0.25">
      <c r="A178" s="159">
        <v>45409</v>
      </c>
      <c r="B178" s="55" t="s">
        <v>951</v>
      </c>
      <c r="C178" s="55" t="s">
        <v>43</v>
      </c>
      <c r="D178" s="56">
        <f t="shared" si="9"/>
        <v>154.54545454545453</v>
      </c>
      <c r="E178" s="75">
        <f t="shared" si="10"/>
        <v>15.454545454545453</v>
      </c>
      <c r="F178" s="75">
        <v>170</v>
      </c>
      <c r="G178" s="75">
        <v>50</v>
      </c>
      <c r="H178" s="58">
        <f t="shared" si="7"/>
        <v>120</v>
      </c>
      <c r="I178" s="14" t="s">
        <v>368</v>
      </c>
      <c r="J178" s="75">
        <v>170</v>
      </c>
      <c r="K178" s="75"/>
      <c r="L178" s="14"/>
      <c r="M178" s="14"/>
      <c r="N178" s="14"/>
      <c r="O178" s="14"/>
    </row>
    <row r="179" spans="1:15" x14ac:dyDescent="0.25">
      <c r="A179" s="159">
        <v>45409</v>
      </c>
      <c r="B179" s="55" t="s">
        <v>952</v>
      </c>
      <c r="C179" s="55" t="s">
        <v>43</v>
      </c>
      <c r="D179" s="56">
        <f t="shared" si="9"/>
        <v>272.72727272727269</v>
      </c>
      <c r="E179" s="75">
        <f t="shared" si="10"/>
        <v>27.27272727272727</v>
      </c>
      <c r="F179" s="75">
        <v>300</v>
      </c>
      <c r="G179" s="75">
        <v>50</v>
      </c>
      <c r="H179" s="58">
        <f t="shared" si="7"/>
        <v>250</v>
      </c>
      <c r="I179" s="14" t="s">
        <v>1554</v>
      </c>
      <c r="J179" s="75">
        <v>220</v>
      </c>
      <c r="K179" s="75">
        <v>30</v>
      </c>
      <c r="L179" s="14" t="s">
        <v>252</v>
      </c>
      <c r="M179" s="14"/>
      <c r="N179" s="14"/>
      <c r="O179" s="14"/>
    </row>
    <row r="180" spans="1:15" x14ac:dyDescent="0.25">
      <c r="A180" s="159">
        <v>45409</v>
      </c>
      <c r="B180" s="55" t="s">
        <v>953</v>
      </c>
      <c r="C180" s="55" t="s">
        <v>43</v>
      </c>
      <c r="D180" s="56">
        <f t="shared" si="9"/>
        <v>227.27272727272725</v>
      </c>
      <c r="E180" s="75">
        <f t="shared" si="10"/>
        <v>22.727272727272727</v>
      </c>
      <c r="F180" s="75">
        <v>250</v>
      </c>
      <c r="G180" s="75">
        <v>50</v>
      </c>
      <c r="H180" s="58">
        <f t="shared" si="7"/>
        <v>200</v>
      </c>
      <c r="I180" s="14" t="s">
        <v>368</v>
      </c>
      <c r="J180" s="75">
        <v>220</v>
      </c>
      <c r="K180" s="75">
        <v>30</v>
      </c>
      <c r="L180" s="14" t="s">
        <v>252</v>
      </c>
      <c r="M180" s="14"/>
      <c r="N180" s="14"/>
      <c r="O180" s="14"/>
    </row>
    <row r="181" spans="1:15" x14ac:dyDescent="0.25">
      <c r="A181" s="159">
        <v>45409</v>
      </c>
      <c r="B181" s="55" t="s">
        <v>954</v>
      </c>
      <c r="C181" s="55" t="s">
        <v>43</v>
      </c>
      <c r="D181" s="56">
        <f t="shared" si="9"/>
        <v>209.09090909090907</v>
      </c>
      <c r="E181" s="75">
        <f t="shared" si="10"/>
        <v>20.909090909090907</v>
      </c>
      <c r="F181" s="75">
        <v>230</v>
      </c>
      <c r="G181" s="75"/>
      <c r="H181" s="58">
        <f t="shared" si="7"/>
        <v>230</v>
      </c>
      <c r="I181" s="14" t="s">
        <v>603</v>
      </c>
      <c r="J181" s="75">
        <v>230</v>
      </c>
      <c r="K181" s="75"/>
      <c r="L181" s="14"/>
      <c r="M181" s="14"/>
      <c r="N181" s="14"/>
      <c r="O181" s="14"/>
    </row>
    <row r="182" spans="1:15" x14ac:dyDescent="0.25">
      <c r="A182" s="159">
        <v>45409</v>
      </c>
      <c r="B182" s="55" t="s">
        <v>955</v>
      </c>
      <c r="C182" s="55" t="s">
        <v>43</v>
      </c>
      <c r="D182" s="56">
        <f t="shared" si="9"/>
        <v>199.99999999999997</v>
      </c>
      <c r="E182" s="75">
        <f t="shared" si="10"/>
        <v>19.999999999999996</v>
      </c>
      <c r="F182" s="75">
        <v>220</v>
      </c>
      <c r="G182" s="75">
        <v>50</v>
      </c>
      <c r="H182" s="58">
        <f t="shared" si="7"/>
        <v>170</v>
      </c>
      <c r="I182" s="14" t="s">
        <v>1555</v>
      </c>
      <c r="J182" s="75">
        <v>220</v>
      </c>
      <c r="K182" s="75"/>
      <c r="L182" s="14"/>
      <c r="M182" s="14"/>
      <c r="N182" s="14"/>
      <c r="O182" s="14"/>
    </row>
    <row r="183" spans="1:15" x14ac:dyDescent="0.25">
      <c r="A183" s="159">
        <v>45409</v>
      </c>
      <c r="B183" s="55" t="s">
        <v>956</v>
      </c>
      <c r="C183" s="55" t="s">
        <v>43</v>
      </c>
      <c r="D183" s="56">
        <f t="shared" si="9"/>
        <v>227.27272727272725</v>
      </c>
      <c r="E183" s="75">
        <f t="shared" si="10"/>
        <v>22.727272727272727</v>
      </c>
      <c r="F183" s="75">
        <v>250</v>
      </c>
      <c r="G183" s="75">
        <v>50</v>
      </c>
      <c r="H183" s="58">
        <f t="shared" si="7"/>
        <v>200</v>
      </c>
      <c r="I183" s="14" t="s">
        <v>1556</v>
      </c>
      <c r="J183" s="75">
        <v>220</v>
      </c>
      <c r="K183" s="75">
        <v>30</v>
      </c>
      <c r="L183" s="14" t="s">
        <v>252</v>
      </c>
      <c r="M183" s="14"/>
      <c r="N183" s="14"/>
      <c r="O183" s="14"/>
    </row>
    <row r="184" spans="1:15" x14ac:dyDescent="0.25">
      <c r="A184" s="159">
        <v>45409</v>
      </c>
      <c r="B184" s="55" t="s">
        <v>957</v>
      </c>
      <c r="C184" s="55" t="s">
        <v>43</v>
      </c>
      <c r="D184" s="56">
        <f t="shared" si="9"/>
        <v>199.99999999999997</v>
      </c>
      <c r="E184" s="75">
        <f t="shared" si="10"/>
        <v>19.999999999999996</v>
      </c>
      <c r="F184" s="75">
        <v>220</v>
      </c>
      <c r="G184" s="75">
        <v>50</v>
      </c>
      <c r="H184" s="58">
        <f t="shared" si="7"/>
        <v>170</v>
      </c>
      <c r="I184" s="14" t="s">
        <v>1557</v>
      </c>
      <c r="J184" s="75">
        <v>220</v>
      </c>
      <c r="K184" s="75"/>
      <c r="L184" s="14"/>
      <c r="M184" s="14"/>
      <c r="N184" s="14"/>
      <c r="O184" s="14"/>
    </row>
    <row r="185" spans="1:15" x14ac:dyDescent="0.25">
      <c r="A185" s="159">
        <v>45409</v>
      </c>
      <c r="B185" s="55" t="s">
        <v>958</v>
      </c>
      <c r="C185" s="55" t="s">
        <v>43</v>
      </c>
      <c r="D185" s="56">
        <f t="shared" si="9"/>
        <v>199.99999999999997</v>
      </c>
      <c r="E185" s="75">
        <f t="shared" si="10"/>
        <v>19.999999999999996</v>
      </c>
      <c r="F185" s="75">
        <v>220</v>
      </c>
      <c r="G185" s="75">
        <v>50</v>
      </c>
      <c r="H185" s="58">
        <f t="shared" si="7"/>
        <v>170</v>
      </c>
      <c r="I185" s="14" t="s">
        <v>1558</v>
      </c>
      <c r="J185" s="75">
        <v>220</v>
      </c>
      <c r="K185" s="75"/>
      <c r="L185" s="14"/>
      <c r="M185" s="14"/>
      <c r="N185" s="14"/>
      <c r="O185" s="14"/>
    </row>
    <row r="186" spans="1:15" x14ac:dyDescent="0.25">
      <c r="A186" s="159">
        <v>45409</v>
      </c>
      <c r="B186" s="55" t="s">
        <v>959</v>
      </c>
      <c r="C186" s="55" t="s">
        <v>43</v>
      </c>
      <c r="D186" s="56">
        <f t="shared" si="9"/>
        <v>190.90909090909091</v>
      </c>
      <c r="E186" s="75">
        <f t="shared" si="10"/>
        <v>19.09090909090909</v>
      </c>
      <c r="F186" s="75">
        <v>210</v>
      </c>
      <c r="G186" s="75">
        <v>50</v>
      </c>
      <c r="H186" s="58">
        <f t="shared" si="7"/>
        <v>160</v>
      </c>
      <c r="I186" s="14" t="s">
        <v>1559</v>
      </c>
      <c r="J186" s="75">
        <v>170</v>
      </c>
      <c r="K186" s="75">
        <v>40</v>
      </c>
      <c r="L186" s="14" t="s">
        <v>252</v>
      </c>
      <c r="M186" s="14"/>
      <c r="N186" s="14"/>
      <c r="O186" s="14"/>
    </row>
    <row r="187" spans="1:15" x14ac:dyDescent="0.25">
      <c r="A187" s="159">
        <v>45409</v>
      </c>
      <c r="B187" s="55" t="s">
        <v>960</v>
      </c>
      <c r="C187" s="55" t="s">
        <v>43</v>
      </c>
      <c r="D187" s="56">
        <f t="shared" si="9"/>
        <v>154.54545454545453</v>
      </c>
      <c r="E187" s="75">
        <f t="shared" si="10"/>
        <v>15.454545454545453</v>
      </c>
      <c r="F187" s="75">
        <v>170</v>
      </c>
      <c r="G187" s="75">
        <v>50</v>
      </c>
      <c r="H187" s="58">
        <f t="shared" ref="H187:H208" si="11">F187-G187</f>
        <v>120</v>
      </c>
      <c r="I187" s="14" t="s">
        <v>1560</v>
      </c>
      <c r="J187" s="75">
        <v>170</v>
      </c>
      <c r="K187" s="75"/>
      <c r="L187" s="14"/>
      <c r="M187" s="14"/>
      <c r="N187" s="14"/>
      <c r="O187" s="14"/>
    </row>
    <row r="188" spans="1:15" x14ac:dyDescent="0.25">
      <c r="A188" s="159">
        <v>45409</v>
      </c>
      <c r="B188" s="55" t="s">
        <v>961</v>
      </c>
      <c r="C188" s="55" t="s">
        <v>43</v>
      </c>
      <c r="D188" s="56">
        <f t="shared" si="9"/>
        <v>181.81818181818181</v>
      </c>
      <c r="E188" s="75">
        <f t="shared" si="10"/>
        <v>18.18181818181818</v>
      </c>
      <c r="F188" s="75">
        <v>200</v>
      </c>
      <c r="G188" s="75">
        <v>50</v>
      </c>
      <c r="H188" s="58">
        <f t="shared" si="11"/>
        <v>150</v>
      </c>
      <c r="I188" s="14" t="s">
        <v>1561</v>
      </c>
      <c r="J188" s="75">
        <v>170</v>
      </c>
      <c r="K188" s="75">
        <v>30</v>
      </c>
      <c r="L188" s="14" t="s">
        <v>252</v>
      </c>
      <c r="M188" s="14"/>
      <c r="N188" s="14"/>
      <c r="O188" s="14"/>
    </row>
    <row r="189" spans="1:15" x14ac:dyDescent="0.25">
      <c r="A189" s="159">
        <v>45409</v>
      </c>
      <c r="B189" s="55" t="s">
        <v>962</v>
      </c>
      <c r="C189" s="55" t="s">
        <v>43</v>
      </c>
      <c r="D189" s="56">
        <f t="shared" si="9"/>
        <v>154.54545454545453</v>
      </c>
      <c r="E189" s="75">
        <f t="shared" si="10"/>
        <v>15.454545454545453</v>
      </c>
      <c r="F189" s="75">
        <v>170</v>
      </c>
      <c r="G189" s="75">
        <v>50</v>
      </c>
      <c r="H189" s="58">
        <f t="shared" si="11"/>
        <v>120</v>
      </c>
      <c r="I189" s="14" t="s">
        <v>1562</v>
      </c>
      <c r="J189" s="75">
        <v>170</v>
      </c>
      <c r="K189" s="75"/>
      <c r="L189" s="14"/>
      <c r="M189" s="14"/>
      <c r="N189" s="14"/>
      <c r="O189" s="14"/>
    </row>
    <row r="190" spans="1:15" x14ac:dyDescent="0.25">
      <c r="A190" s="159">
        <v>45409</v>
      </c>
      <c r="B190" s="55" t="s">
        <v>963</v>
      </c>
      <c r="C190" s="55" t="s">
        <v>43</v>
      </c>
      <c r="D190" s="56">
        <f t="shared" si="9"/>
        <v>127.27272727272727</v>
      </c>
      <c r="E190" s="75">
        <f t="shared" si="10"/>
        <v>12.727272727272727</v>
      </c>
      <c r="F190" s="75">
        <v>140</v>
      </c>
      <c r="G190" s="75"/>
      <c r="H190" s="58">
        <f t="shared" si="11"/>
        <v>140</v>
      </c>
      <c r="I190" s="14" t="s">
        <v>1563</v>
      </c>
      <c r="J190" s="75">
        <v>140</v>
      </c>
      <c r="K190" s="75"/>
      <c r="L190" s="14"/>
      <c r="M190" s="14"/>
      <c r="N190" s="14"/>
      <c r="O190" s="14"/>
    </row>
    <row r="191" spans="1:15" x14ac:dyDescent="0.25">
      <c r="A191" s="159">
        <v>45409</v>
      </c>
      <c r="B191" s="55" t="s">
        <v>964</v>
      </c>
      <c r="C191" s="55" t="s">
        <v>43</v>
      </c>
      <c r="D191" s="56">
        <f t="shared" si="9"/>
        <v>118.18181818181817</v>
      </c>
      <c r="E191" s="75">
        <f t="shared" si="10"/>
        <v>11.818181818181818</v>
      </c>
      <c r="F191" s="75">
        <v>130</v>
      </c>
      <c r="G191" s="75"/>
      <c r="H191" s="58">
        <f t="shared" si="11"/>
        <v>130</v>
      </c>
      <c r="I191" s="14" t="s">
        <v>604</v>
      </c>
      <c r="J191" s="75">
        <v>130</v>
      </c>
      <c r="K191" s="75"/>
      <c r="L191" s="14"/>
      <c r="M191" s="14"/>
      <c r="N191" s="14"/>
      <c r="O191" s="14"/>
    </row>
    <row r="192" spans="1:15" x14ac:dyDescent="0.25">
      <c r="A192" s="159">
        <v>45409</v>
      </c>
      <c r="B192" s="55" t="s">
        <v>965</v>
      </c>
      <c r="C192" s="55" t="s">
        <v>43</v>
      </c>
      <c r="D192" s="56">
        <f t="shared" si="9"/>
        <v>300</v>
      </c>
      <c r="E192" s="75">
        <f t="shared" si="10"/>
        <v>30</v>
      </c>
      <c r="F192" s="75">
        <v>330</v>
      </c>
      <c r="G192" s="75">
        <v>50</v>
      </c>
      <c r="H192" s="58">
        <f t="shared" si="11"/>
        <v>280</v>
      </c>
      <c r="I192" s="14" t="s">
        <v>1564</v>
      </c>
      <c r="J192" s="75">
        <v>170</v>
      </c>
      <c r="K192" s="75">
        <v>160</v>
      </c>
      <c r="L192" s="14" t="s">
        <v>1319</v>
      </c>
      <c r="M192" s="14"/>
      <c r="N192" s="14"/>
      <c r="O192" s="14"/>
    </row>
    <row r="193" spans="1:15" x14ac:dyDescent="0.25">
      <c r="A193" s="159">
        <v>45409</v>
      </c>
      <c r="B193" s="55" t="s">
        <v>966</v>
      </c>
      <c r="C193" s="55" t="s">
        <v>43</v>
      </c>
      <c r="D193" s="56">
        <f t="shared" si="9"/>
        <v>145.45454545454544</v>
      </c>
      <c r="E193" s="75">
        <f t="shared" si="10"/>
        <v>14.545454545454545</v>
      </c>
      <c r="F193" s="75">
        <v>160</v>
      </c>
      <c r="G193" s="75"/>
      <c r="H193" s="58">
        <f t="shared" si="11"/>
        <v>160</v>
      </c>
      <c r="I193" s="14" t="s">
        <v>603</v>
      </c>
      <c r="J193" s="75">
        <v>160</v>
      </c>
      <c r="K193" s="75"/>
      <c r="L193" s="14"/>
      <c r="M193" s="14"/>
      <c r="N193" s="14"/>
      <c r="O193" s="14"/>
    </row>
    <row r="194" spans="1:15" x14ac:dyDescent="0.25">
      <c r="A194" s="159">
        <v>45409</v>
      </c>
      <c r="B194" s="55" t="s">
        <v>967</v>
      </c>
      <c r="C194" s="55" t="s">
        <v>43</v>
      </c>
      <c r="D194" s="56">
        <f t="shared" si="9"/>
        <v>118.18181818181817</v>
      </c>
      <c r="E194" s="75">
        <f t="shared" si="10"/>
        <v>11.818181818181818</v>
      </c>
      <c r="F194" s="75">
        <v>130</v>
      </c>
      <c r="G194" s="75"/>
      <c r="H194" s="58">
        <f t="shared" si="11"/>
        <v>130</v>
      </c>
      <c r="I194" s="14" t="s">
        <v>603</v>
      </c>
      <c r="J194" s="75">
        <v>130</v>
      </c>
      <c r="K194" s="75"/>
      <c r="L194" s="14"/>
      <c r="M194" s="14"/>
      <c r="N194" s="14"/>
      <c r="O194" s="14"/>
    </row>
    <row r="195" spans="1:15" x14ac:dyDescent="0.25">
      <c r="A195" s="159">
        <v>45409</v>
      </c>
      <c r="B195" s="55" t="s">
        <v>968</v>
      </c>
      <c r="C195" s="55" t="s">
        <v>43</v>
      </c>
      <c r="D195" s="56">
        <f t="shared" si="9"/>
        <v>190.90909090909091</v>
      </c>
      <c r="E195" s="75">
        <f t="shared" si="10"/>
        <v>19.09090909090909</v>
      </c>
      <c r="F195" s="75">
        <v>210</v>
      </c>
      <c r="G195" s="75">
        <v>50</v>
      </c>
      <c r="H195" s="58">
        <f t="shared" si="11"/>
        <v>160</v>
      </c>
      <c r="I195" s="14" t="s">
        <v>1565</v>
      </c>
      <c r="J195" s="75">
        <v>170</v>
      </c>
      <c r="K195" s="75">
        <v>40</v>
      </c>
      <c r="L195" s="14" t="s">
        <v>252</v>
      </c>
      <c r="M195" s="14"/>
      <c r="N195" s="14"/>
      <c r="O195" s="14"/>
    </row>
    <row r="196" spans="1:15" x14ac:dyDescent="0.25">
      <c r="A196" s="159">
        <v>45409</v>
      </c>
      <c r="B196" s="55" t="s">
        <v>969</v>
      </c>
      <c r="C196" s="55" t="s">
        <v>43</v>
      </c>
      <c r="D196" s="56">
        <f t="shared" ref="D196:D207" si="12">F196/1.1</f>
        <v>154.54545454545453</v>
      </c>
      <c r="E196" s="75">
        <f t="shared" si="10"/>
        <v>15.454545454545453</v>
      </c>
      <c r="F196" s="75">
        <v>170</v>
      </c>
      <c r="G196" s="75">
        <v>50</v>
      </c>
      <c r="H196" s="58">
        <f t="shared" si="11"/>
        <v>120</v>
      </c>
      <c r="I196" s="14" t="s">
        <v>1566</v>
      </c>
      <c r="J196" s="75">
        <v>170</v>
      </c>
      <c r="K196" s="75"/>
      <c r="L196" s="14"/>
      <c r="M196" s="14"/>
      <c r="N196" s="14"/>
      <c r="O196" s="14"/>
    </row>
    <row r="197" spans="1:15" x14ac:dyDescent="0.25">
      <c r="A197" s="159">
        <v>45409</v>
      </c>
      <c r="B197" s="55" t="s">
        <v>970</v>
      </c>
      <c r="C197" s="55" t="s">
        <v>43</v>
      </c>
      <c r="D197" s="56">
        <f t="shared" si="12"/>
        <v>190.90909090909091</v>
      </c>
      <c r="E197" s="75">
        <f t="shared" si="10"/>
        <v>19.09090909090909</v>
      </c>
      <c r="F197" s="75">
        <v>210</v>
      </c>
      <c r="G197" s="75">
        <v>50</v>
      </c>
      <c r="H197" s="58">
        <f t="shared" si="11"/>
        <v>160</v>
      </c>
      <c r="I197" s="14" t="s">
        <v>1567</v>
      </c>
      <c r="J197" s="75">
        <v>170</v>
      </c>
      <c r="K197" s="75">
        <v>40</v>
      </c>
      <c r="L197" s="14" t="s">
        <v>252</v>
      </c>
      <c r="M197" s="14"/>
      <c r="N197" s="14"/>
      <c r="O197" s="14"/>
    </row>
    <row r="198" spans="1:15" x14ac:dyDescent="0.25">
      <c r="A198" s="159">
        <v>45409</v>
      </c>
      <c r="B198" s="55" t="s">
        <v>971</v>
      </c>
      <c r="C198" s="55" t="s">
        <v>43</v>
      </c>
      <c r="D198" s="56">
        <f t="shared" si="12"/>
        <v>118.18181818181817</v>
      </c>
      <c r="E198" s="75">
        <f t="shared" si="10"/>
        <v>11.818181818181818</v>
      </c>
      <c r="F198" s="75">
        <v>130</v>
      </c>
      <c r="G198" s="75"/>
      <c r="H198" s="58">
        <f t="shared" si="11"/>
        <v>130</v>
      </c>
      <c r="I198" s="14" t="s">
        <v>603</v>
      </c>
      <c r="J198" s="75">
        <v>130</v>
      </c>
      <c r="K198" s="75"/>
      <c r="L198" s="14"/>
      <c r="M198" s="14"/>
      <c r="N198" s="14"/>
      <c r="O198" s="14"/>
    </row>
    <row r="199" spans="1:15" x14ac:dyDescent="0.25">
      <c r="A199" s="159">
        <v>45409</v>
      </c>
      <c r="B199" s="55" t="s">
        <v>972</v>
      </c>
      <c r="C199" s="55" t="s">
        <v>43</v>
      </c>
      <c r="D199" s="56">
        <f t="shared" si="12"/>
        <v>118.18181818181817</v>
      </c>
      <c r="E199" s="75">
        <f t="shared" si="10"/>
        <v>11.818181818181818</v>
      </c>
      <c r="F199" s="75">
        <v>130</v>
      </c>
      <c r="G199" s="75"/>
      <c r="H199" s="58">
        <f t="shared" si="11"/>
        <v>130</v>
      </c>
      <c r="I199" s="14" t="s">
        <v>603</v>
      </c>
      <c r="J199" s="75">
        <v>130</v>
      </c>
      <c r="K199" s="75"/>
      <c r="L199" s="14"/>
      <c r="M199" s="14"/>
      <c r="N199" s="14"/>
      <c r="O199" s="14"/>
    </row>
    <row r="200" spans="1:15" x14ac:dyDescent="0.25">
      <c r="A200" s="159">
        <v>45409</v>
      </c>
      <c r="B200" s="55" t="s">
        <v>973</v>
      </c>
      <c r="C200" s="55" t="s">
        <v>43</v>
      </c>
      <c r="D200" s="56">
        <f t="shared" si="12"/>
        <v>109.09090909090908</v>
      </c>
      <c r="E200" s="75">
        <f t="shared" si="10"/>
        <v>10.909090909090908</v>
      </c>
      <c r="F200" s="75">
        <v>120</v>
      </c>
      <c r="G200" s="75"/>
      <c r="H200" s="58">
        <f t="shared" si="11"/>
        <v>120</v>
      </c>
      <c r="I200" s="14" t="s">
        <v>603</v>
      </c>
      <c r="J200" s="75">
        <v>120</v>
      </c>
      <c r="K200" s="75"/>
      <c r="L200" s="14"/>
      <c r="M200" s="14"/>
      <c r="N200" s="14"/>
      <c r="O200" s="14"/>
    </row>
    <row r="201" spans="1:15" x14ac:dyDescent="0.25">
      <c r="A201" s="159">
        <v>45409</v>
      </c>
      <c r="B201" s="55" t="s">
        <v>974</v>
      </c>
      <c r="C201" s="55" t="s">
        <v>43</v>
      </c>
      <c r="D201" s="56">
        <f t="shared" si="12"/>
        <v>199.99999999999997</v>
      </c>
      <c r="E201" s="75">
        <f t="shared" si="10"/>
        <v>19.999999999999996</v>
      </c>
      <c r="F201" s="75">
        <v>220</v>
      </c>
      <c r="G201" s="75">
        <v>50</v>
      </c>
      <c r="H201" s="58">
        <f t="shared" si="11"/>
        <v>170</v>
      </c>
      <c r="I201" s="14" t="s">
        <v>1544</v>
      </c>
      <c r="J201" s="75">
        <v>220</v>
      </c>
      <c r="K201" s="75"/>
      <c r="L201" s="14"/>
      <c r="M201" s="14"/>
      <c r="N201" s="14"/>
      <c r="O201" s="14"/>
    </row>
    <row r="202" spans="1:15" x14ac:dyDescent="0.25">
      <c r="A202" s="159">
        <v>45410</v>
      </c>
      <c r="B202" s="55" t="s">
        <v>975</v>
      </c>
      <c r="C202" s="55" t="s">
        <v>43</v>
      </c>
      <c r="D202" s="56">
        <f t="shared" si="12"/>
        <v>209.09090909090907</v>
      </c>
      <c r="E202" s="75">
        <f t="shared" si="10"/>
        <v>20.909090909090907</v>
      </c>
      <c r="F202" s="75">
        <v>230</v>
      </c>
      <c r="G202" s="75">
        <v>50</v>
      </c>
      <c r="H202" s="58">
        <f t="shared" si="11"/>
        <v>180</v>
      </c>
      <c r="I202" s="14" t="s">
        <v>1568</v>
      </c>
      <c r="J202" s="75">
        <v>230</v>
      </c>
      <c r="K202" s="75"/>
      <c r="L202" s="14"/>
      <c r="M202" s="14"/>
      <c r="N202" s="14"/>
      <c r="O202" s="14"/>
    </row>
    <row r="203" spans="1:15" x14ac:dyDescent="0.25">
      <c r="A203" s="159">
        <v>45410</v>
      </c>
      <c r="B203" s="55" t="s">
        <v>976</v>
      </c>
      <c r="C203" s="55" t="s">
        <v>43</v>
      </c>
      <c r="D203" s="56">
        <f t="shared" si="12"/>
        <v>281.81818181818181</v>
      </c>
      <c r="E203" s="75">
        <f t="shared" si="10"/>
        <v>28.18181818181818</v>
      </c>
      <c r="F203" s="75">
        <v>310</v>
      </c>
      <c r="G203" s="75">
        <v>50</v>
      </c>
      <c r="H203" s="58">
        <f t="shared" si="11"/>
        <v>260</v>
      </c>
      <c r="I203" s="14" t="s">
        <v>1544</v>
      </c>
      <c r="J203" s="75">
        <v>270</v>
      </c>
      <c r="K203" s="75">
        <v>40</v>
      </c>
      <c r="L203" s="14" t="s">
        <v>252</v>
      </c>
      <c r="M203" s="14"/>
      <c r="N203" s="14"/>
      <c r="O203" s="14"/>
    </row>
    <row r="204" spans="1:15" x14ac:dyDescent="0.25">
      <c r="A204" s="159">
        <v>45412</v>
      </c>
      <c r="B204" s="55" t="s">
        <v>977</v>
      </c>
      <c r="C204" s="55" t="s">
        <v>43</v>
      </c>
      <c r="D204" s="56">
        <f t="shared" si="12"/>
        <v>245.45454545454544</v>
      </c>
      <c r="E204" s="75">
        <f t="shared" si="10"/>
        <v>24.545454545454547</v>
      </c>
      <c r="F204" s="75">
        <v>270</v>
      </c>
      <c r="G204" s="75">
        <v>50</v>
      </c>
      <c r="H204" s="58">
        <f t="shared" si="11"/>
        <v>220</v>
      </c>
      <c r="I204" s="14" t="s">
        <v>1569</v>
      </c>
      <c r="J204" s="75">
        <v>270</v>
      </c>
      <c r="K204" s="75"/>
      <c r="L204" s="14"/>
      <c r="M204" s="14"/>
      <c r="N204" s="14"/>
      <c r="O204" s="14"/>
    </row>
    <row r="205" spans="1:15" x14ac:dyDescent="0.25">
      <c r="A205" s="159">
        <v>45412</v>
      </c>
      <c r="B205" s="55" t="s">
        <v>978</v>
      </c>
      <c r="C205" s="55" t="s">
        <v>43</v>
      </c>
      <c r="D205" s="56">
        <f t="shared" si="12"/>
        <v>172.72727272727272</v>
      </c>
      <c r="E205" s="75">
        <f t="shared" si="10"/>
        <v>17.272727272727273</v>
      </c>
      <c r="F205" s="75">
        <v>190</v>
      </c>
      <c r="G205" s="75"/>
      <c r="H205" s="58">
        <f t="shared" si="11"/>
        <v>190</v>
      </c>
      <c r="I205" s="14" t="s">
        <v>1497</v>
      </c>
      <c r="J205" s="75">
        <v>190</v>
      </c>
      <c r="K205" s="75"/>
      <c r="L205" s="14"/>
      <c r="M205" s="14"/>
      <c r="N205" s="14"/>
      <c r="O205" s="14"/>
    </row>
    <row r="206" spans="1:15" x14ac:dyDescent="0.25">
      <c r="A206" s="159">
        <v>45412</v>
      </c>
      <c r="B206" s="55" t="s">
        <v>979</v>
      </c>
      <c r="C206" s="55" t="s">
        <v>43</v>
      </c>
      <c r="D206" s="56">
        <f t="shared" si="12"/>
        <v>145.45454545454544</v>
      </c>
      <c r="E206" s="75">
        <f t="shared" si="10"/>
        <v>14.545454545454545</v>
      </c>
      <c r="F206" s="75">
        <v>160</v>
      </c>
      <c r="G206" s="75"/>
      <c r="H206" s="58">
        <f t="shared" si="11"/>
        <v>160</v>
      </c>
      <c r="I206" s="14" t="s">
        <v>603</v>
      </c>
      <c r="J206" s="75">
        <v>160</v>
      </c>
      <c r="K206" s="75"/>
      <c r="L206" s="14"/>
      <c r="M206" s="14"/>
      <c r="N206" s="14"/>
      <c r="O206" s="14"/>
    </row>
    <row r="207" spans="1:15" x14ac:dyDescent="0.25">
      <c r="A207" s="159">
        <v>45412</v>
      </c>
      <c r="B207" s="55" t="s">
        <v>980</v>
      </c>
      <c r="C207" s="55" t="s">
        <v>43</v>
      </c>
      <c r="D207" s="56">
        <f t="shared" si="12"/>
        <v>172.72727272727272</v>
      </c>
      <c r="E207" s="75">
        <f t="shared" si="10"/>
        <v>17.272727272727273</v>
      </c>
      <c r="F207" s="75">
        <v>190</v>
      </c>
      <c r="G207" s="75">
        <v>50</v>
      </c>
      <c r="H207" s="58">
        <f t="shared" si="11"/>
        <v>140</v>
      </c>
      <c r="I207" s="14" t="s">
        <v>1570</v>
      </c>
      <c r="J207" s="75">
        <v>170</v>
      </c>
      <c r="K207" s="75">
        <v>20</v>
      </c>
      <c r="L207" s="14" t="s">
        <v>252</v>
      </c>
      <c r="M207" s="14"/>
      <c r="N207" s="14"/>
      <c r="O207" s="14"/>
    </row>
    <row r="208" spans="1:15" x14ac:dyDescent="0.25">
      <c r="A208" s="322" t="s">
        <v>11</v>
      </c>
      <c r="B208" s="322"/>
      <c r="C208" s="322"/>
      <c r="D208" s="160">
        <f>SUM(D3:D207)</f>
        <v>41309.090909090934</v>
      </c>
      <c r="E208" s="160">
        <f>SUM(E3:E207)</f>
        <v>4130.9090909090901</v>
      </c>
      <c r="F208" s="186">
        <f>SUM(F3:F207)</f>
        <v>45440</v>
      </c>
      <c r="G208" s="160">
        <f>SUM(G3:G207)</f>
        <v>9420</v>
      </c>
      <c r="H208" s="58">
        <f t="shared" si="11"/>
        <v>36020</v>
      </c>
      <c r="I208" s="175"/>
    </row>
    <row r="209" spans="4:8" x14ac:dyDescent="0.25">
      <c r="D209" t="s">
        <v>2459</v>
      </c>
      <c r="E209" t="s">
        <v>2460</v>
      </c>
      <c r="F209" t="s">
        <v>11</v>
      </c>
      <c r="G209" t="s">
        <v>2461</v>
      </c>
      <c r="H209" t="s">
        <v>42</v>
      </c>
    </row>
  </sheetData>
  <mergeCells count="15">
    <mergeCell ref="A208:C208"/>
    <mergeCell ref="N1:N2"/>
    <mergeCell ref="O1:O2"/>
    <mergeCell ref="G1:H1"/>
    <mergeCell ref="I1:I2"/>
    <mergeCell ref="J1:J2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honeticPr fontId="6" type="noConversion"/>
  <conditionalFormatting sqref="A3:A19 F104:F126">
    <cfRule type="expression" dxfId="47" priority="25" stopIfTrue="1">
      <formula>EXACT($C3,"HUMMER")</formula>
    </cfRule>
    <cfRule type="expression" dxfId="46" priority="26" stopIfTrue="1">
      <formula>EXACT($C3,"BLANCA")</formula>
    </cfRule>
    <cfRule type="expression" dxfId="45" priority="27" stopIfTrue="1">
      <formula>EXACT($C3,"ROSA")</formula>
    </cfRule>
  </conditionalFormatting>
  <conditionalFormatting sqref="A20:A23 A25:A28 A30:A34">
    <cfRule type="expression" dxfId="44" priority="31" stopIfTrue="1">
      <formula>EXACT($C21,"HUMMER")</formula>
    </cfRule>
    <cfRule type="expression" dxfId="43" priority="32" stopIfTrue="1">
      <formula>EXACT($C21,"BLANCA")</formula>
    </cfRule>
    <cfRule type="expression" dxfId="42" priority="33" stopIfTrue="1">
      <formula>EXACT($C21,"ROSA")</formula>
    </cfRule>
  </conditionalFormatting>
  <conditionalFormatting sqref="A24">
    <cfRule type="expression" dxfId="41" priority="19" stopIfTrue="1">
      <formula>EXACT($C24,"HUMMER")</formula>
    </cfRule>
    <cfRule type="expression" dxfId="40" priority="20" stopIfTrue="1">
      <formula>EXACT($C24,"BLANCA")</formula>
    </cfRule>
    <cfRule type="expression" dxfId="39" priority="21" stopIfTrue="1">
      <formula>EXACT($C24,"ROSA")</formula>
    </cfRule>
  </conditionalFormatting>
  <conditionalFormatting sqref="A29">
    <cfRule type="expression" dxfId="38" priority="16" stopIfTrue="1">
      <formula>EXACT($C29,"HUMMER")</formula>
    </cfRule>
    <cfRule type="expression" dxfId="37" priority="17" stopIfTrue="1">
      <formula>EXACT($C29,"BLANCA")</formula>
    </cfRule>
    <cfRule type="expression" dxfId="36" priority="18" stopIfTrue="1">
      <formula>EXACT($C29,"ROSA")</formula>
    </cfRule>
  </conditionalFormatting>
  <conditionalFormatting sqref="A35:A37">
    <cfRule type="expression" dxfId="35" priority="34" stopIfTrue="1">
      <formula>EXACT($C37,"HUMMER")</formula>
    </cfRule>
    <cfRule type="expression" dxfId="34" priority="35" stopIfTrue="1">
      <formula>EXACT($C37,"BLANCA")</formula>
    </cfRule>
    <cfRule type="expression" dxfId="33" priority="36" stopIfTrue="1">
      <formula>EXACT($C37,"ROSA")</formula>
    </cfRule>
  </conditionalFormatting>
  <conditionalFormatting sqref="F3:F8">
    <cfRule type="expression" dxfId="32" priority="22" stopIfTrue="1">
      <formula>EXACT($C3,"HUMMER")</formula>
    </cfRule>
    <cfRule type="expression" dxfId="31" priority="23" stopIfTrue="1">
      <formula>EXACT($C3,"BLANCA")</formula>
    </cfRule>
    <cfRule type="expression" dxfId="30" priority="24" stopIfTrue="1">
      <formula>EXACT($C3,"ROSA")</formula>
    </cfRule>
  </conditionalFormatting>
  <conditionalFormatting sqref="F26:F35 F37">
    <cfRule type="expression" dxfId="29" priority="28" stopIfTrue="1">
      <formula>EXACT($C26,"HUMMER")</formula>
    </cfRule>
    <cfRule type="expression" dxfId="28" priority="29" stopIfTrue="1">
      <formula>EXACT($C26,"BLANCA")</formula>
    </cfRule>
    <cfRule type="expression" dxfId="27" priority="30" stopIfTrue="1">
      <formula>EXACT($C26,"ROSA")</formula>
    </cfRule>
  </conditionalFormatting>
  <conditionalFormatting sqref="F36">
    <cfRule type="expression" dxfId="26" priority="37" stopIfTrue="1">
      <formula>EXACT($C39,"HUMMER")</formula>
    </cfRule>
    <cfRule type="expression" dxfId="25" priority="38" stopIfTrue="1">
      <formula>EXACT($C39,"BLANCA")</formula>
    </cfRule>
    <cfRule type="expression" dxfId="24" priority="39" stopIfTrue="1">
      <formula>EXACT($C39,"ROSA")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AF05-C533-412B-ACAC-87C4DB3CC82D}">
  <dimension ref="A1:M96"/>
  <sheetViews>
    <sheetView topLeftCell="A64" workbookViewId="0">
      <selection activeCell="C76" sqref="C76:E76"/>
    </sheetView>
  </sheetViews>
  <sheetFormatPr baseColWidth="10" defaultRowHeight="15" x14ac:dyDescent="0.25"/>
  <cols>
    <col min="1" max="1" width="13" customWidth="1"/>
    <col min="2" max="2" width="37.5703125" customWidth="1"/>
    <col min="3" max="3" width="54.140625" customWidth="1"/>
    <col min="4" max="4" width="15.28515625" customWidth="1"/>
    <col min="5" max="5" width="30.7109375" customWidth="1"/>
    <col min="6" max="6" width="14" customWidth="1"/>
    <col min="7" max="7" width="13.140625" customWidth="1"/>
    <col min="8" max="8" width="14" customWidth="1"/>
    <col min="9" max="9" width="18.5703125" customWidth="1"/>
  </cols>
  <sheetData>
    <row r="1" spans="1:12" x14ac:dyDescent="0.25">
      <c r="A1" t="s">
        <v>0</v>
      </c>
      <c r="B1" s="1">
        <v>45413</v>
      </c>
    </row>
    <row r="3" spans="1:12" ht="30" x14ac:dyDescent="0.2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2" x14ac:dyDescent="0.25">
      <c r="A4" s="11"/>
      <c r="B4" s="12"/>
      <c r="C4" s="13"/>
      <c r="D4" s="14"/>
      <c r="E4" s="15"/>
      <c r="F4" s="16"/>
      <c r="G4" s="16"/>
      <c r="H4" s="16"/>
      <c r="I4" s="9"/>
      <c r="J4" s="17"/>
      <c r="K4" s="9"/>
    </row>
    <row r="5" spans="1:12" x14ac:dyDescent="0.25">
      <c r="A5" s="11">
        <v>45413</v>
      </c>
      <c r="B5" s="12" t="s">
        <v>1577</v>
      </c>
      <c r="C5" s="13" t="s">
        <v>12</v>
      </c>
      <c r="D5" s="108" t="s">
        <v>13</v>
      </c>
      <c r="E5" s="15" t="s">
        <v>14</v>
      </c>
      <c r="F5" s="16">
        <v>1650</v>
      </c>
      <c r="G5" s="16"/>
      <c r="H5" s="16"/>
      <c r="I5" s="9">
        <f t="shared" ref="I5:I78" si="0">G5+H5</f>
        <v>0</v>
      </c>
      <c r="J5" s="17"/>
      <c r="K5" s="9">
        <f t="shared" ref="K5:K78" si="1">F5+I5-J5</f>
        <v>1650</v>
      </c>
      <c r="L5" t="s">
        <v>41</v>
      </c>
    </row>
    <row r="6" spans="1:12" x14ac:dyDescent="0.25">
      <c r="A6" s="5">
        <v>45415</v>
      </c>
      <c r="B6" s="6" t="s">
        <v>1802</v>
      </c>
      <c r="C6" s="7" t="s">
        <v>397</v>
      </c>
      <c r="D6" s="152" t="s">
        <v>1803</v>
      </c>
      <c r="E6" s="8" t="s">
        <v>266</v>
      </c>
      <c r="F6" s="9">
        <v>94.92</v>
      </c>
      <c r="G6" s="9">
        <v>19.93</v>
      </c>
      <c r="H6" s="9"/>
      <c r="I6" s="9">
        <f t="shared" si="0"/>
        <v>19.93</v>
      </c>
      <c r="J6" s="23"/>
      <c r="K6" s="9">
        <f t="shared" si="1"/>
        <v>114.85</v>
      </c>
      <c r="L6" t="s">
        <v>267</v>
      </c>
    </row>
    <row r="7" spans="1:12" x14ac:dyDescent="0.25">
      <c r="A7" s="24">
        <v>45415</v>
      </c>
      <c r="B7" s="25" t="s">
        <v>1804</v>
      </c>
      <c r="C7" s="28" t="s">
        <v>711</v>
      </c>
      <c r="D7" s="35" t="s">
        <v>712</v>
      </c>
      <c r="E7" s="29" t="s">
        <v>560</v>
      </c>
      <c r="F7" s="9">
        <v>133.56</v>
      </c>
      <c r="G7" s="9">
        <v>28.05</v>
      </c>
      <c r="H7" s="22"/>
      <c r="I7" s="9">
        <f t="shared" si="0"/>
        <v>28.05</v>
      </c>
      <c r="J7" s="23"/>
      <c r="K7" s="9">
        <f t="shared" si="1"/>
        <v>161.61000000000001</v>
      </c>
      <c r="L7" t="s">
        <v>41</v>
      </c>
    </row>
    <row r="8" spans="1:12" x14ac:dyDescent="0.25">
      <c r="A8" s="18">
        <v>45419</v>
      </c>
      <c r="B8" s="27" t="s">
        <v>1805</v>
      </c>
      <c r="C8" s="28" t="s">
        <v>1576</v>
      </c>
      <c r="D8" s="152" t="s">
        <v>24</v>
      </c>
      <c r="E8" s="29" t="s">
        <v>25</v>
      </c>
      <c r="F8" s="30">
        <v>30.54</v>
      </c>
      <c r="G8" s="30">
        <v>3.05</v>
      </c>
      <c r="H8" s="30"/>
      <c r="I8" s="9">
        <f t="shared" si="0"/>
        <v>3.05</v>
      </c>
      <c r="J8" s="31"/>
      <c r="K8" s="9">
        <f t="shared" si="1"/>
        <v>33.589999999999996</v>
      </c>
      <c r="L8" t="s">
        <v>42</v>
      </c>
    </row>
    <row r="9" spans="1:12" x14ac:dyDescent="0.25">
      <c r="A9" s="18">
        <v>45415</v>
      </c>
      <c r="B9" s="27" t="s">
        <v>1808</v>
      </c>
      <c r="C9" s="28" t="s">
        <v>1809</v>
      </c>
      <c r="D9" s="153" t="s">
        <v>401</v>
      </c>
      <c r="E9" s="29" t="s">
        <v>578</v>
      </c>
      <c r="F9" s="30">
        <v>62.49</v>
      </c>
      <c r="G9" s="30">
        <v>13.12</v>
      </c>
      <c r="H9" s="30"/>
      <c r="I9" s="9">
        <f t="shared" si="0"/>
        <v>13.12</v>
      </c>
      <c r="J9" s="31"/>
      <c r="K9" s="9">
        <f t="shared" si="1"/>
        <v>75.61</v>
      </c>
      <c r="L9" t="s">
        <v>42</v>
      </c>
    </row>
    <row r="10" spans="1:12" x14ac:dyDescent="0.25">
      <c r="A10" s="18">
        <v>45422</v>
      </c>
      <c r="B10" s="27" t="s">
        <v>1810</v>
      </c>
      <c r="C10" s="20" t="s">
        <v>711</v>
      </c>
      <c r="D10" s="152" t="s">
        <v>712</v>
      </c>
      <c r="E10" s="21" t="s">
        <v>560</v>
      </c>
      <c r="F10" s="30">
        <v>44.4</v>
      </c>
      <c r="G10" s="30">
        <v>9.32</v>
      </c>
      <c r="H10" s="30"/>
      <c r="I10" s="9">
        <f t="shared" si="0"/>
        <v>9.32</v>
      </c>
      <c r="J10" s="31"/>
      <c r="K10" s="9">
        <f t="shared" si="1"/>
        <v>53.72</v>
      </c>
      <c r="L10" t="s">
        <v>41</v>
      </c>
    </row>
    <row r="11" spans="1:12" x14ac:dyDescent="0.25">
      <c r="A11" s="33">
        <v>45422</v>
      </c>
      <c r="B11" s="34" t="s">
        <v>1811</v>
      </c>
      <c r="C11" s="28" t="s">
        <v>1812</v>
      </c>
      <c r="D11" s="105" t="s">
        <v>311</v>
      </c>
      <c r="E11" s="29" t="s">
        <v>1813</v>
      </c>
      <c r="F11" s="30">
        <v>57.73</v>
      </c>
      <c r="G11" s="30">
        <v>5.72</v>
      </c>
      <c r="H11" s="30">
        <v>3.05</v>
      </c>
      <c r="I11" s="9">
        <f t="shared" si="0"/>
        <v>8.77</v>
      </c>
      <c r="J11" s="31"/>
      <c r="K11" s="9">
        <f t="shared" si="1"/>
        <v>66.5</v>
      </c>
      <c r="L11" t="s">
        <v>267</v>
      </c>
    </row>
    <row r="12" spans="1:12" x14ac:dyDescent="0.25">
      <c r="A12" s="33">
        <v>45421</v>
      </c>
      <c r="B12" s="35" t="s">
        <v>1814</v>
      </c>
      <c r="C12" s="28" t="s">
        <v>1529</v>
      </c>
      <c r="D12" s="35" t="s">
        <v>20</v>
      </c>
      <c r="E12" s="29" t="s">
        <v>560</v>
      </c>
      <c r="F12" s="30">
        <v>13.64</v>
      </c>
      <c r="G12" s="30">
        <v>2.86</v>
      </c>
      <c r="H12" s="30"/>
      <c r="I12" s="9">
        <f t="shared" si="0"/>
        <v>2.86</v>
      </c>
      <c r="J12" s="31"/>
      <c r="K12" s="9">
        <f t="shared" si="1"/>
        <v>16.5</v>
      </c>
      <c r="L12" t="s">
        <v>42</v>
      </c>
    </row>
    <row r="13" spans="1:12" x14ac:dyDescent="0.25">
      <c r="A13" s="33">
        <v>45421</v>
      </c>
      <c r="B13" s="35" t="s">
        <v>1853</v>
      </c>
      <c r="C13" s="28" t="s">
        <v>1854</v>
      </c>
      <c r="D13" s="35" t="s">
        <v>1855</v>
      </c>
      <c r="E13" s="29" t="s">
        <v>1856</v>
      </c>
      <c r="F13" s="30">
        <v>362.36</v>
      </c>
      <c r="G13" s="30">
        <v>76.099999999999994</v>
      </c>
      <c r="H13" s="30"/>
      <c r="I13" s="9">
        <f t="shared" si="0"/>
        <v>76.099999999999994</v>
      </c>
      <c r="J13" s="31"/>
      <c r="K13" s="9">
        <f t="shared" si="1"/>
        <v>438.46000000000004</v>
      </c>
      <c r="L13" t="s">
        <v>42</v>
      </c>
    </row>
    <row r="14" spans="1:12" x14ac:dyDescent="0.25">
      <c r="A14" s="100">
        <v>45422</v>
      </c>
      <c r="B14" s="157" t="s">
        <v>1857</v>
      </c>
      <c r="C14" s="28" t="s">
        <v>1529</v>
      </c>
      <c r="D14" s="35" t="s">
        <v>20</v>
      </c>
      <c r="E14" s="29" t="s">
        <v>17</v>
      </c>
      <c r="F14" s="30">
        <v>57.98</v>
      </c>
      <c r="G14" s="30">
        <v>12.18</v>
      </c>
      <c r="H14" s="30"/>
      <c r="I14" s="9">
        <f t="shared" si="0"/>
        <v>12.18</v>
      </c>
      <c r="J14" s="31"/>
      <c r="K14" s="9">
        <f t="shared" si="1"/>
        <v>70.16</v>
      </c>
      <c r="L14" t="s">
        <v>42</v>
      </c>
    </row>
    <row r="15" spans="1:12" x14ac:dyDescent="0.25">
      <c r="A15" s="86">
        <v>45422</v>
      </c>
      <c r="B15" s="14">
        <v>109605</v>
      </c>
      <c r="C15" s="109" t="s">
        <v>1858</v>
      </c>
      <c r="D15" s="108" t="s">
        <v>280</v>
      </c>
      <c r="E15" s="14" t="s">
        <v>281</v>
      </c>
      <c r="F15" s="60">
        <v>23.02</v>
      </c>
      <c r="G15" s="30">
        <v>4.83</v>
      </c>
      <c r="H15" s="30"/>
      <c r="I15" s="9">
        <f t="shared" si="0"/>
        <v>4.83</v>
      </c>
      <c r="J15" s="31"/>
      <c r="K15" s="9">
        <f t="shared" si="1"/>
        <v>27.85</v>
      </c>
      <c r="L15" t="s">
        <v>42</v>
      </c>
    </row>
    <row r="16" spans="1:12" x14ac:dyDescent="0.25">
      <c r="A16" s="86">
        <v>45423</v>
      </c>
      <c r="B16" s="108" t="s">
        <v>1859</v>
      </c>
      <c r="C16" s="156" t="s">
        <v>1860</v>
      </c>
      <c r="D16" s="35" t="s">
        <v>16</v>
      </c>
      <c r="E16" s="14" t="s">
        <v>17</v>
      </c>
      <c r="F16" s="60">
        <v>32.229999999999997</v>
      </c>
      <c r="G16" s="30">
        <v>6.77</v>
      </c>
      <c r="H16" s="30"/>
      <c r="I16" s="9">
        <f t="shared" si="0"/>
        <v>6.77</v>
      </c>
      <c r="J16" s="31"/>
      <c r="K16" s="9">
        <f t="shared" si="1"/>
        <v>39</v>
      </c>
      <c r="L16" t="s">
        <v>42</v>
      </c>
    </row>
    <row r="17" spans="1:12" x14ac:dyDescent="0.25">
      <c r="A17" s="86">
        <v>45423</v>
      </c>
      <c r="B17" s="108" t="s">
        <v>1861</v>
      </c>
      <c r="C17" s="28" t="s">
        <v>1862</v>
      </c>
      <c r="D17" s="35" t="s">
        <v>581</v>
      </c>
      <c r="E17" s="14" t="s">
        <v>1863</v>
      </c>
      <c r="F17" s="60">
        <v>57.81</v>
      </c>
      <c r="G17" s="30">
        <v>12.14</v>
      </c>
      <c r="H17" s="30"/>
      <c r="I17" s="9">
        <f t="shared" si="0"/>
        <v>12.14</v>
      </c>
      <c r="J17" s="31"/>
      <c r="K17" s="9">
        <f t="shared" si="1"/>
        <v>69.95</v>
      </c>
      <c r="L17" t="s">
        <v>42</v>
      </c>
    </row>
    <row r="18" spans="1:12" x14ac:dyDescent="0.25">
      <c r="A18" s="86">
        <v>45423</v>
      </c>
      <c r="B18" s="108" t="s">
        <v>1864</v>
      </c>
      <c r="C18" s="109" t="s">
        <v>397</v>
      </c>
      <c r="D18" s="108" t="s">
        <v>1803</v>
      </c>
      <c r="E18" s="14" t="s">
        <v>266</v>
      </c>
      <c r="F18" s="60">
        <v>84.56</v>
      </c>
      <c r="G18" s="30">
        <v>17.760000000000002</v>
      </c>
      <c r="H18" s="30"/>
      <c r="I18" s="9">
        <f t="shared" si="0"/>
        <v>17.760000000000002</v>
      </c>
      <c r="J18" s="31"/>
      <c r="K18" s="9">
        <f t="shared" si="1"/>
        <v>102.32000000000001</v>
      </c>
      <c r="L18" t="s">
        <v>42</v>
      </c>
    </row>
    <row r="19" spans="1:12" x14ac:dyDescent="0.25">
      <c r="A19" s="86">
        <v>45426</v>
      </c>
      <c r="B19" s="111" t="s">
        <v>1865</v>
      </c>
      <c r="C19" s="109" t="s">
        <v>731</v>
      </c>
      <c r="D19" s="108" t="s">
        <v>323</v>
      </c>
      <c r="E19" s="110" t="s">
        <v>17</v>
      </c>
      <c r="F19" s="60">
        <v>16.53</v>
      </c>
      <c r="G19" s="30">
        <v>3.47</v>
      </c>
      <c r="H19" s="30"/>
      <c r="I19" s="9">
        <f t="shared" si="0"/>
        <v>3.47</v>
      </c>
      <c r="J19" s="31"/>
      <c r="K19" s="9">
        <f t="shared" si="1"/>
        <v>20</v>
      </c>
      <c r="L19" t="s">
        <v>42</v>
      </c>
    </row>
    <row r="20" spans="1:12" x14ac:dyDescent="0.25">
      <c r="A20" s="104">
        <v>45426</v>
      </c>
      <c r="B20" s="105" t="s">
        <v>1866</v>
      </c>
      <c r="C20" s="28" t="s">
        <v>1576</v>
      </c>
      <c r="D20" s="36" t="s">
        <v>24</v>
      </c>
      <c r="E20" s="14" t="s">
        <v>25</v>
      </c>
      <c r="F20" s="30">
        <v>30.54</v>
      </c>
      <c r="G20" s="30"/>
      <c r="H20" s="30">
        <v>3.05</v>
      </c>
      <c r="I20" s="9">
        <f t="shared" si="0"/>
        <v>3.05</v>
      </c>
      <c r="J20" s="31"/>
      <c r="K20" s="9">
        <f t="shared" si="1"/>
        <v>33.589999999999996</v>
      </c>
      <c r="L20" t="s">
        <v>42</v>
      </c>
    </row>
    <row r="21" spans="1:12" x14ac:dyDescent="0.25">
      <c r="A21" s="33">
        <v>45426</v>
      </c>
      <c r="B21" s="34" t="s">
        <v>1867</v>
      </c>
      <c r="C21" s="28" t="s">
        <v>1869</v>
      </c>
      <c r="D21" s="35" t="s">
        <v>1870</v>
      </c>
      <c r="E21" s="29" t="s">
        <v>1871</v>
      </c>
      <c r="F21" s="30">
        <v>17.66</v>
      </c>
      <c r="G21" s="30">
        <v>3.71</v>
      </c>
      <c r="H21" s="30"/>
      <c r="I21" s="9">
        <f t="shared" si="0"/>
        <v>3.71</v>
      </c>
      <c r="J21" s="31"/>
      <c r="K21" s="9">
        <f t="shared" si="1"/>
        <v>21.37</v>
      </c>
      <c r="L21" t="s">
        <v>42</v>
      </c>
    </row>
    <row r="22" spans="1:12" x14ac:dyDescent="0.25">
      <c r="A22" s="33">
        <v>45426</v>
      </c>
      <c r="B22" s="34" t="s">
        <v>1868</v>
      </c>
      <c r="C22" s="28" t="s">
        <v>1869</v>
      </c>
      <c r="D22" s="35" t="s">
        <v>1870</v>
      </c>
      <c r="E22" s="29" t="s">
        <v>1871</v>
      </c>
      <c r="F22" s="30">
        <v>7.13</v>
      </c>
      <c r="G22" s="30">
        <v>1.5</v>
      </c>
      <c r="H22" s="30"/>
      <c r="I22" s="9">
        <f t="shared" si="0"/>
        <v>1.5</v>
      </c>
      <c r="J22" s="31"/>
      <c r="K22" s="9">
        <f t="shared" si="1"/>
        <v>8.629999999999999</v>
      </c>
      <c r="L22" t="s">
        <v>42</v>
      </c>
    </row>
    <row r="23" spans="1:12" x14ac:dyDescent="0.25">
      <c r="A23" s="177">
        <v>45420</v>
      </c>
      <c r="B23" s="178" t="s">
        <v>1944</v>
      </c>
      <c r="C23" s="179" t="s">
        <v>1945</v>
      </c>
      <c r="D23" s="180"/>
      <c r="E23" s="14"/>
      <c r="F23" s="30"/>
      <c r="G23" s="30"/>
      <c r="H23" s="30"/>
      <c r="I23" s="9">
        <f t="shared" si="0"/>
        <v>0</v>
      </c>
      <c r="J23" s="31"/>
      <c r="K23" s="9">
        <f t="shared" si="1"/>
        <v>0</v>
      </c>
    </row>
    <row r="24" spans="1:12" x14ac:dyDescent="0.25">
      <c r="A24" s="33">
        <v>45425</v>
      </c>
      <c r="B24" s="34" t="s">
        <v>1946</v>
      </c>
      <c r="C24" s="28" t="s">
        <v>1869</v>
      </c>
      <c r="D24" s="36" t="s">
        <v>1870</v>
      </c>
      <c r="E24" s="29" t="s">
        <v>1871</v>
      </c>
      <c r="F24" s="30">
        <v>7.9</v>
      </c>
      <c r="G24" s="30">
        <v>1.66</v>
      </c>
      <c r="H24" s="30"/>
      <c r="I24" s="9">
        <f t="shared" si="0"/>
        <v>1.66</v>
      </c>
      <c r="J24" s="31"/>
      <c r="K24" s="9">
        <f t="shared" si="1"/>
        <v>9.56</v>
      </c>
      <c r="L24" t="s">
        <v>42</v>
      </c>
    </row>
    <row r="25" spans="1:12" x14ac:dyDescent="0.25">
      <c r="A25" s="33">
        <v>45428</v>
      </c>
      <c r="B25" s="35">
        <v>112076</v>
      </c>
      <c r="C25" s="28" t="s">
        <v>1858</v>
      </c>
      <c r="D25" s="36" t="s">
        <v>280</v>
      </c>
      <c r="E25" s="14" t="s">
        <v>281</v>
      </c>
      <c r="F25" s="30">
        <v>1.78</v>
      </c>
      <c r="G25" s="30">
        <v>0.37</v>
      </c>
      <c r="H25" s="30"/>
      <c r="I25" s="9">
        <f t="shared" si="0"/>
        <v>0.37</v>
      </c>
      <c r="J25" s="31"/>
      <c r="K25" s="9">
        <f t="shared" si="1"/>
        <v>2.15</v>
      </c>
      <c r="L25" t="s">
        <v>42</v>
      </c>
    </row>
    <row r="26" spans="1:12" x14ac:dyDescent="0.25">
      <c r="A26" s="33">
        <v>45428</v>
      </c>
      <c r="B26" s="35" t="s">
        <v>1947</v>
      </c>
      <c r="C26" s="28" t="s">
        <v>397</v>
      </c>
      <c r="D26" s="35" t="s">
        <v>1803</v>
      </c>
      <c r="E26" s="29" t="s">
        <v>266</v>
      </c>
      <c r="F26" s="30">
        <v>114.52</v>
      </c>
      <c r="G26" s="30">
        <v>24.05</v>
      </c>
      <c r="H26" s="30"/>
      <c r="I26" s="9">
        <f t="shared" si="0"/>
        <v>24.05</v>
      </c>
      <c r="J26" s="31"/>
      <c r="K26" s="9">
        <f t="shared" si="1"/>
        <v>138.57</v>
      </c>
      <c r="L26" t="s">
        <v>42</v>
      </c>
    </row>
    <row r="27" spans="1:12" x14ac:dyDescent="0.25">
      <c r="A27" s="33">
        <v>45428</v>
      </c>
      <c r="B27" s="35" t="s">
        <v>1948</v>
      </c>
      <c r="C27" s="28" t="s">
        <v>525</v>
      </c>
      <c r="D27" s="35" t="s">
        <v>311</v>
      </c>
      <c r="E27" s="29" t="s">
        <v>1813</v>
      </c>
      <c r="F27" s="30">
        <v>19.13</v>
      </c>
      <c r="G27" s="30">
        <v>1.04</v>
      </c>
      <c r="H27" s="30">
        <v>1.4</v>
      </c>
      <c r="I27" s="9">
        <f t="shared" si="0"/>
        <v>2.44</v>
      </c>
      <c r="J27" s="31"/>
      <c r="K27" s="9">
        <f t="shared" si="1"/>
        <v>21.57</v>
      </c>
      <c r="L27" t="s">
        <v>42</v>
      </c>
    </row>
    <row r="28" spans="1:12" x14ac:dyDescent="0.25">
      <c r="A28" s="33">
        <v>45430</v>
      </c>
      <c r="B28" s="34" t="s">
        <v>1949</v>
      </c>
      <c r="C28" s="28" t="s">
        <v>1858</v>
      </c>
      <c r="D28" s="35" t="s">
        <v>280</v>
      </c>
      <c r="E28" s="29" t="s">
        <v>281</v>
      </c>
      <c r="F28" s="30">
        <v>17.98</v>
      </c>
      <c r="G28" s="30">
        <v>3.77</v>
      </c>
      <c r="H28" s="30"/>
      <c r="I28" s="9">
        <f t="shared" si="0"/>
        <v>3.77</v>
      </c>
      <c r="J28" s="31"/>
      <c r="K28" s="9">
        <f t="shared" si="1"/>
        <v>21.75</v>
      </c>
      <c r="L28" t="s">
        <v>42</v>
      </c>
    </row>
    <row r="29" spans="1:12" x14ac:dyDescent="0.25">
      <c r="A29" s="33">
        <v>45433</v>
      </c>
      <c r="B29" s="35">
        <v>113815</v>
      </c>
      <c r="C29" s="28" t="s">
        <v>1858</v>
      </c>
      <c r="D29" s="35" t="s">
        <v>280</v>
      </c>
      <c r="E29" s="29" t="s">
        <v>281</v>
      </c>
      <c r="F29" s="30">
        <v>11.32</v>
      </c>
      <c r="G29" s="30">
        <v>2.38</v>
      </c>
      <c r="H29" s="30"/>
      <c r="I29" s="9">
        <f t="shared" si="0"/>
        <v>2.38</v>
      </c>
      <c r="J29" s="31"/>
      <c r="K29" s="9">
        <f t="shared" si="1"/>
        <v>13.7</v>
      </c>
      <c r="L29" t="s">
        <v>42</v>
      </c>
    </row>
    <row r="30" spans="1:12" x14ac:dyDescent="0.25">
      <c r="A30" s="33">
        <v>45433</v>
      </c>
      <c r="B30" s="34" t="s">
        <v>1950</v>
      </c>
      <c r="C30" s="28" t="s">
        <v>1576</v>
      </c>
      <c r="D30" s="35" t="s">
        <v>24</v>
      </c>
      <c r="E30" s="29" t="s">
        <v>25</v>
      </c>
      <c r="F30" s="30">
        <v>34.36</v>
      </c>
      <c r="G30" s="30"/>
      <c r="H30" s="30">
        <v>3.44</v>
      </c>
      <c r="I30" s="9">
        <f t="shared" si="0"/>
        <v>3.44</v>
      </c>
      <c r="J30" s="31"/>
      <c r="K30" s="9">
        <f t="shared" si="1"/>
        <v>37.799999999999997</v>
      </c>
      <c r="L30" t="s">
        <v>42</v>
      </c>
    </row>
    <row r="31" spans="1:12" x14ac:dyDescent="0.25">
      <c r="A31" s="33">
        <v>45434</v>
      </c>
      <c r="B31" s="181">
        <v>512001243</v>
      </c>
      <c r="C31" s="28" t="s">
        <v>1869</v>
      </c>
      <c r="D31" s="35" t="s">
        <v>1870</v>
      </c>
      <c r="E31" s="29" t="s">
        <v>1871</v>
      </c>
      <c r="F31" s="30">
        <v>10.34</v>
      </c>
      <c r="G31" s="30">
        <v>2.17</v>
      </c>
      <c r="H31" s="30"/>
      <c r="I31" s="9">
        <f t="shared" si="0"/>
        <v>2.17</v>
      </c>
      <c r="J31" s="31"/>
      <c r="K31" s="9">
        <f t="shared" si="1"/>
        <v>12.51</v>
      </c>
      <c r="L31" t="s">
        <v>42</v>
      </c>
    </row>
    <row r="32" spans="1:12" x14ac:dyDescent="0.25">
      <c r="A32" s="33">
        <v>45434</v>
      </c>
      <c r="B32" s="34" t="s">
        <v>1951</v>
      </c>
      <c r="C32" s="28" t="s">
        <v>711</v>
      </c>
      <c r="D32" s="35" t="s">
        <v>712</v>
      </c>
      <c r="E32" s="29" t="s">
        <v>560</v>
      </c>
      <c r="F32" s="30">
        <v>71.16</v>
      </c>
      <c r="G32" s="30">
        <v>14.94</v>
      </c>
      <c r="H32" s="30"/>
      <c r="I32" s="9">
        <f t="shared" si="0"/>
        <v>14.94</v>
      </c>
      <c r="J32" s="23"/>
      <c r="K32" s="9">
        <f>F32+I32+J32</f>
        <v>86.1</v>
      </c>
      <c r="L32" t="s">
        <v>41</v>
      </c>
    </row>
    <row r="33" spans="1:13" x14ac:dyDescent="0.25">
      <c r="A33" s="33">
        <v>45435</v>
      </c>
      <c r="B33" s="34" t="s">
        <v>1952</v>
      </c>
      <c r="C33" s="28" t="s">
        <v>1869</v>
      </c>
      <c r="D33" s="35" t="s">
        <v>1870</v>
      </c>
      <c r="E33" s="29" t="s">
        <v>1871</v>
      </c>
      <c r="F33" s="30">
        <v>15</v>
      </c>
      <c r="G33" s="30">
        <v>3.15</v>
      </c>
      <c r="H33" s="30"/>
      <c r="I33" s="9">
        <f t="shared" si="0"/>
        <v>3.15</v>
      </c>
      <c r="J33" s="31"/>
      <c r="K33" s="9">
        <f t="shared" si="1"/>
        <v>18.149999999999999</v>
      </c>
      <c r="L33" t="s">
        <v>42</v>
      </c>
    </row>
    <row r="34" spans="1:13" x14ac:dyDescent="0.25">
      <c r="A34" s="33">
        <v>45436</v>
      </c>
      <c r="B34" s="34" t="s">
        <v>1953</v>
      </c>
      <c r="C34" s="28" t="s">
        <v>1858</v>
      </c>
      <c r="D34" s="35" t="s">
        <v>280</v>
      </c>
      <c r="E34" s="29" t="s">
        <v>281</v>
      </c>
      <c r="F34" s="30">
        <v>28.43</v>
      </c>
      <c r="G34" s="30">
        <v>5.97</v>
      </c>
      <c r="H34" s="30"/>
      <c r="I34" s="9">
        <f t="shared" si="0"/>
        <v>5.97</v>
      </c>
      <c r="J34" s="31"/>
      <c r="K34" s="9">
        <f t="shared" si="1"/>
        <v>34.4</v>
      </c>
      <c r="L34" t="s">
        <v>42</v>
      </c>
    </row>
    <row r="35" spans="1:13" x14ac:dyDescent="0.25">
      <c r="A35" s="33">
        <v>45440</v>
      </c>
      <c r="B35" s="34" t="s">
        <v>1954</v>
      </c>
      <c r="C35" s="28" t="s">
        <v>1576</v>
      </c>
      <c r="D35" s="35" t="s">
        <v>24</v>
      </c>
      <c r="E35" s="29" t="s">
        <v>25</v>
      </c>
      <c r="F35" s="30">
        <v>34.36</v>
      </c>
      <c r="G35" s="30"/>
      <c r="H35" s="30">
        <v>3.44</v>
      </c>
      <c r="I35" s="9">
        <f t="shared" si="0"/>
        <v>3.44</v>
      </c>
      <c r="J35" s="31"/>
      <c r="K35" s="9">
        <f t="shared" si="1"/>
        <v>37.799999999999997</v>
      </c>
      <c r="L35" t="s">
        <v>42</v>
      </c>
    </row>
    <row r="36" spans="1:13" x14ac:dyDescent="0.25">
      <c r="A36" s="33">
        <v>45440</v>
      </c>
      <c r="B36" s="34" t="s">
        <v>1955</v>
      </c>
      <c r="C36" s="28" t="s">
        <v>1956</v>
      </c>
      <c r="D36" s="35" t="s">
        <v>271</v>
      </c>
      <c r="E36" s="29" t="s">
        <v>17</v>
      </c>
      <c r="F36" s="30">
        <v>66.12</v>
      </c>
      <c r="G36" s="30">
        <v>13.88</v>
      </c>
      <c r="H36" s="30"/>
      <c r="I36" s="9">
        <f t="shared" si="0"/>
        <v>13.88</v>
      </c>
      <c r="J36" s="31"/>
      <c r="K36" s="9">
        <f t="shared" si="1"/>
        <v>80</v>
      </c>
      <c r="L36" t="s">
        <v>267</v>
      </c>
    </row>
    <row r="37" spans="1:13" x14ac:dyDescent="0.25">
      <c r="A37" s="33">
        <v>45426</v>
      </c>
      <c r="B37" s="34" t="s">
        <v>618</v>
      </c>
      <c r="C37" s="28" t="s">
        <v>1537</v>
      </c>
      <c r="D37" s="35" t="s">
        <v>693</v>
      </c>
      <c r="E37" s="29" t="s">
        <v>1957</v>
      </c>
      <c r="F37" s="30">
        <v>1000</v>
      </c>
      <c r="G37" s="30">
        <v>210</v>
      </c>
      <c r="H37" s="30"/>
      <c r="I37" s="9">
        <f t="shared" si="0"/>
        <v>210</v>
      </c>
      <c r="J37" s="31"/>
      <c r="K37" s="9">
        <f t="shared" si="1"/>
        <v>1210</v>
      </c>
      <c r="L37" t="s">
        <v>41</v>
      </c>
    </row>
    <row r="38" spans="1:13" x14ac:dyDescent="0.25">
      <c r="A38" s="33">
        <v>45436</v>
      </c>
      <c r="B38" s="34" t="s">
        <v>1958</v>
      </c>
      <c r="C38" s="28" t="s">
        <v>1959</v>
      </c>
      <c r="D38" s="35" t="s">
        <v>16</v>
      </c>
      <c r="E38" s="29" t="s">
        <v>17</v>
      </c>
      <c r="F38" s="30">
        <v>132.22999999999999</v>
      </c>
      <c r="G38" s="30">
        <v>27.77</v>
      </c>
      <c r="H38" s="30"/>
      <c r="I38" s="9">
        <f t="shared" si="0"/>
        <v>27.77</v>
      </c>
      <c r="J38" s="31"/>
      <c r="K38" s="9">
        <f t="shared" si="1"/>
        <v>160</v>
      </c>
      <c r="L38" t="s">
        <v>42</v>
      </c>
    </row>
    <row r="39" spans="1:13" x14ac:dyDescent="0.25">
      <c r="A39" s="33">
        <v>45439</v>
      </c>
      <c r="B39" s="34" t="s">
        <v>1961</v>
      </c>
      <c r="C39" s="28" t="s">
        <v>711</v>
      </c>
      <c r="D39" s="35" t="s">
        <v>712</v>
      </c>
      <c r="E39" s="29" t="s">
        <v>560</v>
      </c>
      <c r="F39" s="30">
        <v>86.16</v>
      </c>
      <c r="G39" s="30">
        <v>18.09</v>
      </c>
      <c r="H39" s="30"/>
      <c r="I39" s="9">
        <f t="shared" si="0"/>
        <v>18.09</v>
      </c>
      <c r="J39" s="31"/>
      <c r="K39" s="9">
        <f t="shared" si="1"/>
        <v>104.25</v>
      </c>
      <c r="L39" t="s">
        <v>41</v>
      </c>
    </row>
    <row r="40" spans="1:13" x14ac:dyDescent="0.25">
      <c r="A40" s="33">
        <v>45437</v>
      </c>
      <c r="B40" s="34" t="s">
        <v>1964</v>
      </c>
      <c r="C40" s="28" t="s">
        <v>698</v>
      </c>
      <c r="D40" s="36" t="s">
        <v>289</v>
      </c>
      <c r="E40" s="29" t="s">
        <v>699</v>
      </c>
      <c r="F40" s="30">
        <v>154.38</v>
      </c>
      <c r="G40" s="30">
        <v>32.409999999999997</v>
      </c>
      <c r="H40" s="30"/>
      <c r="I40" s="9">
        <f t="shared" si="0"/>
        <v>32.409999999999997</v>
      </c>
      <c r="J40" s="31"/>
      <c r="K40" s="9">
        <f t="shared" si="1"/>
        <v>186.79</v>
      </c>
      <c r="L40" t="s">
        <v>295</v>
      </c>
    </row>
    <row r="41" spans="1:13" x14ac:dyDescent="0.25">
      <c r="A41" s="33">
        <v>45437</v>
      </c>
      <c r="B41" s="34" t="s">
        <v>1965</v>
      </c>
      <c r="C41" s="28" t="s">
        <v>698</v>
      </c>
      <c r="D41" s="36" t="s">
        <v>289</v>
      </c>
      <c r="E41" s="29" t="s">
        <v>699</v>
      </c>
      <c r="F41" s="30">
        <v>17.91</v>
      </c>
      <c r="G41" s="30">
        <v>3.76</v>
      </c>
      <c r="H41" s="30"/>
      <c r="I41" s="9">
        <f t="shared" si="0"/>
        <v>3.76</v>
      </c>
      <c r="J41" s="31"/>
      <c r="K41" s="9">
        <f t="shared" si="1"/>
        <v>21.67</v>
      </c>
      <c r="L41" t="s">
        <v>295</v>
      </c>
    </row>
    <row r="42" spans="1:13" x14ac:dyDescent="0.25">
      <c r="A42" s="33">
        <v>45437</v>
      </c>
      <c r="B42" s="34" t="s">
        <v>1966</v>
      </c>
      <c r="C42" s="28" t="s">
        <v>815</v>
      </c>
      <c r="D42" s="35" t="s">
        <v>387</v>
      </c>
      <c r="E42" s="29" t="s">
        <v>389</v>
      </c>
      <c r="F42" s="30">
        <v>387.6</v>
      </c>
      <c r="G42" s="30">
        <v>81.400000000000006</v>
      </c>
      <c r="H42" s="30"/>
      <c r="I42" s="9">
        <f t="shared" si="0"/>
        <v>81.400000000000006</v>
      </c>
      <c r="J42" s="31"/>
      <c r="K42" s="9">
        <f t="shared" si="1"/>
        <v>469</v>
      </c>
      <c r="L42" t="s">
        <v>295</v>
      </c>
    </row>
    <row r="43" spans="1:13" x14ac:dyDescent="0.25">
      <c r="A43" s="33">
        <v>45402</v>
      </c>
      <c r="B43" s="34" t="s">
        <v>1967</v>
      </c>
      <c r="C43" s="28" t="s">
        <v>385</v>
      </c>
      <c r="D43" s="35" t="s">
        <v>388</v>
      </c>
      <c r="E43" s="29" t="s">
        <v>389</v>
      </c>
      <c r="F43" s="30">
        <v>4.95</v>
      </c>
      <c r="G43" s="30">
        <v>1.04</v>
      </c>
      <c r="H43" s="30"/>
      <c r="I43" s="9">
        <f t="shared" si="0"/>
        <v>1.04</v>
      </c>
      <c r="J43" s="31"/>
      <c r="K43" s="9">
        <f t="shared" si="1"/>
        <v>5.99</v>
      </c>
      <c r="L43" t="s">
        <v>295</v>
      </c>
    </row>
    <row r="44" spans="1:13" x14ac:dyDescent="0.25">
      <c r="A44" s="33">
        <v>45431</v>
      </c>
      <c r="B44" s="34" t="s">
        <v>1968</v>
      </c>
      <c r="C44" s="28" t="s">
        <v>385</v>
      </c>
      <c r="D44" s="35" t="s">
        <v>388</v>
      </c>
      <c r="E44" s="29" t="s">
        <v>389</v>
      </c>
      <c r="F44" s="30">
        <v>16.52</v>
      </c>
      <c r="G44" s="30">
        <v>3.47</v>
      </c>
      <c r="H44" s="30"/>
      <c r="I44" s="9">
        <f t="shared" si="0"/>
        <v>3.47</v>
      </c>
      <c r="J44" s="31"/>
      <c r="K44" s="9">
        <f t="shared" si="1"/>
        <v>19.989999999999998</v>
      </c>
      <c r="L44" t="s">
        <v>295</v>
      </c>
    </row>
    <row r="45" spans="1:13" x14ac:dyDescent="0.25">
      <c r="A45" s="33">
        <v>45422</v>
      </c>
      <c r="B45" s="34" t="s">
        <v>1970</v>
      </c>
      <c r="C45" s="28" t="s">
        <v>829</v>
      </c>
      <c r="D45" s="35" t="s">
        <v>830</v>
      </c>
      <c r="E45" s="29" t="s">
        <v>797</v>
      </c>
      <c r="F45" s="30">
        <v>614.88</v>
      </c>
      <c r="G45" s="30">
        <v>129.12</v>
      </c>
      <c r="H45" s="30"/>
      <c r="I45" s="9">
        <f t="shared" si="0"/>
        <v>129.12</v>
      </c>
      <c r="J45" s="31"/>
      <c r="K45" s="9">
        <f t="shared" si="1"/>
        <v>744</v>
      </c>
      <c r="L45" t="s">
        <v>267</v>
      </c>
    </row>
    <row r="46" spans="1:13" x14ac:dyDescent="0.25">
      <c r="A46" s="33">
        <v>45433</v>
      </c>
      <c r="B46" s="34" t="s">
        <v>1971</v>
      </c>
      <c r="C46" s="28" t="s">
        <v>1972</v>
      </c>
      <c r="D46" s="35" t="s">
        <v>1973</v>
      </c>
      <c r="E46" s="29" t="s">
        <v>1974</v>
      </c>
      <c r="F46" s="30">
        <v>375</v>
      </c>
      <c r="G46" s="30">
        <v>78.75</v>
      </c>
      <c r="H46" s="30"/>
      <c r="I46" s="9">
        <f t="shared" si="0"/>
        <v>78.75</v>
      </c>
      <c r="J46" s="31"/>
      <c r="K46" s="9">
        <f t="shared" si="1"/>
        <v>453.75</v>
      </c>
      <c r="L46" t="s">
        <v>41</v>
      </c>
    </row>
    <row r="47" spans="1:13" x14ac:dyDescent="0.25">
      <c r="A47" s="33">
        <v>45436</v>
      </c>
      <c r="B47" s="34" t="s">
        <v>2111</v>
      </c>
      <c r="C47" s="28" t="s">
        <v>2112</v>
      </c>
      <c r="D47" s="36" t="s">
        <v>2113</v>
      </c>
      <c r="E47" s="29" t="s">
        <v>2114</v>
      </c>
      <c r="F47" s="30">
        <v>52.85</v>
      </c>
      <c r="G47" s="30">
        <v>11</v>
      </c>
      <c r="H47" s="30">
        <v>4.18</v>
      </c>
      <c r="I47" s="9">
        <f t="shared" si="0"/>
        <v>15.18</v>
      </c>
      <c r="J47" s="31"/>
      <c r="K47" s="9">
        <f t="shared" si="1"/>
        <v>68.03</v>
      </c>
      <c r="L47" t="s">
        <v>267</v>
      </c>
      <c r="M47" t="s">
        <v>2118</v>
      </c>
    </row>
    <row r="48" spans="1:13" x14ac:dyDescent="0.25">
      <c r="A48" s="33">
        <v>45441</v>
      </c>
      <c r="B48" s="34" t="s">
        <v>2115</v>
      </c>
      <c r="C48" s="28" t="s">
        <v>1809</v>
      </c>
      <c r="D48" s="36" t="s">
        <v>401</v>
      </c>
      <c r="E48" s="29" t="s">
        <v>1871</v>
      </c>
      <c r="F48" s="30">
        <v>63.42</v>
      </c>
      <c r="G48" s="30">
        <v>13.32</v>
      </c>
      <c r="H48" s="30"/>
      <c r="I48" s="9">
        <f t="shared" si="0"/>
        <v>13.32</v>
      </c>
      <c r="J48" s="31"/>
      <c r="K48" s="9">
        <f t="shared" si="1"/>
        <v>76.740000000000009</v>
      </c>
      <c r="L48" t="s">
        <v>267</v>
      </c>
    </row>
    <row r="49" spans="1:13" x14ac:dyDescent="0.25">
      <c r="A49" s="33">
        <v>45441</v>
      </c>
      <c r="B49" s="34" t="s">
        <v>2116</v>
      </c>
      <c r="C49" s="28" t="s">
        <v>2112</v>
      </c>
      <c r="D49" s="35" t="s">
        <v>2113</v>
      </c>
      <c r="E49" s="29" t="s">
        <v>2114</v>
      </c>
      <c r="F49" s="30">
        <v>39.479999999999997</v>
      </c>
      <c r="G49" s="30">
        <v>8.2899999999999991</v>
      </c>
      <c r="H49" s="30">
        <v>4.18</v>
      </c>
      <c r="I49" s="9">
        <f t="shared" si="0"/>
        <v>12.469999999999999</v>
      </c>
      <c r="J49" s="31"/>
      <c r="K49" s="9">
        <f t="shared" si="1"/>
        <v>51.949999999999996</v>
      </c>
      <c r="L49" t="s">
        <v>267</v>
      </c>
      <c r="M49" t="s">
        <v>2118</v>
      </c>
    </row>
    <row r="50" spans="1:13" x14ac:dyDescent="0.25">
      <c r="A50" s="33">
        <v>45441</v>
      </c>
      <c r="B50" s="34" t="s">
        <v>2117</v>
      </c>
      <c r="C50" s="28" t="s">
        <v>2112</v>
      </c>
      <c r="D50" s="35" t="s">
        <v>2113</v>
      </c>
      <c r="E50" s="29" t="s">
        <v>2114</v>
      </c>
      <c r="F50" s="30">
        <v>32.04</v>
      </c>
      <c r="G50" s="30">
        <v>6.73</v>
      </c>
      <c r="H50" s="30">
        <v>4.18</v>
      </c>
      <c r="I50" s="9">
        <f t="shared" si="0"/>
        <v>10.91</v>
      </c>
      <c r="J50" s="31"/>
      <c r="K50" s="9">
        <f t="shared" si="1"/>
        <v>42.95</v>
      </c>
      <c r="L50" t="s">
        <v>267</v>
      </c>
      <c r="M50" t="s">
        <v>2118</v>
      </c>
    </row>
    <row r="51" spans="1:13" x14ac:dyDescent="0.25">
      <c r="A51" s="33">
        <v>45441</v>
      </c>
      <c r="B51" s="34" t="s">
        <v>2119</v>
      </c>
      <c r="C51" s="28" t="s">
        <v>2112</v>
      </c>
      <c r="D51" s="35" t="s">
        <v>2113</v>
      </c>
      <c r="E51" s="29" t="s">
        <v>2114</v>
      </c>
      <c r="F51" s="30">
        <v>24.79</v>
      </c>
      <c r="G51" s="30">
        <v>5.21</v>
      </c>
      <c r="H51" s="30"/>
      <c r="I51" s="9">
        <f t="shared" si="0"/>
        <v>5.21</v>
      </c>
      <c r="J51" s="31"/>
      <c r="K51" s="9">
        <f t="shared" si="1"/>
        <v>30</v>
      </c>
      <c r="L51" t="s">
        <v>267</v>
      </c>
    </row>
    <row r="52" spans="1:13" x14ac:dyDescent="0.25">
      <c r="A52" s="33">
        <v>45442</v>
      </c>
      <c r="B52" s="34" t="s">
        <v>2120</v>
      </c>
      <c r="C52" s="28" t="s">
        <v>1854</v>
      </c>
      <c r="D52" s="35" t="s">
        <v>1855</v>
      </c>
      <c r="E52" s="29" t="s">
        <v>2121</v>
      </c>
      <c r="F52" s="30">
        <v>362.36</v>
      </c>
      <c r="G52" s="30">
        <v>76.099999999999994</v>
      </c>
      <c r="H52" s="30"/>
      <c r="I52" s="9">
        <f t="shared" si="0"/>
        <v>76.099999999999994</v>
      </c>
      <c r="J52" s="31"/>
      <c r="K52" s="9">
        <f t="shared" si="1"/>
        <v>438.46000000000004</v>
      </c>
      <c r="L52" t="s">
        <v>267</v>
      </c>
    </row>
    <row r="53" spans="1:13" x14ac:dyDescent="0.25">
      <c r="A53" s="38">
        <v>45442</v>
      </c>
      <c r="B53" s="34" t="s">
        <v>2122</v>
      </c>
      <c r="C53" s="28" t="s">
        <v>2123</v>
      </c>
      <c r="D53" s="35" t="s">
        <v>2124</v>
      </c>
      <c r="E53" s="29" t="s">
        <v>1974</v>
      </c>
      <c r="F53" s="30">
        <v>70</v>
      </c>
      <c r="G53" s="30">
        <v>14.7</v>
      </c>
      <c r="H53" s="30"/>
      <c r="I53" s="9">
        <f t="shared" si="0"/>
        <v>14.7</v>
      </c>
      <c r="J53" s="31"/>
      <c r="K53" s="9">
        <f t="shared" si="1"/>
        <v>84.7</v>
      </c>
      <c r="L53" t="s">
        <v>267</v>
      </c>
    </row>
    <row r="54" spans="1:13" x14ac:dyDescent="0.25">
      <c r="A54" s="33">
        <v>45443</v>
      </c>
      <c r="B54" s="112" t="s">
        <v>2125</v>
      </c>
      <c r="C54" s="28" t="s">
        <v>397</v>
      </c>
      <c r="D54" s="35" t="s">
        <v>1803</v>
      </c>
      <c r="E54" s="29" t="s">
        <v>266</v>
      </c>
      <c r="F54" s="30">
        <v>97.5</v>
      </c>
      <c r="G54" s="30">
        <v>20.48</v>
      </c>
      <c r="H54" s="30"/>
      <c r="I54" s="9">
        <f t="shared" si="0"/>
        <v>20.48</v>
      </c>
      <c r="J54" s="31"/>
      <c r="K54" s="9">
        <f t="shared" si="1"/>
        <v>117.98</v>
      </c>
      <c r="L54" t="s">
        <v>267</v>
      </c>
    </row>
    <row r="55" spans="1:13" x14ac:dyDescent="0.25">
      <c r="A55" s="33">
        <v>45443</v>
      </c>
      <c r="B55" s="34" t="s">
        <v>2126</v>
      </c>
      <c r="C55" s="28" t="s">
        <v>1862</v>
      </c>
      <c r="D55" s="35" t="s">
        <v>581</v>
      </c>
      <c r="E55" s="29" t="s">
        <v>1863</v>
      </c>
      <c r="F55" s="30">
        <v>57.81</v>
      </c>
      <c r="G55" s="30">
        <v>12.14</v>
      </c>
      <c r="H55" s="30"/>
      <c r="I55" s="9">
        <f t="shared" si="0"/>
        <v>12.14</v>
      </c>
      <c r="J55" s="31"/>
      <c r="K55" s="9">
        <f t="shared" si="1"/>
        <v>69.95</v>
      </c>
      <c r="L55" t="s">
        <v>267</v>
      </c>
    </row>
    <row r="56" spans="1:13" x14ac:dyDescent="0.25">
      <c r="A56" s="33">
        <v>45429</v>
      </c>
      <c r="B56" s="34" t="s">
        <v>2127</v>
      </c>
      <c r="C56" s="28" t="s">
        <v>2508</v>
      </c>
      <c r="D56" s="35" t="s">
        <v>2128</v>
      </c>
      <c r="E56" s="29" t="s">
        <v>17</v>
      </c>
      <c r="F56" s="30">
        <v>39.799999999999997</v>
      </c>
      <c r="G56" s="30">
        <v>8.36</v>
      </c>
      <c r="H56" s="30"/>
      <c r="I56" s="9">
        <f t="shared" si="0"/>
        <v>8.36</v>
      </c>
      <c r="J56" s="31"/>
      <c r="K56" s="9">
        <f t="shared" si="1"/>
        <v>48.16</v>
      </c>
      <c r="L56" t="s">
        <v>42</v>
      </c>
    </row>
    <row r="57" spans="1:13" x14ac:dyDescent="0.25">
      <c r="A57" s="33">
        <v>45443</v>
      </c>
      <c r="B57" s="34" t="s">
        <v>2345</v>
      </c>
      <c r="C57" s="28" t="s">
        <v>2346</v>
      </c>
      <c r="D57" s="35" t="s">
        <v>542</v>
      </c>
      <c r="E57" s="29" t="s">
        <v>17</v>
      </c>
      <c r="F57" s="30">
        <v>3405.02</v>
      </c>
      <c r="G57" s="30">
        <v>715.05</v>
      </c>
      <c r="H57" s="30"/>
      <c r="I57" s="9">
        <f t="shared" si="0"/>
        <v>715.05</v>
      </c>
      <c r="J57" s="31"/>
      <c r="K57" s="9">
        <f t="shared" si="1"/>
        <v>4120.07</v>
      </c>
      <c r="L57" t="s">
        <v>42</v>
      </c>
    </row>
    <row r="58" spans="1:13" x14ac:dyDescent="0.25">
      <c r="A58" s="33">
        <v>45414</v>
      </c>
      <c r="B58" s="34" t="s">
        <v>2378</v>
      </c>
      <c r="C58" s="28" t="s">
        <v>302</v>
      </c>
      <c r="D58" s="35" t="s">
        <v>386</v>
      </c>
      <c r="E58" s="14" t="s">
        <v>304</v>
      </c>
      <c r="F58" s="30">
        <v>16</v>
      </c>
      <c r="G58" s="30">
        <v>3.36</v>
      </c>
      <c r="H58" s="30"/>
      <c r="I58" s="9">
        <f t="shared" si="0"/>
        <v>3.36</v>
      </c>
      <c r="J58" s="31"/>
      <c r="K58" s="9">
        <f t="shared" si="1"/>
        <v>19.36</v>
      </c>
      <c r="L58" t="s">
        <v>295</v>
      </c>
    </row>
    <row r="59" spans="1:13" x14ac:dyDescent="0.25">
      <c r="A59" s="33">
        <v>45420</v>
      </c>
      <c r="B59" s="34" t="s">
        <v>2386</v>
      </c>
      <c r="C59" s="28" t="s">
        <v>292</v>
      </c>
      <c r="D59" s="36" t="s">
        <v>293</v>
      </c>
      <c r="E59" s="14" t="s">
        <v>792</v>
      </c>
      <c r="F59" s="30">
        <v>106.98</v>
      </c>
      <c r="G59" s="30">
        <v>22.47</v>
      </c>
      <c r="H59" s="30"/>
      <c r="I59" s="9">
        <f t="shared" si="0"/>
        <v>22.47</v>
      </c>
      <c r="J59" s="31"/>
      <c r="K59" s="9">
        <f t="shared" si="1"/>
        <v>129.44999999999999</v>
      </c>
      <c r="L59" t="s">
        <v>295</v>
      </c>
    </row>
    <row r="60" spans="1:13" x14ac:dyDescent="0.25">
      <c r="A60" s="33">
        <v>45421</v>
      </c>
      <c r="B60" s="34" t="s">
        <v>2387</v>
      </c>
      <c r="C60" s="28" t="s">
        <v>292</v>
      </c>
      <c r="D60" s="36" t="s">
        <v>293</v>
      </c>
      <c r="E60" s="14" t="s">
        <v>792</v>
      </c>
      <c r="F60" s="30">
        <v>21.25</v>
      </c>
      <c r="G60" s="30">
        <v>4.46</v>
      </c>
      <c r="H60" s="30"/>
      <c r="I60" s="9">
        <f t="shared" si="0"/>
        <v>4.46</v>
      </c>
      <c r="J60" s="31"/>
      <c r="K60" s="9">
        <f t="shared" si="1"/>
        <v>25.71</v>
      </c>
      <c r="L60" t="s">
        <v>295</v>
      </c>
    </row>
    <row r="61" spans="1:13" x14ac:dyDescent="0.25">
      <c r="A61" s="33">
        <v>45423</v>
      </c>
      <c r="B61" s="34" t="s">
        <v>2388</v>
      </c>
      <c r="C61" s="28" t="s">
        <v>302</v>
      </c>
      <c r="D61" s="35" t="s">
        <v>386</v>
      </c>
      <c r="E61" s="14" t="s">
        <v>304</v>
      </c>
      <c r="F61" s="30">
        <v>15</v>
      </c>
      <c r="G61" s="30">
        <v>3.15</v>
      </c>
      <c r="H61" s="30"/>
      <c r="I61" s="9">
        <f t="shared" si="0"/>
        <v>3.15</v>
      </c>
      <c r="J61" s="31"/>
      <c r="K61" s="9">
        <f t="shared" si="1"/>
        <v>18.149999999999999</v>
      </c>
      <c r="L61" t="s">
        <v>295</v>
      </c>
    </row>
    <row r="62" spans="1:13" x14ac:dyDescent="0.25">
      <c r="A62" s="33">
        <v>45431</v>
      </c>
      <c r="B62" s="34" t="s">
        <v>1968</v>
      </c>
      <c r="C62" s="28" t="s">
        <v>385</v>
      </c>
      <c r="D62" s="35" t="s">
        <v>388</v>
      </c>
      <c r="E62" s="29" t="s">
        <v>389</v>
      </c>
      <c r="F62" s="30">
        <v>16.52</v>
      </c>
      <c r="G62" s="30">
        <v>3.47</v>
      </c>
      <c r="H62" s="30"/>
      <c r="I62" s="9">
        <f t="shared" si="0"/>
        <v>3.47</v>
      </c>
      <c r="J62" s="31"/>
      <c r="K62" s="9">
        <f t="shared" si="1"/>
        <v>19.989999999999998</v>
      </c>
      <c r="L62" t="s">
        <v>295</v>
      </c>
    </row>
    <row r="63" spans="1:13" x14ac:dyDescent="0.25">
      <c r="A63" s="33">
        <v>45437</v>
      </c>
      <c r="B63" s="34" t="s">
        <v>1965</v>
      </c>
      <c r="C63" s="28" t="s">
        <v>2383</v>
      </c>
      <c r="D63" s="36" t="s">
        <v>2384</v>
      </c>
      <c r="E63" s="29" t="s">
        <v>699</v>
      </c>
      <c r="F63" s="30">
        <v>17.91</v>
      </c>
      <c r="G63" s="30">
        <v>3.76</v>
      </c>
      <c r="H63" s="30"/>
      <c r="I63" s="9">
        <f t="shared" si="0"/>
        <v>3.76</v>
      </c>
      <c r="J63" s="31"/>
      <c r="K63" s="9">
        <f t="shared" si="1"/>
        <v>21.67</v>
      </c>
      <c r="L63" t="s">
        <v>295</v>
      </c>
    </row>
    <row r="64" spans="1:13" x14ac:dyDescent="0.25">
      <c r="A64" s="33">
        <v>45437</v>
      </c>
      <c r="B64" s="34" t="s">
        <v>1964</v>
      </c>
      <c r="C64" s="28" t="s">
        <v>2383</v>
      </c>
      <c r="D64" s="36" t="s">
        <v>2384</v>
      </c>
      <c r="E64" s="29" t="s">
        <v>699</v>
      </c>
      <c r="F64" s="30">
        <v>154.38</v>
      </c>
      <c r="G64" s="30">
        <v>32.42</v>
      </c>
      <c r="H64" s="30"/>
      <c r="I64" s="9">
        <f t="shared" si="0"/>
        <v>32.42</v>
      </c>
      <c r="J64" s="31"/>
      <c r="K64" s="9">
        <f t="shared" si="1"/>
        <v>186.8</v>
      </c>
      <c r="L64" t="s">
        <v>295</v>
      </c>
    </row>
    <row r="65" spans="1:12" x14ac:dyDescent="0.25">
      <c r="A65" s="33">
        <v>45428</v>
      </c>
      <c r="B65" s="34" t="s">
        <v>2395</v>
      </c>
      <c r="C65" s="28" t="s">
        <v>302</v>
      </c>
      <c r="D65" s="35" t="s">
        <v>386</v>
      </c>
      <c r="E65" s="14" t="s">
        <v>304</v>
      </c>
      <c r="F65" s="30">
        <v>23.75</v>
      </c>
      <c r="G65" s="30">
        <v>4.99</v>
      </c>
      <c r="H65" s="30"/>
      <c r="I65" s="9">
        <f t="shared" si="0"/>
        <v>4.99</v>
      </c>
      <c r="J65" s="31"/>
      <c r="K65" s="9">
        <f t="shared" si="1"/>
        <v>28.740000000000002</v>
      </c>
      <c r="L65" t="s">
        <v>295</v>
      </c>
    </row>
    <row r="66" spans="1:12" x14ac:dyDescent="0.25">
      <c r="A66" s="33">
        <v>45431</v>
      </c>
      <c r="B66" s="34" t="s">
        <v>2396</v>
      </c>
      <c r="C66" s="28" t="s">
        <v>302</v>
      </c>
      <c r="D66" s="35" t="s">
        <v>386</v>
      </c>
      <c r="E66" s="14" t="s">
        <v>304</v>
      </c>
      <c r="F66" s="30">
        <v>29.99</v>
      </c>
      <c r="G66" s="30">
        <v>6.3</v>
      </c>
      <c r="H66" s="30"/>
      <c r="I66" s="9">
        <f t="shared" si="0"/>
        <v>6.3</v>
      </c>
      <c r="J66" s="31"/>
      <c r="K66" s="9">
        <f t="shared" si="1"/>
        <v>36.29</v>
      </c>
      <c r="L66" t="s">
        <v>295</v>
      </c>
    </row>
    <row r="67" spans="1:12" x14ac:dyDescent="0.25">
      <c r="A67" s="33">
        <v>45431</v>
      </c>
      <c r="B67" s="34" t="s">
        <v>2397</v>
      </c>
      <c r="C67" s="28" t="s">
        <v>302</v>
      </c>
      <c r="D67" s="35" t="s">
        <v>386</v>
      </c>
      <c r="E67" s="29" t="s">
        <v>304</v>
      </c>
      <c r="F67" s="30">
        <v>29.99</v>
      </c>
      <c r="G67" s="30">
        <v>6.3</v>
      </c>
      <c r="H67" s="30"/>
      <c r="I67" s="9">
        <f t="shared" si="0"/>
        <v>6.3</v>
      </c>
      <c r="J67" s="31"/>
      <c r="K67" s="9">
        <f t="shared" si="1"/>
        <v>36.29</v>
      </c>
      <c r="L67" t="s">
        <v>295</v>
      </c>
    </row>
    <row r="68" spans="1:12" x14ac:dyDescent="0.25">
      <c r="A68" s="33">
        <v>45434</v>
      </c>
      <c r="B68" s="34" t="s">
        <v>2398</v>
      </c>
      <c r="C68" s="28" t="s">
        <v>302</v>
      </c>
      <c r="D68" s="35" t="s">
        <v>386</v>
      </c>
      <c r="E68" s="14" t="s">
        <v>304</v>
      </c>
      <c r="F68" s="30">
        <v>29.99</v>
      </c>
      <c r="G68" s="30">
        <v>6.3</v>
      </c>
      <c r="H68" s="30"/>
      <c r="I68" s="9">
        <f t="shared" si="0"/>
        <v>6.3</v>
      </c>
      <c r="J68" s="31"/>
      <c r="K68" s="9">
        <f t="shared" si="1"/>
        <v>36.29</v>
      </c>
      <c r="L68" t="s">
        <v>295</v>
      </c>
    </row>
    <row r="69" spans="1:12" x14ac:dyDescent="0.25">
      <c r="A69" s="33">
        <v>45433</v>
      </c>
      <c r="B69" s="34" t="s">
        <v>2425</v>
      </c>
      <c r="C69" s="28" t="s">
        <v>2416</v>
      </c>
      <c r="D69" s="35" t="s">
        <v>2417</v>
      </c>
      <c r="E69" s="29" t="s">
        <v>281</v>
      </c>
      <c r="F69" s="30">
        <v>54.54</v>
      </c>
      <c r="G69" s="30">
        <v>11.45</v>
      </c>
      <c r="H69" s="30"/>
      <c r="I69" s="9">
        <f t="shared" si="0"/>
        <v>11.45</v>
      </c>
      <c r="J69" s="31"/>
      <c r="K69" s="9">
        <f t="shared" si="1"/>
        <v>65.989999999999995</v>
      </c>
      <c r="L69" t="s">
        <v>267</v>
      </c>
    </row>
    <row r="70" spans="1:12" x14ac:dyDescent="0.25">
      <c r="A70" s="33">
        <v>45436</v>
      </c>
      <c r="B70" s="34" t="s">
        <v>2427</v>
      </c>
      <c r="C70" s="28" t="s">
        <v>2416</v>
      </c>
      <c r="D70" s="35" t="s">
        <v>2417</v>
      </c>
      <c r="E70" s="29" t="s">
        <v>281</v>
      </c>
      <c r="F70" s="30">
        <v>10.71</v>
      </c>
      <c r="G70" s="30">
        <v>2.25</v>
      </c>
      <c r="H70" s="30"/>
      <c r="I70" s="9">
        <f t="shared" si="0"/>
        <v>2.25</v>
      </c>
      <c r="J70" s="31"/>
      <c r="K70" s="9">
        <f t="shared" si="1"/>
        <v>12.96</v>
      </c>
      <c r="L70" t="s">
        <v>267</v>
      </c>
    </row>
    <row r="71" spans="1:12" x14ac:dyDescent="0.25">
      <c r="A71" s="33">
        <v>45433</v>
      </c>
      <c r="B71" s="34" t="s">
        <v>2426</v>
      </c>
      <c r="C71" s="28" t="s">
        <v>2416</v>
      </c>
      <c r="D71" s="35" t="s">
        <v>2417</v>
      </c>
      <c r="E71" s="29" t="s">
        <v>281</v>
      </c>
      <c r="F71" s="30">
        <v>21.89</v>
      </c>
      <c r="G71" s="30">
        <v>4.59</v>
      </c>
      <c r="H71" s="30"/>
      <c r="I71" s="9">
        <f t="shared" si="0"/>
        <v>4.59</v>
      </c>
      <c r="J71" s="31"/>
      <c r="K71" s="9">
        <f t="shared" si="1"/>
        <v>26.48</v>
      </c>
      <c r="L71" t="s">
        <v>267</v>
      </c>
    </row>
    <row r="72" spans="1:12" x14ac:dyDescent="0.25">
      <c r="A72" s="33">
        <v>45436</v>
      </c>
      <c r="B72" s="34" t="s">
        <v>2428</v>
      </c>
      <c r="C72" s="28" t="s">
        <v>2416</v>
      </c>
      <c r="D72" s="35" t="s">
        <v>2417</v>
      </c>
      <c r="E72" s="29" t="s">
        <v>281</v>
      </c>
      <c r="F72" s="30">
        <v>30.11</v>
      </c>
      <c r="G72" s="30">
        <v>6.32</v>
      </c>
      <c r="H72" s="30"/>
      <c r="I72" s="9">
        <f t="shared" si="0"/>
        <v>6.32</v>
      </c>
      <c r="J72" s="31"/>
      <c r="K72" s="9">
        <f t="shared" si="1"/>
        <v>36.43</v>
      </c>
      <c r="L72" t="s">
        <v>267</v>
      </c>
    </row>
    <row r="73" spans="1:12" x14ac:dyDescent="0.25">
      <c r="A73" s="33">
        <v>45427</v>
      </c>
      <c r="B73" s="34" t="s">
        <v>2429</v>
      </c>
      <c r="C73" s="28" t="s">
        <v>2430</v>
      </c>
      <c r="D73" s="35" t="s">
        <v>2431</v>
      </c>
      <c r="E73" s="29" t="s">
        <v>281</v>
      </c>
      <c r="F73" s="30">
        <v>114.88</v>
      </c>
      <c r="G73" s="30">
        <v>24.12</v>
      </c>
      <c r="H73" s="30"/>
      <c r="I73" s="9">
        <f t="shared" si="0"/>
        <v>24.12</v>
      </c>
      <c r="J73" s="31"/>
      <c r="K73" s="9">
        <f t="shared" si="1"/>
        <v>139</v>
      </c>
      <c r="L73" t="s">
        <v>267</v>
      </c>
    </row>
    <row r="74" spans="1:12" x14ac:dyDescent="0.25">
      <c r="A74" s="33">
        <v>45425</v>
      </c>
      <c r="B74" s="34" t="s">
        <v>2432</v>
      </c>
      <c r="C74" s="28" t="s">
        <v>2416</v>
      </c>
      <c r="D74" s="35" t="s">
        <v>2417</v>
      </c>
      <c r="E74" s="29" t="s">
        <v>281</v>
      </c>
      <c r="F74" s="30">
        <v>31.35</v>
      </c>
      <c r="G74" s="30">
        <v>6.58</v>
      </c>
      <c r="H74" s="30"/>
      <c r="I74" s="9">
        <f t="shared" si="0"/>
        <v>6.58</v>
      </c>
      <c r="J74" s="31"/>
      <c r="K74" s="9">
        <f t="shared" si="1"/>
        <v>37.93</v>
      </c>
      <c r="L74" t="s">
        <v>267</v>
      </c>
    </row>
    <row r="75" spans="1:12" x14ac:dyDescent="0.25">
      <c r="A75" s="33">
        <v>45413</v>
      </c>
      <c r="B75" s="34" t="s">
        <v>2462</v>
      </c>
      <c r="C75" s="185" t="s">
        <v>2455</v>
      </c>
      <c r="D75" s="35" t="s">
        <v>2457</v>
      </c>
      <c r="E75" s="29" t="s">
        <v>2458</v>
      </c>
      <c r="F75" s="30">
        <v>99</v>
      </c>
      <c r="G75" s="30">
        <v>20.82</v>
      </c>
      <c r="H75" s="30"/>
      <c r="I75" s="9">
        <f t="shared" si="0"/>
        <v>20.82</v>
      </c>
      <c r="J75" s="31"/>
      <c r="K75" s="9">
        <f t="shared" si="1"/>
        <v>119.82</v>
      </c>
      <c r="L75" t="s">
        <v>267</v>
      </c>
    </row>
    <row r="76" spans="1:12" x14ac:dyDescent="0.25">
      <c r="A76" s="33">
        <v>45413</v>
      </c>
      <c r="B76" s="34" t="s">
        <v>2504</v>
      </c>
      <c r="C76" s="28" t="s">
        <v>1412</v>
      </c>
      <c r="D76" s="36" t="s">
        <v>1414</v>
      </c>
      <c r="E76" s="29" t="s">
        <v>827</v>
      </c>
      <c r="F76" s="30">
        <v>334.71</v>
      </c>
      <c r="G76" s="30">
        <v>70.290000000000006</v>
      </c>
      <c r="H76" s="30"/>
      <c r="I76" s="9">
        <f t="shared" si="0"/>
        <v>70.290000000000006</v>
      </c>
      <c r="J76" s="31"/>
      <c r="K76" s="9">
        <f t="shared" si="1"/>
        <v>405</v>
      </c>
      <c r="L76" t="s">
        <v>2506</v>
      </c>
    </row>
    <row r="77" spans="1:12" x14ac:dyDescent="0.25">
      <c r="A77" s="33">
        <v>45413</v>
      </c>
      <c r="B77" s="34" t="s">
        <v>2503</v>
      </c>
      <c r="C77" s="28" t="s">
        <v>1101</v>
      </c>
      <c r="D77" s="35" t="s">
        <v>1102</v>
      </c>
      <c r="E77" s="29" t="s">
        <v>1105</v>
      </c>
      <c r="F77" s="30">
        <v>900</v>
      </c>
      <c r="G77" s="30">
        <v>189</v>
      </c>
      <c r="H77" s="30"/>
      <c r="I77" s="9">
        <f t="shared" si="0"/>
        <v>189</v>
      </c>
      <c r="J77" s="31"/>
      <c r="K77" s="9">
        <f t="shared" si="1"/>
        <v>1089</v>
      </c>
    </row>
    <row r="78" spans="1:12" x14ac:dyDescent="0.25">
      <c r="A78" s="33"/>
      <c r="B78" s="34"/>
      <c r="C78" s="28"/>
      <c r="D78" s="35"/>
      <c r="E78" s="29"/>
      <c r="F78" s="30"/>
      <c r="G78" s="30"/>
      <c r="H78" s="30"/>
      <c r="I78" s="9">
        <f t="shared" si="0"/>
        <v>0</v>
      </c>
      <c r="J78" s="31"/>
      <c r="K78" s="9">
        <f t="shared" si="1"/>
        <v>0</v>
      </c>
    </row>
    <row r="79" spans="1:12" x14ac:dyDescent="0.25">
      <c r="A79" s="33"/>
      <c r="B79" s="34"/>
      <c r="C79" s="28"/>
      <c r="D79" s="35"/>
      <c r="E79" s="29"/>
      <c r="F79" s="30">
        <f>SUM(F5:F78)</f>
        <v>12303.149999999998</v>
      </c>
      <c r="G79" s="30">
        <f>SUM(G5:G78)</f>
        <v>2203.4799999999996</v>
      </c>
      <c r="H79" s="30">
        <f>SUM(H5:H78)</f>
        <v>26.919999999999998</v>
      </c>
      <c r="I79" s="9">
        <f>SUM(I5:I78)</f>
        <v>2230.3999999999996</v>
      </c>
      <c r="J79" s="31"/>
      <c r="K79" s="9">
        <f>SUM(K5:K78)</f>
        <v>14533.549999999997</v>
      </c>
    </row>
    <row r="82" spans="1:11" ht="15.75" thickBot="1" x14ac:dyDescent="0.3"/>
    <row r="83" spans="1:11" ht="30" x14ac:dyDescent="0.25">
      <c r="A83" s="44" t="s">
        <v>1</v>
      </c>
      <c r="B83" s="45" t="s">
        <v>2</v>
      </c>
      <c r="C83" s="46" t="s">
        <v>26</v>
      </c>
      <c r="D83" s="46" t="s">
        <v>4</v>
      </c>
      <c r="E83" s="46" t="s">
        <v>5</v>
      </c>
      <c r="F83" s="46" t="s">
        <v>6</v>
      </c>
      <c r="G83" s="46" t="s">
        <v>7</v>
      </c>
      <c r="H83" s="46" t="s">
        <v>8</v>
      </c>
      <c r="I83" s="46" t="s">
        <v>9</v>
      </c>
      <c r="J83" s="47" t="s">
        <v>10</v>
      </c>
      <c r="K83" s="2" t="s">
        <v>11</v>
      </c>
    </row>
    <row r="84" spans="1:11" x14ac:dyDescent="0.25">
      <c r="A84" s="184">
        <v>45413</v>
      </c>
      <c r="B84" s="51" t="s">
        <v>2463</v>
      </c>
      <c r="C84" s="14" t="s">
        <v>2448</v>
      </c>
      <c r="D84" s="14" t="s">
        <v>2449</v>
      </c>
      <c r="E84" s="14" t="s">
        <v>2450</v>
      </c>
      <c r="F84" s="60">
        <v>1400</v>
      </c>
      <c r="G84" s="30">
        <v>294</v>
      </c>
      <c r="H84" s="30"/>
      <c r="I84" s="30">
        <f t="shared" ref="I84:I95" si="2">G84+H84</f>
        <v>294</v>
      </c>
      <c r="J84" s="31">
        <v>266</v>
      </c>
      <c r="K84" s="50">
        <f t="shared" ref="K84:K95" si="3">F84+I84-J84</f>
        <v>1428</v>
      </c>
    </row>
    <row r="85" spans="1:11" x14ac:dyDescent="0.25">
      <c r="A85" s="184">
        <v>45418</v>
      </c>
      <c r="B85" s="51" t="s">
        <v>2464</v>
      </c>
      <c r="C85" s="161" t="s">
        <v>2451</v>
      </c>
      <c r="D85" s="14" t="s">
        <v>1093</v>
      </c>
      <c r="E85" s="183" t="s">
        <v>30</v>
      </c>
      <c r="F85" s="60">
        <v>190</v>
      </c>
      <c r="G85" s="30">
        <v>39.9</v>
      </c>
      <c r="H85" s="30"/>
      <c r="I85" s="30">
        <f t="shared" si="2"/>
        <v>39.9</v>
      </c>
      <c r="J85" s="31"/>
      <c r="K85" s="50">
        <f t="shared" si="3"/>
        <v>229.9</v>
      </c>
    </row>
    <row r="86" spans="1:11" x14ac:dyDescent="0.25">
      <c r="A86" s="184">
        <v>45421</v>
      </c>
      <c r="B86" s="36" t="s">
        <v>2465</v>
      </c>
      <c r="C86" s="161" t="s">
        <v>2451</v>
      </c>
      <c r="D86" s="14" t="s">
        <v>1093</v>
      </c>
      <c r="E86" s="183" t="s">
        <v>30</v>
      </c>
      <c r="F86" s="30">
        <v>180</v>
      </c>
      <c r="G86" s="30">
        <v>37.799999999999997</v>
      </c>
      <c r="H86" s="30"/>
      <c r="I86" s="30">
        <f t="shared" si="2"/>
        <v>37.799999999999997</v>
      </c>
      <c r="J86" s="31"/>
      <c r="K86" s="50">
        <f t="shared" si="3"/>
        <v>217.8</v>
      </c>
    </row>
    <row r="87" spans="1:11" x14ac:dyDescent="0.25">
      <c r="A87" s="184">
        <v>45421</v>
      </c>
      <c r="B87" s="36" t="s">
        <v>2466</v>
      </c>
      <c r="C87" s="161" t="s">
        <v>2475</v>
      </c>
      <c r="D87" s="14" t="s">
        <v>2476</v>
      </c>
      <c r="E87" s="183" t="s">
        <v>30</v>
      </c>
      <c r="F87" s="30">
        <v>270</v>
      </c>
      <c r="G87" s="30">
        <v>56.7</v>
      </c>
      <c r="H87" s="30"/>
      <c r="I87" s="30">
        <f t="shared" si="2"/>
        <v>56.7</v>
      </c>
      <c r="J87" s="31"/>
      <c r="K87" s="50">
        <f t="shared" si="3"/>
        <v>326.7</v>
      </c>
    </row>
    <row r="88" spans="1:11" x14ac:dyDescent="0.25">
      <c r="A88" s="184">
        <v>45425</v>
      </c>
      <c r="B88" s="36" t="s">
        <v>2467</v>
      </c>
      <c r="C88" s="51" t="s">
        <v>1081</v>
      </c>
      <c r="D88" s="14" t="s">
        <v>2454</v>
      </c>
      <c r="E88" s="49" t="s">
        <v>30</v>
      </c>
      <c r="F88" s="30">
        <v>220</v>
      </c>
      <c r="G88" s="30">
        <v>46.2</v>
      </c>
      <c r="H88" s="30"/>
      <c r="I88" s="30">
        <f t="shared" si="2"/>
        <v>46.2</v>
      </c>
      <c r="J88" s="31"/>
      <c r="K88" s="50">
        <f t="shared" si="3"/>
        <v>266.2</v>
      </c>
    </row>
    <row r="89" spans="1:11" x14ac:dyDescent="0.25">
      <c r="A89" s="184">
        <v>45428</v>
      </c>
      <c r="B89" s="36" t="s">
        <v>2468</v>
      </c>
      <c r="C89" s="161" t="s">
        <v>2451</v>
      </c>
      <c r="D89" s="14" t="s">
        <v>1093</v>
      </c>
      <c r="E89" s="183" t="s">
        <v>30</v>
      </c>
      <c r="F89" s="30">
        <v>190</v>
      </c>
      <c r="G89" s="30">
        <v>39.9</v>
      </c>
      <c r="H89" s="30"/>
      <c r="I89" s="30">
        <f t="shared" si="2"/>
        <v>39.9</v>
      </c>
      <c r="J89" s="31"/>
      <c r="K89" s="50">
        <f t="shared" si="3"/>
        <v>229.9</v>
      </c>
    </row>
    <row r="90" spans="1:11" x14ac:dyDescent="0.25">
      <c r="A90" s="184">
        <v>45428</v>
      </c>
      <c r="B90" s="36" t="s">
        <v>2469</v>
      </c>
      <c r="C90" s="161" t="s">
        <v>2477</v>
      </c>
      <c r="D90" s="14" t="s">
        <v>2478</v>
      </c>
      <c r="E90" s="183" t="s">
        <v>30</v>
      </c>
      <c r="F90" s="30">
        <v>380</v>
      </c>
      <c r="G90" s="30">
        <v>79.8</v>
      </c>
      <c r="H90" s="30"/>
      <c r="I90" s="30">
        <f t="shared" si="2"/>
        <v>79.8</v>
      </c>
      <c r="J90" s="31"/>
      <c r="K90" s="50">
        <f t="shared" si="3"/>
        <v>459.8</v>
      </c>
    </row>
    <row r="91" spans="1:11" x14ac:dyDescent="0.25">
      <c r="A91" s="184">
        <v>45433</v>
      </c>
      <c r="B91" s="36" t="s">
        <v>2470</v>
      </c>
      <c r="C91" s="161" t="s">
        <v>2479</v>
      </c>
      <c r="D91" s="14" t="s">
        <v>2480</v>
      </c>
      <c r="E91" s="183" t="s">
        <v>30</v>
      </c>
      <c r="F91" s="30">
        <v>2055</v>
      </c>
      <c r="G91" s="30">
        <v>431.55</v>
      </c>
      <c r="H91" s="30"/>
      <c r="I91" s="30">
        <f t="shared" si="2"/>
        <v>431.55</v>
      </c>
      <c r="J91" s="31"/>
      <c r="K91" s="50">
        <f t="shared" si="3"/>
        <v>2486.5500000000002</v>
      </c>
    </row>
    <row r="92" spans="1:11" x14ac:dyDescent="0.25">
      <c r="A92" s="184">
        <v>45433</v>
      </c>
      <c r="B92" s="36" t="s">
        <v>2471</v>
      </c>
      <c r="C92" s="161" t="s">
        <v>2481</v>
      </c>
      <c r="D92" s="14" t="s">
        <v>2482</v>
      </c>
      <c r="E92" s="183" t="s">
        <v>30</v>
      </c>
      <c r="F92" s="30">
        <v>1400</v>
      </c>
      <c r="G92" s="30">
        <v>294</v>
      </c>
      <c r="H92" s="30"/>
      <c r="I92" s="30">
        <f t="shared" si="2"/>
        <v>294</v>
      </c>
      <c r="J92" s="31"/>
      <c r="K92" s="50">
        <f t="shared" si="3"/>
        <v>1694</v>
      </c>
    </row>
    <row r="93" spans="1:11" x14ac:dyDescent="0.25">
      <c r="A93" s="184">
        <v>45434</v>
      </c>
      <c r="B93" s="36" t="s">
        <v>2472</v>
      </c>
      <c r="C93" s="161" t="s">
        <v>2451</v>
      </c>
      <c r="D93" s="14" t="s">
        <v>1093</v>
      </c>
      <c r="E93" s="183" t="s">
        <v>30</v>
      </c>
      <c r="F93" s="30">
        <v>190</v>
      </c>
      <c r="G93" s="30">
        <v>39.9</v>
      </c>
      <c r="H93" s="30"/>
      <c r="I93" s="30">
        <f t="shared" si="2"/>
        <v>39.9</v>
      </c>
      <c r="J93" s="31"/>
      <c r="K93" s="50">
        <f t="shared" si="3"/>
        <v>229.9</v>
      </c>
    </row>
    <row r="94" spans="1:11" x14ac:dyDescent="0.25">
      <c r="A94" s="184">
        <v>45436</v>
      </c>
      <c r="B94" s="36" t="s">
        <v>2473</v>
      </c>
      <c r="C94" s="161" t="s">
        <v>2483</v>
      </c>
      <c r="D94" s="14" t="s">
        <v>2484</v>
      </c>
      <c r="E94" s="183" t="s">
        <v>30</v>
      </c>
      <c r="F94" s="30">
        <v>310</v>
      </c>
      <c r="G94" s="30">
        <v>65.099999999999994</v>
      </c>
      <c r="H94" s="30"/>
      <c r="I94" s="30">
        <f t="shared" si="2"/>
        <v>65.099999999999994</v>
      </c>
      <c r="J94" s="31"/>
      <c r="K94" s="50">
        <f t="shared" si="3"/>
        <v>375.1</v>
      </c>
    </row>
    <row r="95" spans="1:11" x14ac:dyDescent="0.25">
      <c r="A95" s="184">
        <v>45443</v>
      </c>
      <c r="B95" s="36" t="s">
        <v>2474</v>
      </c>
      <c r="C95" s="161" t="s">
        <v>2451</v>
      </c>
      <c r="D95" s="14" t="s">
        <v>1093</v>
      </c>
      <c r="E95" s="183" t="s">
        <v>30</v>
      </c>
      <c r="F95" s="30">
        <v>220</v>
      </c>
      <c r="G95" s="30">
        <v>46.2</v>
      </c>
      <c r="H95" s="30"/>
      <c r="I95" s="30">
        <f t="shared" si="2"/>
        <v>46.2</v>
      </c>
      <c r="J95" s="31"/>
      <c r="K95" s="50">
        <f t="shared" si="3"/>
        <v>266.2</v>
      </c>
    </row>
    <row r="96" spans="1:11" x14ac:dyDescent="0.25">
      <c r="A96" s="319" t="s">
        <v>11</v>
      </c>
      <c r="B96" s="319"/>
      <c r="C96" s="319"/>
      <c r="D96" s="321"/>
      <c r="E96" s="319"/>
      <c r="F96" s="40">
        <f>SUM(F84:F95)</f>
        <v>7005</v>
      </c>
      <c r="G96" s="41">
        <f>SUM(G84:G95)</f>
        <v>1471.05</v>
      </c>
      <c r="H96" s="36"/>
      <c r="I96" s="40">
        <f>SUM(I84:I95)</f>
        <v>1471.05</v>
      </c>
      <c r="J96" s="164">
        <f>SUM(J84:J95)</f>
        <v>266</v>
      </c>
      <c r="K96" s="160">
        <f>SUM(K84:K95)</f>
        <v>8210.0500000000011</v>
      </c>
    </row>
  </sheetData>
  <mergeCells count="1">
    <mergeCell ref="A96:E96"/>
  </mergeCells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3652-9F4D-41B8-A7A9-BB355CA8DC6E}">
  <dimension ref="A1:Q197"/>
  <sheetViews>
    <sheetView topLeftCell="A156" workbookViewId="0">
      <selection activeCell="E195" sqref="E195"/>
    </sheetView>
  </sheetViews>
  <sheetFormatPr baseColWidth="10" defaultRowHeight="15" x14ac:dyDescent="0.25"/>
  <cols>
    <col min="2" max="2" width="20.140625" customWidth="1"/>
    <col min="3" max="3" width="38.140625" customWidth="1"/>
    <col min="4" max="4" width="14.85546875" customWidth="1"/>
    <col min="5" max="5" width="11.5703125" bestFit="1" customWidth="1"/>
    <col min="6" max="6" width="13.140625" bestFit="1" customWidth="1"/>
    <col min="7" max="7" width="16.7109375" customWidth="1"/>
    <col min="8" max="8" width="12" bestFit="1" customWidth="1"/>
    <col min="9" max="9" width="31.42578125" customWidth="1"/>
  </cols>
  <sheetData>
    <row r="1" spans="1:15" x14ac:dyDescent="0.25">
      <c r="A1" s="319" t="s">
        <v>1</v>
      </c>
      <c r="B1" s="319" t="s">
        <v>2</v>
      </c>
      <c r="C1" s="319" t="s">
        <v>32</v>
      </c>
      <c r="D1" s="319" t="s">
        <v>33</v>
      </c>
      <c r="E1" s="319" t="s">
        <v>408</v>
      </c>
      <c r="F1" s="319" t="s">
        <v>11</v>
      </c>
      <c r="G1" s="319" t="s">
        <v>34</v>
      </c>
      <c r="H1" s="319"/>
      <c r="I1" s="319" t="s">
        <v>35</v>
      </c>
      <c r="J1" s="319" t="s">
        <v>36</v>
      </c>
      <c r="K1" s="319" t="s">
        <v>37</v>
      </c>
      <c r="L1" s="319" t="s">
        <v>38</v>
      </c>
      <c r="M1" s="319" t="s">
        <v>37</v>
      </c>
      <c r="N1" s="320" t="s">
        <v>38</v>
      </c>
      <c r="O1" s="319" t="s">
        <v>40</v>
      </c>
    </row>
    <row r="2" spans="1:15" x14ac:dyDescent="0.25">
      <c r="A2" s="320"/>
      <c r="B2" s="320"/>
      <c r="C2" s="320"/>
      <c r="D2" s="320"/>
      <c r="E2" s="320"/>
      <c r="F2" s="320"/>
      <c r="G2" s="52" t="s">
        <v>41</v>
      </c>
      <c r="H2" s="53" t="s">
        <v>42</v>
      </c>
      <c r="I2" s="320"/>
      <c r="J2" s="320"/>
      <c r="K2" s="320"/>
      <c r="L2" s="320"/>
      <c r="M2" s="319"/>
      <c r="N2" s="321"/>
      <c r="O2" s="319"/>
    </row>
    <row r="3" spans="1:15" x14ac:dyDescent="0.25">
      <c r="A3" s="54">
        <v>45413</v>
      </c>
      <c r="B3" s="55" t="s">
        <v>981</v>
      </c>
      <c r="C3" s="55" t="s">
        <v>43</v>
      </c>
      <c r="D3" s="56">
        <f>F3/1.1</f>
        <v>127.27272727272727</v>
      </c>
      <c r="E3" s="56">
        <f t="shared" ref="E3:E66" si="0">D3*10/100</f>
        <v>12.727272727272727</v>
      </c>
      <c r="F3" s="57">
        <v>140</v>
      </c>
      <c r="G3" s="56"/>
      <c r="H3" s="58">
        <f>F3-G3</f>
        <v>140</v>
      </c>
      <c r="I3" s="136" t="s">
        <v>603</v>
      </c>
      <c r="J3" s="137">
        <v>140</v>
      </c>
      <c r="K3" s="137"/>
      <c r="L3" s="55"/>
      <c r="M3" s="138"/>
      <c r="N3" s="22"/>
      <c r="O3" s="22"/>
    </row>
    <row r="4" spans="1:15" x14ac:dyDescent="0.25">
      <c r="A4" s="54">
        <v>45413</v>
      </c>
      <c r="B4" s="55" t="s">
        <v>982</v>
      </c>
      <c r="C4" s="55" t="s">
        <v>43</v>
      </c>
      <c r="D4" s="56">
        <f t="shared" ref="D4:D67" si="1">F4/1.1</f>
        <v>199.99999999999997</v>
      </c>
      <c r="E4" s="56">
        <f t="shared" si="0"/>
        <v>19.999999999999996</v>
      </c>
      <c r="F4" s="61">
        <v>220</v>
      </c>
      <c r="G4" s="56">
        <v>50</v>
      </c>
      <c r="H4" s="58">
        <f t="shared" ref="H4:H67" si="2">F4-G4</f>
        <v>170</v>
      </c>
      <c r="I4" s="136" t="s">
        <v>1784</v>
      </c>
      <c r="J4" s="137">
        <v>170</v>
      </c>
      <c r="K4" s="137"/>
      <c r="L4" s="55"/>
      <c r="M4" s="138"/>
      <c r="N4" s="22"/>
      <c r="O4" s="22"/>
    </row>
    <row r="5" spans="1:15" x14ac:dyDescent="0.25">
      <c r="A5" s="54">
        <v>45413</v>
      </c>
      <c r="B5" s="55" t="s">
        <v>983</v>
      </c>
      <c r="C5" s="55" t="s">
        <v>43</v>
      </c>
      <c r="D5" s="56">
        <f t="shared" si="1"/>
        <v>163.63636363636363</v>
      </c>
      <c r="E5" s="56">
        <f t="shared" si="0"/>
        <v>16.363636363636363</v>
      </c>
      <c r="F5" s="61">
        <v>180</v>
      </c>
      <c r="G5" s="56"/>
      <c r="H5" s="58">
        <f t="shared" si="2"/>
        <v>180</v>
      </c>
      <c r="I5" s="136" t="s">
        <v>604</v>
      </c>
      <c r="J5" s="137">
        <v>180</v>
      </c>
      <c r="K5" s="137"/>
      <c r="L5" s="55"/>
      <c r="M5" s="138"/>
      <c r="N5" s="22"/>
      <c r="O5" s="22"/>
    </row>
    <row r="6" spans="1:15" x14ac:dyDescent="0.25">
      <c r="A6" s="54">
        <v>45413</v>
      </c>
      <c r="B6" s="55" t="s">
        <v>984</v>
      </c>
      <c r="C6" s="55" t="s">
        <v>43</v>
      </c>
      <c r="D6" s="56">
        <f t="shared" si="1"/>
        <v>199.99999999999997</v>
      </c>
      <c r="E6" s="56">
        <f t="shared" si="0"/>
        <v>19.999999999999996</v>
      </c>
      <c r="F6" s="61">
        <v>220</v>
      </c>
      <c r="G6" s="56">
        <v>50</v>
      </c>
      <c r="H6" s="58">
        <f t="shared" si="2"/>
        <v>170</v>
      </c>
      <c r="I6" s="136" t="s">
        <v>1785</v>
      </c>
      <c r="J6" s="137">
        <v>170</v>
      </c>
      <c r="K6" s="137"/>
      <c r="L6" s="55"/>
      <c r="M6" s="138"/>
      <c r="N6" s="22"/>
      <c r="O6" s="22"/>
    </row>
    <row r="7" spans="1:15" x14ac:dyDescent="0.25">
      <c r="A7" s="54">
        <v>45413</v>
      </c>
      <c r="B7" s="55" t="s">
        <v>985</v>
      </c>
      <c r="C7" s="55" t="s">
        <v>43</v>
      </c>
      <c r="D7" s="56">
        <f t="shared" si="1"/>
        <v>245.45454545454544</v>
      </c>
      <c r="E7" s="56">
        <f t="shared" si="0"/>
        <v>24.545454545454547</v>
      </c>
      <c r="F7" s="61">
        <v>270</v>
      </c>
      <c r="G7" s="56"/>
      <c r="H7" s="58">
        <f t="shared" si="2"/>
        <v>270</v>
      </c>
      <c r="I7" s="136" t="s">
        <v>1398</v>
      </c>
      <c r="J7" s="137">
        <v>270</v>
      </c>
      <c r="K7" s="137"/>
      <c r="L7" s="55"/>
      <c r="M7" s="138"/>
      <c r="N7" s="139"/>
      <c r="O7" s="22"/>
    </row>
    <row r="8" spans="1:15" x14ac:dyDescent="0.25">
      <c r="A8" s="54">
        <v>45414</v>
      </c>
      <c r="B8" s="55" t="s">
        <v>986</v>
      </c>
      <c r="C8" s="55" t="s">
        <v>43</v>
      </c>
      <c r="D8" s="56">
        <f t="shared" si="1"/>
        <v>259.09090909090907</v>
      </c>
      <c r="E8" s="56">
        <f t="shared" si="0"/>
        <v>25.909090909090907</v>
      </c>
      <c r="F8" s="57">
        <v>285</v>
      </c>
      <c r="G8" s="56">
        <v>50</v>
      </c>
      <c r="H8" s="58">
        <f t="shared" si="2"/>
        <v>235</v>
      </c>
      <c r="I8" s="136" t="s">
        <v>1786</v>
      </c>
      <c r="J8" s="137">
        <v>220</v>
      </c>
      <c r="K8" s="137">
        <v>20</v>
      </c>
      <c r="L8" s="55" t="s">
        <v>252</v>
      </c>
      <c r="M8" s="138">
        <v>45</v>
      </c>
      <c r="N8" s="22" t="s">
        <v>45</v>
      </c>
      <c r="O8" s="22"/>
    </row>
    <row r="9" spans="1:15" x14ac:dyDescent="0.25">
      <c r="A9" s="54">
        <v>45415</v>
      </c>
      <c r="B9" s="55" t="s">
        <v>987</v>
      </c>
      <c r="C9" s="55" t="s">
        <v>43</v>
      </c>
      <c r="D9" s="56">
        <f t="shared" si="1"/>
        <v>199.99999999999997</v>
      </c>
      <c r="E9" s="56">
        <f t="shared" si="0"/>
        <v>19.999999999999996</v>
      </c>
      <c r="F9" s="63">
        <v>220</v>
      </c>
      <c r="G9" s="63">
        <v>50</v>
      </c>
      <c r="H9" s="58">
        <f t="shared" si="2"/>
        <v>170</v>
      </c>
      <c r="I9" s="64" t="s">
        <v>1785</v>
      </c>
      <c r="J9" s="137">
        <v>220</v>
      </c>
      <c r="K9" s="137"/>
      <c r="L9" s="55"/>
      <c r="M9" s="138"/>
      <c r="N9" s="22"/>
      <c r="O9" s="22"/>
    </row>
    <row r="10" spans="1:15" x14ac:dyDescent="0.25">
      <c r="A10" s="54">
        <v>45415</v>
      </c>
      <c r="B10" s="55" t="s">
        <v>988</v>
      </c>
      <c r="C10" s="55" t="s">
        <v>43</v>
      </c>
      <c r="D10" s="56">
        <f t="shared" si="1"/>
        <v>154.54545454545453</v>
      </c>
      <c r="E10" s="56">
        <f t="shared" si="0"/>
        <v>15.454545454545453</v>
      </c>
      <c r="F10" s="63">
        <v>170</v>
      </c>
      <c r="G10" s="63">
        <v>50</v>
      </c>
      <c r="H10" s="58">
        <f t="shared" si="2"/>
        <v>120</v>
      </c>
      <c r="I10" s="64" t="s">
        <v>1787</v>
      </c>
      <c r="J10" s="137">
        <v>170</v>
      </c>
      <c r="K10" s="137"/>
      <c r="L10" s="55"/>
      <c r="M10" s="138"/>
      <c r="N10" s="22"/>
      <c r="O10" s="22"/>
    </row>
    <row r="11" spans="1:15" x14ac:dyDescent="0.25">
      <c r="A11" s="54">
        <v>45415</v>
      </c>
      <c r="B11" s="55" t="s">
        <v>989</v>
      </c>
      <c r="C11" s="55" t="s">
        <v>43</v>
      </c>
      <c r="D11" s="56">
        <f t="shared" si="1"/>
        <v>181.81818181818181</v>
      </c>
      <c r="E11" s="56">
        <f t="shared" si="0"/>
        <v>18.18181818181818</v>
      </c>
      <c r="F11" s="63">
        <v>200</v>
      </c>
      <c r="G11" s="63">
        <v>50</v>
      </c>
      <c r="H11" s="58">
        <f t="shared" si="2"/>
        <v>150</v>
      </c>
      <c r="I11" s="64" t="s">
        <v>1788</v>
      </c>
      <c r="J11" s="137">
        <v>170</v>
      </c>
      <c r="K11" s="137">
        <v>30</v>
      </c>
      <c r="L11" s="55" t="s">
        <v>252</v>
      </c>
      <c r="M11" s="138"/>
      <c r="N11" s="22"/>
      <c r="O11" s="22"/>
    </row>
    <row r="12" spans="1:15" x14ac:dyDescent="0.25">
      <c r="A12" s="54">
        <v>45415</v>
      </c>
      <c r="B12" s="55" t="s">
        <v>990</v>
      </c>
      <c r="C12" s="55" t="s">
        <v>43</v>
      </c>
      <c r="D12" s="56">
        <f t="shared" si="1"/>
        <v>199.99999999999997</v>
      </c>
      <c r="E12" s="56">
        <f t="shared" si="0"/>
        <v>19.999999999999996</v>
      </c>
      <c r="F12" s="63">
        <v>220</v>
      </c>
      <c r="G12" s="63">
        <v>50</v>
      </c>
      <c r="H12" s="58">
        <f t="shared" si="2"/>
        <v>170</v>
      </c>
      <c r="I12" s="64" t="s">
        <v>1789</v>
      </c>
      <c r="J12" s="137">
        <v>220</v>
      </c>
      <c r="K12" s="137"/>
      <c r="L12" s="55"/>
      <c r="M12" s="138"/>
      <c r="N12" s="22"/>
      <c r="O12" s="22"/>
    </row>
    <row r="13" spans="1:15" x14ac:dyDescent="0.25">
      <c r="A13" s="54">
        <v>45416</v>
      </c>
      <c r="B13" s="55" t="s">
        <v>991</v>
      </c>
      <c r="C13" s="55" t="s">
        <v>43</v>
      </c>
      <c r="D13" s="56">
        <f t="shared" si="1"/>
        <v>281.81818181818181</v>
      </c>
      <c r="E13" s="56">
        <f t="shared" si="0"/>
        <v>28.18181818181818</v>
      </c>
      <c r="F13" s="63">
        <v>310</v>
      </c>
      <c r="G13" s="63">
        <v>50</v>
      </c>
      <c r="H13" s="58">
        <f t="shared" si="2"/>
        <v>260</v>
      </c>
      <c r="I13" s="64" t="s">
        <v>1790</v>
      </c>
      <c r="J13" s="137">
        <v>270</v>
      </c>
      <c r="K13" s="137">
        <v>40</v>
      </c>
      <c r="L13" s="55" t="s">
        <v>252</v>
      </c>
      <c r="M13" s="138"/>
      <c r="N13" s="22"/>
      <c r="O13" s="22"/>
    </row>
    <row r="14" spans="1:15" x14ac:dyDescent="0.25">
      <c r="A14" s="54">
        <v>45416</v>
      </c>
      <c r="B14" s="55" t="s">
        <v>992</v>
      </c>
      <c r="C14" s="55" t="s">
        <v>43</v>
      </c>
      <c r="D14" s="56">
        <f t="shared" si="1"/>
        <v>163.63636363636363</v>
      </c>
      <c r="E14" s="56">
        <f t="shared" si="0"/>
        <v>16.363636363636363</v>
      </c>
      <c r="F14" s="63">
        <v>180</v>
      </c>
      <c r="G14" s="63"/>
      <c r="H14" s="58">
        <f t="shared" si="2"/>
        <v>180</v>
      </c>
      <c r="I14" s="64" t="s">
        <v>604</v>
      </c>
      <c r="J14" s="137">
        <v>180</v>
      </c>
      <c r="K14" s="137"/>
      <c r="L14" s="55"/>
      <c r="M14" s="138"/>
      <c r="N14" s="22"/>
      <c r="O14" s="22"/>
    </row>
    <row r="15" spans="1:15" x14ac:dyDescent="0.25">
      <c r="A15" s="54">
        <v>45416</v>
      </c>
      <c r="B15" s="55" t="s">
        <v>993</v>
      </c>
      <c r="C15" s="55" t="s">
        <v>43</v>
      </c>
      <c r="D15" s="56">
        <f t="shared" si="1"/>
        <v>163.63636363636363</v>
      </c>
      <c r="E15" s="56">
        <f t="shared" si="0"/>
        <v>16.363636363636363</v>
      </c>
      <c r="F15" s="63">
        <v>180</v>
      </c>
      <c r="G15" s="63"/>
      <c r="H15" s="58">
        <f t="shared" si="2"/>
        <v>180</v>
      </c>
      <c r="I15" s="64" t="s">
        <v>603</v>
      </c>
      <c r="J15" s="137">
        <v>180</v>
      </c>
      <c r="K15" s="137"/>
      <c r="L15" s="55"/>
      <c r="M15" s="138"/>
      <c r="N15" s="22"/>
      <c r="O15" s="22"/>
    </row>
    <row r="16" spans="1:15" x14ac:dyDescent="0.25">
      <c r="A16" s="54">
        <v>45416</v>
      </c>
      <c r="B16" s="55" t="s">
        <v>994</v>
      </c>
      <c r="C16" s="55" t="s">
        <v>43</v>
      </c>
      <c r="D16" s="56">
        <f t="shared" si="1"/>
        <v>163.63636363636363</v>
      </c>
      <c r="E16" s="56">
        <f t="shared" si="0"/>
        <v>16.363636363636363</v>
      </c>
      <c r="F16" s="63">
        <v>180</v>
      </c>
      <c r="G16" s="63"/>
      <c r="H16" s="58">
        <f t="shared" si="2"/>
        <v>180</v>
      </c>
      <c r="I16" s="64" t="s">
        <v>603</v>
      </c>
      <c r="J16" s="137">
        <v>180</v>
      </c>
      <c r="K16" s="137"/>
      <c r="L16" s="55"/>
      <c r="M16" s="140"/>
      <c r="N16" s="22"/>
      <c r="O16" s="22"/>
    </row>
    <row r="17" spans="1:15" x14ac:dyDescent="0.25">
      <c r="A17" s="54">
        <v>45416</v>
      </c>
      <c r="B17" s="55" t="s">
        <v>995</v>
      </c>
      <c r="C17" s="55" t="s">
        <v>43</v>
      </c>
      <c r="D17" s="56">
        <f t="shared" si="1"/>
        <v>154.54545454545453</v>
      </c>
      <c r="E17" s="56">
        <f t="shared" si="0"/>
        <v>15.454545454545453</v>
      </c>
      <c r="F17" s="63">
        <v>170</v>
      </c>
      <c r="G17" s="63">
        <v>70</v>
      </c>
      <c r="H17" s="58">
        <f t="shared" si="2"/>
        <v>100</v>
      </c>
      <c r="I17" s="64" t="s">
        <v>1788</v>
      </c>
      <c r="J17" s="137">
        <v>170</v>
      </c>
      <c r="K17" s="137"/>
      <c r="L17" s="55"/>
      <c r="M17" s="138"/>
      <c r="N17" s="22"/>
      <c r="O17" s="22"/>
    </row>
    <row r="18" spans="1:15" x14ac:dyDescent="0.25">
      <c r="A18" s="54">
        <v>45416</v>
      </c>
      <c r="B18" s="55" t="s">
        <v>996</v>
      </c>
      <c r="C18" s="55" t="s">
        <v>43</v>
      </c>
      <c r="D18" s="56">
        <f t="shared" si="1"/>
        <v>136.36363636363635</v>
      </c>
      <c r="E18" s="56">
        <f t="shared" si="0"/>
        <v>13.636363636363635</v>
      </c>
      <c r="F18" s="63">
        <v>150</v>
      </c>
      <c r="G18" s="63">
        <v>50</v>
      </c>
      <c r="H18" s="58">
        <f t="shared" si="2"/>
        <v>100</v>
      </c>
      <c r="I18" s="64" t="s">
        <v>1791</v>
      </c>
      <c r="J18" s="137">
        <v>150</v>
      </c>
      <c r="K18" s="137"/>
      <c r="L18" s="55"/>
      <c r="M18" s="138"/>
      <c r="N18" s="22"/>
      <c r="O18" s="22"/>
    </row>
    <row r="19" spans="1:15" x14ac:dyDescent="0.25">
      <c r="A19" s="54">
        <v>45416</v>
      </c>
      <c r="B19" s="55" t="s">
        <v>997</v>
      </c>
      <c r="C19" s="55" t="s">
        <v>43</v>
      </c>
      <c r="D19" s="56">
        <f t="shared" si="1"/>
        <v>118.18181818181817</v>
      </c>
      <c r="E19" s="56">
        <f t="shared" si="0"/>
        <v>11.818181818181818</v>
      </c>
      <c r="F19" s="63">
        <v>130</v>
      </c>
      <c r="G19" s="63"/>
      <c r="H19" s="58">
        <f t="shared" si="2"/>
        <v>130</v>
      </c>
      <c r="I19" s="64" t="s">
        <v>604</v>
      </c>
      <c r="J19" s="137">
        <v>130</v>
      </c>
      <c r="K19" s="137"/>
      <c r="L19" s="55"/>
      <c r="M19" s="138"/>
      <c r="N19" s="22"/>
      <c r="O19" s="22"/>
    </row>
    <row r="20" spans="1:15" x14ac:dyDescent="0.25">
      <c r="A20" s="54">
        <v>45416</v>
      </c>
      <c r="B20" s="55" t="s">
        <v>998</v>
      </c>
      <c r="C20" s="55" t="s">
        <v>43</v>
      </c>
      <c r="D20" s="56">
        <f t="shared" si="1"/>
        <v>154.54545454545453</v>
      </c>
      <c r="E20" s="56">
        <f t="shared" si="0"/>
        <v>15.454545454545453</v>
      </c>
      <c r="F20" s="63">
        <v>170</v>
      </c>
      <c r="G20" s="63">
        <v>50</v>
      </c>
      <c r="H20" s="58">
        <f t="shared" si="2"/>
        <v>120</v>
      </c>
      <c r="I20" s="64" t="s">
        <v>1792</v>
      </c>
      <c r="J20" s="137">
        <v>170</v>
      </c>
      <c r="K20" s="137"/>
      <c r="L20" s="55"/>
      <c r="M20" s="138"/>
      <c r="N20" s="22"/>
      <c r="O20" s="22"/>
    </row>
    <row r="21" spans="1:15" x14ac:dyDescent="0.25">
      <c r="A21" s="54">
        <v>45416</v>
      </c>
      <c r="B21" s="55" t="s">
        <v>999</v>
      </c>
      <c r="C21" s="55" t="s">
        <v>43</v>
      </c>
      <c r="D21" s="56">
        <f t="shared" si="1"/>
        <v>218.18181818181816</v>
      </c>
      <c r="E21" s="56">
        <f t="shared" si="0"/>
        <v>21.818181818181817</v>
      </c>
      <c r="F21" s="63">
        <v>240</v>
      </c>
      <c r="G21" s="66">
        <v>50</v>
      </c>
      <c r="H21" s="58">
        <f t="shared" si="2"/>
        <v>190</v>
      </c>
      <c r="I21" s="64" t="s">
        <v>1793</v>
      </c>
      <c r="J21" s="137">
        <v>240</v>
      </c>
      <c r="K21" s="137"/>
      <c r="L21" s="55"/>
      <c r="M21" s="138"/>
      <c r="N21" s="22"/>
      <c r="O21" s="22"/>
    </row>
    <row r="22" spans="1:15" x14ac:dyDescent="0.25">
      <c r="A22" s="54">
        <v>45416</v>
      </c>
      <c r="B22" s="55" t="s">
        <v>1000</v>
      </c>
      <c r="C22" s="55" t="s">
        <v>43</v>
      </c>
      <c r="D22" s="56">
        <f t="shared" si="1"/>
        <v>127.27272727272727</v>
      </c>
      <c r="E22" s="56">
        <f t="shared" si="0"/>
        <v>12.727272727272727</v>
      </c>
      <c r="F22" s="63">
        <v>140</v>
      </c>
      <c r="G22" s="56"/>
      <c r="H22" s="58">
        <f t="shared" si="2"/>
        <v>140</v>
      </c>
      <c r="I22" s="64" t="s">
        <v>1794</v>
      </c>
      <c r="J22" s="137">
        <v>140</v>
      </c>
      <c r="K22" s="137"/>
      <c r="L22" s="55"/>
      <c r="M22" s="138"/>
      <c r="N22" s="22"/>
      <c r="O22" s="22"/>
    </row>
    <row r="23" spans="1:15" x14ac:dyDescent="0.25">
      <c r="A23" s="54">
        <v>45416</v>
      </c>
      <c r="B23" s="55" t="s">
        <v>1001</v>
      </c>
      <c r="C23" s="55" t="s">
        <v>43</v>
      </c>
      <c r="D23" s="56">
        <f t="shared" si="1"/>
        <v>127.27272727272727</v>
      </c>
      <c r="E23" s="56">
        <f t="shared" si="0"/>
        <v>12.727272727272727</v>
      </c>
      <c r="F23" s="63">
        <v>140</v>
      </c>
      <c r="G23" s="56"/>
      <c r="H23" s="58">
        <f t="shared" si="2"/>
        <v>140</v>
      </c>
      <c r="I23" s="64" t="s">
        <v>1398</v>
      </c>
      <c r="J23" s="137">
        <v>140</v>
      </c>
      <c r="K23" s="137"/>
      <c r="L23" s="55"/>
      <c r="M23" s="138"/>
      <c r="N23" s="22"/>
      <c r="O23" s="22"/>
    </row>
    <row r="24" spans="1:15" x14ac:dyDescent="0.25">
      <c r="A24" s="54">
        <v>45416</v>
      </c>
      <c r="B24" s="55" t="s">
        <v>1002</v>
      </c>
      <c r="C24" s="55" t="s">
        <v>43</v>
      </c>
      <c r="D24" s="56">
        <f t="shared" si="1"/>
        <v>254.54545454545453</v>
      </c>
      <c r="E24" s="56">
        <f t="shared" si="0"/>
        <v>25.454545454545453</v>
      </c>
      <c r="F24" s="63">
        <v>280</v>
      </c>
      <c r="G24" s="56"/>
      <c r="H24" s="58">
        <f t="shared" si="2"/>
        <v>280</v>
      </c>
      <c r="I24" s="64" t="s">
        <v>1795</v>
      </c>
      <c r="J24" s="137">
        <v>280</v>
      </c>
      <c r="K24" s="137"/>
      <c r="L24" s="55"/>
      <c r="M24" s="138"/>
      <c r="N24" s="22"/>
      <c r="O24" s="22"/>
    </row>
    <row r="25" spans="1:15" x14ac:dyDescent="0.25">
      <c r="A25" s="54">
        <v>45416</v>
      </c>
      <c r="B25" s="55" t="s">
        <v>1003</v>
      </c>
      <c r="C25" s="55" t="s">
        <v>43</v>
      </c>
      <c r="D25" s="56">
        <f t="shared" si="1"/>
        <v>445.45454545454544</v>
      </c>
      <c r="E25" s="56">
        <f t="shared" si="0"/>
        <v>44.54545454545454</v>
      </c>
      <c r="F25" s="63">
        <v>490</v>
      </c>
      <c r="G25" s="56"/>
      <c r="H25" s="58">
        <f t="shared" si="2"/>
        <v>490</v>
      </c>
      <c r="I25" s="64" t="s">
        <v>1796</v>
      </c>
      <c r="J25" s="137">
        <v>480</v>
      </c>
      <c r="K25" s="137"/>
      <c r="L25" s="55"/>
      <c r="M25" s="138"/>
      <c r="N25" s="22"/>
      <c r="O25" s="22"/>
    </row>
    <row r="26" spans="1:15" x14ac:dyDescent="0.25">
      <c r="A26" s="54">
        <v>45416</v>
      </c>
      <c r="B26" s="55" t="s">
        <v>1004</v>
      </c>
      <c r="C26" s="55" t="s">
        <v>43</v>
      </c>
      <c r="D26" s="56">
        <f t="shared" si="1"/>
        <v>163.63636363636363</v>
      </c>
      <c r="E26" s="56">
        <f t="shared" si="0"/>
        <v>16.363636363636363</v>
      </c>
      <c r="F26" s="61">
        <v>180</v>
      </c>
      <c r="G26" s="56"/>
      <c r="H26" s="58">
        <f t="shared" si="2"/>
        <v>180</v>
      </c>
      <c r="I26" s="64" t="s">
        <v>604</v>
      </c>
      <c r="J26" s="137">
        <v>180</v>
      </c>
      <c r="K26" s="137"/>
      <c r="L26" s="55"/>
      <c r="M26" s="141"/>
      <c r="N26" s="142"/>
      <c r="O26" s="142"/>
    </row>
    <row r="27" spans="1:15" x14ac:dyDescent="0.25">
      <c r="A27" s="54">
        <v>45416</v>
      </c>
      <c r="B27" s="55" t="s">
        <v>1005</v>
      </c>
      <c r="C27" s="55" t="s">
        <v>43</v>
      </c>
      <c r="D27" s="56">
        <f t="shared" si="1"/>
        <v>272.72727272727269</v>
      </c>
      <c r="E27" s="56">
        <f t="shared" si="0"/>
        <v>27.27272727272727</v>
      </c>
      <c r="F27" s="61">
        <v>300</v>
      </c>
      <c r="G27" s="56"/>
      <c r="H27" s="58">
        <f t="shared" si="2"/>
        <v>300</v>
      </c>
      <c r="I27" s="64" t="s">
        <v>1797</v>
      </c>
      <c r="J27" s="137">
        <v>270</v>
      </c>
      <c r="K27" s="143">
        <v>30</v>
      </c>
      <c r="L27" s="70" t="s">
        <v>252</v>
      </c>
      <c r="M27" s="138"/>
      <c r="N27" s="22"/>
      <c r="O27" s="22"/>
    </row>
    <row r="28" spans="1:15" x14ac:dyDescent="0.25">
      <c r="A28" s="54">
        <v>45416</v>
      </c>
      <c r="B28" s="55" t="s">
        <v>1006</v>
      </c>
      <c r="C28" s="55" t="s">
        <v>43</v>
      </c>
      <c r="D28" s="56">
        <f t="shared" si="1"/>
        <v>136.36363636363635</v>
      </c>
      <c r="E28" s="56">
        <f t="shared" si="0"/>
        <v>13.636363636363635</v>
      </c>
      <c r="F28" s="61">
        <v>150</v>
      </c>
      <c r="G28" s="56"/>
      <c r="H28" s="58">
        <f t="shared" si="2"/>
        <v>150</v>
      </c>
      <c r="I28" s="136" t="s">
        <v>1788</v>
      </c>
      <c r="J28" s="137">
        <v>150</v>
      </c>
      <c r="K28" s="137"/>
      <c r="L28" s="70"/>
      <c r="M28" s="138"/>
      <c r="N28" s="22"/>
      <c r="O28" s="22"/>
    </row>
    <row r="29" spans="1:15" x14ac:dyDescent="0.25">
      <c r="A29" s="54">
        <v>45416</v>
      </c>
      <c r="B29" s="55" t="s">
        <v>1007</v>
      </c>
      <c r="C29" s="55" t="s">
        <v>43</v>
      </c>
      <c r="D29" s="56">
        <f t="shared" si="1"/>
        <v>172.72727272727272</v>
      </c>
      <c r="E29" s="56">
        <f t="shared" si="0"/>
        <v>17.272727272727273</v>
      </c>
      <c r="F29" s="61">
        <v>190</v>
      </c>
      <c r="G29" s="56"/>
      <c r="H29" s="58">
        <f t="shared" si="2"/>
        <v>190</v>
      </c>
      <c r="I29" s="55" t="s">
        <v>1798</v>
      </c>
      <c r="J29" s="137">
        <v>190</v>
      </c>
      <c r="K29" s="137"/>
      <c r="L29" s="55"/>
      <c r="M29" s="138"/>
      <c r="N29" s="22"/>
      <c r="O29" s="22"/>
    </row>
    <row r="30" spans="1:15" x14ac:dyDescent="0.25">
      <c r="A30" s="54">
        <v>45416</v>
      </c>
      <c r="B30" s="55" t="s">
        <v>1008</v>
      </c>
      <c r="C30" s="55" t="s">
        <v>43</v>
      </c>
      <c r="D30" s="56">
        <f t="shared" si="1"/>
        <v>163.63636363636363</v>
      </c>
      <c r="E30" s="56">
        <f t="shared" si="0"/>
        <v>16.363636363636363</v>
      </c>
      <c r="F30" s="61">
        <v>180</v>
      </c>
      <c r="G30" s="56"/>
      <c r="H30" s="58">
        <f t="shared" si="2"/>
        <v>180</v>
      </c>
      <c r="I30" s="64" t="s">
        <v>604</v>
      </c>
      <c r="J30" s="137">
        <v>180</v>
      </c>
      <c r="K30" s="137"/>
      <c r="L30" s="55"/>
      <c r="M30" s="138"/>
      <c r="N30" s="22"/>
      <c r="O30" s="22"/>
    </row>
    <row r="31" spans="1:15" x14ac:dyDescent="0.25">
      <c r="A31" s="54">
        <v>45416</v>
      </c>
      <c r="B31" s="55" t="s">
        <v>1009</v>
      </c>
      <c r="C31" s="55" t="s">
        <v>43</v>
      </c>
      <c r="D31" s="56">
        <f t="shared" si="1"/>
        <v>245.45454545454544</v>
      </c>
      <c r="E31" s="56">
        <f t="shared" si="0"/>
        <v>24.545454545454547</v>
      </c>
      <c r="F31" s="61">
        <v>270</v>
      </c>
      <c r="G31" s="56">
        <v>50</v>
      </c>
      <c r="H31" s="58">
        <f t="shared" si="2"/>
        <v>220</v>
      </c>
      <c r="I31" s="64" t="s">
        <v>1799</v>
      </c>
      <c r="J31" s="137">
        <v>270</v>
      </c>
      <c r="K31" s="137"/>
      <c r="L31" s="55"/>
      <c r="M31" s="138"/>
      <c r="N31" s="22"/>
      <c r="O31" s="22"/>
    </row>
    <row r="32" spans="1:15" x14ac:dyDescent="0.25">
      <c r="A32" s="54">
        <v>45416</v>
      </c>
      <c r="B32" s="55" t="s">
        <v>1010</v>
      </c>
      <c r="C32" s="55" t="s">
        <v>43</v>
      </c>
      <c r="D32" s="56">
        <f t="shared" si="1"/>
        <v>313.63636363636363</v>
      </c>
      <c r="E32" s="56">
        <f t="shared" si="0"/>
        <v>31.36363636363636</v>
      </c>
      <c r="F32" s="61">
        <v>345</v>
      </c>
      <c r="G32" s="56">
        <v>50</v>
      </c>
      <c r="H32" s="58">
        <f t="shared" si="2"/>
        <v>295</v>
      </c>
      <c r="I32" s="136" t="s">
        <v>1800</v>
      </c>
      <c r="J32" s="137">
        <v>270</v>
      </c>
      <c r="K32" s="137">
        <v>30</v>
      </c>
      <c r="L32" s="55" t="s">
        <v>252</v>
      </c>
      <c r="M32" s="138">
        <v>45</v>
      </c>
      <c r="N32" s="22" t="s">
        <v>45</v>
      </c>
      <c r="O32" s="22"/>
    </row>
    <row r="33" spans="1:15" x14ac:dyDescent="0.25">
      <c r="A33" s="54">
        <v>45417</v>
      </c>
      <c r="B33" s="55" t="s">
        <v>1011</v>
      </c>
      <c r="C33" s="55" t="s">
        <v>43</v>
      </c>
      <c r="D33" s="56">
        <f t="shared" si="1"/>
        <v>127.27272727272727</v>
      </c>
      <c r="E33" s="56">
        <f t="shared" si="0"/>
        <v>12.727272727272727</v>
      </c>
      <c r="F33" s="61">
        <v>140</v>
      </c>
      <c r="G33" s="56"/>
      <c r="H33" s="58">
        <f t="shared" si="2"/>
        <v>140</v>
      </c>
      <c r="I33" s="136" t="s">
        <v>1801</v>
      </c>
      <c r="J33" s="137">
        <v>140</v>
      </c>
      <c r="K33" s="137"/>
      <c r="L33" s="55"/>
      <c r="M33" s="138"/>
      <c r="N33" s="22"/>
      <c r="O33" s="22"/>
    </row>
    <row r="34" spans="1:15" x14ac:dyDescent="0.25">
      <c r="A34" s="54">
        <v>45421</v>
      </c>
      <c r="B34" s="55" t="s">
        <v>1012</v>
      </c>
      <c r="C34" s="55" t="s">
        <v>43</v>
      </c>
      <c r="D34" s="56">
        <f t="shared" si="1"/>
        <v>231.81818181818181</v>
      </c>
      <c r="E34" s="56">
        <f t="shared" si="0"/>
        <v>23.18181818181818</v>
      </c>
      <c r="F34" s="61">
        <v>255</v>
      </c>
      <c r="G34" s="56"/>
      <c r="H34" s="58">
        <f t="shared" si="2"/>
        <v>255</v>
      </c>
      <c r="I34" s="136" t="s">
        <v>603</v>
      </c>
      <c r="J34" s="137">
        <v>255</v>
      </c>
      <c r="K34" s="137"/>
      <c r="L34" s="55"/>
      <c r="M34" s="138"/>
      <c r="N34" s="22"/>
      <c r="O34" s="22"/>
    </row>
    <row r="35" spans="1:15" x14ac:dyDescent="0.25">
      <c r="A35" s="54">
        <v>45421</v>
      </c>
      <c r="B35" s="55" t="s">
        <v>1013</v>
      </c>
      <c r="C35" s="55" t="s">
        <v>43</v>
      </c>
      <c r="D35" s="56">
        <f t="shared" si="1"/>
        <v>327.27272727272725</v>
      </c>
      <c r="E35" s="56">
        <f t="shared" si="0"/>
        <v>32.727272727272727</v>
      </c>
      <c r="F35" s="61">
        <v>360</v>
      </c>
      <c r="G35" s="56"/>
      <c r="H35" s="58">
        <f t="shared" si="2"/>
        <v>360</v>
      </c>
      <c r="I35" s="136" t="s">
        <v>603</v>
      </c>
      <c r="J35" s="137">
        <v>360</v>
      </c>
      <c r="K35" s="137"/>
      <c r="L35" s="55"/>
      <c r="M35" s="138"/>
      <c r="N35" s="22"/>
      <c r="O35" s="22"/>
    </row>
    <row r="36" spans="1:15" x14ac:dyDescent="0.25">
      <c r="A36" s="54">
        <v>45421</v>
      </c>
      <c r="B36" s="55" t="s">
        <v>1014</v>
      </c>
      <c r="C36" s="55" t="s">
        <v>43</v>
      </c>
      <c r="D36" s="56">
        <f t="shared" si="1"/>
        <v>181.81818181818181</v>
      </c>
      <c r="E36" s="56">
        <f t="shared" si="0"/>
        <v>18.18181818181818</v>
      </c>
      <c r="F36" s="61">
        <v>200</v>
      </c>
      <c r="G36" s="56">
        <v>50</v>
      </c>
      <c r="H36" s="58">
        <f t="shared" si="2"/>
        <v>150</v>
      </c>
      <c r="I36" s="64" t="s">
        <v>1815</v>
      </c>
      <c r="J36" s="137">
        <v>170</v>
      </c>
      <c r="K36" s="137">
        <v>30</v>
      </c>
      <c r="L36" s="55" t="s">
        <v>252</v>
      </c>
      <c r="M36" s="138"/>
      <c r="N36" s="22"/>
      <c r="O36" s="22"/>
    </row>
    <row r="37" spans="1:15" x14ac:dyDescent="0.25">
      <c r="A37" s="54">
        <v>45422</v>
      </c>
      <c r="B37" s="55" t="s">
        <v>1015</v>
      </c>
      <c r="C37" s="55" t="s">
        <v>43</v>
      </c>
      <c r="D37" s="56">
        <f t="shared" si="1"/>
        <v>190.90909090909091</v>
      </c>
      <c r="E37" s="56">
        <f t="shared" si="0"/>
        <v>19.09090909090909</v>
      </c>
      <c r="F37" s="61">
        <v>210</v>
      </c>
      <c r="G37" s="56">
        <v>50</v>
      </c>
      <c r="H37" s="58">
        <f t="shared" si="2"/>
        <v>160</v>
      </c>
      <c r="I37" s="64" t="s">
        <v>1816</v>
      </c>
      <c r="J37" s="137">
        <v>170</v>
      </c>
      <c r="K37" s="137">
        <v>40</v>
      </c>
      <c r="L37" s="55" t="s">
        <v>252</v>
      </c>
      <c r="M37" s="138"/>
      <c r="N37" s="22"/>
      <c r="O37" s="22"/>
    </row>
    <row r="38" spans="1:15" x14ac:dyDescent="0.25">
      <c r="A38" s="71">
        <v>45422</v>
      </c>
      <c r="B38" s="55" t="s">
        <v>1016</v>
      </c>
      <c r="C38" s="55" t="s">
        <v>43</v>
      </c>
      <c r="D38" s="56">
        <f t="shared" si="1"/>
        <v>127.27272727272727</v>
      </c>
      <c r="E38" s="56">
        <f t="shared" si="0"/>
        <v>12.727272727272727</v>
      </c>
      <c r="F38" s="63">
        <v>140</v>
      </c>
      <c r="G38" s="63"/>
      <c r="H38" s="58">
        <f t="shared" si="2"/>
        <v>140</v>
      </c>
      <c r="I38" s="64" t="s">
        <v>603</v>
      </c>
      <c r="J38" s="137">
        <v>140</v>
      </c>
      <c r="K38" s="144"/>
      <c r="L38" s="55"/>
      <c r="M38" s="138"/>
      <c r="N38" s="22"/>
      <c r="O38" s="22"/>
    </row>
    <row r="39" spans="1:15" x14ac:dyDescent="0.25">
      <c r="A39" s="71">
        <v>45422</v>
      </c>
      <c r="B39" s="55" t="s">
        <v>1017</v>
      </c>
      <c r="C39" s="55" t="s">
        <v>43</v>
      </c>
      <c r="D39" s="56">
        <f t="shared" si="1"/>
        <v>172.72727272727272</v>
      </c>
      <c r="E39" s="56">
        <f t="shared" si="0"/>
        <v>17.272727272727273</v>
      </c>
      <c r="F39" s="63">
        <v>190</v>
      </c>
      <c r="G39" s="63">
        <v>50</v>
      </c>
      <c r="H39" s="58">
        <f t="shared" si="2"/>
        <v>140</v>
      </c>
      <c r="I39" s="64" t="s">
        <v>1817</v>
      </c>
      <c r="J39" s="137">
        <v>170</v>
      </c>
      <c r="K39" s="137">
        <v>20</v>
      </c>
      <c r="L39" s="55" t="s">
        <v>252</v>
      </c>
      <c r="M39" s="138"/>
      <c r="N39" s="22"/>
      <c r="O39" s="22"/>
    </row>
    <row r="40" spans="1:15" x14ac:dyDescent="0.25">
      <c r="A40" s="71">
        <v>45422</v>
      </c>
      <c r="B40" s="55" t="s">
        <v>1018</v>
      </c>
      <c r="C40" s="55" t="s">
        <v>43</v>
      </c>
      <c r="D40" s="56">
        <f t="shared" si="1"/>
        <v>218.18181818181816</v>
      </c>
      <c r="E40" s="56">
        <f t="shared" si="0"/>
        <v>21.818181818181817</v>
      </c>
      <c r="F40" s="63">
        <v>240</v>
      </c>
      <c r="G40" s="63">
        <v>50</v>
      </c>
      <c r="H40" s="58">
        <f t="shared" si="2"/>
        <v>190</v>
      </c>
      <c r="I40" s="64" t="s">
        <v>427</v>
      </c>
      <c r="J40" s="137">
        <v>220</v>
      </c>
      <c r="K40" s="137">
        <v>20</v>
      </c>
      <c r="L40" s="55" t="s">
        <v>252</v>
      </c>
      <c r="M40" s="138"/>
      <c r="N40" s="22"/>
      <c r="O40" s="22"/>
    </row>
    <row r="41" spans="1:15" x14ac:dyDescent="0.25">
      <c r="A41" s="71">
        <v>45422</v>
      </c>
      <c r="B41" s="55" t="s">
        <v>1019</v>
      </c>
      <c r="C41" s="55" t="s">
        <v>43</v>
      </c>
      <c r="D41" s="56">
        <f t="shared" si="1"/>
        <v>163.63636363636363</v>
      </c>
      <c r="E41" s="56">
        <f t="shared" si="0"/>
        <v>16.363636363636363</v>
      </c>
      <c r="F41" s="63">
        <v>180</v>
      </c>
      <c r="G41" s="63">
        <v>180</v>
      </c>
      <c r="H41" s="58">
        <f t="shared" si="2"/>
        <v>0</v>
      </c>
      <c r="I41" s="64" t="s">
        <v>603</v>
      </c>
      <c r="J41" s="137">
        <v>180</v>
      </c>
      <c r="K41" s="137"/>
      <c r="L41" s="55"/>
      <c r="M41" s="138"/>
      <c r="N41" s="22"/>
      <c r="O41" s="22"/>
    </row>
    <row r="42" spans="1:15" x14ac:dyDescent="0.25">
      <c r="A42" s="71">
        <v>45422</v>
      </c>
      <c r="B42" s="55" t="s">
        <v>1579</v>
      </c>
      <c r="C42" s="55" t="s">
        <v>43</v>
      </c>
      <c r="D42" s="56">
        <f t="shared" si="1"/>
        <v>199.99999999999997</v>
      </c>
      <c r="E42" s="56">
        <f t="shared" si="0"/>
        <v>19.999999999999996</v>
      </c>
      <c r="F42" s="63">
        <v>220</v>
      </c>
      <c r="G42" s="63">
        <v>50</v>
      </c>
      <c r="H42" s="58">
        <f t="shared" si="2"/>
        <v>170</v>
      </c>
      <c r="I42" s="64" t="s">
        <v>1788</v>
      </c>
      <c r="J42" s="137">
        <v>220</v>
      </c>
      <c r="K42" s="137"/>
      <c r="L42" s="55"/>
      <c r="M42" s="138"/>
      <c r="N42" s="22"/>
      <c r="O42" s="22"/>
    </row>
    <row r="43" spans="1:15" x14ac:dyDescent="0.25">
      <c r="A43" s="71">
        <v>45422</v>
      </c>
      <c r="B43" s="55" t="s">
        <v>1580</v>
      </c>
      <c r="C43" s="55" t="s">
        <v>43</v>
      </c>
      <c r="D43" s="56">
        <f t="shared" si="1"/>
        <v>281.81818181818181</v>
      </c>
      <c r="E43" s="56">
        <f t="shared" si="0"/>
        <v>28.18181818181818</v>
      </c>
      <c r="F43" s="63">
        <v>310</v>
      </c>
      <c r="G43" s="63">
        <v>50</v>
      </c>
      <c r="H43" s="58">
        <f t="shared" si="2"/>
        <v>260</v>
      </c>
      <c r="I43" s="64" t="s">
        <v>1818</v>
      </c>
      <c r="J43" s="137">
        <v>270</v>
      </c>
      <c r="K43" s="137">
        <v>40</v>
      </c>
      <c r="L43" s="55" t="s">
        <v>252</v>
      </c>
      <c r="M43" s="138"/>
      <c r="N43" s="22"/>
      <c r="O43" s="22"/>
    </row>
    <row r="44" spans="1:15" x14ac:dyDescent="0.25">
      <c r="A44" s="71">
        <v>45422</v>
      </c>
      <c r="B44" s="55" t="s">
        <v>1581</v>
      </c>
      <c r="C44" s="55" t="s">
        <v>43</v>
      </c>
      <c r="D44" s="56">
        <f t="shared" si="1"/>
        <v>127.27272727272727</v>
      </c>
      <c r="E44" s="56">
        <f t="shared" si="0"/>
        <v>12.727272727272727</v>
      </c>
      <c r="F44" s="63">
        <v>140</v>
      </c>
      <c r="G44" s="63"/>
      <c r="H44" s="58">
        <f t="shared" si="2"/>
        <v>140</v>
      </c>
      <c r="I44" s="64" t="s">
        <v>1819</v>
      </c>
      <c r="J44" s="137">
        <v>140</v>
      </c>
      <c r="K44" s="137"/>
      <c r="L44" s="55"/>
      <c r="M44" s="138"/>
      <c r="N44" s="22"/>
      <c r="O44" s="22"/>
    </row>
    <row r="45" spans="1:15" x14ac:dyDescent="0.25">
      <c r="A45" s="71">
        <v>45422</v>
      </c>
      <c r="B45" s="55" t="s">
        <v>1582</v>
      </c>
      <c r="C45" s="55" t="s">
        <v>43</v>
      </c>
      <c r="D45" s="56">
        <f t="shared" si="1"/>
        <v>154.54545454545453</v>
      </c>
      <c r="E45" s="56">
        <f t="shared" si="0"/>
        <v>15.454545454545453</v>
      </c>
      <c r="F45" s="63">
        <v>170</v>
      </c>
      <c r="G45" s="63">
        <v>50</v>
      </c>
      <c r="H45" s="58">
        <f t="shared" si="2"/>
        <v>120</v>
      </c>
      <c r="I45" s="64" t="s">
        <v>1820</v>
      </c>
      <c r="J45" s="137">
        <v>170</v>
      </c>
      <c r="K45" s="137"/>
      <c r="L45" s="55"/>
      <c r="M45" s="138"/>
      <c r="N45" s="22"/>
      <c r="O45" s="22"/>
    </row>
    <row r="46" spans="1:15" x14ac:dyDescent="0.25">
      <c r="A46" s="71">
        <v>45423</v>
      </c>
      <c r="B46" s="55" t="s">
        <v>1583</v>
      </c>
      <c r="C46" s="55" t="s">
        <v>43</v>
      </c>
      <c r="D46" s="56">
        <f t="shared" si="1"/>
        <v>254.54545454545453</v>
      </c>
      <c r="E46" s="56">
        <f t="shared" si="0"/>
        <v>25.454545454545453</v>
      </c>
      <c r="F46" s="63">
        <v>280</v>
      </c>
      <c r="G46" s="63">
        <v>50</v>
      </c>
      <c r="H46" s="58">
        <f t="shared" si="2"/>
        <v>230</v>
      </c>
      <c r="I46" s="64" t="s">
        <v>1821</v>
      </c>
      <c r="J46" s="137">
        <v>220</v>
      </c>
      <c r="K46" s="137">
        <v>60</v>
      </c>
      <c r="L46" s="55" t="s">
        <v>252</v>
      </c>
      <c r="M46" s="138"/>
      <c r="N46" s="22"/>
      <c r="O46" s="22"/>
    </row>
    <row r="47" spans="1:15" x14ac:dyDescent="0.25">
      <c r="A47" s="71">
        <v>45423</v>
      </c>
      <c r="B47" s="55" t="s">
        <v>1584</v>
      </c>
      <c r="C47" s="55" t="s">
        <v>43</v>
      </c>
      <c r="D47" s="56">
        <f t="shared" si="1"/>
        <v>281.81818181818181</v>
      </c>
      <c r="E47" s="56">
        <f t="shared" si="0"/>
        <v>28.18181818181818</v>
      </c>
      <c r="F47" s="63">
        <v>310</v>
      </c>
      <c r="G47" s="63">
        <v>50</v>
      </c>
      <c r="H47" s="58">
        <f t="shared" si="2"/>
        <v>260</v>
      </c>
      <c r="I47" s="64" t="s">
        <v>1822</v>
      </c>
      <c r="J47" s="137">
        <v>270</v>
      </c>
      <c r="K47" s="137">
        <v>40</v>
      </c>
      <c r="L47" s="55" t="s">
        <v>252</v>
      </c>
      <c r="M47" s="138"/>
      <c r="N47" s="22"/>
      <c r="O47" s="22"/>
    </row>
    <row r="48" spans="1:15" x14ac:dyDescent="0.25">
      <c r="A48" s="71">
        <v>45423</v>
      </c>
      <c r="B48" s="55" t="s">
        <v>1585</v>
      </c>
      <c r="C48" s="55" t="s">
        <v>43</v>
      </c>
      <c r="D48" s="56">
        <f t="shared" si="1"/>
        <v>240.90909090909088</v>
      </c>
      <c r="E48" s="56">
        <f t="shared" si="0"/>
        <v>24.09090909090909</v>
      </c>
      <c r="F48" s="63">
        <v>265</v>
      </c>
      <c r="G48" s="63">
        <v>50</v>
      </c>
      <c r="H48" s="58">
        <f t="shared" si="2"/>
        <v>215</v>
      </c>
      <c r="I48" s="64" t="s">
        <v>1823</v>
      </c>
      <c r="J48" s="137">
        <v>220</v>
      </c>
      <c r="K48" s="137"/>
      <c r="L48" s="55"/>
      <c r="M48" s="138">
        <v>45</v>
      </c>
      <c r="N48" s="22" t="s">
        <v>45</v>
      </c>
      <c r="O48" s="22"/>
    </row>
    <row r="49" spans="1:15" x14ac:dyDescent="0.25">
      <c r="A49" s="71">
        <v>45423</v>
      </c>
      <c r="B49" s="55" t="s">
        <v>1586</v>
      </c>
      <c r="C49" s="55" t="s">
        <v>43</v>
      </c>
      <c r="D49" s="56">
        <f t="shared" si="1"/>
        <v>281.81818181818181</v>
      </c>
      <c r="E49" s="56">
        <f t="shared" si="0"/>
        <v>28.18181818181818</v>
      </c>
      <c r="F49" s="63">
        <v>310</v>
      </c>
      <c r="G49" s="63">
        <v>50</v>
      </c>
      <c r="H49" s="58">
        <f t="shared" si="2"/>
        <v>260</v>
      </c>
      <c r="I49" s="64" t="s">
        <v>1824</v>
      </c>
      <c r="J49" s="137">
        <v>270</v>
      </c>
      <c r="K49" s="137">
        <v>40</v>
      </c>
      <c r="L49" s="55" t="s">
        <v>252</v>
      </c>
      <c r="M49" s="138"/>
      <c r="N49" s="22"/>
      <c r="O49" s="22"/>
    </row>
    <row r="50" spans="1:15" x14ac:dyDescent="0.25">
      <c r="A50" s="71">
        <v>45423</v>
      </c>
      <c r="B50" s="55" t="s">
        <v>1587</v>
      </c>
      <c r="C50" s="55" t="s">
        <v>43</v>
      </c>
      <c r="D50" s="56">
        <f t="shared" si="1"/>
        <v>199.99999999999997</v>
      </c>
      <c r="E50" s="56">
        <f t="shared" si="0"/>
        <v>19.999999999999996</v>
      </c>
      <c r="F50" s="63">
        <v>220</v>
      </c>
      <c r="G50" s="63">
        <v>50</v>
      </c>
      <c r="H50" s="58">
        <f t="shared" si="2"/>
        <v>170</v>
      </c>
      <c r="I50" s="64" t="s">
        <v>1825</v>
      </c>
      <c r="J50" s="137">
        <v>220</v>
      </c>
      <c r="K50" s="137"/>
      <c r="L50" s="55"/>
      <c r="M50" s="138"/>
      <c r="N50" s="22"/>
      <c r="O50" s="22"/>
    </row>
    <row r="51" spans="1:15" x14ac:dyDescent="0.25">
      <c r="A51" s="71">
        <v>45423</v>
      </c>
      <c r="B51" s="55" t="s">
        <v>1588</v>
      </c>
      <c r="C51" s="55" t="s">
        <v>43</v>
      </c>
      <c r="D51" s="56">
        <f t="shared" si="1"/>
        <v>199.99999999999997</v>
      </c>
      <c r="E51" s="56">
        <f t="shared" si="0"/>
        <v>19.999999999999996</v>
      </c>
      <c r="F51" s="63">
        <v>220</v>
      </c>
      <c r="G51" s="63">
        <v>50</v>
      </c>
      <c r="H51" s="58">
        <f t="shared" si="2"/>
        <v>170</v>
      </c>
      <c r="I51" s="64" t="s">
        <v>1826</v>
      </c>
      <c r="J51" s="137">
        <v>220</v>
      </c>
      <c r="K51" s="137"/>
      <c r="L51" s="55"/>
      <c r="M51" s="138"/>
      <c r="N51" s="22"/>
      <c r="O51" s="22"/>
    </row>
    <row r="52" spans="1:15" x14ac:dyDescent="0.25">
      <c r="A52" s="73">
        <v>45423</v>
      </c>
      <c r="B52" s="55" t="s">
        <v>1589</v>
      </c>
      <c r="C52" s="55" t="s">
        <v>43</v>
      </c>
      <c r="D52" s="56">
        <f t="shared" si="1"/>
        <v>154.54545454545453</v>
      </c>
      <c r="E52" s="56">
        <f t="shared" si="0"/>
        <v>15.454545454545453</v>
      </c>
      <c r="F52" s="63">
        <v>170</v>
      </c>
      <c r="G52" s="63">
        <v>50</v>
      </c>
      <c r="H52" s="58">
        <f t="shared" si="2"/>
        <v>120</v>
      </c>
      <c r="I52" s="145" t="s">
        <v>1827</v>
      </c>
      <c r="J52" s="146">
        <v>170</v>
      </c>
      <c r="K52" s="146"/>
      <c r="L52" s="14"/>
      <c r="M52" s="138"/>
      <c r="N52" s="22"/>
      <c r="O52" s="142"/>
    </row>
    <row r="53" spans="1:15" x14ac:dyDescent="0.25">
      <c r="A53" s="71">
        <v>45423</v>
      </c>
      <c r="B53" s="55" t="s">
        <v>1590</v>
      </c>
      <c r="C53" s="55" t="s">
        <v>43</v>
      </c>
      <c r="D53" s="56">
        <f t="shared" si="1"/>
        <v>136.36363636363635</v>
      </c>
      <c r="E53" s="56">
        <f t="shared" si="0"/>
        <v>13.636363636363635</v>
      </c>
      <c r="F53" s="63">
        <v>150</v>
      </c>
      <c r="G53" s="63">
        <v>50</v>
      </c>
      <c r="H53" s="58">
        <f t="shared" si="2"/>
        <v>100</v>
      </c>
      <c r="I53" s="64" t="s">
        <v>1828</v>
      </c>
      <c r="J53" s="137">
        <v>150</v>
      </c>
      <c r="K53" s="137"/>
      <c r="L53" s="55"/>
      <c r="M53" s="138"/>
      <c r="N53" s="22"/>
      <c r="O53" s="22"/>
    </row>
    <row r="54" spans="1:15" x14ac:dyDescent="0.25">
      <c r="A54" s="71">
        <v>45423</v>
      </c>
      <c r="B54" s="55" t="s">
        <v>1591</v>
      </c>
      <c r="C54" s="55" t="s">
        <v>43</v>
      </c>
      <c r="D54" s="56">
        <f t="shared" si="1"/>
        <v>127.27272727272727</v>
      </c>
      <c r="E54" s="56">
        <f t="shared" si="0"/>
        <v>12.727272727272727</v>
      </c>
      <c r="F54" s="63">
        <v>140</v>
      </c>
      <c r="G54" s="63"/>
      <c r="H54" s="58">
        <f t="shared" si="2"/>
        <v>140</v>
      </c>
      <c r="I54" s="64" t="s">
        <v>1039</v>
      </c>
      <c r="J54" s="137">
        <v>140</v>
      </c>
      <c r="K54" s="137"/>
      <c r="L54" s="55"/>
      <c r="M54" s="138"/>
      <c r="N54" s="22"/>
      <c r="O54" s="22"/>
    </row>
    <row r="55" spans="1:15" x14ac:dyDescent="0.25">
      <c r="A55" s="71">
        <v>45423</v>
      </c>
      <c r="B55" s="55" t="s">
        <v>1592</v>
      </c>
      <c r="C55" s="55" t="s">
        <v>43</v>
      </c>
      <c r="D55" s="56">
        <f t="shared" si="1"/>
        <v>154.54545454545453</v>
      </c>
      <c r="E55" s="56">
        <f t="shared" si="0"/>
        <v>15.454545454545453</v>
      </c>
      <c r="F55" s="63">
        <v>170</v>
      </c>
      <c r="G55" s="63">
        <v>50</v>
      </c>
      <c r="H55" s="58">
        <f t="shared" si="2"/>
        <v>120</v>
      </c>
      <c r="I55" s="64" t="s">
        <v>1829</v>
      </c>
      <c r="J55" s="137">
        <v>170</v>
      </c>
      <c r="K55" s="137"/>
      <c r="L55" s="55"/>
      <c r="M55" s="138"/>
      <c r="N55" s="22"/>
      <c r="O55" s="22"/>
    </row>
    <row r="56" spans="1:15" x14ac:dyDescent="0.25">
      <c r="A56" s="71">
        <v>45423</v>
      </c>
      <c r="B56" s="55" t="s">
        <v>1593</v>
      </c>
      <c r="C56" s="55" t="s">
        <v>43</v>
      </c>
      <c r="D56" s="56">
        <f t="shared" si="1"/>
        <v>209.09090909090907</v>
      </c>
      <c r="E56" s="56">
        <f t="shared" si="0"/>
        <v>20.909090909090907</v>
      </c>
      <c r="F56" s="63">
        <v>230</v>
      </c>
      <c r="G56" s="63">
        <v>50</v>
      </c>
      <c r="H56" s="58">
        <f t="shared" si="2"/>
        <v>180</v>
      </c>
      <c r="I56" s="64" t="s">
        <v>1830</v>
      </c>
      <c r="J56" s="137">
        <v>170</v>
      </c>
      <c r="K56" s="137">
        <v>20</v>
      </c>
      <c r="L56" s="55" t="s">
        <v>252</v>
      </c>
      <c r="M56" s="138">
        <v>40</v>
      </c>
      <c r="N56" s="22" t="s">
        <v>45</v>
      </c>
      <c r="O56" s="22"/>
    </row>
    <row r="57" spans="1:15" x14ac:dyDescent="0.25">
      <c r="A57" s="71">
        <v>45423</v>
      </c>
      <c r="B57" s="55" t="s">
        <v>1594</v>
      </c>
      <c r="C57" s="55" t="s">
        <v>43</v>
      </c>
      <c r="D57" s="56">
        <f t="shared" si="1"/>
        <v>154.54545454545453</v>
      </c>
      <c r="E57" s="56">
        <f t="shared" si="0"/>
        <v>15.454545454545453</v>
      </c>
      <c r="F57" s="63">
        <v>170</v>
      </c>
      <c r="G57" s="63">
        <v>50</v>
      </c>
      <c r="H57" s="58">
        <f t="shared" si="2"/>
        <v>120</v>
      </c>
      <c r="I57" s="64" t="s">
        <v>1831</v>
      </c>
      <c r="J57" s="137">
        <v>170</v>
      </c>
      <c r="K57" s="137"/>
      <c r="L57" s="55"/>
      <c r="M57" s="138"/>
      <c r="N57" s="22"/>
      <c r="O57" s="22"/>
    </row>
    <row r="58" spans="1:15" x14ac:dyDescent="0.25">
      <c r="A58" s="71">
        <v>45423</v>
      </c>
      <c r="B58" s="55" t="s">
        <v>1595</v>
      </c>
      <c r="C58" s="55" t="s">
        <v>43</v>
      </c>
      <c r="D58" s="56">
        <f t="shared" si="1"/>
        <v>181.81818181818181</v>
      </c>
      <c r="E58" s="56">
        <f t="shared" si="0"/>
        <v>18.18181818181818</v>
      </c>
      <c r="F58" s="63">
        <v>200</v>
      </c>
      <c r="G58" s="63">
        <v>50</v>
      </c>
      <c r="H58" s="58">
        <f t="shared" si="2"/>
        <v>150</v>
      </c>
      <c r="I58" s="64" t="s">
        <v>1832</v>
      </c>
      <c r="J58" s="137">
        <v>170</v>
      </c>
      <c r="K58" s="137">
        <v>30</v>
      </c>
      <c r="L58" s="55" t="s">
        <v>252</v>
      </c>
      <c r="M58" s="138"/>
      <c r="N58" s="22"/>
      <c r="O58" s="22"/>
    </row>
    <row r="59" spans="1:15" x14ac:dyDescent="0.25">
      <c r="A59" s="73">
        <v>45423</v>
      </c>
      <c r="B59" s="55" t="s">
        <v>1596</v>
      </c>
      <c r="C59" s="55" t="s">
        <v>43</v>
      </c>
      <c r="D59" s="56">
        <f t="shared" si="1"/>
        <v>345.45454545454544</v>
      </c>
      <c r="E59" s="56">
        <f t="shared" si="0"/>
        <v>34.545454545454547</v>
      </c>
      <c r="F59" s="63">
        <v>380</v>
      </c>
      <c r="G59" s="63">
        <v>50</v>
      </c>
      <c r="H59" s="58">
        <f t="shared" si="2"/>
        <v>330</v>
      </c>
      <c r="I59" s="64" t="s">
        <v>1565</v>
      </c>
      <c r="J59" s="137">
        <v>220</v>
      </c>
      <c r="K59" s="137"/>
      <c r="L59" s="55"/>
      <c r="M59" s="138">
        <v>160</v>
      </c>
      <c r="N59" s="22" t="s">
        <v>1836</v>
      </c>
      <c r="O59" s="22"/>
    </row>
    <row r="60" spans="1:15" x14ac:dyDescent="0.25">
      <c r="A60" s="71">
        <v>45423</v>
      </c>
      <c r="B60" s="55" t="s">
        <v>1597</v>
      </c>
      <c r="C60" s="55" t="s">
        <v>43</v>
      </c>
      <c r="D60" s="56">
        <f t="shared" si="1"/>
        <v>172.72727272727272</v>
      </c>
      <c r="E60" s="56">
        <f t="shared" si="0"/>
        <v>17.272727272727273</v>
      </c>
      <c r="F60" s="63">
        <v>190</v>
      </c>
      <c r="G60" s="63"/>
      <c r="H60" s="58">
        <f t="shared" si="2"/>
        <v>190</v>
      </c>
      <c r="I60" s="64" t="s">
        <v>1833</v>
      </c>
      <c r="J60" s="137">
        <v>190</v>
      </c>
      <c r="K60" s="137"/>
      <c r="L60" s="55"/>
      <c r="M60" s="138"/>
      <c r="N60" s="22"/>
      <c r="O60" s="22"/>
    </row>
    <row r="61" spans="1:15" x14ac:dyDescent="0.25">
      <c r="A61" s="71">
        <v>45423</v>
      </c>
      <c r="B61" s="55" t="s">
        <v>1598</v>
      </c>
      <c r="C61" s="55" t="s">
        <v>43</v>
      </c>
      <c r="D61" s="56">
        <f t="shared" si="1"/>
        <v>245.45454545454544</v>
      </c>
      <c r="E61" s="56">
        <f t="shared" si="0"/>
        <v>24.545454545454547</v>
      </c>
      <c r="F61" s="63">
        <v>270</v>
      </c>
      <c r="G61" s="63">
        <v>50</v>
      </c>
      <c r="H61" s="58">
        <f t="shared" si="2"/>
        <v>220</v>
      </c>
      <c r="I61" s="64" t="s">
        <v>1834</v>
      </c>
      <c r="J61" s="137">
        <v>270</v>
      </c>
      <c r="K61" s="137"/>
      <c r="L61" s="55"/>
      <c r="M61" s="138"/>
      <c r="N61" s="22"/>
      <c r="O61" s="22"/>
    </row>
    <row r="62" spans="1:15" x14ac:dyDescent="0.25">
      <c r="A62" s="73">
        <v>45423</v>
      </c>
      <c r="B62" s="55" t="s">
        <v>1599</v>
      </c>
      <c r="C62" s="55" t="s">
        <v>43</v>
      </c>
      <c r="D62" s="56">
        <f t="shared" si="1"/>
        <v>245.45454545454544</v>
      </c>
      <c r="E62" s="56">
        <f t="shared" si="0"/>
        <v>24.545454545454547</v>
      </c>
      <c r="F62" s="63">
        <v>270</v>
      </c>
      <c r="G62" s="63">
        <v>50</v>
      </c>
      <c r="H62" s="58">
        <f t="shared" si="2"/>
        <v>220</v>
      </c>
      <c r="I62" s="64" t="s">
        <v>1835</v>
      </c>
      <c r="J62" s="137">
        <v>270</v>
      </c>
      <c r="K62" s="137"/>
      <c r="L62" s="55"/>
      <c r="M62" s="138"/>
      <c r="N62" s="22"/>
      <c r="O62" s="22"/>
    </row>
    <row r="63" spans="1:15" x14ac:dyDescent="0.25">
      <c r="A63" s="71">
        <v>45423</v>
      </c>
      <c r="B63" s="55" t="s">
        <v>1600</v>
      </c>
      <c r="C63" s="55" t="s">
        <v>43</v>
      </c>
      <c r="D63" s="56">
        <f t="shared" si="1"/>
        <v>163.63636363636363</v>
      </c>
      <c r="E63" s="56">
        <f t="shared" si="0"/>
        <v>16.363636363636363</v>
      </c>
      <c r="F63" s="63">
        <v>180</v>
      </c>
      <c r="G63" s="63"/>
      <c r="H63" s="58">
        <f t="shared" si="2"/>
        <v>180</v>
      </c>
      <c r="I63" s="64" t="s">
        <v>1355</v>
      </c>
      <c r="J63" s="137">
        <v>180</v>
      </c>
      <c r="K63" s="137"/>
      <c r="L63" s="55"/>
      <c r="M63" s="138"/>
      <c r="N63" s="22"/>
      <c r="O63" s="22"/>
    </row>
    <row r="64" spans="1:15" x14ac:dyDescent="0.25">
      <c r="A64" s="73">
        <v>45423</v>
      </c>
      <c r="B64" s="55" t="s">
        <v>1601</v>
      </c>
      <c r="C64" s="55" t="s">
        <v>43</v>
      </c>
      <c r="D64" s="56">
        <f t="shared" si="1"/>
        <v>172.72727272727272</v>
      </c>
      <c r="E64" s="56">
        <f t="shared" si="0"/>
        <v>17.272727272727273</v>
      </c>
      <c r="F64" s="63">
        <v>190</v>
      </c>
      <c r="G64" s="63"/>
      <c r="H64" s="58">
        <f t="shared" si="2"/>
        <v>190</v>
      </c>
      <c r="I64" s="64" t="s">
        <v>1837</v>
      </c>
      <c r="J64" s="137">
        <v>190</v>
      </c>
      <c r="K64" s="137"/>
      <c r="L64" s="55"/>
      <c r="M64" s="138"/>
      <c r="N64" s="22"/>
      <c r="O64" s="22"/>
    </row>
    <row r="65" spans="1:15" x14ac:dyDescent="0.25">
      <c r="A65" s="71">
        <v>45423</v>
      </c>
      <c r="B65" s="55" t="s">
        <v>1602</v>
      </c>
      <c r="C65" s="55" t="s">
        <v>43</v>
      </c>
      <c r="D65" s="56">
        <f t="shared" si="1"/>
        <v>199.99999999999997</v>
      </c>
      <c r="E65" s="56">
        <f t="shared" si="0"/>
        <v>19.999999999999996</v>
      </c>
      <c r="F65" s="63">
        <v>220</v>
      </c>
      <c r="G65" s="63">
        <v>50</v>
      </c>
      <c r="H65" s="58">
        <f t="shared" si="2"/>
        <v>170</v>
      </c>
      <c r="I65" s="64" t="s">
        <v>1838</v>
      </c>
      <c r="J65" s="137">
        <v>220</v>
      </c>
      <c r="K65" s="137"/>
      <c r="L65" s="55"/>
      <c r="M65" s="138"/>
      <c r="N65" s="22"/>
      <c r="O65" s="22"/>
    </row>
    <row r="66" spans="1:15" x14ac:dyDescent="0.25">
      <c r="A66" s="71">
        <v>45423</v>
      </c>
      <c r="B66" s="55" t="s">
        <v>1603</v>
      </c>
      <c r="C66" s="55" t="s">
        <v>43</v>
      </c>
      <c r="D66" s="56">
        <f t="shared" si="1"/>
        <v>154.54545454545453</v>
      </c>
      <c r="E66" s="56">
        <f t="shared" si="0"/>
        <v>15.454545454545453</v>
      </c>
      <c r="F66" s="63">
        <v>170</v>
      </c>
      <c r="G66" s="63">
        <v>50</v>
      </c>
      <c r="H66" s="58">
        <f t="shared" si="2"/>
        <v>120</v>
      </c>
      <c r="I66" s="64" t="s">
        <v>1839</v>
      </c>
      <c r="J66" s="137">
        <v>170</v>
      </c>
      <c r="K66" s="137"/>
      <c r="L66" s="55"/>
      <c r="M66" s="138"/>
      <c r="N66" s="22"/>
      <c r="O66" s="22"/>
    </row>
    <row r="67" spans="1:15" x14ac:dyDescent="0.25">
      <c r="A67" s="73">
        <v>45423</v>
      </c>
      <c r="B67" s="55" t="s">
        <v>1604</v>
      </c>
      <c r="C67" s="55" t="s">
        <v>43</v>
      </c>
      <c r="D67" s="56">
        <f t="shared" si="1"/>
        <v>199.99999999999997</v>
      </c>
      <c r="E67" s="56">
        <f t="shared" ref="E67:E130" si="3">D67*10/100</f>
        <v>19.999999999999996</v>
      </c>
      <c r="F67" s="63">
        <v>220</v>
      </c>
      <c r="G67" s="63">
        <v>50</v>
      </c>
      <c r="H67" s="58">
        <f t="shared" si="2"/>
        <v>170</v>
      </c>
      <c r="I67" s="64" t="s">
        <v>1840</v>
      </c>
      <c r="J67" s="137">
        <v>220</v>
      </c>
      <c r="K67" s="137"/>
      <c r="L67" s="55"/>
      <c r="M67" s="138"/>
      <c r="N67" s="22"/>
      <c r="O67" s="22"/>
    </row>
    <row r="68" spans="1:15" x14ac:dyDescent="0.25">
      <c r="A68" s="71">
        <v>45423</v>
      </c>
      <c r="B68" s="55" t="s">
        <v>1605</v>
      </c>
      <c r="C68" s="55" t="s">
        <v>43</v>
      </c>
      <c r="D68" s="56">
        <f t="shared" ref="D68:D131" si="4">F68/1.1</f>
        <v>127.27272727272727</v>
      </c>
      <c r="E68" s="56">
        <f t="shared" si="3"/>
        <v>12.727272727272727</v>
      </c>
      <c r="F68" s="63">
        <v>140</v>
      </c>
      <c r="G68" s="63"/>
      <c r="H68" s="58">
        <f t="shared" ref="H68:H131" si="5">F68-G68</f>
        <v>140</v>
      </c>
      <c r="I68" s="64" t="s">
        <v>603</v>
      </c>
      <c r="J68" s="137">
        <v>140</v>
      </c>
      <c r="K68" s="137"/>
      <c r="L68" s="55"/>
      <c r="M68" s="138"/>
      <c r="N68" s="22"/>
      <c r="O68" s="22"/>
    </row>
    <row r="69" spans="1:15" x14ac:dyDescent="0.25">
      <c r="A69" s="73">
        <v>45423</v>
      </c>
      <c r="B69" s="55" t="s">
        <v>1606</v>
      </c>
      <c r="C69" s="55" t="s">
        <v>43</v>
      </c>
      <c r="D69" s="56">
        <f t="shared" si="4"/>
        <v>190.90909090909091</v>
      </c>
      <c r="E69" s="56">
        <f t="shared" si="3"/>
        <v>19.09090909090909</v>
      </c>
      <c r="F69" s="63">
        <v>210</v>
      </c>
      <c r="G69" s="63">
        <v>50</v>
      </c>
      <c r="H69" s="58">
        <f t="shared" si="5"/>
        <v>160</v>
      </c>
      <c r="I69" s="64" t="s">
        <v>1841</v>
      </c>
      <c r="J69" s="137">
        <v>170</v>
      </c>
      <c r="K69" s="137">
        <v>40</v>
      </c>
      <c r="L69" s="55" t="s">
        <v>252</v>
      </c>
      <c r="M69" s="138"/>
      <c r="N69" s="22"/>
      <c r="O69" s="22"/>
    </row>
    <row r="70" spans="1:15" x14ac:dyDescent="0.25">
      <c r="A70" s="71">
        <v>45423</v>
      </c>
      <c r="B70" s="55" t="s">
        <v>1607</v>
      </c>
      <c r="C70" s="55" t="s">
        <v>43</v>
      </c>
      <c r="D70" s="56">
        <f t="shared" si="4"/>
        <v>249.99999999999997</v>
      </c>
      <c r="E70" s="56">
        <f t="shared" si="3"/>
        <v>24.999999999999996</v>
      </c>
      <c r="F70" s="63">
        <v>275</v>
      </c>
      <c r="G70" s="63">
        <v>50</v>
      </c>
      <c r="H70" s="58">
        <f t="shared" si="5"/>
        <v>225</v>
      </c>
      <c r="I70" s="64" t="s">
        <v>1842</v>
      </c>
      <c r="J70" s="137">
        <v>170</v>
      </c>
      <c r="K70" s="137">
        <v>40</v>
      </c>
      <c r="L70" s="55" t="s">
        <v>252</v>
      </c>
      <c r="M70" s="138">
        <v>45</v>
      </c>
      <c r="N70" s="22" t="s">
        <v>45</v>
      </c>
      <c r="O70" s="22"/>
    </row>
    <row r="71" spans="1:15" x14ac:dyDescent="0.25">
      <c r="A71" s="71">
        <v>45423</v>
      </c>
      <c r="B71" s="55" t="s">
        <v>1608</v>
      </c>
      <c r="C71" s="55" t="s">
        <v>43</v>
      </c>
      <c r="D71" s="56">
        <f t="shared" si="4"/>
        <v>154.54545454545453</v>
      </c>
      <c r="E71" s="56">
        <f t="shared" si="3"/>
        <v>15.454545454545453</v>
      </c>
      <c r="F71" s="63">
        <v>170</v>
      </c>
      <c r="G71" s="63">
        <v>50</v>
      </c>
      <c r="H71" s="58">
        <f t="shared" si="5"/>
        <v>120</v>
      </c>
      <c r="I71" s="64" t="s">
        <v>1843</v>
      </c>
      <c r="J71" s="137">
        <v>170</v>
      </c>
      <c r="K71" s="137"/>
      <c r="L71" s="55"/>
      <c r="M71" s="138"/>
      <c r="N71" s="22"/>
      <c r="O71" s="22"/>
    </row>
    <row r="72" spans="1:15" x14ac:dyDescent="0.25">
      <c r="A72" s="73">
        <v>45423</v>
      </c>
      <c r="B72" s="55" t="s">
        <v>1609</v>
      </c>
      <c r="C72" s="55" t="s">
        <v>43</v>
      </c>
      <c r="D72" s="56">
        <f t="shared" si="4"/>
        <v>154.54545454545453</v>
      </c>
      <c r="E72" s="56">
        <f t="shared" si="3"/>
        <v>15.454545454545453</v>
      </c>
      <c r="F72" s="63">
        <v>170</v>
      </c>
      <c r="G72" s="63">
        <v>50</v>
      </c>
      <c r="H72" s="58">
        <f t="shared" si="5"/>
        <v>120</v>
      </c>
      <c r="I72" s="64" t="s">
        <v>1027</v>
      </c>
      <c r="J72" s="137">
        <v>170</v>
      </c>
      <c r="K72" s="137"/>
      <c r="L72" s="55"/>
      <c r="M72" s="138"/>
      <c r="N72" s="22"/>
      <c r="O72" s="22"/>
    </row>
    <row r="73" spans="1:15" x14ac:dyDescent="0.25">
      <c r="A73" s="71">
        <v>45423</v>
      </c>
      <c r="B73" s="55" t="s">
        <v>1610</v>
      </c>
      <c r="C73" s="55" t="s">
        <v>43</v>
      </c>
      <c r="D73" s="56">
        <f t="shared" si="4"/>
        <v>127.27272727272727</v>
      </c>
      <c r="E73" s="56">
        <f t="shared" si="3"/>
        <v>12.727272727272727</v>
      </c>
      <c r="F73" s="63">
        <v>140</v>
      </c>
      <c r="G73" s="63"/>
      <c r="H73" s="58">
        <f t="shared" si="5"/>
        <v>140</v>
      </c>
      <c r="I73" s="64" t="s">
        <v>1355</v>
      </c>
      <c r="J73" s="137">
        <v>140</v>
      </c>
      <c r="K73" s="137"/>
      <c r="L73" s="55"/>
      <c r="M73" s="138"/>
      <c r="N73" s="22"/>
      <c r="O73" s="22"/>
    </row>
    <row r="74" spans="1:15" x14ac:dyDescent="0.25">
      <c r="A74" s="71">
        <v>45424</v>
      </c>
      <c r="B74" s="55" t="s">
        <v>1611</v>
      </c>
      <c r="C74" s="55" t="s">
        <v>43</v>
      </c>
      <c r="D74" s="56">
        <f t="shared" si="4"/>
        <v>154.54545454545453</v>
      </c>
      <c r="E74" s="56">
        <f t="shared" si="3"/>
        <v>15.454545454545453</v>
      </c>
      <c r="F74" s="63">
        <v>170</v>
      </c>
      <c r="G74" s="63">
        <v>50</v>
      </c>
      <c r="H74" s="58">
        <f t="shared" si="5"/>
        <v>120</v>
      </c>
      <c r="I74" s="64" t="s">
        <v>1844</v>
      </c>
      <c r="J74" s="137">
        <v>170</v>
      </c>
      <c r="K74" s="137"/>
      <c r="L74" s="55"/>
      <c r="M74" s="138"/>
      <c r="N74" s="22"/>
      <c r="O74" s="22"/>
    </row>
    <row r="75" spans="1:15" x14ac:dyDescent="0.25">
      <c r="A75" s="71">
        <v>45425</v>
      </c>
      <c r="B75" s="55" t="s">
        <v>1612</v>
      </c>
      <c r="C75" s="55" t="s">
        <v>43</v>
      </c>
      <c r="D75" s="56">
        <f t="shared" si="4"/>
        <v>240.90909090909088</v>
      </c>
      <c r="E75" s="56">
        <f t="shared" si="3"/>
        <v>24.09090909090909</v>
      </c>
      <c r="F75" s="63">
        <v>265</v>
      </c>
      <c r="G75" s="66">
        <v>50</v>
      </c>
      <c r="H75" s="58">
        <f t="shared" si="5"/>
        <v>215</v>
      </c>
      <c r="I75" s="64" t="s">
        <v>1845</v>
      </c>
      <c r="J75" s="137">
        <v>220</v>
      </c>
      <c r="K75" s="137"/>
      <c r="L75" s="55"/>
      <c r="M75" s="138">
        <v>45</v>
      </c>
      <c r="N75" s="22" t="s">
        <v>45</v>
      </c>
      <c r="O75" s="22"/>
    </row>
    <row r="76" spans="1:15" x14ac:dyDescent="0.25">
      <c r="A76" s="71">
        <v>45426</v>
      </c>
      <c r="B76" s="55" t="s">
        <v>1613</v>
      </c>
      <c r="C76" s="55" t="s">
        <v>43</v>
      </c>
      <c r="D76" s="56">
        <f t="shared" si="4"/>
        <v>209.09090909090907</v>
      </c>
      <c r="E76" s="56">
        <f t="shared" si="3"/>
        <v>20.909090909090907</v>
      </c>
      <c r="F76" s="63">
        <v>230</v>
      </c>
      <c r="G76" s="63"/>
      <c r="H76" s="58">
        <f t="shared" si="5"/>
        <v>230</v>
      </c>
      <c r="I76" s="64" t="s">
        <v>1355</v>
      </c>
      <c r="J76" s="137">
        <v>230</v>
      </c>
      <c r="K76" s="137"/>
      <c r="L76" s="55"/>
      <c r="M76" s="138"/>
      <c r="N76" s="22"/>
      <c r="O76" s="22"/>
    </row>
    <row r="77" spans="1:15" x14ac:dyDescent="0.25">
      <c r="A77" s="71">
        <v>45426</v>
      </c>
      <c r="B77" s="55" t="s">
        <v>1614</v>
      </c>
      <c r="C77" s="55" t="s">
        <v>43</v>
      </c>
      <c r="D77" s="56">
        <f t="shared" si="4"/>
        <v>172.72727272727272</v>
      </c>
      <c r="E77" s="56">
        <f t="shared" si="3"/>
        <v>17.272727272727273</v>
      </c>
      <c r="F77" s="63">
        <v>190</v>
      </c>
      <c r="G77" s="63">
        <v>50</v>
      </c>
      <c r="H77" s="58">
        <f t="shared" si="5"/>
        <v>140</v>
      </c>
      <c r="I77" s="64" t="s">
        <v>1846</v>
      </c>
      <c r="J77" s="137">
        <v>170</v>
      </c>
      <c r="K77" s="77">
        <v>20</v>
      </c>
      <c r="L77" s="55" t="s">
        <v>252</v>
      </c>
      <c r="M77" s="138"/>
      <c r="N77" s="22"/>
      <c r="O77" s="22"/>
    </row>
    <row r="78" spans="1:15" x14ac:dyDescent="0.25">
      <c r="A78" s="71">
        <v>45427</v>
      </c>
      <c r="B78" s="55" t="s">
        <v>1615</v>
      </c>
      <c r="C78" s="55" t="s">
        <v>43</v>
      </c>
      <c r="D78" s="56">
        <f t="shared" si="4"/>
        <v>127.27272727272727</v>
      </c>
      <c r="E78" s="56">
        <f t="shared" si="3"/>
        <v>12.727272727272727</v>
      </c>
      <c r="F78" s="78">
        <v>140</v>
      </c>
      <c r="G78" s="78">
        <v>50</v>
      </c>
      <c r="H78" s="58">
        <f t="shared" si="5"/>
        <v>90</v>
      </c>
      <c r="I78" s="64" t="s">
        <v>1872</v>
      </c>
      <c r="J78" s="147">
        <v>170</v>
      </c>
      <c r="K78" s="80">
        <v>20</v>
      </c>
      <c r="L78" s="81" t="s">
        <v>252</v>
      </c>
      <c r="M78" s="148"/>
      <c r="N78" s="149"/>
      <c r="O78" s="149"/>
    </row>
    <row r="79" spans="1:15" x14ac:dyDescent="0.25">
      <c r="A79" s="71">
        <v>45427</v>
      </c>
      <c r="B79" s="55" t="s">
        <v>1616</v>
      </c>
      <c r="C79" s="55" t="s">
        <v>43</v>
      </c>
      <c r="D79" s="56">
        <f t="shared" si="4"/>
        <v>127.27272727272727</v>
      </c>
      <c r="E79" s="56">
        <f t="shared" si="3"/>
        <v>12.727272727272727</v>
      </c>
      <c r="F79" s="84">
        <v>140</v>
      </c>
      <c r="G79" s="63">
        <v>50</v>
      </c>
      <c r="H79" s="58">
        <f t="shared" si="5"/>
        <v>90</v>
      </c>
      <c r="I79" s="64" t="s">
        <v>1873</v>
      </c>
      <c r="J79" s="97">
        <v>170</v>
      </c>
      <c r="K79" s="85">
        <v>20</v>
      </c>
      <c r="L79" s="14" t="s">
        <v>252</v>
      </c>
      <c r="M79" s="97"/>
      <c r="N79" s="97"/>
      <c r="O79" s="97"/>
    </row>
    <row r="80" spans="1:15" x14ac:dyDescent="0.25">
      <c r="A80" s="71">
        <v>45427</v>
      </c>
      <c r="B80" s="55" t="s">
        <v>1617</v>
      </c>
      <c r="C80" s="55" t="s">
        <v>43</v>
      </c>
      <c r="D80" s="56">
        <f t="shared" si="4"/>
        <v>254.54545454545453</v>
      </c>
      <c r="E80" s="56">
        <f t="shared" si="3"/>
        <v>25.454545454545453</v>
      </c>
      <c r="F80" s="84">
        <v>280</v>
      </c>
      <c r="G80" s="63">
        <v>50</v>
      </c>
      <c r="H80" s="58">
        <f t="shared" si="5"/>
        <v>230</v>
      </c>
      <c r="I80" s="64" t="s">
        <v>1788</v>
      </c>
      <c r="J80" s="97">
        <v>330</v>
      </c>
      <c r="K80" s="85"/>
      <c r="L80" s="14"/>
      <c r="M80" s="97"/>
      <c r="N80" s="97"/>
      <c r="O80" s="97"/>
    </row>
    <row r="81" spans="1:15" x14ac:dyDescent="0.25">
      <c r="A81" s="71">
        <v>45429</v>
      </c>
      <c r="B81" s="55" t="s">
        <v>1618</v>
      </c>
      <c r="C81" s="55" t="s">
        <v>43</v>
      </c>
      <c r="D81" s="56">
        <f t="shared" si="4"/>
        <v>245.45454545454544</v>
      </c>
      <c r="E81" s="56">
        <f t="shared" si="3"/>
        <v>24.545454545454547</v>
      </c>
      <c r="F81" s="84">
        <v>270</v>
      </c>
      <c r="G81" s="63">
        <v>50</v>
      </c>
      <c r="H81" s="58">
        <f t="shared" si="5"/>
        <v>220</v>
      </c>
      <c r="I81" s="64" t="s">
        <v>1874</v>
      </c>
      <c r="J81" s="97">
        <v>270</v>
      </c>
      <c r="K81" s="85"/>
      <c r="L81" s="14"/>
      <c r="M81" s="97"/>
      <c r="N81" s="97"/>
      <c r="O81" s="97"/>
    </row>
    <row r="82" spans="1:15" x14ac:dyDescent="0.25">
      <c r="A82" s="71">
        <v>45429</v>
      </c>
      <c r="B82" s="55" t="s">
        <v>1619</v>
      </c>
      <c r="C82" s="55" t="s">
        <v>43</v>
      </c>
      <c r="D82" s="56">
        <f t="shared" si="4"/>
        <v>245.45454545454544</v>
      </c>
      <c r="E82" s="56">
        <f t="shared" si="3"/>
        <v>24.545454545454547</v>
      </c>
      <c r="F82" s="84">
        <v>270</v>
      </c>
      <c r="G82" s="63">
        <v>50</v>
      </c>
      <c r="H82" s="58">
        <f t="shared" si="5"/>
        <v>220</v>
      </c>
      <c r="I82" s="64" t="s">
        <v>1875</v>
      </c>
      <c r="J82" s="97">
        <v>270</v>
      </c>
      <c r="K82" s="85"/>
      <c r="L82" s="14"/>
      <c r="M82" s="97"/>
      <c r="N82" s="97"/>
      <c r="O82" s="97"/>
    </row>
    <row r="83" spans="1:15" x14ac:dyDescent="0.25">
      <c r="A83" s="71">
        <v>45429</v>
      </c>
      <c r="B83" s="55" t="s">
        <v>1620</v>
      </c>
      <c r="C83" s="55" t="s">
        <v>43</v>
      </c>
      <c r="D83" s="56">
        <f t="shared" si="4"/>
        <v>263.63636363636363</v>
      </c>
      <c r="E83" s="56">
        <f t="shared" si="3"/>
        <v>26.36363636363636</v>
      </c>
      <c r="F83" s="84">
        <v>290</v>
      </c>
      <c r="G83" s="66"/>
      <c r="H83" s="58">
        <f t="shared" si="5"/>
        <v>290</v>
      </c>
      <c r="I83" s="64" t="s">
        <v>1876</v>
      </c>
      <c r="J83" s="97">
        <v>290</v>
      </c>
      <c r="K83" s="85"/>
      <c r="L83" s="14"/>
      <c r="M83" s="97"/>
      <c r="N83" s="97"/>
      <c r="O83" s="97"/>
    </row>
    <row r="84" spans="1:15" x14ac:dyDescent="0.25">
      <c r="A84" s="71">
        <v>45429</v>
      </c>
      <c r="B84" s="55" t="s">
        <v>1621</v>
      </c>
      <c r="C84" s="55" t="s">
        <v>43</v>
      </c>
      <c r="D84" s="56">
        <f t="shared" si="4"/>
        <v>281.81818181818181</v>
      </c>
      <c r="E84" s="56">
        <f t="shared" si="3"/>
        <v>28.18181818181818</v>
      </c>
      <c r="F84" s="84">
        <v>310</v>
      </c>
      <c r="G84" s="63">
        <v>50</v>
      </c>
      <c r="H84" s="58">
        <f t="shared" si="5"/>
        <v>260</v>
      </c>
      <c r="I84" s="64" t="s">
        <v>1877</v>
      </c>
      <c r="J84" s="97">
        <v>270</v>
      </c>
      <c r="K84" s="85">
        <v>40</v>
      </c>
      <c r="L84" s="14" t="s">
        <v>252</v>
      </c>
      <c r="M84" s="97"/>
      <c r="N84" s="97"/>
      <c r="O84" s="97"/>
    </row>
    <row r="85" spans="1:15" x14ac:dyDescent="0.25">
      <c r="A85" s="71">
        <v>45429</v>
      </c>
      <c r="B85" s="55" t="s">
        <v>1622</v>
      </c>
      <c r="C85" s="55" t="s">
        <v>43</v>
      </c>
      <c r="D85" s="56">
        <f t="shared" si="4"/>
        <v>245.45454545454544</v>
      </c>
      <c r="E85" s="56">
        <f t="shared" si="3"/>
        <v>24.545454545454547</v>
      </c>
      <c r="F85" s="84">
        <v>270</v>
      </c>
      <c r="G85" s="63">
        <v>50</v>
      </c>
      <c r="H85" s="58">
        <f t="shared" si="5"/>
        <v>220</v>
      </c>
      <c r="I85" s="64" t="s">
        <v>1878</v>
      </c>
      <c r="J85" s="97">
        <v>270</v>
      </c>
      <c r="K85" s="85"/>
      <c r="L85" s="14"/>
      <c r="M85" s="97"/>
      <c r="N85" s="97"/>
      <c r="O85" s="97"/>
    </row>
    <row r="86" spans="1:15" x14ac:dyDescent="0.25">
      <c r="A86" s="71">
        <v>45429</v>
      </c>
      <c r="B86" s="55" t="s">
        <v>1623</v>
      </c>
      <c r="C86" s="55" t="s">
        <v>43</v>
      </c>
      <c r="D86" s="56">
        <f t="shared" si="4"/>
        <v>154.54545454545453</v>
      </c>
      <c r="E86" s="56">
        <f t="shared" si="3"/>
        <v>15.454545454545453</v>
      </c>
      <c r="F86" s="84">
        <v>170</v>
      </c>
      <c r="G86" s="63">
        <v>50</v>
      </c>
      <c r="H86" s="58">
        <f t="shared" si="5"/>
        <v>120</v>
      </c>
      <c r="I86" s="64" t="s">
        <v>1875</v>
      </c>
      <c r="J86" s="97">
        <v>170</v>
      </c>
      <c r="K86" s="85"/>
      <c r="L86" s="14"/>
      <c r="M86" s="97"/>
      <c r="N86" s="97"/>
      <c r="O86" s="97"/>
    </row>
    <row r="87" spans="1:15" x14ac:dyDescent="0.25">
      <c r="A87" s="71">
        <v>45429</v>
      </c>
      <c r="B87" s="55" t="s">
        <v>1624</v>
      </c>
      <c r="C87" s="55" t="s">
        <v>43</v>
      </c>
      <c r="D87" s="56">
        <f t="shared" si="4"/>
        <v>154.54545454545453</v>
      </c>
      <c r="E87" s="56">
        <f t="shared" si="3"/>
        <v>15.454545454545453</v>
      </c>
      <c r="F87" s="84">
        <v>170</v>
      </c>
      <c r="G87" s="63">
        <v>50</v>
      </c>
      <c r="H87" s="58">
        <f t="shared" si="5"/>
        <v>120</v>
      </c>
      <c r="I87" s="64" t="s">
        <v>1879</v>
      </c>
      <c r="J87" s="97">
        <v>170</v>
      </c>
      <c r="K87" s="85"/>
      <c r="L87" s="86"/>
      <c r="M87" s="97"/>
      <c r="N87" s="97"/>
      <c r="O87" s="97"/>
    </row>
    <row r="88" spans="1:15" x14ac:dyDescent="0.25">
      <c r="A88" s="71">
        <v>45429</v>
      </c>
      <c r="B88" s="55" t="s">
        <v>1625</v>
      </c>
      <c r="C88" s="55" t="s">
        <v>43</v>
      </c>
      <c r="D88" s="56">
        <f t="shared" si="4"/>
        <v>127.27272727272727</v>
      </c>
      <c r="E88" s="56">
        <f t="shared" si="3"/>
        <v>12.727272727272727</v>
      </c>
      <c r="F88" s="84">
        <v>140</v>
      </c>
      <c r="G88" s="63"/>
      <c r="H88" s="58">
        <f t="shared" si="5"/>
        <v>140</v>
      </c>
      <c r="I88" s="64" t="s">
        <v>603</v>
      </c>
      <c r="J88" s="97">
        <v>140</v>
      </c>
      <c r="K88" s="85"/>
      <c r="L88" s="14"/>
      <c r="M88" s="150"/>
      <c r="N88" s="97"/>
      <c r="O88" s="97"/>
    </row>
    <row r="89" spans="1:15" x14ac:dyDescent="0.25">
      <c r="A89" s="71">
        <v>45429</v>
      </c>
      <c r="B89" s="55" t="s">
        <v>1626</v>
      </c>
      <c r="C89" s="55" t="s">
        <v>43</v>
      </c>
      <c r="D89" s="56">
        <f t="shared" si="4"/>
        <v>154.54545454545453</v>
      </c>
      <c r="E89" s="56">
        <f t="shared" si="3"/>
        <v>15.454545454545453</v>
      </c>
      <c r="F89" s="84">
        <v>170</v>
      </c>
      <c r="G89" s="63">
        <v>50</v>
      </c>
      <c r="H89" s="58">
        <f t="shared" si="5"/>
        <v>120</v>
      </c>
      <c r="I89" s="64" t="s">
        <v>1880</v>
      </c>
      <c r="J89" s="97">
        <v>170</v>
      </c>
      <c r="K89" s="85"/>
      <c r="L89" s="14"/>
      <c r="M89" s="97"/>
      <c r="N89" s="97"/>
      <c r="O89" s="97"/>
    </row>
    <row r="90" spans="1:15" x14ac:dyDescent="0.25">
      <c r="A90" s="71">
        <v>45429</v>
      </c>
      <c r="B90" s="55" t="s">
        <v>1627</v>
      </c>
      <c r="C90" s="55" t="s">
        <v>43</v>
      </c>
      <c r="D90" s="56">
        <f t="shared" si="4"/>
        <v>154.54545454545453</v>
      </c>
      <c r="E90" s="56">
        <f t="shared" si="3"/>
        <v>15.454545454545453</v>
      </c>
      <c r="F90" s="75">
        <v>170</v>
      </c>
      <c r="G90" s="75">
        <v>50</v>
      </c>
      <c r="H90" s="58">
        <f t="shared" si="5"/>
        <v>120</v>
      </c>
      <c r="I90" s="14" t="s">
        <v>1881</v>
      </c>
      <c r="J90" s="75">
        <v>170</v>
      </c>
      <c r="K90" s="75"/>
      <c r="L90" s="14"/>
      <c r="M90" s="14"/>
      <c r="N90" s="14"/>
      <c r="O90" s="97"/>
    </row>
    <row r="91" spans="1:15" x14ac:dyDescent="0.25">
      <c r="A91" s="71">
        <v>45429</v>
      </c>
      <c r="B91" s="55" t="s">
        <v>1628</v>
      </c>
      <c r="C91" s="55" t="s">
        <v>43</v>
      </c>
      <c r="D91" s="56">
        <f t="shared" si="4"/>
        <v>199.99999999999997</v>
      </c>
      <c r="E91" s="56">
        <f t="shared" si="3"/>
        <v>19.999999999999996</v>
      </c>
      <c r="F91" s="75">
        <v>220</v>
      </c>
      <c r="G91" s="75">
        <v>50</v>
      </c>
      <c r="H91" s="58">
        <f t="shared" si="5"/>
        <v>170</v>
      </c>
      <c r="I91" s="14" t="s">
        <v>1788</v>
      </c>
      <c r="J91" s="75">
        <v>220</v>
      </c>
      <c r="K91" s="75"/>
      <c r="L91" s="14"/>
      <c r="M91" s="14"/>
      <c r="N91" s="14"/>
      <c r="O91" s="97"/>
    </row>
    <row r="92" spans="1:15" x14ac:dyDescent="0.25">
      <c r="A92" s="71">
        <v>45430</v>
      </c>
      <c r="B92" s="55" t="s">
        <v>1629</v>
      </c>
      <c r="C92" s="55" t="s">
        <v>43</v>
      </c>
      <c r="D92" s="56">
        <f t="shared" si="4"/>
        <v>199.99999999999997</v>
      </c>
      <c r="E92" s="56">
        <f t="shared" si="3"/>
        <v>19.999999999999996</v>
      </c>
      <c r="F92" s="75">
        <v>220</v>
      </c>
      <c r="G92" s="75">
        <v>50</v>
      </c>
      <c r="H92" s="58">
        <f t="shared" si="5"/>
        <v>170</v>
      </c>
      <c r="I92" s="14" t="s">
        <v>1882</v>
      </c>
      <c r="J92" s="75">
        <v>220</v>
      </c>
      <c r="K92" s="75"/>
      <c r="L92" s="14"/>
      <c r="M92" s="14"/>
      <c r="N92" s="14"/>
      <c r="O92" s="97"/>
    </row>
    <row r="93" spans="1:15" x14ac:dyDescent="0.25">
      <c r="A93" s="71">
        <v>45430</v>
      </c>
      <c r="B93" s="55" t="s">
        <v>1630</v>
      </c>
      <c r="C93" s="55" t="s">
        <v>43</v>
      </c>
      <c r="D93" s="56">
        <f t="shared" si="4"/>
        <v>499.99999999999994</v>
      </c>
      <c r="E93" s="56">
        <f t="shared" si="3"/>
        <v>49.999999999999993</v>
      </c>
      <c r="F93" s="75">
        <v>550</v>
      </c>
      <c r="G93" s="75">
        <v>100</v>
      </c>
      <c r="H93" s="58">
        <f t="shared" si="5"/>
        <v>450</v>
      </c>
      <c r="I93" s="14" t="s">
        <v>1883</v>
      </c>
      <c r="J93" s="75">
        <v>550</v>
      </c>
      <c r="K93" s="75"/>
      <c r="L93" s="14"/>
      <c r="M93" s="14"/>
      <c r="N93" s="14"/>
      <c r="O93" s="97"/>
    </row>
    <row r="94" spans="1:15" x14ac:dyDescent="0.25">
      <c r="A94" s="73">
        <v>45430</v>
      </c>
      <c r="B94" s="55" t="s">
        <v>1631</v>
      </c>
      <c r="C94" s="55" t="s">
        <v>43</v>
      </c>
      <c r="D94" s="56">
        <f t="shared" si="4"/>
        <v>154.54545454545453</v>
      </c>
      <c r="E94" s="56">
        <f t="shared" si="3"/>
        <v>15.454545454545453</v>
      </c>
      <c r="F94" s="75">
        <v>170</v>
      </c>
      <c r="G94" s="75">
        <v>50</v>
      </c>
      <c r="H94" s="58">
        <f t="shared" si="5"/>
        <v>120</v>
      </c>
      <c r="I94" s="14" t="s">
        <v>1884</v>
      </c>
      <c r="J94" s="75">
        <v>170</v>
      </c>
      <c r="K94" s="14"/>
      <c r="L94" s="14"/>
      <c r="M94" s="14"/>
      <c r="N94" s="14"/>
      <c r="O94" s="97"/>
    </row>
    <row r="95" spans="1:15" x14ac:dyDescent="0.25">
      <c r="A95" s="159">
        <v>45430</v>
      </c>
      <c r="B95" s="55" t="s">
        <v>1632</v>
      </c>
      <c r="C95" s="55" t="s">
        <v>43</v>
      </c>
      <c r="D95" s="56">
        <f t="shared" si="4"/>
        <v>172.72727272727272</v>
      </c>
      <c r="E95" s="56">
        <f t="shared" si="3"/>
        <v>17.272727272727273</v>
      </c>
      <c r="F95" s="75">
        <v>190</v>
      </c>
      <c r="G95" s="75"/>
      <c r="H95" s="58">
        <f t="shared" si="5"/>
        <v>190</v>
      </c>
      <c r="I95" s="14" t="s">
        <v>1819</v>
      </c>
      <c r="J95" s="75">
        <v>190</v>
      </c>
      <c r="K95" s="14"/>
      <c r="L95" s="14"/>
      <c r="M95" s="14"/>
      <c r="N95" s="14"/>
      <c r="O95" s="97"/>
    </row>
    <row r="96" spans="1:15" x14ac:dyDescent="0.25">
      <c r="A96" s="159">
        <v>45430</v>
      </c>
      <c r="B96" s="55" t="s">
        <v>1633</v>
      </c>
      <c r="C96" s="55" t="s">
        <v>43</v>
      </c>
      <c r="D96" s="56">
        <f t="shared" si="4"/>
        <v>245.45454545454544</v>
      </c>
      <c r="E96" s="56">
        <f t="shared" si="3"/>
        <v>24.545454545454547</v>
      </c>
      <c r="F96" s="75">
        <v>270</v>
      </c>
      <c r="G96" s="14">
        <v>50</v>
      </c>
      <c r="H96" s="58">
        <f t="shared" si="5"/>
        <v>220</v>
      </c>
      <c r="I96" s="14" t="s">
        <v>1885</v>
      </c>
      <c r="J96" s="75">
        <v>270</v>
      </c>
      <c r="K96" s="14"/>
      <c r="L96" s="14"/>
      <c r="M96" s="14"/>
      <c r="N96" s="14"/>
      <c r="O96" s="97"/>
    </row>
    <row r="97" spans="1:15" x14ac:dyDescent="0.25">
      <c r="A97" s="159">
        <v>45430</v>
      </c>
      <c r="B97" s="55" t="s">
        <v>1634</v>
      </c>
      <c r="C97" s="55" t="s">
        <v>43</v>
      </c>
      <c r="D97" s="56">
        <f t="shared" si="4"/>
        <v>163.63636363636363</v>
      </c>
      <c r="E97" s="56">
        <f t="shared" si="3"/>
        <v>16.363636363636363</v>
      </c>
      <c r="F97" s="84">
        <v>180</v>
      </c>
      <c r="G97" s="63"/>
      <c r="H97" s="58">
        <f t="shared" si="5"/>
        <v>180</v>
      </c>
      <c r="I97" s="14" t="s">
        <v>604</v>
      </c>
      <c r="J97" s="75">
        <v>180</v>
      </c>
      <c r="K97" s="14"/>
      <c r="L97" s="14"/>
      <c r="M97" s="14"/>
      <c r="N97" s="14"/>
      <c r="O97" s="97"/>
    </row>
    <row r="98" spans="1:15" x14ac:dyDescent="0.25">
      <c r="A98" s="159">
        <v>45430</v>
      </c>
      <c r="B98" s="55" t="s">
        <v>1635</v>
      </c>
      <c r="C98" s="55" t="s">
        <v>43</v>
      </c>
      <c r="D98" s="56">
        <f t="shared" si="4"/>
        <v>199.99999999999997</v>
      </c>
      <c r="E98" s="56">
        <f t="shared" si="3"/>
        <v>19.999999999999996</v>
      </c>
      <c r="F98" s="84">
        <v>220</v>
      </c>
      <c r="G98" s="63">
        <v>50</v>
      </c>
      <c r="H98" s="58">
        <f t="shared" si="5"/>
        <v>170</v>
      </c>
      <c r="I98" s="64" t="s">
        <v>1886</v>
      </c>
      <c r="J98" s="97">
        <v>220</v>
      </c>
      <c r="K98" s="85"/>
      <c r="L98" s="14"/>
      <c r="M98" s="97"/>
      <c r="N98" s="97"/>
      <c r="O98" s="97"/>
    </row>
    <row r="99" spans="1:15" x14ac:dyDescent="0.25">
      <c r="A99" s="71">
        <v>45430</v>
      </c>
      <c r="B99" s="55" t="s">
        <v>1636</v>
      </c>
      <c r="C99" s="55" t="s">
        <v>43</v>
      </c>
      <c r="D99" s="56">
        <f t="shared" si="4"/>
        <v>190.90909090909091</v>
      </c>
      <c r="E99" s="56">
        <f t="shared" si="3"/>
        <v>19.09090909090909</v>
      </c>
      <c r="F99" s="84">
        <v>210</v>
      </c>
      <c r="G99" s="63">
        <v>50</v>
      </c>
      <c r="H99" s="58">
        <f t="shared" si="5"/>
        <v>160</v>
      </c>
      <c r="I99" s="64" t="s">
        <v>1887</v>
      </c>
      <c r="J99" s="97">
        <v>170</v>
      </c>
      <c r="K99" s="85">
        <v>40</v>
      </c>
      <c r="L99" s="14" t="s">
        <v>252</v>
      </c>
      <c r="M99" s="97"/>
      <c r="N99" s="97"/>
      <c r="O99" s="97"/>
    </row>
    <row r="100" spans="1:15" x14ac:dyDescent="0.25">
      <c r="A100" s="71">
        <v>45430</v>
      </c>
      <c r="B100" s="55" t="s">
        <v>1637</v>
      </c>
      <c r="C100" s="55" t="s">
        <v>43</v>
      </c>
      <c r="D100" s="56">
        <f t="shared" si="4"/>
        <v>199.99999999999997</v>
      </c>
      <c r="E100" s="56">
        <f t="shared" si="3"/>
        <v>19.999999999999996</v>
      </c>
      <c r="F100" s="84">
        <v>220</v>
      </c>
      <c r="G100" s="63">
        <v>50</v>
      </c>
      <c r="H100" s="58">
        <f t="shared" si="5"/>
        <v>170</v>
      </c>
      <c r="I100" s="64" t="s">
        <v>1888</v>
      </c>
      <c r="J100" s="97">
        <v>170</v>
      </c>
      <c r="K100" s="85">
        <v>50</v>
      </c>
      <c r="L100" s="14" t="s">
        <v>252</v>
      </c>
      <c r="M100" s="97"/>
      <c r="N100" s="97"/>
      <c r="O100" s="97"/>
    </row>
    <row r="101" spans="1:15" x14ac:dyDescent="0.25">
      <c r="A101" s="73">
        <v>45430</v>
      </c>
      <c r="B101" s="55" t="s">
        <v>1638</v>
      </c>
      <c r="C101" s="55" t="s">
        <v>43</v>
      </c>
      <c r="D101" s="56">
        <f t="shared" si="4"/>
        <v>154.54545454545453</v>
      </c>
      <c r="E101" s="56">
        <f t="shared" si="3"/>
        <v>15.454545454545453</v>
      </c>
      <c r="F101" s="88">
        <v>170</v>
      </c>
      <c r="G101" s="89">
        <v>50</v>
      </c>
      <c r="H101" s="58">
        <f t="shared" si="5"/>
        <v>120</v>
      </c>
      <c r="I101" s="90" t="s">
        <v>1889</v>
      </c>
      <c r="J101" s="151">
        <v>170</v>
      </c>
      <c r="K101" s="92"/>
      <c r="L101" s="93"/>
      <c r="M101" s="151"/>
      <c r="N101" s="151"/>
      <c r="O101" s="151"/>
    </row>
    <row r="102" spans="1:15" x14ac:dyDescent="0.25">
      <c r="A102" s="159">
        <v>45430</v>
      </c>
      <c r="B102" s="55" t="s">
        <v>1639</v>
      </c>
      <c r="C102" s="55" t="s">
        <v>43</v>
      </c>
      <c r="D102" s="56">
        <f t="shared" si="4"/>
        <v>127.27272727272727</v>
      </c>
      <c r="E102" s="56">
        <f t="shared" si="3"/>
        <v>12.727272727272727</v>
      </c>
      <c r="F102" s="75">
        <v>140</v>
      </c>
      <c r="G102" s="75"/>
      <c r="H102" s="58">
        <f t="shared" si="5"/>
        <v>140</v>
      </c>
      <c r="I102" s="64" t="s">
        <v>1314</v>
      </c>
      <c r="J102" s="97">
        <v>140</v>
      </c>
      <c r="K102" s="85"/>
      <c r="L102" s="14"/>
      <c r="M102" s="97"/>
      <c r="N102" s="97"/>
      <c r="O102" s="97"/>
    </row>
    <row r="103" spans="1:15" x14ac:dyDescent="0.25">
      <c r="A103" s="159">
        <v>45430</v>
      </c>
      <c r="B103" s="55" t="s">
        <v>1640</v>
      </c>
      <c r="C103" s="55" t="s">
        <v>43</v>
      </c>
      <c r="D103" s="56">
        <f t="shared" si="4"/>
        <v>154.54545454545453</v>
      </c>
      <c r="E103" s="56">
        <f t="shared" si="3"/>
        <v>15.454545454545453</v>
      </c>
      <c r="F103" s="75">
        <v>170</v>
      </c>
      <c r="G103" s="75">
        <v>50</v>
      </c>
      <c r="H103" s="58">
        <f t="shared" si="5"/>
        <v>120</v>
      </c>
      <c r="I103" s="64" t="s">
        <v>1890</v>
      </c>
      <c r="J103" s="97">
        <v>170</v>
      </c>
      <c r="K103" s="85"/>
      <c r="L103" s="14"/>
      <c r="M103" s="97"/>
      <c r="N103" s="97"/>
      <c r="O103" s="97"/>
    </row>
    <row r="104" spans="1:15" x14ac:dyDescent="0.25">
      <c r="A104" s="159">
        <v>45430</v>
      </c>
      <c r="B104" s="55" t="s">
        <v>1641</v>
      </c>
      <c r="C104" s="55" t="s">
        <v>43</v>
      </c>
      <c r="D104" s="56">
        <f t="shared" si="4"/>
        <v>172.72727272727272</v>
      </c>
      <c r="E104" s="56">
        <f t="shared" si="3"/>
        <v>17.272727272727273</v>
      </c>
      <c r="F104" s="96">
        <v>190</v>
      </c>
      <c r="G104" s="50">
        <v>50</v>
      </c>
      <c r="H104" s="58">
        <f t="shared" si="5"/>
        <v>140</v>
      </c>
      <c r="I104" s="64" t="s">
        <v>1891</v>
      </c>
      <c r="J104" s="97">
        <v>170</v>
      </c>
      <c r="K104" s="85">
        <v>20</v>
      </c>
      <c r="L104" s="14" t="s">
        <v>252</v>
      </c>
      <c r="M104" s="97"/>
      <c r="N104" s="97"/>
      <c r="O104" s="97"/>
    </row>
    <row r="105" spans="1:15" x14ac:dyDescent="0.25">
      <c r="A105" s="159">
        <v>45430</v>
      </c>
      <c r="B105" s="55" t="s">
        <v>1642</v>
      </c>
      <c r="C105" s="55" t="s">
        <v>43</v>
      </c>
      <c r="D105" s="56">
        <f t="shared" si="4"/>
        <v>154.54545454545453</v>
      </c>
      <c r="E105" s="56">
        <f t="shared" si="3"/>
        <v>15.454545454545453</v>
      </c>
      <c r="F105" s="96">
        <v>170</v>
      </c>
      <c r="G105" s="50">
        <v>50</v>
      </c>
      <c r="H105" s="58">
        <f t="shared" si="5"/>
        <v>120</v>
      </c>
      <c r="I105" s="64" t="s">
        <v>1892</v>
      </c>
      <c r="J105" s="97">
        <v>170</v>
      </c>
      <c r="K105" s="85"/>
      <c r="L105" s="14"/>
      <c r="M105" s="97"/>
      <c r="N105" s="97"/>
      <c r="O105" s="97"/>
    </row>
    <row r="106" spans="1:15" x14ac:dyDescent="0.25">
      <c r="A106" s="71">
        <v>45430</v>
      </c>
      <c r="B106" s="55" t="s">
        <v>1643</v>
      </c>
      <c r="C106" s="55" t="s">
        <v>43</v>
      </c>
      <c r="D106" s="56">
        <f t="shared" si="4"/>
        <v>154.54545454545453</v>
      </c>
      <c r="E106" s="56">
        <f t="shared" si="3"/>
        <v>15.454545454545453</v>
      </c>
      <c r="F106" s="96">
        <v>170</v>
      </c>
      <c r="G106" s="50">
        <v>50</v>
      </c>
      <c r="H106" s="58">
        <f t="shared" si="5"/>
        <v>120</v>
      </c>
      <c r="I106" s="64" t="s">
        <v>1542</v>
      </c>
      <c r="J106" s="97">
        <v>170</v>
      </c>
      <c r="K106" s="85"/>
      <c r="L106" s="14"/>
      <c r="M106" s="97"/>
      <c r="N106" s="97"/>
      <c r="O106" s="97"/>
    </row>
    <row r="107" spans="1:15" x14ac:dyDescent="0.25">
      <c r="A107" s="71">
        <v>45430</v>
      </c>
      <c r="B107" s="55" t="s">
        <v>1644</v>
      </c>
      <c r="C107" s="55" t="s">
        <v>43</v>
      </c>
      <c r="D107" s="56">
        <f t="shared" si="4"/>
        <v>209.09090909090907</v>
      </c>
      <c r="E107" s="56">
        <f t="shared" si="3"/>
        <v>20.909090909090907</v>
      </c>
      <c r="F107" s="96">
        <v>230</v>
      </c>
      <c r="G107" s="50">
        <v>50</v>
      </c>
      <c r="H107" s="58">
        <f t="shared" si="5"/>
        <v>180</v>
      </c>
      <c r="I107" s="64" t="s">
        <v>1893</v>
      </c>
      <c r="J107" s="97">
        <v>170</v>
      </c>
      <c r="K107" s="85">
        <v>60</v>
      </c>
      <c r="L107" s="14" t="s">
        <v>252</v>
      </c>
      <c r="M107" s="97"/>
      <c r="N107" s="97"/>
      <c r="O107" s="97"/>
    </row>
    <row r="108" spans="1:15" x14ac:dyDescent="0.25">
      <c r="A108" s="73">
        <v>45430</v>
      </c>
      <c r="B108" s="55" t="s">
        <v>1645</v>
      </c>
      <c r="C108" s="55" t="s">
        <v>43</v>
      </c>
      <c r="D108" s="56">
        <f t="shared" si="4"/>
        <v>118.18181818181817</v>
      </c>
      <c r="E108" s="56">
        <f t="shared" si="3"/>
        <v>11.818181818181818</v>
      </c>
      <c r="F108" s="96">
        <v>130</v>
      </c>
      <c r="G108" s="50"/>
      <c r="H108" s="58">
        <f t="shared" si="5"/>
        <v>130</v>
      </c>
      <c r="I108" s="64" t="s">
        <v>604</v>
      </c>
      <c r="J108" s="97">
        <v>130</v>
      </c>
      <c r="K108" s="85"/>
      <c r="L108" s="14"/>
      <c r="M108" s="97"/>
      <c r="N108" s="97"/>
      <c r="O108" s="97"/>
    </row>
    <row r="109" spans="1:15" x14ac:dyDescent="0.25">
      <c r="A109" s="159">
        <v>45430</v>
      </c>
      <c r="B109" s="55" t="s">
        <v>1646</v>
      </c>
      <c r="C109" s="55" t="s">
        <v>43</v>
      </c>
      <c r="D109" s="56">
        <f t="shared" si="4"/>
        <v>127.27272727272727</v>
      </c>
      <c r="E109" s="56">
        <f t="shared" si="3"/>
        <v>12.727272727272727</v>
      </c>
      <c r="F109" s="96">
        <v>140</v>
      </c>
      <c r="G109" s="50"/>
      <c r="H109" s="58">
        <f t="shared" si="5"/>
        <v>140</v>
      </c>
      <c r="I109" s="64" t="s">
        <v>1314</v>
      </c>
      <c r="J109" s="97">
        <v>140</v>
      </c>
      <c r="K109" s="85"/>
      <c r="L109" s="14"/>
      <c r="M109" s="97"/>
      <c r="N109" s="97"/>
      <c r="O109" s="97"/>
    </row>
    <row r="110" spans="1:15" x14ac:dyDescent="0.25">
      <c r="A110" s="159">
        <v>45430</v>
      </c>
      <c r="B110" s="55" t="s">
        <v>1647</v>
      </c>
      <c r="C110" s="55" t="s">
        <v>43</v>
      </c>
      <c r="D110" s="56">
        <f t="shared" si="4"/>
        <v>181.81818181818181</v>
      </c>
      <c r="E110" s="56">
        <f t="shared" si="3"/>
        <v>18.18181818181818</v>
      </c>
      <c r="F110" s="96">
        <v>200</v>
      </c>
      <c r="G110" s="50">
        <v>50</v>
      </c>
      <c r="H110" s="58">
        <f t="shared" si="5"/>
        <v>150</v>
      </c>
      <c r="I110" s="64" t="s">
        <v>1894</v>
      </c>
      <c r="J110" s="97">
        <v>170</v>
      </c>
      <c r="K110" s="85">
        <v>30</v>
      </c>
      <c r="L110" s="14" t="s">
        <v>252</v>
      </c>
      <c r="M110" s="97"/>
      <c r="N110" s="97"/>
      <c r="O110" s="97"/>
    </row>
    <row r="111" spans="1:15" x14ac:dyDescent="0.25">
      <c r="A111" s="159">
        <v>45430</v>
      </c>
      <c r="B111" s="55" t="s">
        <v>1648</v>
      </c>
      <c r="C111" s="55" t="s">
        <v>43</v>
      </c>
      <c r="D111" s="56">
        <f t="shared" si="4"/>
        <v>154.54545454545453</v>
      </c>
      <c r="E111" s="56">
        <f t="shared" si="3"/>
        <v>15.454545454545453</v>
      </c>
      <c r="F111" s="96">
        <v>170</v>
      </c>
      <c r="G111" s="50">
        <v>170</v>
      </c>
      <c r="H111" s="58">
        <f t="shared" si="5"/>
        <v>0</v>
      </c>
      <c r="I111" s="64" t="s">
        <v>1895</v>
      </c>
      <c r="J111" s="97">
        <v>170</v>
      </c>
      <c r="K111" s="85"/>
      <c r="L111" s="14"/>
      <c r="M111" s="97"/>
      <c r="N111" s="97"/>
      <c r="O111" s="97"/>
    </row>
    <row r="112" spans="1:15" x14ac:dyDescent="0.25">
      <c r="A112" s="71">
        <v>45430</v>
      </c>
      <c r="B112" s="55" t="s">
        <v>1649</v>
      </c>
      <c r="C112" s="55" t="s">
        <v>43</v>
      </c>
      <c r="D112" s="56">
        <f t="shared" si="4"/>
        <v>581.81818181818176</v>
      </c>
      <c r="E112" s="56">
        <f t="shared" si="3"/>
        <v>58.18181818181818</v>
      </c>
      <c r="F112" s="96">
        <v>640</v>
      </c>
      <c r="G112" s="50">
        <v>640</v>
      </c>
      <c r="H112" s="58">
        <f t="shared" si="5"/>
        <v>0</v>
      </c>
      <c r="I112" s="64" t="s">
        <v>1896</v>
      </c>
      <c r="J112" s="97">
        <v>640</v>
      </c>
      <c r="K112" s="85"/>
      <c r="L112" s="14"/>
      <c r="M112" s="97"/>
      <c r="N112" s="97"/>
      <c r="O112" s="97"/>
    </row>
    <row r="113" spans="1:15" x14ac:dyDescent="0.25">
      <c r="A113" s="71">
        <v>45430</v>
      </c>
      <c r="B113" s="55" t="s">
        <v>1650</v>
      </c>
      <c r="C113" s="55" t="s">
        <v>43</v>
      </c>
      <c r="D113" s="56">
        <f t="shared" si="4"/>
        <v>199.99999999999997</v>
      </c>
      <c r="E113" s="56">
        <f t="shared" si="3"/>
        <v>19.999999999999996</v>
      </c>
      <c r="F113" s="96">
        <v>220</v>
      </c>
      <c r="G113" s="50">
        <v>50</v>
      </c>
      <c r="H113" s="58">
        <f t="shared" si="5"/>
        <v>170</v>
      </c>
      <c r="I113" s="64" t="s">
        <v>1897</v>
      </c>
      <c r="J113" s="97">
        <v>220</v>
      </c>
      <c r="K113" s="85"/>
      <c r="L113" s="14"/>
      <c r="M113" s="97"/>
      <c r="N113" s="97"/>
      <c r="O113" s="97"/>
    </row>
    <row r="114" spans="1:15" x14ac:dyDescent="0.25">
      <c r="A114" s="73">
        <v>45430</v>
      </c>
      <c r="B114" s="55" t="s">
        <v>1651</v>
      </c>
      <c r="C114" s="55" t="s">
        <v>43</v>
      </c>
      <c r="D114" s="56">
        <f t="shared" si="4"/>
        <v>227.27272727272725</v>
      </c>
      <c r="E114" s="56">
        <f t="shared" si="3"/>
        <v>22.727272727272727</v>
      </c>
      <c r="F114" s="96">
        <v>250</v>
      </c>
      <c r="G114" s="50">
        <v>50</v>
      </c>
      <c r="H114" s="58">
        <f t="shared" si="5"/>
        <v>200</v>
      </c>
      <c r="I114" s="64" t="s">
        <v>1898</v>
      </c>
      <c r="J114" s="97">
        <v>220</v>
      </c>
      <c r="K114" s="85">
        <v>30</v>
      </c>
      <c r="L114" s="14" t="s">
        <v>252</v>
      </c>
      <c r="M114" s="97"/>
      <c r="N114" s="97"/>
      <c r="O114" s="97"/>
    </row>
    <row r="115" spans="1:15" x14ac:dyDescent="0.25">
      <c r="A115" s="159">
        <v>45430</v>
      </c>
      <c r="B115" s="55" t="s">
        <v>1652</v>
      </c>
      <c r="C115" s="55" t="s">
        <v>43</v>
      </c>
      <c r="D115" s="56">
        <f t="shared" si="4"/>
        <v>245.45454545454544</v>
      </c>
      <c r="E115" s="56">
        <f t="shared" si="3"/>
        <v>24.545454545454547</v>
      </c>
      <c r="F115" s="96">
        <v>270</v>
      </c>
      <c r="G115" s="50">
        <v>50</v>
      </c>
      <c r="H115" s="58">
        <f t="shared" si="5"/>
        <v>220</v>
      </c>
      <c r="I115" s="64" t="s">
        <v>1899</v>
      </c>
      <c r="J115" s="97">
        <v>270</v>
      </c>
      <c r="K115" s="85"/>
      <c r="L115" s="14"/>
      <c r="M115" s="97"/>
      <c r="N115" s="97"/>
      <c r="O115" s="97"/>
    </row>
    <row r="116" spans="1:15" x14ac:dyDescent="0.25">
      <c r="A116" s="159">
        <v>45430</v>
      </c>
      <c r="B116" s="55" t="s">
        <v>1653</v>
      </c>
      <c r="C116" s="55" t="s">
        <v>43</v>
      </c>
      <c r="D116" s="56">
        <f t="shared" si="4"/>
        <v>245.45454545454544</v>
      </c>
      <c r="E116" s="56">
        <f t="shared" si="3"/>
        <v>24.545454545454547</v>
      </c>
      <c r="F116" s="96">
        <v>270</v>
      </c>
      <c r="G116" s="50">
        <v>50</v>
      </c>
      <c r="H116" s="58">
        <f t="shared" si="5"/>
        <v>220</v>
      </c>
      <c r="I116" s="64" t="s">
        <v>1900</v>
      </c>
      <c r="J116" s="97">
        <v>270</v>
      </c>
      <c r="K116" s="85"/>
      <c r="L116" s="14"/>
      <c r="M116" s="97"/>
      <c r="N116" s="97"/>
      <c r="O116" s="97"/>
    </row>
    <row r="117" spans="1:15" x14ac:dyDescent="0.25">
      <c r="A117" s="159">
        <v>45431</v>
      </c>
      <c r="B117" s="55" t="s">
        <v>1654</v>
      </c>
      <c r="C117" s="55" t="s">
        <v>43</v>
      </c>
      <c r="D117" s="56">
        <f t="shared" si="4"/>
        <v>181.81818181818181</v>
      </c>
      <c r="E117" s="56">
        <f t="shared" si="3"/>
        <v>18.18181818181818</v>
      </c>
      <c r="F117" s="96">
        <v>200</v>
      </c>
      <c r="G117" s="50">
        <v>50</v>
      </c>
      <c r="H117" s="58">
        <f t="shared" si="5"/>
        <v>150</v>
      </c>
      <c r="I117" s="64" t="s">
        <v>1901</v>
      </c>
      <c r="J117" s="97">
        <v>170</v>
      </c>
      <c r="K117" s="85">
        <v>30</v>
      </c>
      <c r="L117" s="14"/>
      <c r="M117" s="97"/>
      <c r="N117" s="97"/>
      <c r="O117" s="97"/>
    </row>
    <row r="118" spans="1:15" x14ac:dyDescent="0.25">
      <c r="A118" s="159">
        <v>45431</v>
      </c>
      <c r="B118" s="55" t="s">
        <v>1655</v>
      </c>
      <c r="C118" s="55" t="s">
        <v>43</v>
      </c>
      <c r="D118" s="56">
        <f t="shared" si="4"/>
        <v>154.54545454545453</v>
      </c>
      <c r="E118" s="56">
        <f t="shared" si="3"/>
        <v>15.454545454545453</v>
      </c>
      <c r="F118" s="96">
        <v>170</v>
      </c>
      <c r="G118" s="50">
        <v>50</v>
      </c>
      <c r="H118" s="58">
        <f t="shared" si="5"/>
        <v>120</v>
      </c>
      <c r="I118" s="64" t="s">
        <v>1902</v>
      </c>
      <c r="J118" s="97">
        <v>170</v>
      </c>
      <c r="K118" s="85"/>
      <c r="L118" s="14"/>
      <c r="M118" s="97"/>
      <c r="N118" s="97"/>
      <c r="O118" s="97"/>
    </row>
    <row r="119" spans="1:15" x14ac:dyDescent="0.25">
      <c r="A119" s="159">
        <v>45431</v>
      </c>
      <c r="B119" s="55" t="s">
        <v>1656</v>
      </c>
      <c r="C119" s="55" t="s">
        <v>43</v>
      </c>
      <c r="D119" s="56">
        <f t="shared" si="4"/>
        <v>154.54545454545453</v>
      </c>
      <c r="E119" s="56">
        <f t="shared" si="3"/>
        <v>15.454545454545453</v>
      </c>
      <c r="F119" s="96">
        <v>170</v>
      </c>
      <c r="G119" s="50">
        <v>50</v>
      </c>
      <c r="H119" s="58">
        <f t="shared" si="5"/>
        <v>120</v>
      </c>
      <c r="I119" s="64" t="s">
        <v>1903</v>
      </c>
      <c r="J119" s="97">
        <v>170</v>
      </c>
      <c r="K119" s="85"/>
      <c r="L119" s="14"/>
      <c r="M119" s="97"/>
      <c r="N119" s="97"/>
      <c r="O119" s="97"/>
    </row>
    <row r="120" spans="1:15" x14ac:dyDescent="0.25">
      <c r="A120" s="159">
        <v>45431</v>
      </c>
      <c r="B120" s="55" t="s">
        <v>1657</v>
      </c>
      <c r="C120" s="55" t="s">
        <v>43</v>
      </c>
      <c r="D120" s="56">
        <f t="shared" si="4"/>
        <v>172.72727272727272</v>
      </c>
      <c r="E120" s="56">
        <f t="shared" si="3"/>
        <v>17.272727272727273</v>
      </c>
      <c r="F120" s="96">
        <v>190</v>
      </c>
      <c r="G120" s="50">
        <v>50</v>
      </c>
      <c r="H120" s="58">
        <f t="shared" si="5"/>
        <v>140</v>
      </c>
      <c r="I120" s="64" t="s">
        <v>1904</v>
      </c>
      <c r="J120" s="97">
        <v>170</v>
      </c>
      <c r="K120" s="85">
        <v>20</v>
      </c>
      <c r="L120" s="14" t="s">
        <v>252</v>
      </c>
      <c r="M120" s="97"/>
      <c r="N120" s="97"/>
      <c r="O120" s="97"/>
    </row>
    <row r="121" spans="1:15" x14ac:dyDescent="0.25">
      <c r="A121" s="159">
        <v>45431</v>
      </c>
      <c r="B121" s="55" t="s">
        <v>1658</v>
      </c>
      <c r="C121" s="55" t="s">
        <v>43</v>
      </c>
      <c r="D121" s="56">
        <f t="shared" si="4"/>
        <v>127.27272727272727</v>
      </c>
      <c r="E121" s="56">
        <f t="shared" si="3"/>
        <v>12.727272727272727</v>
      </c>
      <c r="F121" s="96">
        <v>140</v>
      </c>
      <c r="G121" s="50"/>
      <c r="H121" s="58">
        <f t="shared" si="5"/>
        <v>140</v>
      </c>
      <c r="I121" s="64" t="s">
        <v>1905</v>
      </c>
      <c r="J121" s="97">
        <v>140</v>
      </c>
      <c r="K121" s="85"/>
      <c r="L121" s="14"/>
      <c r="M121" s="97"/>
      <c r="N121" s="97"/>
      <c r="O121" s="97"/>
    </row>
    <row r="122" spans="1:15" x14ac:dyDescent="0.25">
      <c r="A122" s="159">
        <v>45431</v>
      </c>
      <c r="B122" s="55" t="s">
        <v>1659</v>
      </c>
      <c r="C122" s="55" t="s">
        <v>43</v>
      </c>
      <c r="D122" s="56">
        <f t="shared" si="4"/>
        <v>127.27272727272727</v>
      </c>
      <c r="E122" s="56">
        <f t="shared" si="3"/>
        <v>12.727272727272727</v>
      </c>
      <c r="F122" s="96">
        <v>140</v>
      </c>
      <c r="G122" s="50"/>
      <c r="H122" s="58">
        <f t="shared" si="5"/>
        <v>140</v>
      </c>
      <c r="I122" s="64" t="s">
        <v>603</v>
      </c>
      <c r="J122" s="97">
        <v>140</v>
      </c>
      <c r="K122" s="85"/>
      <c r="L122" s="14"/>
      <c r="M122" s="150"/>
      <c r="N122" s="97"/>
      <c r="O122" s="97"/>
    </row>
    <row r="123" spans="1:15" x14ac:dyDescent="0.25">
      <c r="A123" s="159">
        <v>45431</v>
      </c>
      <c r="B123" s="55" t="s">
        <v>1660</v>
      </c>
      <c r="C123" s="55" t="s">
        <v>43</v>
      </c>
      <c r="D123" s="56">
        <f t="shared" si="4"/>
        <v>154.54545454545453</v>
      </c>
      <c r="E123" s="56">
        <f t="shared" si="3"/>
        <v>15.454545454545453</v>
      </c>
      <c r="F123" s="96">
        <v>170</v>
      </c>
      <c r="G123" s="50">
        <v>80</v>
      </c>
      <c r="H123" s="58">
        <f t="shared" si="5"/>
        <v>90</v>
      </c>
      <c r="I123" s="64" t="s">
        <v>1906</v>
      </c>
      <c r="J123" s="97">
        <v>170</v>
      </c>
      <c r="K123" s="85"/>
      <c r="L123" s="14"/>
      <c r="M123" s="97"/>
      <c r="N123" s="97"/>
      <c r="O123" s="97"/>
    </row>
    <row r="124" spans="1:15" x14ac:dyDescent="0.25">
      <c r="A124" s="159">
        <v>45431</v>
      </c>
      <c r="B124" s="55" t="s">
        <v>1661</v>
      </c>
      <c r="C124" s="55" t="s">
        <v>43</v>
      </c>
      <c r="D124" s="56">
        <f t="shared" si="4"/>
        <v>290.90909090909088</v>
      </c>
      <c r="E124" s="56">
        <f t="shared" si="3"/>
        <v>29.09090909090909</v>
      </c>
      <c r="F124" s="96">
        <v>320</v>
      </c>
      <c r="G124" s="50">
        <v>50</v>
      </c>
      <c r="H124" s="58">
        <f t="shared" si="5"/>
        <v>270</v>
      </c>
      <c r="I124" s="64" t="s">
        <v>1788</v>
      </c>
      <c r="J124" s="97">
        <v>320</v>
      </c>
      <c r="K124" s="85"/>
      <c r="L124" s="14"/>
      <c r="M124" s="97"/>
      <c r="N124" s="97"/>
      <c r="O124" s="97"/>
    </row>
    <row r="125" spans="1:15" x14ac:dyDescent="0.25">
      <c r="A125" s="159">
        <v>45431</v>
      </c>
      <c r="B125" s="55" t="s">
        <v>1662</v>
      </c>
      <c r="C125" s="55" t="s">
        <v>43</v>
      </c>
      <c r="D125" s="56">
        <f t="shared" si="4"/>
        <v>209.09090909090907</v>
      </c>
      <c r="E125" s="56">
        <f t="shared" si="3"/>
        <v>20.909090909090907</v>
      </c>
      <c r="F125" s="96">
        <v>230</v>
      </c>
      <c r="G125" s="50"/>
      <c r="H125" s="58">
        <f t="shared" si="5"/>
        <v>230</v>
      </c>
      <c r="I125" s="64" t="s">
        <v>603</v>
      </c>
      <c r="J125" s="97">
        <v>230</v>
      </c>
      <c r="K125" s="85"/>
      <c r="L125" s="14"/>
      <c r="M125" s="97"/>
      <c r="N125" s="97"/>
      <c r="O125" s="97"/>
    </row>
    <row r="126" spans="1:15" x14ac:dyDescent="0.25">
      <c r="A126" s="159">
        <v>45431</v>
      </c>
      <c r="B126" s="55" t="s">
        <v>1663</v>
      </c>
      <c r="C126" s="55" t="s">
        <v>43</v>
      </c>
      <c r="D126" s="56">
        <f t="shared" si="4"/>
        <v>245.45454545454544</v>
      </c>
      <c r="E126" s="56">
        <f t="shared" si="3"/>
        <v>24.545454545454547</v>
      </c>
      <c r="F126" s="96">
        <v>270</v>
      </c>
      <c r="G126" s="50">
        <v>50</v>
      </c>
      <c r="H126" s="58">
        <f t="shared" si="5"/>
        <v>220</v>
      </c>
      <c r="I126" s="64" t="s">
        <v>1907</v>
      </c>
      <c r="J126" s="97">
        <v>270</v>
      </c>
      <c r="K126" s="85"/>
      <c r="L126" s="14"/>
      <c r="M126" s="97"/>
      <c r="N126" s="97"/>
      <c r="O126" s="97"/>
    </row>
    <row r="127" spans="1:15" x14ac:dyDescent="0.25">
      <c r="A127" s="159">
        <v>45432</v>
      </c>
      <c r="B127" s="55" t="s">
        <v>1664</v>
      </c>
      <c r="C127" s="55" t="s">
        <v>43</v>
      </c>
      <c r="D127" s="56">
        <f t="shared" si="4"/>
        <v>272.72727272727269</v>
      </c>
      <c r="E127" s="56">
        <f t="shared" si="3"/>
        <v>27.27272727272727</v>
      </c>
      <c r="F127" s="75">
        <v>300</v>
      </c>
      <c r="G127" s="75">
        <v>50</v>
      </c>
      <c r="H127" s="58">
        <f t="shared" si="5"/>
        <v>250</v>
      </c>
      <c r="I127" s="14" t="s">
        <v>1908</v>
      </c>
      <c r="J127" s="75">
        <v>300</v>
      </c>
      <c r="K127" s="14"/>
      <c r="L127" s="14"/>
      <c r="M127" s="14"/>
      <c r="N127" s="14"/>
      <c r="O127" s="97"/>
    </row>
    <row r="128" spans="1:15" x14ac:dyDescent="0.25">
      <c r="A128" s="159">
        <v>45432</v>
      </c>
      <c r="B128" s="55" t="s">
        <v>1665</v>
      </c>
      <c r="C128" s="55" t="s">
        <v>43</v>
      </c>
      <c r="D128" s="56">
        <f t="shared" si="4"/>
        <v>272.72727272727269</v>
      </c>
      <c r="E128" s="56">
        <f t="shared" si="3"/>
        <v>27.27272727272727</v>
      </c>
      <c r="F128" s="84">
        <v>300</v>
      </c>
      <c r="G128" s="63">
        <v>50</v>
      </c>
      <c r="H128" s="58">
        <f t="shared" si="5"/>
        <v>250</v>
      </c>
      <c r="I128" s="64" t="s">
        <v>1908</v>
      </c>
      <c r="J128" s="97">
        <v>300</v>
      </c>
      <c r="K128" s="85"/>
      <c r="L128" s="14"/>
      <c r="M128" s="97"/>
      <c r="N128" s="97"/>
      <c r="O128" s="97"/>
    </row>
    <row r="129" spans="1:15" x14ac:dyDescent="0.25">
      <c r="A129" s="159">
        <v>45432</v>
      </c>
      <c r="B129" s="55" t="s">
        <v>1666</v>
      </c>
      <c r="C129" s="55" t="s">
        <v>43</v>
      </c>
      <c r="D129" s="56">
        <f t="shared" si="4"/>
        <v>181.81818181818181</v>
      </c>
      <c r="E129" s="56">
        <f t="shared" si="3"/>
        <v>18.18181818181818</v>
      </c>
      <c r="F129" s="84">
        <v>200</v>
      </c>
      <c r="G129" s="63"/>
      <c r="H129" s="58">
        <f t="shared" si="5"/>
        <v>200</v>
      </c>
      <c r="I129" s="64" t="s">
        <v>603</v>
      </c>
      <c r="J129" s="97">
        <v>200</v>
      </c>
      <c r="K129" s="85"/>
      <c r="L129" s="14"/>
      <c r="M129" s="97"/>
      <c r="N129" s="97"/>
      <c r="O129" s="97"/>
    </row>
    <row r="130" spans="1:15" x14ac:dyDescent="0.25">
      <c r="A130" s="159">
        <v>45432</v>
      </c>
      <c r="B130" s="55" t="s">
        <v>1667</v>
      </c>
      <c r="C130" s="55" t="s">
        <v>43</v>
      </c>
      <c r="D130" s="56">
        <f t="shared" si="4"/>
        <v>136.36363636363635</v>
      </c>
      <c r="E130" s="56">
        <f t="shared" si="3"/>
        <v>13.636363636363635</v>
      </c>
      <c r="F130" s="84">
        <v>150</v>
      </c>
      <c r="G130" s="63">
        <v>50</v>
      </c>
      <c r="H130" s="58">
        <f t="shared" si="5"/>
        <v>100</v>
      </c>
      <c r="I130" s="64" t="s">
        <v>1788</v>
      </c>
      <c r="J130" s="97">
        <v>150</v>
      </c>
      <c r="K130" s="85"/>
      <c r="L130" s="14"/>
      <c r="M130" s="97"/>
      <c r="N130" s="97"/>
      <c r="O130" s="97"/>
    </row>
    <row r="131" spans="1:15" x14ac:dyDescent="0.25">
      <c r="A131" s="159">
        <v>45434</v>
      </c>
      <c r="B131" s="55" t="s">
        <v>1668</v>
      </c>
      <c r="C131" s="55" t="s">
        <v>43</v>
      </c>
      <c r="D131" s="56">
        <f t="shared" si="4"/>
        <v>209.09090909090907</v>
      </c>
      <c r="E131" s="56">
        <f t="shared" ref="E131:E195" si="6">D131*10/100</f>
        <v>20.909090909090907</v>
      </c>
      <c r="F131" s="84">
        <v>230</v>
      </c>
      <c r="G131" s="63"/>
      <c r="H131" s="58">
        <f t="shared" si="5"/>
        <v>230</v>
      </c>
      <c r="I131" s="64" t="s">
        <v>603</v>
      </c>
      <c r="J131" s="97">
        <v>230</v>
      </c>
      <c r="K131" s="85"/>
      <c r="L131" s="14"/>
      <c r="M131" s="97"/>
      <c r="N131" s="97"/>
      <c r="O131" s="97"/>
    </row>
    <row r="132" spans="1:15" x14ac:dyDescent="0.25">
      <c r="A132" s="159">
        <v>45434</v>
      </c>
      <c r="B132" s="55" t="s">
        <v>1669</v>
      </c>
      <c r="C132" s="55" t="s">
        <v>43</v>
      </c>
      <c r="D132" s="56">
        <f t="shared" ref="D132:D194" si="7">F132/1.1</f>
        <v>154.54545454545453</v>
      </c>
      <c r="E132" s="56">
        <f t="shared" si="6"/>
        <v>15.454545454545453</v>
      </c>
      <c r="F132" s="84">
        <v>170</v>
      </c>
      <c r="G132" s="63">
        <v>50</v>
      </c>
      <c r="H132" s="58">
        <f t="shared" ref="H132:H194" si="8">F132-G132</f>
        <v>120</v>
      </c>
      <c r="I132" s="64" t="s">
        <v>1909</v>
      </c>
      <c r="J132" s="97">
        <v>170</v>
      </c>
      <c r="K132" s="85"/>
      <c r="L132" s="14"/>
      <c r="M132" s="97"/>
      <c r="N132" s="97"/>
      <c r="O132" s="14"/>
    </row>
    <row r="133" spans="1:15" x14ac:dyDescent="0.25">
      <c r="A133" s="159">
        <v>45435</v>
      </c>
      <c r="B133" s="55" t="s">
        <v>1670</v>
      </c>
      <c r="C133" s="55" t="s">
        <v>43</v>
      </c>
      <c r="D133" s="56">
        <f t="shared" si="7"/>
        <v>245.45454545454544</v>
      </c>
      <c r="E133" s="56">
        <f t="shared" si="6"/>
        <v>24.545454545454547</v>
      </c>
      <c r="F133" s="158">
        <v>270</v>
      </c>
      <c r="G133" s="63">
        <v>50</v>
      </c>
      <c r="H133" s="58">
        <f t="shared" si="8"/>
        <v>220</v>
      </c>
      <c r="I133" s="176" t="s">
        <v>1788</v>
      </c>
      <c r="J133" s="97">
        <v>270</v>
      </c>
      <c r="K133" s="85"/>
      <c r="L133" s="14"/>
      <c r="M133" s="97"/>
      <c r="N133" s="97"/>
      <c r="O133" s="14"/>
    </row>
    <row r="134" spans="1:15" x14ac:dyDescent="0.25">
      <c r="A134" s="159">
        <v>45435</v>
      </c>
      <c r="B134" s="55" t="s">
        <v>1671</v>
      </c>
      <c r="C134" s="55" t="s">
        <v>43</v>
      </c>
      <c r="D134" s="56">
        <f t="shared" si="7"/>
        <v>245.45454545454544</v>
      </c>
      <c r="E134" s="56">
        <f t="shared" si="6"/>
        <v>24.545454545454547</v>
      </c>
      <c r="F134" s="84">
        <v>270</v>
      </c>
      <c r="G134" s="66">
        <v>50</v>
      </c>
      <c r="H134" s="58">
        <f t="shared" si="8"/>
        <v>220</v>
      </c>
      <c r="I134" s="176" t="s">
        <v>1910</v>
      </c>
      <c r="J134" s="97">
        <v>270</v>
      </c>
      <c r="K134" s="85"/>
      <c r="L134" s="14"/>
      <c r="M134" s="97"/>
      <c r="N134" s="97"/>
      <c r="O134" s="14"/>
    </row>
    <row r="135" spans="1:15" x14ac:dyDescent="0.25">
      <c r="A135" s="159">
        <v>45435</v>
      </c>
      <c r="B135" s="55" t="s">
        <v>1672</v>
      </c>
      <c r="C135" s="55" t="s">
        <v>43</v>
      </c>
      <c r="D135" s="56">
        <f t="shared" si="7"/>
        <v>236.36363636363635</v>
      </c>
      <c r="E135" s="56">
        <f t="shared" si="6"/>
        <v>23.636363636363637</v>
      </c>
      <c r="F135" s="84">
        <v>260</v>
      </c>
      <c r="G135" s="66">
        <v>50</v>
      </c>
      <c r="H135" s="58">
        <f t="shared" si="8"/>
        <v>210</v>
      </c>
      <c r="I135" s="64" t="s">
        <v>1788</v>
      </c>
      <c r="J135" s="97">
        <v>220</v>
      </c>
      <c r="K135" s="85">
        <v>40</v>
      </c>
      <c r="L135" s="14" t="s">
        <v>252</v>
      </c>
      <c r="M135" s="97"/>
      <c r="N135" s="97"/>
      <c r="O135" s="14"/>
    </row>
    <row r="136" spans="1:15" x14ac:dyDescent="0.25">
      <c r="A136" s="159">
        <v>45435</v>
      </c>
      <c r="B136" s="55" t="s">
        <v>1673</v>
      </c>
      <c r="C136" s="55" t="s">
        <v>43</v>
      </c>
      <c r="D136" s="56">
        <f t="shared" si="7"/>
        <v>172.72727272727272</v>
      </c>
      <c r="E136" s="56">
        <f t="shared" si="6"/>
        <v>17.272727272727273</v>
      </c>
      <c r="F136" s="75">
        <v>190</v>
      </c>
      <c r="G136" s="75"/>
      <c r="H136" s="58">
        <f t="shared" si="8"/>
        <v>190</v>
      </c>
      <c r="I136" s="64" t="s">
        <v>1263</v>
      </c>
      <c r="J136" s="97">
        <v>190</v>
      </c>
      <c r="K136" s="85"/>
      <c r="L136" s="14"/>
      <c r="M136" s="97"/>
      <c r="N136" s="97"/>
      <c r="O136" s="14"/>
    </row>
    <row r="137" spans="1:15" x14ac:dyDescent="0.25">
      <c r="A137" s="159">
        <v>45435</v>
      </c>
      <c r="B137" s="55" t="s">
        <v>1674</v>
      </c>
      <c r="C137" s="55" t="s">
        <v>43</v>
      </c>
      <c r="D137" s="56">
        <f t="shared" si="7"/>
        <v>245.45454545454544</v>
      </c>
      <c r="E137" s="56">
        <f t="shared" si="6"/>
        <v>24.545454545454547</v>
      </c>
      <c r="F137" s="75">
        <v>270</v>
      </c>
      <c r="G137" s="75">
        <v>50</v>
      </c>
      <c r="H137" s="58">
        <f t="shared" si="8"/>
        <v>220</v>
      </c>
      <c r="I137" s="64" t="s">
        <v>1911</v>
      </c>
      <c r="J137" s="146">
        <v>270</v>
      </c>
      <c r="K137" s="146"/>
      <c r="L137" s="14"/>
      <c r="M137" s="14"/>
      <c r="N137" s="14"/>
      <c r="O137" s="14"/>
    </row>
    <row r="138" spans="1:15" x14ac:dyDescent="0.25">
      <c r="A138" s="159">
        <v>45436</v>
      </c>
      <c r="B138" s="55" t="s">
        <v>1675</v>
      </c>
      <c r="C138" s="55" t="s">
        <v>43</v>
      </c>
      <c r="D138" s="56">
        <f t="shared" si="7"/>
        <v>236.36363636363635</v>
      </c>
      <c r="E138" s="56">
        <f t="shared" si="6"/>
        <v>23.636363636363637</v>
      </c>
      <c r="F138" s="75">
        <v>260</v>
      </c>
      <c r="G138" s="75">
        <v>50</v>
      </c>
      <c r="H138" s="58">
        <f t="shared" si="8"/>
        <v>210</v>
      </c>
      <c r="I138" s="64" t="s">
        <v>1912</v>
      </c>
      <c r="J138" s="146">
        <v>220</v>
      </c>
      <c r="K138" s="146"/>
      <c r="L138" s="14"/>
      <c r="M138" s="75">
        <v>40</v>
      </c>
      <c r="N138" s="14" t="s">
        <v>45</v>
      </c>
      <c r="O138" s="14"/>
    </row>
    <row r="139" spans="1:15" x14ac:dyDescent="0.25">
      <c r="A139" s="159">
        <v>45436</v>
      </c>
      <c r="B139" s="55" t="s">
        <v>1676</v>
      </c>
      <c r="C139" s="55" t="s">
        <v>43</v>
      </c>
      <c r="D139" s="56">
        <f t="shared" si="7"/>
        <v>199.99999999999997</v>
      </c>
      <c r="E139" s="56">
        <f t="shared" si="6"/>
        <v>19.999999999999996</v>
      </c>
      <c r="F139" s="75">
        <v>220</v>
      </c>
      <c r="G139" s="75">
        <v>50</v>
      </c>
      <c r="H139" s="58">
        <f t="shared" si="8"/>
        <v>170</v>
      </c>
      <c r="I139" s="64" t="s">
        <v>1913</v>
      </c>
      <c r="J139" s="146">
        <v>220</v>
      </c>
      <c r="K139" s="146"/>
      <c r="L139" s="14"/>
      <c r="M139" s="14"/>
      <c r="N139" s="14"/>
      <c r="O139" s="14"/>
    </row>
    <row r="140" spans="1:15" x14ac:dyDescent="0.25">
      <c r="A140" s="159">
        <v>45436</v>
      </c>
      <c r="B140" s="55" t="s">
        <v>1677</v>
      </c>
      <c r="C140" s="55" t="s">
        <v>43</v>
      </c>
      <c r="D140" s="56">
        <f t="shared" si="7"/>
        <v>199.99999999999997</v>
      </c>
      <c r="E140" s="56">
        <f t="shared" si="6"/>
        <v>19.999999999999996</v>
      </c>
      <c r="F140" s="75">
        <v>220</v>
      </c>
      <c r="G140" s="75">
        <v>50</v>
      </c>
      <c r="H140" s="58">
        <f t="shared" si="8"/>
        <v>170</v>
      </c>
      <c r="I140" s="64" t="s">
        <v>1914</v>
      </c>
      <c r="J140" s="146">
        <v>220</v>
      </c>
      <c r="K140" s="146"/>
      <c r="L140" s="14"/>
      <c r="M140" s="14"/>
      <c r="N140" s="14"/>
      <c r="O140" s="14"/>
    </row>
    <row r="141" spans="1:15" x14ac:dyDescent="0.25">
      <c r="A141" s="159">
        <v>45436</v>
      </c>
      <c r="B141" s="55" t="s">
        <v>1678</v>
      </c>
      <c r="C141" s="55" t="s">
        <v>43</v>
      </c>
      <c r="D141" s="56">
        <f t="shared" si="7"/>
        <v>127.27272727272727</v>
      </c>
      <c r="E141" s="56">
        <f t="shared" si="6"/>
        <v>12.727272727272727</v>
      </c>
      <c r="F141" s="75">
        <v>140</v>
      </c>
      <c r="G141" s="75"/>
      <c r="H141" s="58">
        <f t="shared" si="8"/>
        <v>140</v>
      </c>
      <c r="I141" s="64" t="s">
        <v>603</v>
      </c>
      <c r="J141" s="146">
        <v>140</v>
      </c>
      <c r="K141" s="146"/>
      <c r="L141" s="14"/>
      <c r="M141" s="14"/>
      <c r="N141" s="14"/>
      <c r="O141" s="14"/>
    </row>
    <row r="142" spans="1:15" x14ac:dyDescent="0.25">
      <c r="A142" s="159">
        <v>45436</v>
      </c>
      <c r="B142" s="55" t="s">
        <v>1679</v>
      </c>
      <c r="C142" s="55" t="s">
        <v>43</v>
      </c>
      <c r="D142" s="56">
        <f t="shared" si="7"/>
        <v>199.99999999999997</v>
      </c>
      <c r="E142" s="56">
        <f t="shared" si="6"/>
        <v>19.999999999999996</v>
      </c>
      <c r="F142" s="75">
        <v>220</v>
      </c>
      <c r="G142" s="75">
        <v>50</v>
      </c>
      <c r="H142" s="58">
        <f t="shared" si="8"/>
        <v>170</v>
      </c>
      <c r="I142" s="64" t="s">
        <v>1915</v>
      </c>
      <c r="J142" s="146">
        <v>220</v>
      </c>
      <c r="K142" s="146"/>
      <c r="L142" s="14"/>
      <c r="M142" s="14"/>
      <c r="N142" s="14"/>
      <c r="O142" s="14"/>
    </row>
    <row r="143" spans="1:15" x14ac:dyDescent="0.25">
      <c r="A143" s="159">
        <v>45436</v>
      </c>
      <c r="B143" s="55" t="s">
        <v>1680</v>
      </c>
      <c r="C143" s="55" t="s">
        <v>43</v>
      </c>
      <c r="D143" s="56">
        <f t="shared" si="7"/>
        <v>154.54545454545453</v>
      </c>
      <c r="E143" s="56">
        <f t="shared" si="6"/>
        <v>15.454545454545453</v>
      </c>
      <c r="F143" s="75">
        <v>170</v>
      </c>
      <c r="G143" s="75">
        <v>50</v>
      </c>
      <c r="H143" s="58">
        <f t="shared" si="8"/>
        <v>120</v>
      </c>
      <c r="I143" s="64" t="s">
        <v>1916</v>
      </c>
      <c r="J143" s="146">
        <v>170</v>
      </c>
      <c r="K143" s="146"/>
      <c r="L143" s="14"/>
      <c r="M143" s="14"/>
      <c r="N143" s="14"/>
      <c r="O143" s="14"/>
    </row>
    <row r="144" spans="1:15" x14ac:dyDescent="0.25">
      <c r="A144" s="159">
        <v>45436</v>
      </c>
      <c r="B144" s="55" t="s">
        <v>1681</v>
      </c>
      <c r="C144" s="55" t="s">
        <v>43</v>
      </c>
      <c r="D144" s="56">
        <f t="shared" si="7"/>
        <v>136.36363636363635</v>
      </c>
      <c r="E144" s="56">
        <f t="shared" si="6"/>
        <v>13.636363636363635</v>
      </c>
      <c r="F144" s="75">
        <v>150</v>
      </c>
      <c r="G144" s="75"/>
      <c r="H144" s="58">
        <f t="shared" si="8"/>
        <v>150</v>
      </c>
      <c r="I144" s="64" t="s">
        <v>604</v>
      </c>
      <c r="J144" s="146">
        <v>150</v>
      </c>
      <c r="K144" s="146"/>
      <c r="L144" s="14"/>
      <c r="M144" s="14"/>
      <c r="N144" s="14"/>
      <c r="O144" s="14"/>
    </row>
    <row r="145" spans="1:15" x14ac:dyDescent="0.25">
      <c r="A145" s="159">
        <v>45436</v>
      </c>
      <c r="B145" s="55" t="s">
        <v>1682</v>
      </c>
      <c r="C145" s="55" t="s">
        <v>43</v>
      </c>
      <c r="D145" s="56">
        <f t="shared" si="7"/>
        <v>154.54545454545453</v>
      </c>
      <c r="E145" s="56">
        <f t="shared" si="6"/>
        <v>15.454545454545453</v>
      </c>
      <c r="F145" s="75">
        <v>170</v>
      </c>
      <c r="G145" s="75">
        <v>50</v>
      </c>
      <c r="H145" s="58">
        <f t="shared" si="8"/>
        <v>120</v>
      </c>
      <c r="I145" s="64" t="s">
        <v>1917</v>
      </c>
      <c r="J145" s="146">
        <v>170</v>
      </c>
      <c r="K145" s="146"/>
      <c r="L145" s="14"/>
      <c r="M145" s="14"/>
      <c r="N145" s="14"/>
      <c r="O145" s="14"/>
    </row>
    <row r="146" spans="1:15" x14ac:dyDescent="0.25">
      <c r="A146" s="159">
        <v>45436</v>
      </c>
      <c r="B146" s="55" t="s">
        <v>1683</v>
      </c>
      <c r="C146" s="55" t="s">
        <v>43</v>
      </c>
      <c r="D146" s="56">
        <f t="shared" si="7"/>
        <v>154.54545454545453</v>
      </c>
      <c r="E146" s="56">
        <f t="shared" si="6"/>
        <v>15.454545454545453</v>
      </c>
      <c r="F146" s="75">
        <v>170</v>
      </c>
      <c r="G146" s="75">
        <v>50</v>
      </c>
      <c r="H146" s="58">
        <f t="shared" si="8"/>
        <v>120</v>
      </c>
      <c r="I146" s="64" t="s">
        <v>1788</v>
      </c>
      <c r="J146" s="146">
        <v>170</v>
      </c>
      <c r="K146" s="146"/>
      <c r="L146" s="14"/>
      <c r="M146" s="14"/>
      <c r="N146" s="14"/>
      <c r="O146" s="14"/>
    </row>
    <row r="147" spans="1:15" x14ac:dyDescent="0.25">
      <c r="A147" s="159">
        <v>45436</v>
      </c>
      <c r="B147" s="55" t="s">
        <v>1684</v>
      </c>
      <c r="C147" s="55" t="s">
        <v>43</v>
      </c>
      <c r="D147" s="56">
        <f t="shared" si="7"/>
        <v>372.72727272727269</v>
      </c>
      <c r="E147" s="56">
        <f t="shared" si="6"/>
        <v>37.272727272727273</v>
      </c>
      <c r="F147" s="75">
        <v>410</v>
      </c>
      <c r="G147" s="75">
        <v>50</v>
      </c>
      <c r="H147" s="58">
        <f t="shared" si="8"/>
        <v>360</v>
      </c>
      <c r="I147" s="64" t="s">
        <v>1918</v>
      </c>
      <c r="J147" s="146">
        <v>220</v>
      </c>
      <c r="K147" s="146">
        <v>30</v>
      </c>
      <c r="L147" s="14" t="s">
        <v>252</v>
      </c>
      <c r="M147" s="75">
        <v>160</v>
      </c>
      <c r="N147" s="14" t="s">
        <v>1319</v>
      </c>
      <c r="O147" s="14"/>
    </row>
    <row r="148" spans="1:15" x14ac:dyDescent="0.25">
      <c r="A148" s="159">
        <v>45436</v>
      </c>
      <c r="B148" s="55" t="s">
        <v>1685</v>
      </c>
      <c r="C148" s="55" t="s">
        <v>43</v>
      </c>
      <c r="D148" s="56">
        <f t="shared" si="7"/>
        <v>318.18181818181813</v>
      </c>
      <c r="E148" s="56">
        <f t="shared" si="6"/>
        <v>31.818181818181809</v>
      </c>
      <c r="F148" s="75">
        <v>350</v>
      </c>
      <c r="G148" s="75">
        <v>50</v>
      </c>
      <c r="H148" s="58">
        <f t="shared" si="8"/>
        <v>300</v>
      </c>
      <c r="I148" s="64" t="s">
        <v>1919</v>
      </c>
      <c r="J148" s="146">
        <v>270</v>
      </c>
      <c r="K148" s="146">
        <v>30</v>
      </c>
      <c r="L148" s="14" t="s">
        <v>252</v>
      </c>
      <c r="M148" s="146"/>
      <c r="N148" s="14"/>
      <c r="O148" s="14"/>
    </row>
    <row r="149" spans="1:15" x14ac:dyDescent="0.25">
      <c r="A149" s="159">
        <v>45436</v>
      </c>
      <c r="B149" s="55" t="s">
        <v>1686</v>
      </c>
      <c r="C149" s="55" t="s">
        <v>43</v>
      </c>
      <c r="D149" s="56">
        <f t="shared" si="7"/>
        <v>163.63636363636363</v>
      </c>
      <c r="E149" s="56">
        <f t="shared" si="6"/>
        <v>16.363636363636363</v>
      </c>
      <c r="F149" s="75">
        <v>180</v>
      </c>
      <c r="G149" s="75"/>
      <c r="H149" s="58">
        <f t="shared" si="8"/>
        <v>180</v>
      </c>
      <c r="I149" s="64" t="s">
        <v>604</v>
      </c>
      <c r="J149" s="146">
        <v>180</v>
      </c>
      <c r="K149" s="146"/>
      <c r="L149" s="14"/>
      <c r="M149" s="146"/>
      <c r="N149" s="14"/>
      <c r="O149" s="14"/>
    </row>
    <row r="150" spans="1:15" x14ac:dyDescent="0.25">
      <c r="A150" s="159">
        <v>45436</v>
      </c>
      <c r="B150" s="55" t="s">
        <v>1687</v>
      </c>
      <c r="C150" s="55" t="s">
        <v>43</v>
      </c>
      <c r="D150" s="56">
        <f t="shared" si="7"/>
        <v>245.45454545454544</v>
      </c>
      <c r="E150" s="56">
        <f t="shared" si="6"/>
        <v>24.545454545454547</v>
      </c>
      <c r="F150" s="75">
        <v>270</v>
      </c>
      <c r="G150" s="75">
        <v>50</v>
      </c>
      <c r="H150" s="58">
        <f t="shared" si="8"/>
        <v>220</v>
      </c>
      <c r="I150" s="64" t="s">
        <v>1920</v>
      </c>
      <c r="J150" s="146">
        <v>270</v>
      </c>
      <c r="K150" s="75"/>
      <c r="L150" s="14"/>
      <c r="M150" s="146"/>
      <c r="N150" s="14"/>
      <c r="O150" s="14"/>
    </row>
    <row r="151" spans="1:15" x14ac:dyDescent="0.25">
      <c r="A151" s="159">
        <v>45436</v>
      </c>
      <c r="B151" s="55" t="s">
        <v>1688</v>
      </c>
      <c r="C151" s="55" t="s">
        <v>43</v>
      </c>
      <c r="D151" s="56">
        <f t="shared" si="7"/>
        <v>145.45454545454544</v>
      </c>
      <c r="E151" s="56">
        <f t="shared" si="6"/>
        <v>14.545454545454545</v>
      </c>
      <c r="F151" s="75">
        <v>160</v>
      </c>
      <c r="G151" s="75"/>
      <c r="H151" s="58">
        <f t="shared" si="8"/>
        <v>160</v>
      </c>
      <c r="I151" s="64" t="s">
        <v>603</v>
      </c>
      <c r="J151" s="146">
        <v>160</v>
      </c>
      <c r="K151" s="146"/>
      <c r="L151" s="14"/>
      <c r="M151" s="146"/>
      <c r="N151" s="14"/>
      <c r="O151" s="14"/>
    </row>
    <row r="152" spans="1:15" x14ac:dyDescent="0.25">
      <c r="A152" s="159">
        <v>45436</v>
      </c>
      <c r="B152" s="55" t="s">
        <v>1689</v>
      </c>
      <c r="C152" s="55" t="s">
        <v>43</v>
      </c>
      <c r="D152" s="56">
        <f t="shared" si="7"/>
        <v>145.45454545454544</v>
      </c>
      <c r="E152" s="56">
        <f t="shared" si="6"/>
        <v>14.545454545454545</v>
      </c>
      <c r="F152" s="75">
        <v>160</v>
      </c>
      <c r="G152" s="75"/>
      <c r="H152" s="58">
        <f t="shared" si="8"/>
        <v>160</v>
      </c>
      <c r="I152" s="64" t="s">
        <v>603</v>
      </c>
      <c r="J152" s="146">
        <v>160</v>
      </c>
      <c r="K152" s="14"/>
      <c r="L152" s="14"/>
      <c r="M152" s="146"/>
      <c r="N152" s="14"/>
      <c r="O152" s="14"/>
    </row>
    <row r="153" spans="1:15" x14ac:dyDescent="0.25">
      <c r="A153" s="159">
        <v>45436</v>
      </c>
      <c r="B153" s="55" t="s">
        <v>1690</v>
      </c>
      <c r="C153" s="55" t="s">
        <v>43</v>
      </c>
      <c r="D153" s="56">
        <f t="shared" si="7"/>
        <v>145.45454545454544</v>
      </c>
      <c r="E153" s="56">
        <f t="shared" si="6"/>
        <v>14.545454545454545</v>
      </c>
      <c r="F153" s="75">
        <v>160</v>
      </c>
      <c r="G153" s="75"/>
      <c r="H153" s="58">
        <f t="shared" si="8"/>
        <v>160</v>
      </c>
      <c r="I153" s="64" t="s">
        <v>603</v>
      </c>
      <c r="J153" s="146">
        <v>160</v>
      </c>
      <c r="K153" s="75"/>
      <c r="L153" s="14"/>
      <c r="M153" s="146"/>
      <c r="N153" s="14"/>
      <c r="O153" s="14"/>
    </row>
    <row r="154" spans="1:15" x14ac:dyDescent="0.25">
      <c r="A154" s="159">
        <v>45436</v>
      </c>
      <c r="B154" s="55" t="s">
        <v>1691</v>
      </c>
      <c r="C154" s="55" t="s">
        <v>43</v>
      </c>
      <c r="D154" s="56">
        <f t="shared" si="7"/>
        <v>127.27272727272727</v>
      </c>
      <c r="E154" s="56">
        <f t="shared" si="6"/>
        <v>12.727272727272727</v>
      </c>
      <c r="F154" s="75">
        <v>140</v>
      </c>
      <c r="G154" s="75"/>
      <c r="H154" s="58">
        <f t="shared" si="8"/>
        <v>140</v>
      </c>
      <c r="I154" s="64" t="s">
        <v>603</v>
      </c>
      <c r="J154" s="146">
        <v>140</v>
      </c>
      <c r="K154" s="146"/>
      <c r="L154" s="14"/>
      <c r="M154" s="146"/>
      <c r="N154" s="14"/>
      <c r="O154" s="14"/>
    </row>
    <row r="155" spans="1:15" x14ac:dyDescent="0.25">
      <c r="A155" s="159">
        <v>45437</v>
      </c>
      <c r="B155" s="55" t="s">
        <v>1692</v>
      </c>
      <c r="C155" s="55" t="s">
        <v>43</v>
      </c>
      <c r="D155" s="56">
        <f t="shared" si="7"/>
        <v>281.81818181818181</v>
      </c>
      <c r="E155" s="56">
        <f t="shared" si="6"/>
        <v>28.18181818181818</v>
      </c>
      <c r="F155" s="75">
        <v>310</v>
      </c>
      <c r="G155" s="75">
        <v>50</v>
      </c>
      <c r="H155" s="58">
        <f t="shared" si="8"/>
        <v>260</v>
      </c>
      <c r="I155" s="64" t="s">
        <v>1921</v>
      </c>
      <c r="J155" s="146">
        <v>270</v>
      </c>
      <c r="K155" s="146">
        <v>40</v>
      </c>
      <c r="L155" s="14" t="s">
        <v>252</v>
      </c>
      <c r="M155" s="146"/>
      <c r="N155" s="14"/>
      <c r="O155" s="14"/>
    </row>
    <row r="156" spans="1:15" x14ac:dyDescent="0.25">
      <c r="A156" s="159">
        <v>45437</v>
      </c>
      <c r="B156" s="55" t="s">
        <v>1693</v>
      </c>
      <c r="C156" s="55" t="s">
        <v>43</v>
      </c>
      <c r="D156" s="56">
        <f t="shared" si="7"/>
        <v>236.36363636363635</v>
      </c>
      <c r="E156" s="56">
        <f t="shared" si="6"/>
        <v>23.636363636363637</v>
      </c>
      <c r="F156" s="75">
        <v>260</v>
      </c>
      <c r="G156" s="75">
        <v>50</v>
      </c>
      <c r="H156" s="58">
        <f t="shared" si="8"/>
        <v>210</v>
      </c>
      <c r="I156" s="64" t="s">
        <v>1922</v>
      </c>
      <c r="J156" s="146">
        <v>220</v>
      </c>
      <c r="K156" s="75">
        <v>40</v>
      </c>
      <c r="L156" s="14" t="s">
        <v>252</v>
      </c>
      <c r="M156" s="146"/>
      <c r="N156" s="14"/>
      <c r="O156" s="14"/>
    </row>
    <row r="157" spans="1:15" x14ac:dyDescent="0.25">
      <c r="A157" s="159">
        <v>45437</v>
      </c>
      <c r="B157" s="55" t="s">
        <v>1694</v>
      </c>
      <c r="C157" s="55" t="s">
        <v>43</v>
      </c>
      <c r="D157" s="56">
        <f t="shared" si="7"/>
        <v>281.81818181818181</v>
      </c>
      <c r="E157" s="56">
        <f t="shared" si="6"/>
        <v>28.18181818181818</v>
      </c>
      <c r="F157" s="75">
        <v>310</v>
      </c>
      <c r="G157" s="75">
        <v>50</v>
      </c>
      <c r="H157" s="58">
        <f t="shared" si="8"/>
        <v>260</v>
      </c>
      <c r="I157" s="64" t="s">
        <v>1923</v>
      </c>
      <c r="J157" s="146">
        <v>270</v>
      </c>
      <c r="K157" s="146">
        <v>40</v>
      </c>
      <c r="L157" s="14" t="s">
        <v>252</v>
      </c>
      <c r="M157" s="146"/>
      <c r="N157" s="14"/>
      <c r="O157" s="14"/>
    </row>
    <row r="158" spans="1:15" x14ac:dyDescent="0.25">
      <c r="A158" s="159">
        <v>45437</v>
      </c>
      <c r="B158" s="55" t="s">
        <v>1695</v>
      </c>
      <c r="C158" s="55" t="s">
        <v>43</v>
      </c>
      <c r="D158" s="56">
        <f t="shared" si="7"/>
        <v>245.45454545454544</v>
      </c>
      <c r="E158" s="56">
        <f t="shared" si="6"/>
        <v>24.545454545454547</v>
      </c>
      <c r="F158" s="75">
        <v>270</v>
      </c>
      <c r="G158" s="75">
        <v>50</v>
      </c>
      <c r="H158" s="58">
        <f t="shared" si="8"/>
        <v>220</v>
      </c>
      <c r="I158" s="64" t="s">
        <v>1924</v>
      </c>
      <c r="J158" s="146">
        <v>270</v>
      </c>
      <c r="K158" s="75"/>
      <c r="L158" s="14"/>
      <c r="M158" s="14"/>
      <c r="N158" s="14"/>
      <c r="O158" s="14"/>
    </row>
    <row r="159" spans="1:15" x14ac:dyDescent="0.25">
      <c r="A159" s="159">
        <v>45437</v>
      </c>
      <c r="B159" s="55" t="s">
        <v>1696</v>
      </c>
      <c r="C159" s="55" t="s">
        <v>43</v>
      </c>
      <c r="D159" s="56">
        <f t="shared" si="7"/>
        <v>245.45454545454544</v>
      </c>
      <c r="E159" s="56">
        <f t="shared" si="6"/>
        <v>24.545454545454547</v>
      </c>
      <c r="F159" s="75">
        <v>270</v>
      </c>
      <c r="G159" s="75">
        <v>50</v>
      </c>
      <c r="H159" s="58">
        <f t="shared" si="8"/>
        <v>220</v>
      </c>
      <c r="I159" s="64" t="s">
        <v>1925</v>
      </c>
      <c r="J159" s="146">
        <v>270</v>
      </c>
      <c r="K159" s="14"/>
      <c r="L159" s="14"/>
      <c r="M159" s="14"/>
      <c r="N159" s="14"/>
      <c r="O159" s="14"/>
    </row>
    <row r="160" spans="1:15" x14ac:dyDescent="0.25">
      <c r="A160" s="159">
        <v>45437</v>
      </c>
      <c r="B160" s="55" t="s">
        <v>1697</v>
      </c>
      <c r="C160" s="55" t="s">
        <v>43</v>
      </c>
      <c r="D160" s="56">
        <f t="shared" si="7"/>
        <v>199.99999999999997</v>
      </c>
      <c r="E160" s="56">
        <f t="shared" si="6"/>
        <v>19.999999999999996</v>
      </c>
      <c r="F160" s="75">
        <v>220</v>
      </c>
      <c r="G160" s="75">
        <v>50</v>
      </c>
      <c r="H160" s="58">
        <f t="shared" si="8"/>
        <v>170</v>
      </c>
      <c r="I160" s="64" t="s">
        <v>1926</v>
      </c>
      <c r="J160" s="146">
        <v>220</v>
      </c>
      <c r="K160" s="75"/>
      <c r="L160" s="14"/>
      <c r="M160" s="14"/>
      <c r="N160" s="14"/>
      <c r="O160" s="14"/>
    </row>
    <row r="161" spans="1:15" x14ac:dyDescent="0.25">
      <c r="A161" s="159">
        <v>45437</v>
      </c>
      <c r="B161" s="55" t="s">
        <v>1698</v>
      </c>
      <c r="C161" s="55" t="s">
        <v>43</v>
      </c>
      <c r="D161" s="56">
        <f t="shared" si="7"/>
        <v>163.63636363636363</v>
      </c>
      <c r="E161" s="56">
        <f t="shared" si="6"/>
        <v>16.363636363636363</v>
      </c>
      <c r="F161" s="75">
        <v>180</v>
      </c>
      <c r="G161" s="75"/>
      <c r="H161" s="58">
        <f t="shared" si="8"/>
        <v>180</v>
      </c>
      <c r="I161" s="64" t="s">
        <v>1263</v>
      </c>
      <c r="J161" s="146">
        <v>180</v>
      </c>
      <c r="K161" s="14"/>
      <c r="L161" s="14"/>
      <c r="M161" s="14"/>
      <c r="N161" s="14"/>
      <c r="O161" s="14"/>
    </row>
    <row r="162" spans="1:15" x14ac:dyDescent="0.25">
      <c r="A162" s="159">
        <v>45437</v>
      </c>
      <c r="B162" s="55" t="s">
        <v>1699</v>
      </c>
      <c r="C162" s="55" t="s">
        <v>43</v>
      </c>
      <c r="D162" s="56">
        <f t="shared" si="7"/>
        <v>154.54545454545453</v>
      </c>
      <c r="E162" s="56">
        <f t="shared" si="6"/>
        <v>15.454545454545453</v>
      </c>
      <c r="F162" s="75">
        <v>170</v>
      </c>
      <c r="G162" s="75"/>
      <c r="H162" s="58">
        <f t="shared" si="8"/>
        <v>170</v>
      </c>
      <c r="I162" s="64" t="s">
        <v>604</v>
      </c>
      <c r="J162" s="146">
        <v>170</v>
      </c>
      <c r="K162" s="14"/>
      <c r="L162" s="14"/>
      <c r="M162" s="14"/>
      <c r="N162" s="14"/>
      <c r="O162" s="14"/>
    </row>
    <row r="163" spans="1:15" x14ac:dyDescent="0.25">
      <c r="A163" s="159">
        <v>45437</v>
      </c>
      <c r="B163" s="55" t="s">
        <v>1700</v>
      </c>
      <c r="C163" s="55" t="s">
        <v>43</v>
      </c>
      <c r="D163" s="56">
        <f t="shared" si="7"/>
        <v>236.36363636363635</v>
      </c>
      <c r="E163" s="137">
        <f t="shared" si="6"/>
        <v>23.636363636363637</v>
      </c>
      <c r="F163" s="146">
        <v>260</v>
      </c>
      <c r="G163" s="75">
        <v>50</v>
      </c>
      <c r="H163" s="58">
        <f t="shared" si="8"/>
        <v>210</v>
      </c>
      <c r="I163" s="64" t="s">
        <v>1927</v>
      </c>
      <c r="J163" s="146">
        <v>220</v>
      </c>
      <c r="K163" s="75">
        <v>40</v>
      </c>
      <c r="L163" s="14" t="s">
        <v>252</v>
      </c>
      <c r="M163" s="14"/>
      <c r="N163" s="14"/>
      <c r="O163" s="14"/>
    </row>
    <row r="164" spans="1:15" x14ac:dyDescent="0.25">
      <c r="A164" s="159">
        <v>45437</v>
      </c>
      <c r="B164" s="55" t="s">
        <v>1701</v>
      </c>
      <c r="C164" s="55" t="s">
        <v>43</v>
      </c>
      <c r="D164" s="56">
        <f t="shared" si="7"/>
        <v>236.36363636363635</v>
      </c>
      <c r="E164" s="137">
        <f t="shared" si="6"/>
        <v>23.636363636363637</v>
      </c>
      <c r="F164" s="146">
        <v>260</v>
      </c>
      <c r="G164" s="75">
        <v>50</v>
      </c>
      <c r="H164" s="58">
        <f t="shared" si="8"/>
        <v>210</v>
      </c>
      <c r="I164" s="64" t="s">
        <v>1928</v>
      </c>
      <c r="J164" s="146">
        <v>220</v>
      </c>
      <c r="K164" s="75">
        <v>40</v>
      </c>
      <c r="L164" s="14" t="s">
        <v>252</v>
      </c>
      <c r="M164" s="14"/>
      <c r="N164" s="14"/>
      <c r="O164" s="14"/>
    </row>
    <row r="165" spans="1:15" x14ac:dyDescent="0.25">
      <c r="A165" s="159">
        <v>45437</v>
      </c>
      <c r="B165" s="55" t="s">
        <v>1702</v>
      </c>
      <c r="C165" s="55" t="s">
        <v>43</v>
      </c>
      <c r="D165" s="56">
        <f t="shared" si="7"/>
        <v>227.27272727272725</v>
      </c>
      <c r="E165" s="137">
        <f t="shared" si="6"/>
        <v>22.727272727272727</v>
      </c>
      <c r="F165" s="146">
        <v>250</v>
      </c>
      <c r="G165" s="75">
        <v>50</v>
      </c>
      <c r="H165" s="58">
        <f t="shared" si="8"/>
        <v>200</v>
      </c>
      <c r="I165" s="64" t="s">
        <v>1929</v>
      </c>
      <c r="J165" s="146">
        <v>220</v>
      </c>
      <c r="K165" s="75">
        <v>30</v>
      </c>
      <c r="L165" s="14" t="s">
        <v>252</v>
      </c>
      <c r="M165" s="14"/>
      <c r="N165" s="14"/>
      <c r="O165" s="14"/>
    </row>
    <row r="166" spans="1:15" x14ac:dyDescent="0.25">
      <c r="A166" s="159">
        <v>45437</v>
      </c>
      <c r="B166" s="55" t="s">
        <v>1703</v>
      </c>
      <c r="C166" s="55" t="s">
        <v>43</v>
      </c>
      <c r="D166" s="56">
        <f t="shared" si="7"/>
        <v>199.99999999999997</v>
      </c>
      <c r="E166" s="137">
        <f t="shared" si="6"/>
        <v>19.999999999999996</v>
      </c>
      <c r="F166" s="146">
        <v>220</v>
      </c>
      <c r="G166" s="75">
        <v>50</v>
      </c>
      <c r="H166" s="58">
        <f t="shared" si="8"/>
        <v>170</v>
      </c>
      <c r="I166" s="64" t="s">
        <v>1930</v>
      </c>
      <c r="J166" s="146">
        <v>220</v>
      </c>
      <c r="K166" s="14"/>
      <c r="L166" s="14"/>
      <c r="M166" s="14"/>
      <c r="N166" s="14"/>
      <c r="O166" s="14"/>
    </row>
    <row r="167" spans="1:15" x14ac:dyDescent="0.25">
      <c r="A167" s="159">
        <v>45437</v>
      </c>
      <c r="B167" s="55" t="s">
        <v>1704</v>
      </c>
      <c r="C167" s="55" t="s">
        <v>43</v>
      </c>
      <c r="D167" s="56">
        <f t="shared" si="7"/>
        <v>409.09090909090907</v>
      </c>
      <c r="E167" s="137">
        <f t="shared" si="6"/>
        <v>40.909090909090907</v>
      </c>
      <c r="F167" s="146">
        <v>450</v>
      </c>
      <c r="G167" s="75">
        <v>50</v>
      </c>
      <c r="H167" s="58">
        <f t="shared" si="8"/>
        <v>400</v>
      </c>
      <c r="I167" s="64" t="s">
        <v>1931</v>
      </c>
      <c r="J167" s="146">
        <v>450</v>
      </c>
      <c r="K167" s="14"/>
      <c r="L167" s="14"/>
      <c r="M167" s="14"/>
      <c r="N167" s="14"/>
      <c r="O167" s="14"/>
    </row>
    <row r="168" spans="1:15" x14ac:dyDescent="0.25">
      <c r="A168" s="159">
        <v>45437</v>
      </c>
      <c r="B168" s="55" t="s">
        <v>1705</v>
      </c>
      <c r="C168" s="55" t="s">
        <v>43</v>
      </c>
      <c r="D168" s="56">
        <f t="shared" si="7"/>
        <v>172.72727272727272</v>
      </c>
      <c r="E168" s="137">
        <f t="shared" si="6"/>
        <v>17.272727272727273</v>
      </c>
      <c r="F168" s="146">
        <v>190</v>
      </c>
      <c r="G168" s="75">
        <v>50</v>
      </c>
      <c r="H168" s="58">
        <f t="shared" si="8"/>
        <v>140</v>
      </c>
      <c r="I168" s="64" t="s">
        <v>1932</v>
      </c>
      <c r="J168" s="146">
        <v>170</v>
      </c>
      <c r="K168" s="75">
        <v>20</v>
      </c>
      <c r="L168" s="14" t="s">
        <v>252</v>
      </c>
      <c r="M168" s="14"/>
      <c r="N168" s="14"/>
      <c r="O168" s="14"/>
    </row>
    <row r="169" spans="1:15" x14ac:dyDescent="0.25">
      <c r="A169" s="159">
        <v>45437</v>
      </c>
      <c r="B169" s="55" t="s">
        <v>1706</v>
      </c>
      <c r="C169" s="55" t="s">
        <v>43</v>
      </c>
      <c r="D169" s="56">
        <f t="shared" si="7"/>
        <v>154.54545454545453</v>
      </c>
      <c r="E169" s="137">
        <f t="shared" si="6"/>
        <v>15.454545454545453</v>
      </c>
      <c r="F169" s="146">
        <v>170</v>
      </c>
      <c r="G169" s="75">
        <v>50</v>
      </c>
      <c r="H169" s="58">
        <f t="shared" si="8"/>
        <v>120</v>
      </c>
      <c r="I169" s="64" t="s">
        <v>1933</v>
      </c>
      <c r="J169" s="146">
        <v>170</v>
      </c>
      <c r="K169" s="14"/>
      <c r="L169" s="14"/>
      <c r="M169" s="14"/>
      <c r="N169" s="14"/>
      <c r="O169" s="14"/>
    </row>
    <row r="170" spans="1:15" x14ac:dyDescent="0.25">
      <c r="A170" s="159">
        <v>45437</v>
      </c>
      <c r="B170" s="55" t="s">
        <v>1707</v>
      </c>
      <c r="C170" s="55" t="s">
        <v>43</v>
      </c>
      <c r="D170" s="56">
        <f t="shared" si="7"/>
        <v>154.54545454545453</v>
      </c>
      <c r="E170" s="137">
        <f t="shared" si="6"/>
        <v>15.454545454545453</v>
      </c>
      <c r="F170" s="146">
        <v>170</v>
      </c>
      <c r="G170" s="75">
        <v>50</v>
      </c>
      <c r="H170" s="58">
        <f t="shared" si="8"/>
        <v>120</v>
      </c>
      <c r="I170" s="64" t="s">
        <v>1788</v>
      </c>
      <c r="J170" s="146">
        <v>170</v>
      </c>
      <c r="K170" s="14"/>
      <c r="L170" s="14"/>
      <c r="M170" s="14"/>
      <c r="N170" s="14"/>
      <c r="O170" s="14"/>
    </row>
    <row r="171" spans="1:15" x14ac:dyDescent="0.25">
      <c r="A171" s="159">
        <v>45437</v>
      </c>
      <c r="B171" s="55" t="s">
        <v>1708</v>
      </c>
      <c r="C171" s="55" t="s">
        <v>43</v>
      </c>
      <c r="D171" s="56">
        <f t="shared" si="7"/>
        <v>154.54545454545453</v>
      </c>
      <c r="E171" s="137">
        <f t="shared" si="6"/>
        <v>15.454545454545453</v>
      </c>
      <c r="F171" s="146">
        <v>170</v>
      </c>
      <c r="G171" s="75">
        <v>50</v>
      </c>
      <c r="H171" s="58">
        <f t="shared" si="8"/>
        <v>120</v>
      </c>
      <c r="I171" s="64" t="s">
        <v>1934</v>
      </c>
      <c r="J171" s="146">
        <v>170</v>
      </c>
      <c r="K171" s="14"/>
      <c r="L171" s="14"/>
      <c r="M171" s="14"/>
      <c r="N171" s="14"/>
      <c r="O171" s="14"/>
    </row>
    <row r="172" spans="1:15" x14ac:dyDescent="0.25">
      <c r="A172" s="159">
        <v>45437</v>
      </c>
      <c r="B172" s="55" t="s">
        <v>1709</v>
      </c>
      <c r="C172" s="55" t="s">
        <v>43</v>
      </c>
      <c r="D172" s="56">
        <f t="shared" si="7"/>
        <v>136.36363636363635</v>
      </c>
      <c r="E172" s="137">
        <f t="shared" si="6"/>
        <v>13.636363636363635</v>
      </c>
      <c r="F172" s="146">
        <v>150</v>
      </c>
      <c r="G172" s="75"/>
      <c r="H172" s="58">
        <f t="shared" si="8"/>
        <v>150</v>
      </c>
      <c r="I172" s="64" t="s">
        <v>604</v>
      </c>
      <c r="J172" s="146">
        <v>150</v>
      </c>
      <c r="K172" s="14"/>
      <c r="L172" s="14"/>
      <c r="M172" s="14"/>
      <c r="N172" s="14"/>
      <c r="O172" s="14"/>
    </row>
    <row r="173" spans="1:15" x14ac:dyDescent="0.25">
      <c r="A173" s="159">
        <v>45437</v>
      </c>
      <c r="B173" s="55" t="s">
        <v>1710</v>
      </c>
      <c r="C173" s="55" t="s">
        <v>43</v>
      </c>
      <c r="D173" s="56">
        <f t="shared" si="7"/>
        <v>190.90909090909091</v>
      </c>
      <c r="E173" s="137">
        <f t="shared" si="6"/>
        <v>19.09090909090909</v>
      </c>
      <c r="F173" s="146">
        <v>210</v>
      </c>
      <c r="G173" s="75">
        <v>50</v>
      </c>
      <c r="H173" s="58">
        <f t="shared" si="8"/>
        <v>160</v>
      </c>
      <c r="I173" s="64" t="s">
        <v>1935</v>
      </c>
      <c r="J173" s="146">
        <v>170</v>
      </c>
      <c r="K173" s="75">
        <v>40</v>
      </c>
      <c r="L173" s="14"/>
      <c r="M173" s="14"/>
      <c r="N173" s="14"/>
      <c r="O173" s="14"/>
    </row>
    <row r="174" spans="1:15" x14ac:dyDescent="0.25">
      <c r="A174" s="159">
        <v>45437</v>
      </c>
      <c r="B174" s="55" t="s">
        <v>1711</v>
      </c>
      <c r="C174" s="55" t="s">
        <v>43</v>
      </c>
      <c r="D174" s="56">
        <f t="shared" si="7"/>
        <v>127.27272727272727</v>
      </c>
      <c r="E174" s="75">
        <f t="shared" si="6"/>
        <v>12.727272727272727</v>
      </c>
      <c r="F174" s="75">
        <v>140</v>
      </c>
      <c r="G174" s="75"/>
      <c r="H174" s="58">
        <f t="shared" si="8"/>
        <v>140</v>
      </c>
      <c r="I174" s="14" t="s">
        <v>1837</v>
      </c>
      <c r="J174" s="75">
        <v>140</v>
      </c>
      <c r="K174" s="75"/>
      <c r="L174" s="14"/>
      <c r="M174" s="14"/>
      <c r="N174" s="14"/>
      <c r="O174" s="14"/>
    </row>
    <row r="175" spans="1:15" x14ac:dyDescent="0.25">
      <c r="A175" s="159">
        <v>45437</v>
      </c>
      <c r="B175" s="55" t="s">
        <v>1712</v>
      </c>
      <c r="C175" s="55" t="s">
        <v>43</v>
      </c>
      <c r="D175" s="56">
        <f t="shared" si="7"/>
        <v>127.27272727272727</v>
      </c>
      <c r="E175" s="75">
        <f t="shared" si="6"/>
        <v>12.727272727272727</v>
      </c>
      <c r="F175" s="75">
        <v>140</v>
      </c>
      <c r="G175" s="75"/>
      <c r="H175" s="58">
        <f t="shared" si="8"/>
        <v>140</v>
      </c>
      <c r="I175" s="14" t="s">
        <v>1040</v>
      </c>
      <c r="J175" s="75">
        <v>140</v>
      </c>
      <c r="K175" s="75"/>
      <c r="L175" s="14"/>
      <c r="M175" s="14"/>
      <c r="N175" s="14"/>
      <c r="O175" s="14"/>
    </row>
    <row r="176" spans="1:15" x14ac:dyDescent="0.25">
      <c r="A176" s="159">
        <v>45437</v>
      </c>
      <c r="B176" s="55" t="s">
        <v>1713</v>
      </c>
      <c r="C176" s="55" t="s">
        <v>43</v>
      </c>
      <c r="D176" s="56">
        <f t="shared" si="7"/>
        <v>154.54545454545453</v>
      </c>
      <c r="E176" s="75">
        <f t="shared" si="6"/>
        <v>15.454545454545453</v>
      </c>
      <c r="F176" s="75">
        <v>170</v>
      </c>
      <c r="G176" s="75">
        <v>50</v>
      </c>
      <c r="H176" s="58">
        <f t="shared" si="8"/>
        <v>120</v>
      </c>
      <c r="I176" s="14" t="s">
        <v>1936</v>
      </c>
      <c r="J176" s="75">
        <v>170</v>
      </c>
      <c r="K176" s="75"/>
      <c r="L176" s="14"/>
      <c r="M176" s="14"/>
      <c r="N176" s="14"/>
      <c r="O176" s="14"/>
    </row>
    <row r="177" spans="1:17" x14ac:dyDescent="0.25">
      <c r="A177" s="159">
        <v>45437</v>
      </c>
      <c r="B177" s="55" t="s">
        <v>1714</v>
      </c>
      <c r="C177" s="55" t="s">
        <v>43</v>
      </c>
      <c r="D177" s="56">
        <f t="shared" si="7"/>
        <v>154.54545454545453</v>
      </c>
      <c r="E177" s="75">
        <f t="shared" si="6"/>
        <v>15.454545454545453</v>
      </c>
      <c r="F177" s="75">
        <v>170</v>
      </c>
      <c r="G177" s="75">
        <v>50</v>
      </c>
      <c r="H177" s="58">
        <f t="shared" si="8"/>
        <v>120</v>
      </c>
      <c r="I177" s="14" t="s">
        <v>1937</v>
      </c>
      <c r="J177" s="75">
        <v>170</v>
      </c>
      <c r="K177" s="75"/>
      <c r="L177" s="14"/>
      <c r="M177" s="14"/>
      <c r="N177" s="14"/>
      <c r="O177" s="14"/>
    </row>
    <row r="178" spans="1:17" x14ac:dyDescent="0.25">
      <c r="A178" s="159">
        <v>45437</v>
      </c>
      <c r="B178" s="55" t="s">
        <v>1715</v>
      </c>
      <c r="C178" s="55" t="s">
        <v>43</v>
      </c>
      <c r="D178" s="56">
        <f t="shared" si="7"/>
        <v>109.09090909090908</v>
      </c>
      <c r="E178" s="75">
        <f t="shared" si="6"/>
        <v>10.909090909090908</v>
      </c>
      <c r="F178" s="75">
        <v>120</v>
      </c>
      <c r="G178" s="75">
        <v>50</v>
      </c>
      <c r="H178" s="58">
        <f t="shared" si="8"/>
        <v>70</v>
      </c>
      <c r="I178" s="14" t="s">
        <v>1788</v>
      </c>
      <c r="J178" s="75">
        <v>170</v>
      </c>
      <c r="K178" s="75"/>
      <c r="L178" s="14"/>
      <c r="M178" s="14"/>
      <c r="N178" s="14"/>
      <c r="O178" s="14"/>
    </row>
    <row r="179" spans="1:17" x14ac:dyDescent="0.25">
      <c r="A179" s="159">
        <v>45438</v>
      </c>
      <c r="B179" s="55" t="s">
        <v>1716</v>
      </c>
      <c r="C179" s="55" t="s">
        <v>43</v>
      </c>
      <c r="D179" s="56">
        <f t="shared" si="7"/>
        <v>227.27272727272725</v>
      </c>
      <c r="E179" s="75">
        <f t="shared" si="6"/>
        <v>22.727272727272727</v>
      </c>
      <c r="F179" s="75">
        <v>250</v>
      </c>
      <c r="G179" s="75">
        <v>50</v>
      </c>
      <c r="H179" s="58">
        <f t="shared" si="8"/>
        <v>200</v>
      </c>
      <c r="I179" s="14" t="s">
        <v>1938</v>
      </c>
      <c r="J179" s="75">
        <v>220</v>
      </c>
      <c r="K179" s="75">
        <v>30</v>
      </c>
      <c r="L179" s="14" t="s">
        <v>252</v>
      </c>
      <c r="M179" s="14"/>
      <c r="N179" s="14"/>
      <c r="O179" s="14"/>
    </row>
    <row r="180" spans="1:17" x14ac:dyDescent="0.25">
      <c r="A180" s="159">
        <v>45438</v>
      </c>
      <c r="B180" s="55" t="s">
        <v>1717</v>
      </c>
      <c r="C180" s="55" t="s">
        <v>43</v>
      </c>
      <c r="D180" s="56">
        <f t="shared" si="7"/>
        <v>199.99999999999997</v>
      </c>
      <c r="E180" s="75">
        <f t="shared" si="6"/>
        <v>19.999999999999996</v>
      </c>
      <c r="F180" s="75">
        <v>220</v>
      </c>
      <c r="G180" s="75"/>
      <c r="H180" s="58">
        <f t="shared" si="8"/>
        <v>220</v>
      </c>
      <c r="I180" s="14" t="s">
        <v>604</v>
      </c>
      <c r="J180" s="75">
        <v>180</v>
      </c>
      <c r="K180" s="75"/>
      <c r="L180" s="14"/>
      <c r="M180" s="14"/>
      <c r="N180" s="14"/>
      <c r="O180" s="14"/>
    </row>
    <row r="181" spans="1:17" x14ac:dyDescent="0.25">
      <c r="A181" s="159">
        <v>45438</v>
      </c>
      <c r="B181" s="55" t="s">
        <v>1718</v>
      </c>
      <c r="C181" s="55" t="s">
        <v>43</v>
      </c>
      <c r="D181" s="56">
        <f t="shared" si="7"/>
        <v>209.09090909090907</v>
      </c>
      <c r="E181" s="75">
        <f t="shared" si="6"/>
        <v>20.909090909090907</v>
      </c>
      <c r="F181" s="75">
        <v>230</v>
      </c>
      <c r="G181" s="75">
        <v>50</v>
      </c>
      <c r="H181" s="58">
        <f t="shared" si="8"/>
        <v>180</v>
      </c>
      <c r="I181" s="14" t="s">
        <v>1939</v>
      </c>
      <c r="J181" s="75">
        <v>170</v>
      </c>
      <c r="K181" s="75">
        <v>60</v>
      </c>
      <c r="L181" s="14" t="s">
        <v>252</v>
      </c>
      <c r="M181" s="14"/>
      <c r="N181" s="14"/>
      <c r="O181" s="14"/>
    </row>
    <row r="182" spans="1:17" x14ac:dyDescent="0.25">
      <c r="A182" s="159">
        <v>45438</v>
      </c>
      <c r="B182" s="55" t="s">
        <v>1719</v>
      </c>
      <c r="C182" s="55" t="s">
        <v>43</v>
      </c>
      <c r="D182" s="56">
        <f t="shared" si="7"/>
        <v>245.45454545454544</v>
      </c>
      <c r="E182" s="75">
        <f t="shared" si="6"/>
        <v>24.545454545454547</v>
      </c>
      <c r="F182" s="75">
        <v>270</v>
      </c>
      <c r="G182" s="75">
        <v>50</v>
      </c>
      <c r="H182" s="58">
        <f t="shared" si="8"/>
        <v>220</v>
      </c>
      <c r="I182" s="14" t="s">
        <v>1940</v>
      </c>
      <c r="J182" s="75">
        <v>270</v>
      </c>
      <c r="K182" s="75"/>
      <c r="L182" s="14"/>
      <c r="M182" s="14"/>
      <c r="N182" s="14"/>
      <c r="O182" s="14"/>
    </row>
    <row r="183" spans="1:17" x14ac:dyDescent="0.25">
      <c r="A183" s="159">
        <v>45438</v>
      </c>
      <c r="B183" s="55" t="s">
        <v>1720</v>
      </c>
      <c r="C183" s="55" t="s">
        <v>43</v>
      </c>
      <c r="D183" s="56">
        <f t="shared" si="7"/>
        <v>281.81818181818181</v>
      </c>
      <c r="E183" s="75">
        <f t="shared" si="6"/>
        <v>28.18181818181818</v>
      </c>
      <c r="F183" s="75">
        <v>310</v>
      </c>
      <c r="G183" s="75">
        <v>50</v>
      </c>
      <c r="H183" s="58">
        <f t="shared" si="8"/>
        <v>260</v>
      </c>
      <c r="I183" s="14" t="s">
        <v>1941</v>
      </c>
      <c r="J183" s="75">
        <v>270</v>
      </c>
      <c r="K183" s="75">
        <v>40</v>
      </c>
      <c r="L183" s="14" t="s">
        <v>252</v>
      </c>
      <c r="M183" s="14"/>
      <c r="N183" s="14"/>
      <c r="O183" s="14"/>
    </row>
    <row r="184" spans="1:17" x14ac:dyDescent="0.25">
      <c r="A184" s="159">
        <v>45438</v>
      </c>
      <c r="B184" s="55" t="s">
        <v>1721</v>
      </c>
      <c r="C184" s="55" t="s">
        <v>43</v>
      </c>
      <c r="D184" s="56">
        <f t="shared" si="7"/>
        <v>286.36363636363632</v>
      </c>
      <c r="E184" s="75">
        <f t="shared" si="6"/>
        <v>28.63636363636363</v>
      </c>
      <c r="F184" s="75">
        <v>315</v>
      </c>
      <c r="G184" s="75">
        <v>50</v>
      </c>
      <c r="H184" s="58">
        <f t="shared" si="8"/>
        <v>265</v>
      </c>
      <c r="I184" s="14" t="s">
        <v>1942</v>
      </c>
      <c r="J184" s="75">
        <v>270</v>
      </c>
      <c r="K184" s="75"/>
      <c r="L184" s="14"/>
      <c r="M184" s="75">
        <v>45</v>
      </c>
      <c r="N184" s="14" t="s">
        <v>45</v>
      </c>
      <c r="O184" s="14"/>
    </row>
    <row r="185" spans="1:17" x14ac:dyDescent="0.25">
      <c r="A185" s="159">
        <v>45439</v>
      </c>
      <c r="B185" s="55" t="s">
        <v>1722</v>
      </c>
      <c r="C185" s="55" t="s">
        <v>43</v>
      </c>
      <c r="D185" s="56">
        <f t="shared" si="7"/>
        <v>245.45454545454544</v>
      </c>
      <c r="E185" s="75">
        <f t="shared" si="6"/>
        <v>24.545454545454547</v>
      </c>
      <c r="F185" s="75">
        <v>270</v>
      </c>
      <c r="G185" s="75">
        <v>50</v>
      </c>
      <c r="H185" s="58">
        <f t="shared" si="8"/>
        <v>220</v>
      </c>
      <c r="I185" s="14" t="s">
        <v>1943</v>
      </c>
      <c r="J185" s="75">
        <v>270</v>
      </c>
      <c r="K185" s="75"/>
      <c r="L185" s="14"/>
      <c r="M185" s="14"/>
      <c r="N185" s="14"/>
      <c r="O185" s="14"/>
    </row>
    <row r="186" spans="1:17" x14ac:dyDescent="0.25">
      <c r="A186" s="159">
        <v>45439</v>
      </c>
      <c r="B186" s="55" t="s">
        <v>1723</v>
      </c>
      <c r="C186" s="55" t="s">
        <v>43</v>
      </c>
      <c r="D186" s="56">
        <f t="shared" si="7"/>
        <v>263.63636363636363</v>
      </c>
      <c r="E186" s="75">
        <f t="shared" si="6"/>
        <v>26.36363636363636</v>
      </c>
      <c r="F186" s="75">
        <v>290</v>
      </c>
      <c r="G186" s="75">
        <v>50</v>
      </c>
      <c r="H186" s="58">
        <f t="shared" si="8"/>
        <v>240</v>
      </c>
      <c r="I186" s="14" t="s">
        <v>1788</v>
      </c>
      <c r="J186" s="75">
        <v>270</v>
      </c>
      <c r="K186" s="75">
        <v>20</v>
      </c>
      <c r="L186" s="14"/>
      <c r="M186" s="14"/>
      <c r="N186" s="14"/>
      <c r="O186" s="14"/>
    </row>
    <row r="187" spans="1:17" x14ac:dyDescent="0.25">
      <c r="A187" s="159">
        <v>45441</v>
      </c>
      <c r="B187" s="55" t="s">
        <v>1724</v>
      </c>
      <c r="C187" s="55" t="s">
        <v>43</v>
      </c>
      <c r="D187" s="56">
        <f t="shared" si="7"/>
        <v>163.63636363636363</v>
      </c>
      <c r="E187" s="75">
        <f t="shared" si="6"/>
        <v>16.363636363636363</v>
      </c>
      <c r="F187" s="75">
        <v>180</v>
      </c>
      <c r="G187" s="75"/>
      <c r="H187" s="58">
        <f t="shared" si="8"/>
        <v>180</v>
      </c>
      <c r="I187" s="14" t="s">
        <v>603</v>
      </c>
      <c r="J187" s="75">
        <v>180</v>
      </c>
      <c r="K187" s="75"/>
      <c r="L187" s="14"/>
      <c r="M187" s="14"/>
      <c r="N187" s="14"/>
      <c r="O187" s="14"/>
    </row>
    <row r="188" spans="1:17" x14ac:dyDescent="0.25">
      <c r="A188" s="159">
        <v>45442</v>
      </c>
      <c r="B188" s="55" t="s">
        <v>1725</v>
      </c>
      <c r="C188" s="55" t="s">
        <v>43</v>
      </c>
      <c r="D188" s="56">
        <f t="shared" si="7"/>
        <v>199.99999999999997</v>
      </c>
      <c r="E188" s="75">
        <f t="shared" si="6"/>
        <v>19.999999999999996</v>
      </c>
      <c r="F188" s="75">
        <v>220</v>
      </c>
      <c r="G188" s="75">
        <v>50</v>
      </c>
      <c r="H188" s="58">
        <f t="shared" si="8"/>
        <v>170</v>
      </c>
      <c r="I188" s="14" t="s">
        <v>1975</v>
      </c>
      <c r="J188" s="75">
        <v>220</v>
      </c>
      <c r="K188" s="75"/>
      <c r="L188" s="14"/>
      <c r="M188" s="14"/>
      <c r="N188" s="14"/>
      <c r="O188" s="14"/>
    </row>
    <row r="189" spans="1:17" x14ac:dyDescent="0.25">
      <c r="A189" s="159">
        <v>45443</v>
      </c>
      <c r="B189" s="55" t="s">
        <v>1726</v>
      </c>
      <c r="C189" s="55" t="s">
        <v>43</v>
      </c>
      <c r="D189" s="56">
        <f t="shared" si="7"/>
        <v>199.99999999999997</v>
      </c>
      <c r="E189" s="75">
        <f t="shared" si="6"/>
        <v>19.999999999999996</v>
      </c>
      <c r="F189" s="75">
        <v>220</v>
      </c>
      <c r="G189" s="75">
        <v>50</v>
      </c>
      <c r="H189" s="58">
        <f t="shared" si="8"/>
        <v>170</v>
      </c>
      <c r="I189" s="14" t="s">
        <v>1976</v>
      </c>
      <c r="J189" s="75">
        <v>220</v>
      </c>
      <c r="K189" s="75"/>
      <c r="L189" s="14"/>
      <c r="M189" s="14"/>
      <c r="N189" s="14"/>
      <c r="O189" s="14"/>
    </row>
    <row r="190" spans="1:17" x14ac:dyDescent="0.25">
      <c r="A190" s="159">
        <v>45443</v>
      </c>
      <c r="B190" s="55" t="s">
        <v>1727</v>
      </c>
      <c r="C190" s="55" t="s">
        <v>43</v>
      </c>
      <c r="D190" s="56">
        <f t="shared" si="7"/>
        <v>431.81818181818176</v>
      </c>
      <c r="E190" s="75">
        <f t="shared" si="6"/>
        <v>43.18181818181818</v>
      </c>
      <c r="F190" s="75">
        <v>475</v>
      </c>
      <c r="G190" s="75">
        <v>50</v>
      </c>
      <c r="H190" s="58">
        <f t="shared" si="8"/>
        <v>425</v>
      </c>
      <c r="I190" s="14" t="s">
        <v>1977</v>
      </c>
      <c r="J190" s="75">
        <v>270</v>
      </c>
      <c r="K190" s="75">
        <v>40</v>
      </c>
      <c r="L190" s="14" t="s">
        <v>252</v>
      </c>
      <c r="M190" s="14">
        <v>45</v>
      </c>
      <c r="N190" s="14" t="s">
        <v>45</v>
      </c>
      <c r="O190" s="14"/>
      <c r="P190" s="166">
        <v>120</v>
      </c>
      <c r="Q190" t="s">
        <v>1548</v>
      </c>
    </row>
    <row r="191" spans="1:17" x14ac:dyDescent="0.25">
      <c r="A191" s="159">
        <v>45443</v>
      </c>
      <c r="B191" s="55" t="s">
        <v>1728</v>
      </c>
      <c r="C191" s="55" t="s">
        <v>43</v>
      </c>
      <c r="D191" s="56">
        <f t="shared" si="7"/>
        <v>181.81818181818181</v>
      </c>
      <c r="E191" s="75">
        <f t="shared" si="6"/>
        <v>18.18181818181818</v>
      </c>
      <c r="F191" s="75">
        <v>200</v>
      </c>
      <c r="G191" s="75">
        <v>50</v>
      </c>
      <c r="H191" s="58">
        <f t="shared" si="8"/>
        <v>150</v>
      </c>
      <c r="I191" s="14" t="s">
        <v>1978</v>
      </c>
      <c r="J191" s="75">
        <v>170</v>
      </c>
      <c r="K191" s="75">
        <v>30</v>
      </c>
      <c r="L191" s="14" t="s">
        <v>252</v>
      </c>
      <c r="M191" s="14"/>
      <c r="N191" s="14"/>
      <c r="O191" s="14"/>
    </row>
    <row r="192" spans="1:17" x14ac:dyDescent="0.25">
      <c r="A192" s="159">
        <v>45443</v>
      </c>
      <c r="B192" s="55" t="s">
        <v>1729</v>
      </c>
      <c r="C192" s="55" t="s">
        <v>43</v>
      </c>
      <c r="D192" s="56">
        <f t="shared" si="7"/>
        <v>127.27272727272727</v>
      </c>
      <c r="E192" s="75">
        <f t="shared" si="6"/>
        <v>12.727272727272727</v>
      </c>
      <c r="F192" s="75">
        <v>140</v>
      </c>
      <c r="G192" s="75">
        <v>50</v>
      </c>
      <c r="H192" s="58">
        <f t="shared" si="8"/>
        <v>90</v>
      </c>
      <c r="I192" s="14" t="s">
        <v>603</v>
      </c>
      <c r="J192" s="75">
        <v>140</v>
      </c>
      <c r="K192" s="75"/>
      <c r="L192" s="14"/>
      <c r="M192" s="14"/>
      <c r="N192" s="14"/>
      <c r="O192" s="14"/>
    </row>
    <row r="193" spans="1:15" x14ac:dyDescent="0.25">
      <c r="A193" s="159">
        <v>45443</v>
      </c>
      <c r="B193" s="55" t="s">
        <v>1730</v>
      </c>
      <c r="C193" s="55" t="s">
        <v>43</v>
      </c>
      <c r="D193" s="56">
        <f t="shared" si="7"/>
        <v>199.99999999999997</v>
      </c>
      <c r="E193" s="75">
        <f t="shared" si="6"/>
        <v>19.999999999999996</v>
      </c>
      <c r="F193" s="75">
        <v>220</v>
      </c>
      <c r="G193" s="75"/>
      <c r="H193" s="58">
        <f t="shared" si="8"/>
        <v>220</v>
      </c>
      <c r="I193" s="14" t="s">
        <v>603</v>
      </c>
      <c r="J193" s="75">
        <v>220</v>
      </c>
      <c r="K193" s="75"/>
      <c r="L193" s="14"/>
      <c r="M193" s="14"/>
      <c r="N193" s="14"/>
      <c r="O193" s="14"/>
    </row>
    <row r="194" spans="1:15" x14ac:dyDescent="0.25">
      <c r="A194" s="159">
        <v>45443</v>
      </c>
      <c r="B194" s="55" t="s">
        <v>1731</v>
      </c>
      <c r="C194" s="55" t="s">
        <v>43</v>
      </c>
      <c r="D194" s="56">
        <f t="shared" si="7"/>
        <v>209.09090909090907</v>
      </c>
      <c r="E194" s="75">
        <f t="shared" si="6"/>
        <v>20.909090909090907</v>
      </c>
      <c r="F194" s="75">
        <v>230</v>
      </c>
      <c r="G194" s="75"/>
      <c r="H194" s="58">
        <f t="shared" si="8"/>
        <v>230</v>
      </c>
      <c r="I194" s="14" t="s">
        <v>603</v>
      </c>
      <c r="J194" s="75">
        <v>230</v>
      </c>
      <c r="K194" s="75"/>
      <c r="L194" s="14"/>
      <c r="M194" s="14"/>
      <c r="N194" s="14"/>
      <c r="O194" s="14"/>
    </row>
    <row r="195" spans="1:15" x14ac:dyDescent="0.25">
      <c r="A195" s="322" t="s">
        <v>11</v>
      </c>
      <c r="B195" s="322"/>
      <c r="C195" s="322"/>
      <c r="D195" s="75">
        <f>SUM(D3:D194)</f>
        <v>38490.90909090911</v>
      </c>
      <c r="E195" s="75">
        <f t="shared" si="6"/>
        <v>3849.0909090909113</v>
      </c>
      <c r="F195" s="75">
        <f>SUM(F3:F194)</f>
        <v>42340</v>
      </c>
      <c r="G195" s="75">
        <f>SUM(G3:G194)</f>
        <v>7690</v>
      </c>
      <c r="H195" s="75">
        <f>SUM(H3:H194)</f>
        <v>34650</v>
      </c>
    </row>
    <row r="196" spans="1:15" x14ac:dyDescent="0.25">
      <c r="D196" t="s">
        <v>2459</v>
      </c>
      <c r="E196" t="s">
        <v>408</v>
      </c>
      <c r="F196" t="s">
        <v>11</v>
      </c>
      <c r="G196" t="s">
        <v>2485</v>
      </c>
      <c r="H196" t="s">
        <v>42</v>
      </c>
    </row>
    <row r="197" spans="1:15" x14ac:dyDescent="0.25">
      <c r="D197" s="175">
        <f>D195+E195</f>
        <v>42340.000000000022</v>
      </c>
    </row>
  </sheetData>
  <mergeCells count="15">
    <mergeCell ref="A195:C195"/>
    <mergeCell ref="N1:N2"/>
    <mergeCell ref="O1:O2"/>
    <mergeCell ref="G1:H1"/>
    <mergeCell ref="I1:I2"/>
    <mergeCell ref="J1:J2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honeticPr fontId="6" type="noConversion"/>
  <conditionalFormatting sqref="A3:A19 F104:F126">
    <cfRule type="expression" dxfId="23" priority="13" stopIfTrue="1">
      <formula>EXACT($C3,"HUMMER")</formula>
    </cfRule>
    <cfRule type="expression" dxfId="22" priority="14" stopIfTrue="1">
      <formula>EXACT($C3,"BLANCA")</formula>
    </cfRule>
    <cfRule type="expression" dxfId="21" priority="15" stopIfTrue="1">
      <formula>EXACT($C3,"ROSA")</formula>
    </cfRule>
  </conditionalFormatting>
  <conditionalFormatting sqref="A20:A23 A25:A28 A30:A34">
    <cfRule type="expression" dxfId="20" priority="19" stopIfTrue="1">
      <formula>EXACT($C21,"HUMMER")</formula>
    </cfRule>
    <cfRule type="expression" dxfId="19" priority="20" stopIfTrue="1">
      <formula>EXACT($C21,"BLANCA")</formula>
    </cfRule>
    <cfRule type="expression" dxfId="18" priority="21" stopIfTrue="1">
      <formula>EXACT($C21,"ROSA")</formula>
    </cfRule>
  </conditionalFormatting>
  <conditionalFormatting sqref="A24">
    <cfRule type="expression" dxfId="17" priority="1" stopIfTrue="1">
      <formula>EXACT($C24,"HUMMER")</formula>
    </cfRule>
    <cfRule type="expression" dxfId="16" priority="2" stopIfTrue="1">
      <formula>EXACT($C24,"BLANCA")</formula>
    </cfRule>
    <cfRule type="expression" dxfId="15" priority="3" stopIfTrue="1">
      <formula>EXACT($C24,"ROSA")</formula>
    </cfRule>
  </conditionalFormatting>
  <conditionalFormatting sqref="A29">
    <cfRule type="expression" dxfId="14" priority="4" stopIfTrue="1">
      <formula>EXACT($C29,"HUMMER")</formula>
    </cfRule>
    <cfRule type="expression" dxfId="13" priority="5" stopIfTrue="1">
      <formula>EXACT($C29,"BLANCA")</formula>
    </cfRule>
    <cfRule type="expression" dxfId="12" priority="6" stopIfTrue="1">
      <formula>EXACT($C29,"ROSA")</formula>
    </cfRule>
  </conditionalFormatting>
  <conditionalFormatting sqref="A35:A37">
    <cfRule type="expression" dxfId="11" priority="22" stopIfTrue="1">
      <formula>EXACT($C37,"HUMMER")</formula>
    </cfRule>
    <cfRule type="expression" dxfId="10" priority="23" stopIfTrue="1">
      <formula>EXACT($C37,"BLANCA")</formula>
    </cfRule>
    <cfRule type="expression" dxfId="9" priority="24" stopIfTrue="1">
      <formula>EXACT($C37,"ROSA")</formula>
    </cfRule>
  </conditionalFormatting>
  <conditionalFormatting sqref="F3:F8">
    <cfRule type="expression" dxfId="8" priority="10" stopIfTrue="1">
      <formula>EXACT($C3,"HUMMER")</formula>
    </cfRule>
    <cfRule type="expression" dxfId="7" priority="11" stopIfTrue="1">
      <formula>EXACT($C3,"BLANCA")</formula>
    </cfRule>
    <cfRule type="expression" dxfId="6" priority="12" stopIfTrue="1">
      <formula>EXACT($C3,"ROSA")</formula>
    </cfRule>
  </conditionalFormatting>
  <conditionalFormatting sqref="F26:F35 F37">
    <cfRule type="expression" dxfId="5" priority="16" stopIfTrue="1">
      <formula>EXACT($C26,"HUMMER")</formula>
    </cfRule>
    <cfRule type="expression" dxfId="4" priority="17" stopIfTrue="1">
      <formula>EXACT($C26,"BLANCA")</formula>
    </cfRule>
    <cfRule type="expression" dxfId="3" priority="18" stopIfTrue="1">
      <formula>EXACT($C26,"ROSA")</formula>
    </cfRule>
  </conditionalFormatting>
  <conditionalFormatting sqref="F36">
    <cfRule type="expression" dxfId="2" priority="25" stopIfTrue="1">
      <formula>EXACT($C39,"HUMMER")</formula>
    </cfRule>
    <cfRule type="expression" dxfId="1" priority="26" stopIfTrue="1">
      <formula>EXACT($C39,"BLANCA")</formula>
    </cfRule>
    <cfRule type="expression" dxfId="0" priority="27" stopIfTrue="1">
      <formula>EXACT($C39,"ROSA")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5BEB-1831-4D0F-A17D-C386CD526FD2}">
  <dimension ref="A1:N76"/>
  <sheetViews>
    <sheetView topLeftCell="A33" workbookViewId="0">
      <selection activeCell="F49" sqref="F49"/>
    </sheetView>
  </sheetViews>
  <sheetFormatPr baseColWidth="10" defaultRowHeight="15" x14ac:dyDescent="0.25"/>
  <cols>
    <col min="2" max="2" width="29.28515625" customWidth="1"/>
    <col min="3" max="3" width="50.5703125" customWidth="1"/>
    <col min="5" max="5" width="31.85546875" customWidth="1"/>
    <col min="6" max="6" width="12.28515625" customWidth="1"/>
  </cols>
  <sheetData>
    <row r="1" spans="1:14" x14ac:dyDescent="0.25">
      <c r="A1" t="s">
        <v>0</v>
      </c>
      <c r="B1" s="1">
        <v>45413</v>
      </c>
    </row>
    <row r="3" spans="1:14" ht="30" x14ac:dyDescent="0.2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4" ht="15" customHeight="1" x14ac:dyDescent="0.25">
      <c r="A4" s="11"/>
      <c r="B4" s="12"/>
      <c r="C4" s="13"/>
      <c r="D4" s="14"/>
      <c r="E4" s="15"/>
      <c r="F4" s="16"/>
      <c r="G4" s="16"/>
      <c r="H4" s="16"/>
      <c r="I4" s="9"/>
      <c r="J4" s="17"/>
      <c r="K4" s="9"/>
    </row>
    <row r="5" spans="1:14" ht="15" customHeight="1" x14ac:dyDescent="0.25">
      <c r="A5" s="11">
        <v>45444</v>
      </c>
      <c r="B5" s="12" t="s">
        <v>2129</v>
      </c>
      <c r="C5" s="13" t="s">
        <v>12</v>
      </c>
      <c r="D5" s="108" t="s">
        <v>13</v>
      </c>
      <c r="E5" s="15" t="s">
        <v>14</v>
      </c>
      <c r="F5" s="16">
        <v>1650</v>
      </c>
      <c r="G5" s="16"/>
      <c r="H5" s="16"/>
      <c r="I5" s="9">
        <f t="shared" ref="I5:I59" si="0">G5+H5</f>
        <v>0</v>
      </c>
      <c r="J5" s="17"/>
      <c r="K5" s="9">
        <f t="shared" ref="K5:K59" si="1">F5+I5-J5</f>
        <v>1650</v>
      </c>
      <c r="L5" t="s">
        <v>41</v>
      </c>
    </row>
    <row r="6" spans="1:14" ht="15" customHeight="1" x14ac:dyDescent="0.25">
      <c r="A6" s="5">
        <v>45444</v>
      </c>
      <c r="B6" s="6" t="s">
        <v>2130</v>
      </c>
      <c r="C6" s="28" t="s">
        <v>1862</v>
      </c>
      <c r="D6" s="35" t="s">
        <v>581</v>
      </c>
      <c r="E6" s="14" t="s">
        <v>1863</v>
      </c>
      <c r="F6" s="9">
        <v>57.81</v>
      </c>
      <c r="G6" s="9">
        <v>12.14</v>
      </c>
      <c r="H6" s="9"/>
      <c r="I6" s="9">
        <f t="shared" si="0"/>
        <v>12.14</v>
      </c>
      <c r="J6" s="23"/>
      <c r="K6" s="9">
        <f t="shared" si="1"/>
        <v>69.95</v>
      </c>
      <c r="L6" t="s">
        <v>267</v>
      </c>
      <c r="N6" t="s">
        <v>2329</v>
      </c>
    </row>
    <row r="7" spans="1:14" ht="15" customHeight="1" x14ac:dyDescent="0.25">
      <c r="A7" s="24">
        <v>45446</v>
      </c>
      <c r="B7" s="25" t="s">
        <v>2131</v>
      </c>
      <c r="C7" s="28" t="s">
        <v>2112</v>
      </c>
      <c r="D7" s="35" t="s">
        <v>2113</v>
      </c>
      <c r="E7" s="29" t="s">
        <v>2114</v>
      </c>
      <c r="F7" s="9">
        <v>37.83</v>
      </c>
      <c r="G7" s="9">
        <v>7.94</v>
      </c>
      <c r="H7" s="22">
        <v>4.18</v>
      </c>
      <c r="I7" s="9">
        <f t="shared" si="0"/>
        <v>12.120000000000001</v>
      </c>
      <c r="J7" s="23"/>
      <c r="K7" s="9">
        <f t="shared" si="1"/>
        <v>49.95</v>
      </c>
      <c r="L7" t="s">
        <v>267</v>
      </c>
    </row>
    <row r="8" spans="1:14" ht="15" customHeight="1" x14ac:dyDescent="0.25">
      <c r="A8" s="18">
        <v>45446</v>
      </c>
      <c r="B8" s="27" t="s">
        <v>2132</v>
      </c>
      <c r="C8" s="28" t="s">
        <v>2133</v>
      </c>
      <c r="D8" s="152" t="s">
        <v>2134</v>
      </c>
      <c r="E8" s="29" t="s">
        <v>2135</v>
      </c>
      <c r="F8" s="22">
        <v>57.86</v>
      </c>
      <c r="G8" s="22">
        <v>12.15</v>
      </c>
      <c r="H8" s="30"/>
      <c r="I8" s="9">
        <f t="shared" si="0"/>
        <v>12.15</v>
      </c>
      <c r="J8" s="31"/>
      <c r="K8" s="9">
        <f t="shared" si="1"/>
        <v>70.010000000000005</v>
      </c>
      <c r="L8" t="s">
        <v>267</v>
      </c>
    </row>
    <row r="9" spans="1:14" ht="15" customHeight="1" x14ac:dyDescent="0.25">
      <c r="A9" s="18">
        <v>45447</v>
      </c>
      <c r="B9" s="27" t="s">
        <v>2136</v>
      </c>
      <c r="C9" s="28" t="s">
        <v>397</v>
      </c>
      <c r="D9" s="35" t="s">
        <v>1803</v>
      </c>
      <c r="E9" s="29" t="s">
        <v>266</v>
      </c>
      <c r="F9" s="22">
        <v>109.78</v>
      </c>
      <c r="G9" s="22">
        <v>23.05</v>
      </c>
      <c r="H9" s="30"/>
      <c r="I9" s="9">
        <f t="shared" si="0"/>
        <v>23.05</v>
      </c>
      <c r="J9" s="31"/>
      <c r="K9" s="9">
        <f t="shared" si="1"/>
        <v>132.83000000000001</v>
      </c>
      <c r="L9" t="s">
        <v>267</v>
      </c>
    </row>
    <row r="10" spans="1:14" ht="15" customHeight="1" x14ac:dyDescent="0.25">
      <c r="A10" s="18">
        <v>45447</v>
      </c>
      <c r="B10" s="27" t="s">
        <v>2137</v>
      </c>
      <c r="C10" s="20" t="s">
        <v>721</v>
      </c>
      <c r="D10" s="152" t="s">
        <v>24</v>
      </c>
      <c r="E10" s="21" t="s">
        <v>25</v>
      </c>
      <c r="F10" s="22">
        <v>19.09</v>
      </c>
      <c r="G10" s="22"/>
      <c r="H10" s="30">
        <v>1.91</v>
      </c>
      <c r="I10" s="9">
        <f t="shared" si="0"/>
        <v>1.91</v>
      </c>
      <c r="J10" s="31"/>
      <c r="K10" s="9">
        <f t="shared" si="1"/>
        <v>21</v>
      </c>
      <c r="L10" t="s">
        <v>42</v>
      </c>
    </row>
    <row r="11" spans="1:14" ht="15" customHeight="1" x14ac:dyDescent="0.25">
      <c r="A11" s="33">
        <v>45447</v>
      </c>
      <c r="B11" s="34" t="s">
        <v>2138</v>
      </c>
      <c r="C11" s="28" t="s">
        <v>829</v>
      </c>
      <c r="D11" s="35" t="s">
        <v>830</v>
      </c>
      <c r="E11" s="29" t="s">
        <v>797</v>
      </c>
      <c r="F11" s="22">
        <v>614.88</v>
      </c>
      <c r="G11" s="22">
        <v>129.12</v>
      </c>
      <c r="H11" s="30"/>
      <c r="I11" s="9">
        <f t="shared" si="0"/>
        <v>129.12</v>
      </c>
      <c r="J11" s="31"/>
      <c r="K11" s="9">
        <f t="shared" si="1"/>
        <v>744</v>
      </c>
      <c r="L11" t="s">
        <v>267</v>
      </c>
    </row>
    <row r="12" spans="1:14" ht="15" customHeight="1" x14ac:dyDescent="0.25">
      <c r="A12" s="33">
        <v>45445</v>
      </c>
      <c r="B12" s="35">
        <v>20277943</v>
      </c>
      <c r="C12" s="28" t="s">
        <v>302</v>
      </c>
      <c r="D12" s="35" t="s">
        <v>386</v>
      </c>
      <c r="E12" s="29" t="s">
        <v>304</v>
      </c>
      <c r="F12" s="22">
        <v>16</v>
      </c>
      <c r="G12" s="22">
        <v>3.36</v>
      </c>
      <c r="H12" s="30"/>
      <c r="I12" s="9">
        <f t="shared" si="0"/>
        <v>3.36</v>
      </c>
      <c r="J12" s="31"/>
      <c r="K12" s="9">
        <f t="shared" si="1"/>
        <v>19.36</v>
      </c>
      <c r="L12" t="s">
        <v>295</v>
      </c>
    </row>
    <row r="13" spans="1:14" ht="15" customHeight="1" x14ac:dyDescent="0.25">
      <c r="A13" s="33">
        <v>45449</v>
      </c>
      <c r="B13" s="35" t="s">
        <v>2139</v>
      </c>
      <c r="C13" s="28" t="s">
        <v>721</v>
      </c>
      <c r="D13" s="35" t="s">
        <v>24</v>
      </c>
      <c r="E13" s="29" t="s">
        <v>25</v>
      </c>
      <c r="F13" s="22">
        <v>42</v>
      </c>
      <c r="G13" s="22"/>
      <c r="H13" s="30">
        <v>4.2</v>
      </c>
      <c r="I13" s="9">
        <f t="shared" si="0"/>
        <v>4.2</v>
      </c>
      <c r="J13" s="31"/>
      <c r="K13" s="9">
        <f t="shared" si="1"/>
        <v>46.2</v>
      </c>
      <c r="L13" t="s">
        <v>42</v>
      </c>
    </row>
    <row r="14" spans="1:14" ht="15" customHeight="1" x14ac:dyDescent="0.25">
      <c r="A14" s="100">
        <v>45449</v>
      </c>
      <c r="B14" s="157" t="s">
        <v>2140</v>
      </c>
      <c r="C14" s="28" t="s">
        <v>2141</v>
      </c>
      <c r="D14" s="35" t="s">
        <v>712</v>
      </c>
      <c r="E14" s="29" t="s">
        <v>560</v>
      </c>
      <c r="F14" s="22">
        <v>58.56</v>
      </c>
      <c r="G14" s="22">
        <v>12.3</v>
      </c>
      <c r="H14" s="30"/>
      <c r="I14" s="9">
        <f t="shared" si="0"/>
        <v>12.3</v>
      </c>
      <c r="J14" s="31"/>
      <c r="K14" s="9">
        <f t="shared" si="1"/>
        <v>70.86</v>
      </c>
      <c r="L14" t="s">
        <v>41</v>
      </c>
    </row>
    <row r="15" spans="1:14" ht="15" customHeight="1" x14ac:dyDescent="0.25">
      <c r="A15" s="86">
        <v>45450</v>
      </c>
      <c r="B15" s="14" t="s">
        <v>2182</v>
      </c>
      <c r="C15" s="109" t="s">
        <v>310</v>
      </c>
      <c r="D15" s="108" t="s">
        <v>311</v>
      </c>
      <c r="E15" s="14" t="s">
        <v>2183</v>
      </c>
      <c r="F15" s="138">
        <v>29.1</v>
      </c>
      <c r="G15" s="22">
        <v>3.12</v>
      </c>
      <c r="H15" s="30">
        <v>1.43</v>
      </c>
      <c r="I15" s="9">
        <f t="shared" si="0"/>
        <v>4.55</v>
      </c>
      <c r="J15" s="31"/>
      <c r="K15" s="9">
        <f t="shared" si="1"/>
        <v>33.65</v>
      </c>
      <c r="L15" t="s">
        <v>42</v>
      </c>
    </row>
    <row r="16" spans="1:14" ht="15" customHeight="1" x14ac:dyDescent="0.25">
      <c r="A16" s="86">
        <v>45451</v>
      </c>
      <c r="B16" s="108">
        <v>514.00175000000002</v>
      </c>
      <c r="C16" s="156" t="s">
        <v>2184</v>
      </c>
      <c r="D16" s="35" t="s">
        <v>1870</v>
      </c>
      <c r="E16" s="14" t="s">
        <v>1871</v>
      </c>
      <c r="F16" s="138">
        <v>2.64</v>
      </c>
      <c r="G16" s="22">
        <v>0.55000000000000004</v>
      </c>
      <c r="H16" s="30"/>
      <c r="I16" s="9">
        <f t="shared" si="0"/>
        <v>0.55000000000000004</v>
      </c>
      <c r="J16" s="31"/>
      <c r="K16" s="9">
        <f t="shared" si="1"/>
        <v>3.1900000000000004</v>
      </c>
      <c r="L16" t="s">
        <v>42</v>
      </c>
    </row>
    <row r="17" spans="1:14" ht="15" customHeight="1" x14ac:dyDescent="0.25">
      <c r="A17" s="86">
        <v>45454</v>
      </c>
      <c r="B17" s="108" t="s">
        <v>2185</v>
      </c>
      <c r="C17" s="28" t="s">
        <v>721</v>
      </c>
      <c r="D17" s="35" t="s">
        <v>24</v>
      </c>
      <c r="E17" s="14" t="s">
        <v>25</v>
      </c>
      <c r="F17" s="138">
        <v>34.36</v>
      </c>
      <c r="G17" s="22"/>
      <c r="H17" s="30">
        <v>3.44</v>
      </c>
      <c r="I17" s="9">
        <f t="shared" si="0"/>
        <v>3.44</v>
      </c>
      <c r="J17" s="31"/>
      <c r="K17" s="9">
        <f t="shared" si="1"/>
        <v>37.799999999999997</v>
      </c>
      <c r="L17" t="s">
        <v>42</v>
      </c>
    </row>
    <row r="18" spans="1:14" ht="15" customHeight="1" x14ac:dyDescent="0.25">
      <c r="A18" s="86">
        <v>45453</v>
      </c>
      <c r="B18" s="108" t="s">
        <v>2186</v>
      </c>
      <c r="C18" s="109" t="s">
        <v>2141</v>
      </c>
      <c r="D18" s="108" t="s">
        <v>712</v>
      </c>
      <c r="E18" s="14" t="s">
        <v>560</v>
      </c>
      <c r="F18" s="138">
        <v>33.340000000000003</v>
      </c>
      <c r="G18" s="22">
        <v>2.15</v>
      </c>
      <c r="H18" s="30">
        <v>2.31</v>
      </c>
      <c r="I18" s="9">
        <f t="shared" si="0"/>
        <v>4.46</v>
      </c>
      <c r="J18" s="31"/>
      <c r="K18" s="9">
        <f t="shared" si="1"/>
        <v>37.800000000000004</v>
      </c>
      <c r="L18" t="s">
        <v>41</v>
      </c>
    </row>
    <row r="19" spans="1:14" ht="15" customHeight="1" x14ac:dyDescent="0.25">
      <c r="A19" s="86">
        <v>45453</v>
      </c>
      <c r="B19" s="111" t="s">
        <v>2192</v>
      </c>
      <c r="C19" s="109" t="s">
        <v>2193</v>
      </c>
      <c r="D19" s="108" t="s">
        <v>271</v>
      </c>
      <c r="E19" s="110" t="s">
        <v>17</v>
      </c>
      <c r="F19" s="138">
        <v>16.53</v>
      </c>
      <c r="G19" s="22">
        <v>3.47</v>
      </c>
      <c r="H19" s="30"/>
      <c r="I19" s="9">
        <f t="shared" si="0"/>
        <v>3.47</v>
      </c>
      <c r="J19" s="31"/>
      <c r="K19" s="9">
        <f t="shared" si="1"/>
        <v>20</v>
      </c>
      <c r="L19" t="s">
        <v>42</v>
      </c>
    </row>
    <row r="20" spans="1:14" ht="15" customHeight="1" x14ac:dyDescent="0.25">
      <c r="A20" s="104">
        <v>45456</v>
      </c>
      <c r="B20" s="105">
        <v>1647005749</v>
      </c>
      <c r="C20" s="28" t="s">
        <v>2194</v>
      </c>
      <c r="D20" s="36" t="s">
        <v>2195</v>
      </c>
      <c r="E20" s="14"/>
      <c r="F20" s="22">
        <v>86.97</v>
      </c>
      <c r="G20" s="22">
        <v>18.260000000000002</v>
      </c>
      <c r="H20" s="30"/>
      <c r="I20" s="9">
        <f t="shared" si="0"/>
        <v>18.260000000000002</v>
      </c>
      <c r="J20" s="31"/>
      <c r="K20" s="9">
        <f t="shared" si="1"/>
        <v>105.23</v>
      </c>
      <c r="L20" t="s">
        <v>267</v>
      </c>
    </row>
    <row r="21" spans="1:14" ht="15" customHeight="1" x14ac:dyDescent="0.25">
      <c r="A21" s="33">
        <v>45461</v>
      </c>
      <c r="B21" s="34" t="s">
        <v>2328</v>
      </c>
      <c r="C21" s="28" t="s">
        <v>2112</v>
      </c>
      <c r="D21" s="35" t="s">
        <v>2113</v>
      </c>
      <c r="E21" s="29" t="s">
        <v>2114</v>
      </c>
      <c r="F21" s="22">
        <v>30.39</v>
      </c>
      <c r="G21" s="22">
        <v>6.4</v>
      </c>
      <c r="H21" s="30">
        <v>4.18</v>
      </c>
      <c r="I21" s="9">
        <f t="shared" si="0"/>
        <v>10.58</v>
      </c>
      <c r="J21" s="31"/>
      <c r="K21" s="9">
        <f t="shared" si="1"/>
        <v>40.97</v>
      </c>
      <c r="L21" t="s">
        <v>42</v>
      </c>
      <c r="N21" t="s">
        <v>2329</v>
      </c>
    </row>
    <row r="22" spans="1:14" ht="15" customHeight="1" x14ac:dyDescent="0.25">
      <c r="A22" s="33">
        <v>45461</v>
      </c>
      <c r="B22" s="34" t="s">
        <v>2330</v>
      </c>
      <c r="C22" s="28" t="s">
        <v>721</v>
      </c>
      <c r="D22" s="35" t="s">
        <v>24</v>
      </c>
      <c r="E22" s="29" t="s">
        <v>25</v>
      </c>
      <c r="F22" s="22">
        <v>34.36</v>
      </c>
      <c r="G22" s="22"/>
      <c r="H22" s="30">
        <v>3.44</v>
      </c>
      <c r="I22" s="9">
        <f t="shared" si="0"/>
        <v>3.44</v>
      </c>
      <c r="J22" s="31"/>
      <c r="K22" s="9">
        <f t="shared" si="1"/>
        <v>37.799999999999997</v>
      </c>
      <c r="L22" t="s">
        <v>42</v>
      </c>
    </row>
    <row r="23" spans="1:14" ht="15" customHeight="1" x14ac:dyDescent="0.25">
      <c r="A23" s="33">
        <v>45463</v>
      </c>
      <c r="B23" s="35" t="s">
        <v>2331</v>
      </c>
      <c r="C23" s="28" t="s">
        <v>2141</v>
      </c>
      <c r="D23" s="36" t="s">
        <v>712</v>
      </c>
      <c r="E23" s="14" t="s">
        <v>560</v>
      </c>
      <c r="F23" s="22">
        <v>21.54</v>
      </c>
      <c r="G23" s="22">
        <v>4.5199999999999996</v>
      </c>
      <c r="H23" s="30"/>
      <c r="I23" s="9">
        <f t="shared" si="0"/>
        <v>4.5199999999999996</v>
      </c>
      <c r="J23" s="31"/>
      <c r="K23" s="9">
        <f t="shared" si="1"/>
        <v>26.06</v>
      </c>
      <c r="L23" t="s">
        <v>41</v>
      </c>
    </row>
    <row r="24" spans="1:14" ht="15" customHeight="1" x14ac:dyDescent="0.25">
      <c r="A24" s="33">
        <v>45463</v>
      </c>
      <c r="B24" s="34" t="s">
        <v>2332</v>
      </c>
      <c r="C24" s="28" t="s">
        <v>527</v>
      </c>
      <c r="D24" s="36" t="s">
        <v>20</v>
      </c>
      <c r="E24" s="29" t="s">
        <v>17</v>
      </c>
      <c r="F24" s="22">
        <v>66.12</v>
      </c>
      <c r="G24" s="22">
        <v>13.88</v>
      </c>
      <c r="H24" s="30"/>
      <c r="I24" s="9">
        <f t="shared" si="0"/>
        <v>13.88</v>
      </c>
      <c r="J24" s="31"/>
      <c r="K24" s="9">
        <f t="shared" si="1"/>
        <v>80</v>
      </c>
      <c r="L24" t="s">
        <v>42</v>
      </c>
    </row>
    <row r="25" spans="1:14" ht="15" customHeight="1" x14ac:dyDescent="0.25">
      <c r="A25" s="33">
        <v>45464</v>
      </c>
      <c r="B25" s="35" t="s">
        <v>2333</v>
      </c>
      <c r="C25" s="28" t="s">
        <v>1862</v>
      </c>
      <c r="D25" s="35" t="s">
        <v>581</v>
      </c>
      <c r="E25" s="14" t="s">
        <v>1863</v>
      </c>
      <c r="F25" s="22">
        <v>57.81</v>
      </c>
      <c r="G25" s="22">
        <v>12.14</v>
      </c>
      <c r="H25" s="30"/>
      <c r="I25" s="9">
        <f t="shared" si="0"/>
        <v>12.14</v>
      </c>
      <c r="J25" s="31"/>
      <c r="K25" s="9">
        <f t="shared" si="1"/>
        <v>69.95</v>
      </c>
      <c r="L25" t="s">
        <v>42</v>
      </c>
    </row>
    <row r="26" spans="1:14" ht="15" customHeight="1" x14ac:dyDescent="0.25">
      <c r="A26" s="33">
        <v>45464</v>
      </c>
      <c r="B26" s="35" t="s">
        <v>2334</v>
      </c>
      <c r="C26" s="28" t="s">
        <v>1862</v>
      </c>
      <c r="D26" s="35" t="s">
        <v>581</v>
      </c>
      <c r="E26" s="14" t="s">
        <v>1863</v>
      </c>
      <c r="F26" s="22">
        <v>57.81</v>
      </c>
      <c r="G26" s="22">
        <v>12.14</v>
      </c>
      <c r="H26" s="30"/>
      <c r="I26" s="9">
        <f t="shared" si="0"/>
        <v>12.14</v>
      </c>
      <c r="J26" s="31"/>
      <c r="K26" s="9">
        <f t="shared" si="1"/>
        <v>69.95</v>
      </c>
      <c r="L26" t="s">
        <v>42</v>
      </c>
    </row>
    <row r="27" spans="1:14" ht="15" customHeight="1" x14ac:dyDescent="0.25">
      <c r="A27" s="33">
        <v>45465</v>
      </c>
      <c r="B27" s="35" t="s">
        <v>2335</v>
      </c>
      <c r="C27" s="28" t="s">
        <v>530</v>
      </c>
      <c r="D27" s="35" t="s">
        <v>16</v>
      </c>
      <c r="E27" s="29" t="s">
        <v>17</v>
      </c>
      <c r="F27" s="22">
        <v>73.14</v>
      </c>
      <c r="G27" s="22">
        <v>15.36</v>
      </c>
      <c r="H27" s="30"/>
      <c r="I27" s="9">
        <f t="shared" si="0"/>
        <v>15.36</v>
      </c>
      <c r="J27" s="31"/>
      <c r="K27" s="9">
        <f t="shared" si="1"/>
        <v>88.5</v>
      </c>
      <c r="L27" t="s">
        <v>42</v>
      </c>
    </row>
    <row r="28" spans="1:14" ht="15" customHeight="1" x14ac:dyDescent="0.25">
      <c r="A28" s="33">
        <v>45467</v>
      </c>
      <c r="B28" s="34" t="s">
        <v>2336</v>
      </c>
      <c r="C28" s="28" t="s">
        <v>2141</v>
      </c>
      <c r="D28" s="35" t="s">
        <v>712</v>
      </c>
      <c r="E28" s="29" t="s">
        <v>560</v>
      </c>
      <c r="F28" s="22">
        <v>86.16</v>
      </c>
      <c r="G28" s="22">
        <v>18.09</v>
      </c>
      <c r="H28" s="30"/>
      <c r="I28" s="9">
        <f t="shared" si="0"/>
        <v>18.09</v>
      </c>
      <c r="J28" s="31"/>
      <c r="K28" s="9">
        <f t="shared" si="1"/>
        <v>104.25</v>
      </c>
      <c r="L28" t="s">
        <v>41</v>
      </c>
    </row>
    <row r="29" spans="1:14" ht="15" customHeight="1" x14ac:dyDescent="0.25">
      <c r="A29" s="33">
        <v>45468</v>
      </c>
      <c r="B29" s="35" t="s">
        <v>2337</v>
      </c>
      <c r="C29" s="28" t="s">
        <v>721</v>
      </c>
      <c r="D29" s="35" t="s">
        <v>24</v>
      </c>
      <c r="E29" s="29" t="s">
        <v>25</v>
      </c>
      <c r="F29" s="22">
        <v>49.64</v>
      </c>
      <c r="G29" s="22"/>
      <c r="H29" s="30">
        <v>4.96</v>
      </c>
      <c r="I29" s="9">
        <f t="shared" si="0"/>
        <v>4.96</v>
      </c>
      <c r="J29" s="31"/>
      <c r="K29" s="9">
        <f t="shared" si="1"/>
        <v>54.6</v>
      </c>
      <c r="L29" t="s">
        <v>42</v>
      </c>
    </row>
    <row r="30" spans="1:14" ht="15" customHeight="1" x14ac:dyDescent="0.25">
      <c r="A30" s="33">
        <v>45470</v>
      </c>
      <c r="B30" s="34" t="s">
        <v>2338</v>
      </c>
      <c r="C30" s="28" t="s">
        <v>523</v>
      </c>
      <c r="D30" s="35" t="s">
        <v>280</v>
      </c>
      <c r="E30" s="29" t="s">
        <v>281</v>
      </c>
      <c r="F30" s="22">
        <v>13.31</v>
      </c>
      <c r="G30" s="22">
        <v>2.79</v>
      </c>
      <c r="H30" s="30"/>
      <c r="I30" s="9">
        <f t="shared" si="0"/>
        <v>2.79</v>
      </c>
      <c r="J30" s="31"/>
      <c r="K30" s="9">
        <f t="shared" si="1"/>
        <v>16.100000000000001</v>
      </c>
      <c r="L30" t="s">
        <v>42</v>
      </c>
    </row>
    <row r="31" spans="1:14" ht="15" customHeight="1" x14ac:dyDescent="0.25">
      <c r="A31" s="33">
        <v>45470</v>
      </c>
      <c r="B31" s="181" t="s">
        <v>2339</v>
      </c>
      <c r="C31" s="28" t="s">
        <v>576</v>
      </c>
      <c r="D31" s="35" t="s">
        <v>577</v>
      </c>
      <c r="E31" s="29" t="s">
        <v>281</v>
      </c>
      <c r="F31" s="22">
        <v>45.51</v>
      </c>
      <c r="G31" s="22">
        <v>9.56</v>
      </c>
      <c r="H31" s="30"/>
      <c r="I31" s="9">
        <f t="shared" si="0"/>
        <v>9.56</v>
      </c>
      <c r="J31" s="31"/>
      <c r="K31" s="9">
        <f t="shared" si="1"/>
        <v>55.07</v>
      </c>
      <c r="L31" t="s">
        <v>267</v>
      </c>
    </row>
    <row r="32" spans="1:14" ht="15" customHeight="1" x14ac:dyDescent="0.25">
      <c r="A32" s="33">
        <v>45470</v>
      </c>
      <c r="B32" s="34" t="s">
        <v>2340</v>
      </c>
      <c r="C32" s="28" t="s">
        <v>400</v>
      </c>
      <c r="D32" s="35" t="s">
        <v>401</v>
      </c>
      <c r="E32" s="29" t="s">
        <v>1871</v>
      </c>
      <c r="F32" s="22">
        <v>27.6</v>
      </c>
      <c r="G32" s="22">
        <v>5.8</v>
      </c>
      <c r="H32" s="30"/>
      <c r="I32" s="9">
        <f t="shared" si="0"/>
        <v>5.8</v>
      </c>
      <c r="J32" s="23"/>
      <c r="K32" s="9">
        <f>F32+I32+J32</f>
        <v>33.4</v>
      </c>
      <c r="L32" t="s">
        <v>267</v>
      </c>
    </row>
    <row r="33" spans="1:12" ht="15" customHeight="1" x14ac:dyDescent="0.25">
      <c r="A33" s="33">
        <v>45470</v>
      </c>
      <c r="B33" s="34" t="s">
        <v>2341</v>
      </c>
      <c r="C33" s="28" t="s">
        <v>2342</v>
      </c>
      <c r="D33" s="35" t="s">
        <v>2343</v>
      </c>
      <c r="E33" s="29" t="s">
        <v>17</v>
      </c>
      <c r="F33" s="22">
        <v>96.34</v>
      </c>
      <c r="G33" s="22">
        <v>20.23</v>
      </c>
      <c r="H33" s="30"/>
      <c r="I33" s="9">
        <f t="shared" si="0"/>
        <v>20.23</v>
      </c>
      <c r="J33" s="31"/>
      <c r="K33" s="9">
        <f t="shared" si="1"/>
        <v>116.57000000000001</v>
      </c>
      <c r="L33" t="s">
        <v>42</v>
      </c>
    </row>
    <row r="34" spans="1:12" ht="15" customHeight="1" x14ac:dyDescent="0.25">
      <c r="A34" s="33">
        <v>45470</v>
      </c>
      <c r="B34" s="34" t="s">
        <v>2344</v>
      </c>
      <c r="C34" s="28" t="s">
        <v>397</v>
      </c>
      <c r="D34" s="35" t="s">
        <v>1803</v>
      </c>
      <c r="E34" s="29" t="s">
        <v>266</v>
      </c>
      <c r="F34" s="22">
        <v>131.26</v>
      </c>
      <c r="G34" s="22">
        <v>27.56</v>
      </c>
      <c r="H34" s="30"/>
      <c r="I34" s="9">
        <f t="shared" si="0"/>
        <v>27.56</v>
      </c>
      <c r="J34" s="31"/>
      <c r="K34" s="9">
        <f t="shared" si="1"/>
        <v>158.82</v>
      </c>
      <c r="L34" t="s">
        <v>42</v>
      </c>
    </row>
    <row r="35" spans="1:12" ht="15" customHeight="1" x14ac:dyDescent="0.25">
      <c r="A35" s="33">
        <v>45470</v>
      </c>
      <c r="B35" s="34" t="s">
        <v>2394</v>
      </c>
      <c r="C35" s="28" t="s">
        <v>2390</v>
      </c>
      <c r="D35" s="35" t="s">
        <v>2391</v>
      </c>
      <c r="E35" s="29" t="s">
        <v>2392</v>
      </c>
      <c r="F35" s="22">
        <v>87.18</v>
      </c>
      <c r="G35" s="22">
        <v>8.7200000000000006</v>
      </c>
      <c r="H35" s="30"/>
      <c r="I35" s="9">
        <f t="shared" si="0"/>
        <v>8.7200000000000006</v>
      </c>
      <c r="J35" s="31"/>
      <c r="K35" s="9">
        <f t="shared" si="1"/>
        <v>95.9</v>
      </c>
      <c r="L35" t="s">
        <v>295</v>
      </c>
    </row>
    <row r="36" spans="1:12" ht="15" customHeight="1" x14ac:dyDescent="0.25">
      <c r="A36" s="33">
        <v>45445</v>
      </c>
      <c r="B36" s="34" t="s">
        <v>2399</v>
      </c>
      <c r="C36" s="28" t="s">
        <v>302</v>
      </c>
      <c r="D36" s="35" t="s">
        <v>386</v>
      </c>
      <c r="E36" s="14" t="s">
        <v>304</v>
      </c>
      <c r="F36" s="22">
        <v>16</v>
      </c>
      <c r="G36" s="22">
        <v>3.36</v>
      </c>
      <c r="H36" s="30"/>
      <c r="I36" s="9">
        <f t="shared" si="0"/>
        <v>3.36</v>
      </c>
      <c r="J36" s="31"/>
      <c r="K36" s="9">
        <f t="shared" si="1"/>
        <v>19.36</v>
      </c>
      <c r="L36" t="s">
        <v>295</v>
      </c>
    </row>
    <row r="37" spans="1:12" ht="15" customHeight="1" x14ac:dyDescent="0.25">
      <c r="A37" s="33">
        <v>45454</v>
      </c>
      <c r="B37" s="34" t="s">
        <v>2404</v>
      </c>
      <c r="C37" s="28" t="s">
        <v>302</v>
      </c>
      <c r="D37" s="35" t="s">
        <v>386</v>
      </c>
      <c r="E37" s="14" t="s">
        <v>304</v>
      </c>
      <c r="F37" s="22">
        <v>15</v>
      </c>
      <c r="G37" s="22">
        <v>3.15</v>
      </c>
      <c r="H37" s="30"/>
      <c r="I37" s="9">
        <f t="shared" si="0"/>
        <v>3.15</v>
      </c>
      <c r="J37" s="31"/>
      <c r="K37" s="9">
        <f t="shared" si="1"/>
        <v>18.149999999999999</v>
      </c>
      <c r="L37" t="s">
        <v>295</v>
      </c>
    </row>
    <row r="38" spans="1:12" ht="15" customHeight="1" x14ac:dyDescent="0.25">
      <c r="A38" s="33">
        <v>45459</v>
      </c>
      <c r="B38" s="34" t="s">
        <v>2400</v>
      </c>
      <c r="C38" s="28" t="s">
        <v>302</v>
      </c>
      <c r="D38" s="35" t="s">
        <v>386</v>
      </c>
      <c r="E38" s="29" t="s">
        <v>304</v>
      </c>
      <c r="F38" s="22">
        <v>23.75</v>
      </c>
      <c r="G38" s="22">
        <v>4.99</v>
      </c>
      <c r="H38" s="30"/>
      <c r="I38" s="9">
        <f t="shared" si="0"/>
        <v>4.99</v>
      </c>
      <c r="J38" s="31"/>
      <c r="K38" s="9">
        <f t="shared" si="1"/>
        <v>28.740000000000002</v>
      </c>
      <c r="L38" t="s">
        <v>295</v>
      </c>
    </row>
    <row r="39" spans="1:12" ht="15" customHeight="1" x14ac:dyDescent="0.25">
      <c r="A39" s="33">
        <v>45462</v>
      </c>
      <c r="B39" s="34" t="s">
        <v>2401</v>
      </c>
      <c r="C39" s="28" t="s">
        <v>302</v>
      </c>
      <c r="D39" s="35" t="s">
        <v>386</v>
      </c>
      <c r="E39" s="14" t="s">
        <v>304</v>
      </c>
      <c r="F39" s="22">
        <v>29.99</v>
      </c>
      <c r="G39" s="22">
        <v>6.3</v>
      </c>
      <c r="H39" s="30"/>
      <c r="I39" s="9">
        <f t="shared" si="0"/>
        <v>6.3</v>
      </c>
      <c r="J39" s="31"/>
      <c r="K39" s="9">
        <f t="shared" si="1"/>
        <v>36.29</v>
      </c>
      <c r="L39" t="s">
        <v>295</v>
      </c>
    </row>
    <row r="40" spans="1:12" ht="15" customHeight="1" x14ac:dyDescent="0.25">
      <c r="A40" s="33">
        <v>45462</v>
      </c>
      <c r="B40" s="34" t="s">
        <v>2402</v>
      </c>
      <c r="C40" s="28" t="s">
        <v>302</v>
      </c>
      <c r="D40" s="35" t="s">
        <v>386</v>
      </c>
      <c r="E40" s="29" t="s">
        <v>304</v>
      </c>
      <c r="F40" s="22">
        <v>29.99</v>
      </c>
      <c r="G40" s="22">
        <v>6.3</v>
      </c>
      <c r="H40" s="30"/>
      <c r="I40" s="9">
        <f t="shared" si="0"/>
        <v>6.3</v>
      </c>
      <c r="J40" s="31"/>
      <c r="K40" s="9">
        <f t="shared" si="1"/>
        <v>36.29</v>
      </c>
      <c r="L40" t="s">
        <v>295</v>
      </c>
    </row>
    <row r="41" spans="1:12" ht="15" customHeight="1" x14ac:dyDescent="0.25">
      <c r="A41" s="33">
        <v>45465</v>
      </c>
      <c r="B41" s="34" t="s">
        <v>2403</v>
      </c>
      <c r="C41" s="28" t="s">
        <v>302</v>
      </c>
      <c r="D41" s="35" t="s">
        <v>386</v>
      </c>
      <c r="E41" s="14" t="s">
        <v>304</v>
      </c>
      <c r="F41" s="22">
        <v>29.99</v>
      </c>
      <c r="G41" s="22">
        <v>6.3</v>
      </c>
      <c r="H41" s="30"/>
      <c r="I41" s="9">
        <f t="shared" si="0"/>
        <v>6.3</v>
      </c>
      <c r="J41" s="31"/>
      <c r="K41" s="9">
        <f t="shared" si="1"/>
        <v>36.29</v>
      </c>
      <c r="L41" t="s">
        <v>295</v>
      </c>
    </row>
    <row r="42" spans="1:12" ht="15" customHeight="1" x14ac:dyDescent="0.25">
      <c r="A42" s="33">
        <v>45453</v>
      </c>
      <c r="B42" s="34" t="s">
        <v>2405</v>
      </c>
      <c r="C42" s="28" t="s">
        <v>292</v>
      </c>
      <c r="D42" s="36" t="s">
        <v>293</v>
      </c>
      <c r="E42" s="14" t="s">
        <v>792</v>
      </c>
      <c r="F42" s="22">
        <v>116.45</v>
      </c>
      <c r="G42" s="22">
        <v>24.44</v>
      </c>
      <c r="H42" s="30"/>
      <c r="I42" s="9">
        <f t="shared" si="0"/>
        <v>24.44</v>
      </c>
      <c r="J42" s="31"/>
      <c r="K42" s="9">
        <f t="shared" si="1"/>
        <v>140.89000000000001</v>
      </c>
      <c r="L42" t="s">
        <v>295</v>
      </c>
    </row>
    <row r="43" spans="1:12" ht="15" customHeight="1" x14ac:dyDescent="0.25">
      <c r="A43" s="33">
        <v>45453</v>
      </c>
      <c r="B43" s="34" t="s">
        <v>2406</v>
      </c>
      <c r="C43" s="28" t="s">
        <v>292</v>
      </c>
      <c r="D43" s="36" t="s">
        <v>293</v>
      </c>
      <c r="E43" s="14" t="s">
        <v>547</v>
      </c>
      <c r="F43" s="22">
        <v>114.86</v>
      </c>
      <c r="G43" s="22">
        <v>24.12</v>
      </c>
      <c r="H43" s="30"/>
      <c r="I43" s="9">
        <f t="shared" si="0"/>
        <v>24.12</v>
      </c>
      <c r="J43" s="31"/>
      <c r="K43" s="9">
        <f t="shared" si="1"/>
        <v>138.97999999999999</v>
      </c>
      <c r="L43" t="s">
        <v>295</v>
      </c>
    </row>
    <row r="44" spans="1:12" ht="15" customHeight="1" x14ac:dyDescent="0.25">
      <c r="A44" s="33">
        <v>45456</v>
      </c>
      <c r="B44" s="34" t="s">
        <v>2407</v>
      </c>
      <c r="C44" s="28" t="s">
        <v>292</v>
      </c>
      <c r="D44" s="36" t="s">
        <v>293</v>
      </c>
      <c r="E44" s="14" t="s">
        <v>792</v>
      </c>
      <c r="F44" s="22">
        <v>25.71</v>
      </c>
      <c r="G44" s="22">
        <v>5.4</v>
      </c>
      <c r="H44" s="30"/>
      <c r="I44" s="9">
        <f t="shared" si="0"/>
        <v>5.4</v>
      </c>
      <c r="J44" s="31"/>
      <c r="K44" s="9">
        <f t="shared" si="1"/>
        <v>31.11</v>
      </c>
      <c r="L44" t="s">
        <v>295</v>
      </c>
    </row>
    <row r="45" spans="1:12" ht="15" customHeight="1" x14ac:dyDescent="0.25">
      <c r="A45" s="33">
        <v>45463</v>
      </c>
      <c r="B45" s="34" t="s">
        <v>2408</v>
      </c>
      <c r="C45" s="28" t="s">
        <v>815</v>
      </c>
      <c r="D45" s="35" t="s">
        <v>387</v>
      </c>
      <c r="E45" s="29" t="s">
        <v>389</v>
      </c>
      <c r="F45" s="22">
        <v>387.6</v>
      </c>
      <c r="G45" s="22">
        <v>81.400000000000006</v>
      </c>
      <c r="H45" s="30"/>
      <c r="I45" s="9">
        <f t="shared" si="0"/>
        <v>81.400000000000006</v>
      </c>
      <c r="J45" s="31"/>
      <c r="K45" s="9">
        <f t="shared" si="1"/>
        <v>469</v>
      </c>
      <c r="L45" t="s">
        <v>295</v>
      </c>
    </row>
    <row r="46" spans="1:12" ht="15" customHeight="1" x14ac:dyDescent="0.25">
      <c r="A46" s="33">
        <v>45463</v>
      </c>
      <c r="B46" s="34" t="s">
        <v>2409</v>
      </c>
      <c r="C46" s="28" t="s">
        <v>385</v>
      </c>
      <c r="D46" s="35" t="s">
        <v>388</v>
      </c>
      <c r="E46" s="29" t="s">
        <v>389</v>
      </c>
      <c r="F46" s="22">
        <v>4.95</v>
      </c>
      <c r="G46" s="22">
        <v>1.04</v>
      </c>
      <c r="H46" s="30"/>
      <c r="I46" s="9">
        <f t="shared" si="0"/>
        <v>1.04</v>
      </c>
      <c r="J46" s="31"/>
      <c r="K46" s="9">
        <f t="shared" si="1"/>
        <v>5.99</v>
      </c>
      <c r="L46" t="s">
        <v>295</v>
      </c>
    </row>
    <row r="47" spans="1:12" ht="15" customHeight="1" x14ac:dyDescent="0.25">
      <c r="A47" s="33">
        <v>45468</v>
      </c>
      <c r="B47" s="34" t="s">
        <v>2410</v>
      </c>
      <c r="C47" s="28" t="s">
        <v>2383</v>
      </c>
      <c r="D47" s="36" t="s">
        <v>2384</v>
      </c>
      <c r="E47" s="29" t="s">
        <v>699</v>
      </c>
      <c r="F47" s="22">
        <v>25.23</v>
      </c>
      <c r="G47" s="22">
        <v>5.3</v>
      </c>
      <c r="H47" s="30"/>
      <c r="I47" s="9">
        <f t="shared" si="0"/>
        <v>5.3</v>
      </c>
      <c r="J47" s="31"/>
      <c r="K47" s="9">
        <f t="shared" si="1"/>
        <v>30.53</v>
      </c>
      <c r="L47" t="s">
        <v>295</v>
      </c>
    </row>
    <row r="48" spans="1:12" ht="15" customHeight="1" x14ac:dyDescent="0.25">
      <c r="A48" s="33">
        <v>45468</v>
      </c>
      <c r="B48" s="34" t="s">
        <v>2411</v>
      </c>
      <c r="C48" s="28" t="s">
        <v>2383</v>
      </c>
      <c r="D48" s="36" t="s">
        <v>2384</v>
      </c>
      <c r="E48" s="29" t="s">
        <v>699</v>
      </c>
      <c r="F48" s="22">
        <v>155.38999999999999</v>
      </c>
      <c r="G48" s="22">
        <v>32.630000000000003</v>
      </c>
      <c r="H48" s="30"/>
      <c r="I48" s="9">
        <f t="shared" si="0"/>
        <v>32.630000000000003</v>
      </c>
      <c r="J48" s="31"/>
      <c r="K48" s="9">
        <f t="shared" si="1"/>
        <v>188.01999999999998</v>
      </c>
      <c r="L48" t="s">
        <v>295</v>
      </c>
    </row>
    <row r="49" spans="1:12" ht="15" customHeight="1" x14ac:dyDescent="0.25">
      <c r="A49" s="33">
        <v>45467</v>
      </c>
      <c r="B49" s="34" t="s">
        <v>2433</v>
      </c>
      <c r="C49" s="28" t="s">
        <v>2434</v>
      </c>
      <c r="D49" s="35" t="s">
        <v>2433</v>
      </c>
      <c r="E49" s="29" t="s">
        <v>281</v>
      </c>
      <c r="F49" s="22">
        <v>20.04</v>
      </c>
      <c r="G49" s="22">
        <v>4.21</v>
      </c>
      <c r="H49" s="30"/>
      <c r="I49" s="9">
        <f t="shared" si="0"/>
        <v>4.21</v>
      </c>
      <c r="J49" s="31"/>
      <c r="K49" s="9">
        <f t="shared" si="1"/>
        <v>24.25</v>
      </c>
      <c r="L49" t="s">
        <v>267</v>
      </c>
    </row>
    <row r="50" spans="1:12" ht="15" customHeight="1" x14ac:dyDescent="0.25">
      <c r="A50" s="33">
        <v>45467</v>
      </c>
      <c r="B50" s="34" t="s">
        <v>2435</v>
      </c>
      <c r="C50" s="28" t="s">
        <v>2416</v>
      </c>
      <c r="D50" s="35" t="s">
        <v>2417</v>
      </c>
      <c r="E50" s="29" t="s">
        <v>281</v>
      </c>
      <c r="F50" s="22">
        <v>15.69</v>
      </c>
      <c r="G50" s="22">
        <v>3.3</v>
      </c>
      <c r="H50" s="30"/>
      <c r="I50" s="9">
        <f t="shared" si="0"/>
        <v>3.3</v>
      </c>
      <c r="J50" s="31"/>
      <c r="K50" s="9">
        <f t="shared" si="1"/>
        <v>18.989999999999998</v>
      </c>
      <c r="L50" t="s">
        <v>267</v>
      </c>
    </row>
    <row r="51" spans="1:12" ht="15" customHeight="1" x14ac:dyDescent="0.25">
      <c r="A51" s="33">
        <v>45467</v>
      </c>
      <c r="B51" s="34" t="s">
        <v>2436</v>
      </c>
      <c r="C51" s="28" t="s">
        <v>2438</v>
      </c>
      <c r="D51" s="35" t="s">
        <v>2437</v>
      </c>
      <c r="E51" s="29" t="s">
        <v>281</v>
      </c>
      <c r="F51" s="22">
        <v>10.64</v>
      </c>
      <c r="G51" s="22">
        <v>2.2400000000000002</v>
      </c>
      <c r="H51" s="30"/>
      <c r="I51" s="9">
        <f t="shared" si="0"/>
        <v>2.2400000000000002</v>
      </c>
      <c r="J51" s="31"/>
      <c r="K51" s="9">
        <f t="shared" si="1"/>
        <v>12.88</v>
      </c>
      <c r="L51" t="s">
        <v>267</v>
      </c>
    </row>
    <row r="52" spans="1:12" ht="15" customHeight="1" x14ac:dyDescent="0.25">
      <c r="A52" s="33">
        <v>45467</v>
      </c>
      <c r="B52" s="34" t="s">
        <v>2439</v>
      </c>
      <c r="C52" s="28" t="s">
        <v>2416</v>
      </c>
      <c r="D52" s="35" t="s">
        <v>2417</v>
      </c>
      <c r="E52" s="29" t="s">
        <v>281</v>
      </c>
      <c r="F52" s="22">
        <v>27.47</v>
      </c>
      <c r="G52" s="22">
        <v>5.77</v>
      </c>
      <c r="H52" s="30"/>
      <c r="I52" s="9">
        <f t="shared" si="0"/>
        <v>5.77</v>
      </c>
      <c r="J52" s="31"/>
      <c r="K52" s="9">
        <f t="shared" si="1"/>
        <v>33.239999999999995</v>
      </c>
      <c r="L52" t="s">
        <v>267</v>
      </c>
    </row>
    <row r="53" spans="1:12" ht="15" customHeight="1" x14ac:dyDescent="0.25">
      <c r="A53" s="38">
        <v>45455</v>
      </c>
      <c r="B53" s="34" t="s">
        <v>2440</v>
      </c>
      <c r="C53" s="28" t="s">
        <v>2416</v>
      </c>
      <c r="D53" s="35" t="s">
        <v>2417</v>
      </c>
      <c r="E53" s="29" t="s">
        <v>281</v>
      </c>
      <c r="F53" s="22">
        <v>18.170000000000002</v>
      </c>
      <c r="G53" s="22">
        <v>3.81</v>
      </c>
      <c r="H53" s="30"/>
      <c r="I53" s="9">
        <f t="shared" si="0"/>
        <v>3.81</v>
      </c>
      <c r="J53" s="31"/>
      <c r="K53" s="9">
        <f t="shared" si="1"/>
        <v>21.98</v>
      </c>
      <c r="L53" t="s">
        <v>267</v>
      </c>
    </row>
    <row r="54" spans="1:12" ht="15" customHeight="1" x14ac:dyDescent="0.25">
      <c r="A54" s="33">
        <v>45444</v>
      </c>
      <c r="B54" s="112" t="s">
        <v>2503</v>
      </c>
      <c r="C54" s="28" t="s">
        <v>1412</v>
      </c>
      <c r="D54" s="36" t="s">
        <v>1414</v>
      </c>
      <c r="E54" s="29" t="s">
        <v>827</v>
      </c>
      <c r="F54" s="22">
        <v>1414.05</v>
      </c>
      <c r="G54" s="22">
        <v>296.95</v>
      </c>
      <c r="H54" s="30"/>
      <c r="I54" s="9">
        <f t="shared" si="0"/>
        <v>296.95</v>
      </c>
      <c r="J54" s="31"/>
      <c r="K54" s="9">
        <f t="shared" si="1"/>
        <v>1711</v>
      </c>
      <c r="L54" t="s">
        <v>41</v>
      </c>
    </row>
    <row r="55" spans="1:12" ht="15" customHeight="1" x14ac:dyDescent="0.25">
      <c r="A55" s="33">
        <v>45444</v>
      </c>
      <c r="B55" s="34" t="s">
        <v>2507</v>
      </c>
      <c r="C55" s="28" t="s">
        <v>1101</v>
      </c>
      <c r="D55" s="35" t="s">
        <v>1102</v>
      </c>
      <c r="E55" s="29" t="s">
        <v>1105</v>
      </c>
      <c r="F55" s="30">
        <v>900</v>
      </c>
      <c r="G55" s="30">
        <v>189</v>
      </c>
      <c r="H55" s="30"/>
      <c r="I55" s="9">
        <f t="shared" si="0"/>
        <v>189</v>
      </c>
      <c r="J55" s="31"/>
      <c r="K55" s="9">
        <f t="shared" si="1"/>
        <v>1089</v>
      </c>
    </row>
    <row r="56" spans="1:12" ht="15" customHeight="1" x14ac:dyDescent="0.25">
      <c r="A56" s="33">
        <v>45469</v>
      </c>
      <c r="B56" s="34" t="s">
        <v>2509</v>
      </c>
      <c r="C56" s="28" t="s">
        <v>400</v>
      </c>
      <c r="D56" s="35" t="s">
        <v>401</v>
      </c>
      <c r="E56" s="29" t="s">
        <v>1871</v>
      </c>
      <c r="F56" s="22">
        <v>11.73</v>
      </c>
      <c r="G56" s="22">
        <v>2.46</v>
      </c>
      <c r="H56" s="30"/>
      <c r="I56" s="9">
        <f t="shared" si="0"/>
        <v>2.46</v>
      </c>
      <c r="J56" s="31"/>
      <c r="K56" s="9">
        <f t="shared" si="1"/>
        <v>14.190000000000001</v>
      </c>
      <c r="L56" t="s">
        <v>42</v>
      </c>
    </row>
    <row r="57" spans="1:12" ht="15" customHeight="1" x14ac:dyDescent="0.25">
      <c r="A57" s="33">
        <v>45473</v>
      </c>
      <c r="B57" s="34" t="s">
        <v>2510</v>
      </c>
      <c r="C57" s="28" t="s">
        <v>530</v>
      </c>
      <c r="D57" s="35" t="s">
        <v>16</v>
      </c>
      <c r="E57" s="29" t="s">
        <v>17</v>
      </c>
      <c r="F57" s="22">
        <v>64.14</v>
      </c>
      <c r="G57" s="22">
        <v>13.47</v>
      </c>
      <c r="H57" s="30"/>
      <c r="I57" s="9">
        <f t="shared" si="0"/>
        <v>13.47</v>
      </c>
      <c r="J57" s="31"/>
      <c r="K57" s="9">
        <f t="shared" si="1"/>
        <v>77.61</v>
      </c>
      <c r="L57" t="s">
        <v>42</v>
      </c>
    </row>
    <row r="58" spans="1:12" ht="15" customHeight="1" x14ac:dyDescent="0.25">
      <c r="A58" s="167">
        <v>45473</v>
      </c>
      <c r="B58" s="168" t="s">
        <v>2517</v>
      </c>
      <c r="C58" s="169" t="s">
        <v>2346</v>
      </c>
      <c r="D58" s="170" t="s">
        <v>542</v>
      </c>
      <c r="E58" s="171" t="s">
        <v>17</v>
      </c>
      <c r="F58" s="172">
        <v>3704.3</v>
      </c>
      <c r="G58" s="172">
        <v>777.9</v>
      </c>
      <c r="H58" s="172"/>
      <c r="I58" s="173">
        <f t="shared" si="0"/>
        <v>777.9</v>
      </c>
      <c r="J58" s="174"/>
      <c r="K58" s="173">
        <f t="shared" si="1"/>
        <v>4482.2</v>
      </c>
      <c r="L58" s="182" t="s">
        <v>42</v>
      </c>
    </row>
    <row r="59" spans="1:12" ht="15" customHeight="1" x14ac:dyDescent="0.25">
      <c r="A59" s="33"/>
      <c r="B59" s="34"/>
      <c r="C59" s="28"/>
      <c r="D59" s="35"/>
      <c r="E59" s="29"/>
      <c r="F59" s="22">
        <f>SUM(F5:F58)</f>
        <v>10906.059999999998</v>
      </c>
      <c r="G59" s="22">
        <f>SUM(G5:G58)</f>
        <v>1888.6399999999999</v>
      </c>
      <c r="H59" s="30"/>
      <c r="I59" s="9">
        <f t="shared" si="0"/>
        <v>1888.6399999999999</v>
      </c>
      <c r="J59" s="31"/>
      <c r="K59" s="9">
        <f t="shared" si="1"/>
        <v>12794.699999999997</v>
      </c>
    </row>
    <row r="62" spans="1:12" ht="15.75" thickBot="1" x14ac:dyDescent="0.3"/>
    <row r="63" spans="1:12" ht="30" x14ac:dyDescent="0.25">
      <c r="A63" s="44" t="s">
        <v>1</v>
      </c>
      <c r="B63" s="45" t="s">
        <v>2</v>
      </c>
      <c r="C63" s="46" t="s">
        <v>26</v>
      </c>
      <c r="D63" s="46" t="s">
        <v>4</v>
      </c>
      <c r="E63" s="46" t="s">
        <v>5</v>
      </c>
      <c r="F63" s="46" t="s">
        <v>6</v>
      </c>
      <c r="G63" s="46" t="s">
        <v>7</v>
      </c>
      <c r="H63" s="46" t="s">
        <v>8</v>
      </c>
      <c r="I63" s="46" t="s">
        <v>9</v>
      </c>
      <c r="J63" s="47" t="s">
        <v>10</v>
      </c>
      <c r="K63" s="2" t="s">
        <v>11</v>
      </c>
    </row>
    <row r="64" spans="1:12" x14ac:dyDescent="0.25">
      <c r="A64" s="184">
        <v>45444</v>
      </c>
      <c r="B64" s="51" t="s">
        <v>2486</v>
      </c>
      <c r="C64" s="14" t="s">
        <v>2448</v>
      </c>
      <c r="D64" s="14" t="s">
        <v>2449</v>
      </c>
      <c r="E64" s="14" t="s">
        <v>2450</v>
      </c>
      <c r="F64" s="60">
        <v>1400</v>
      </c>
      <c r="G64" s="30">
        <v>294</v>
      </c>
      <c r="H64" s="30"/>
      <c r="I64" s="30">
        <f t="shared" ref="I64:I73" si="2">G64+H64</f>
        <v>294</v>
      </c>
      <c r="J64" s="31">
        <v>266</v>
      </c>
      <c r="K64" s="50">
        <f t="shared" ref="K64:K73" si="3">F64+I64-J64</f>
        <v>1428</v>
      </c>
    </row>
    <row r="65" spans="1:11" x14ac:dyDescent="0.25">
      <c r="A65" s="184">
        <v>45448</v>
      </c>
      <c r="B65" s="51" t="s">
        <v>2487</v>
      </c>
      <c r="C65" s="161" t="s">
        <v>2451</v>
      </c>
      <c r="D65" s="14" t="s">
        <v>1093</v>
      </c>
      <c r="E65" s="183" t="s">
        <v>30</v>
      </c>
      <c r="F65" s="60">
        <v>190</v>
      </c>
      <c r="G65" s="30">
        <v>39.9</v>
      </c>
      <c r="H65" s="30"/>
      <c r="I65" s="30">
        <f t="shared" si="2"/>
        <v>39.9</v>
      </c>
      <c r="J65" s="31"/>
      <c r="K65" s="50">
        <f t="shared" si="3"/>
        <v>229.9</v>
      </c>
    </row>
    <row r="66" spans="1:11" x14ac:dyDescent="0.25">
      <c r="A66" s="184">
        <v>45447</v>
      </c>
      <c r="B66" s="36" t="s">
        <v>2488</v>
      </c>
      <c r="C66" s="161" t="s">
        <v>2489</v>
      </c>
      <c r="D66" s="14" t="s">
        <v>2490</v>
      </c>
      <c r="E66" s="183" t="s">
        <v>30</v>
      </c>
      <c r="F66" s="30">
        <v>140</v>
      </c>
      <c r="G66" s="30">
        <v>29.4</v>
      </c>
      <c r="H66" s="30"/>
      <c r="I66" s="30">
        <f t="shared" si="2"/>
        <v>29.4</v>
      </c>
      <c r="J66" s="31"/>
      <c r="K66" s="50">
        <f t="shared" si="3"/>
        <v>169.4</v>
      </c>
    </row>
    <row r="67" spans="1:11" x14ac:dyDescent="0.25">
      <c r="A67" s="184">
        <v>45459</v>
      </c>
      <c r="B67" s="36" t="s">
        <v>2491</v>
      </c>
      <c r="C67" s="51" t="s">
        <v>1081</v>
      </c>
      <c r="D67" s="14" t="s">
        <v>2454</v>
      </c>
      <c r="E67" s="183" t="s">
        <v>30</v>
      </c>
      <c r="F67" s="30">
        <v>360</v>
      </c>
      <c r="G67" s="30">
        <v>75.599999999999994</v>
      </c>
      <c r="H67" s="30"/>
      <c r="I67" s="30">
        <f t="shared" si="2"/>
        <v>75.599999999999994</v>
      </c>
      <c r="J67" s="31"/>
      <c r="K67" s="50">
        <f t="shared" si="3"/>
        <v>435.6</v>
      </c>
    </row>
    <row r="68" spans="1:11" x14ac:dyDescent="0.25">
      <c r="A68" s="184">
        <v>45459</v>
      </c>
      <c r="B68" s="36" t="s">
        <v>2492</v>
      </c>
      <c r="C68" s="51" t="s">
        <v>2497</v>
      </c>
      <c r="D68" s="14" t="s">
        <v>2498</v>
      </c>
      <c r="E68" s="49" t="s">
        <v>30</v>
      </c>
      <c r="F68" s="30">
        <v>190</v>
      </c>
      <c r="G68" s="30">
        <v>39.9</v>
      </c>
      <c r="H68" s="30"/>
      <c r="I68" s="30">
        <f t="shared" si="2"/>
        <v>39.9</v>
      </c>
      <c r="J68" s="31"/>
      <c r="K68" s="50">
        <f t="shared" si="3"/>
        <v>229.9</v>
      </c>
    </row>
    <row r="69" spans="1:11" x14ac:dyDescent="0.25">
      <c r="A69" s="184">
        <v>45467</v>
      </c>
      <c r="B69" s="36" t="s">
        <v>2493</v>
      </c>
      <c r="C69" s="161" t="s">
        <v>2499</v>
      </c>
      <c r="D69" s="14" t="s">
        <v>2500</v>
      </c>
      <c r="E69" s="183" t="s">
        <v>30</v>
      </c>
      <c r="F69" s="30">
        <v>270</v>
      </c>
      <c r="G69" s="30">
        <v>56.7</v>
      </c>
      <c r="H69" s="30"/>
      <c r="I69" s="30">
        <f t="shared" si="2"/>
        <v>56.7</v>
      </c>
      <c r="J69" s="31"/>
      <c r="K69" s="50">
        <f t="shared" si="3"/>
        <v>326.7</v>
      </c>
    </row>
    <row r="70" spans="1:11" x14ac:dyDescent="0.25">
      <c r="A70" s="184">
        <v>45471</v>
      </c>
      <c r="B70" s="36" t="s">
        <v>2494</v>
      </c>
      <c r="C70" s="161" t="s">
        <v>2501</v>
      </c>
      <c r="D70" s="14" t="s">
        <v>2502</v>
      </c>
      <c r="E70" s="183" t="s">
        <v>30</v>
      </c>
      <c r="F70" s="30">
        <v>230</v>
      </c>
      <c r="G70" s="30">
        <v>48.3</v>
      </c>
      <c r="H70" s="30"/>
      <c r="I70" s="30">
        <f t="shared" si="2"/>
        <v>48.3</v>
      </c>
      <c r="J70" s="31"/>
      <c r="K70" s="50">
        <f t="shared" si="3"/>
        <v>278.3</v>
      </c>
    </row>
    <row r="71" spans="1:11" x14ac:dyDescent="0.25">
      <c r="A71" s="184">
        <v>45471</v>
      </c>
      <c r="B71" s="36" t="s">
        <v>2495</v>
      </c>
      <c r="C71" s="51" t="s">
        <v>1081</v>
      </c>
      <c r="D71" s="14" t="s">
        <v>2454</v>
      </c>
      <c r="E71" s="183" t="s">
        <v>30</v>
      </c>
      <c r="F71" s="30">
        <v>130</v>
      </c>
      <c r="G71" s="30">
        <v>27.3</v>
      </c>
      <c r="H71" s="30"/>
      <c r="I71" s="30">
        <f t="shared" si="2"/>
        <v>27.3</v>
      </c>
      <c r="J71" s="31"/>
      <c r="K71" s="50">
        <f t="shared" si="3"/>
        <v>157.30000000000001</v>
      </c>
    </row>
    <row r="72" spans="1:11" x14ac:dyDescent="0.25">
      <c r="A72" s="184"/>
      <c r="B72" s="36"/>
      <c r="C72" s="161"/>
      <c r="D72" s="14"/>
      <c r="E72" s="183" t="s">
        <v>30</v>
      </c>
      <c r="F72" s="30"/>
      <c r="G72" s="30"/>
      <c r="H72" s="30"/>
      <c r="I72" s="30"/>
      <c r="J72" s="31"/>
      <c r="K72" s="50"/>
    </row>
    <row r="73" spans="1:11" x14ac:dyDescent="0.25">
      <c r="A73" s="184">
        <v>45467</v>
      </c>
      <c r="B73" s="36" t="s">
        <v>2496</v>
      </c>
      <c r="C73" s="161" t="s">
        <v>2499</v>
      </c>
      <c r="D73" s="14" t="s">
        <v>2500</v>
      </c>
      <c r="E73" s="183" t="s">
        <v>30</v>
      </c>
      <c r="F73" s="30">
        <v>-270</v>
      </c>
      <c r="G73" s="30">
        <v>-56.7</v>
      </c>
      <c r="H73" s="30"/>
      <c r="I73" s="30">
        <f t="shared" si="2"/>
        <v>-56.7</v>
      </c>
      <c r="J73" s="31"/>
      <c r="K73" s="50">
        <f t="shared" si="3"/>
        <v>-326.7</v>
      </c>
    </row>
    <row r="74" spans="1:11" x14ac:dyDescent="0.25">
      <c r="A74" s="184"/>
      <c r="B74" s="36"/>
      <c r="C74" s="161"/>
      <c r="D74" s="14"/>
      <c r="E74" s="183" t="s">
        <v>30</v>
      </c>
      <c r="F74" s="30"/>
      <c r="G74" s="30"/>
      <c r="H74" s="30"/>
      <c r="I74" s="30"/>
      <c r="J74" s="31"/>
      <c r="K74" s="50"/>
    </row>
    <row r="75" spans="1:11" x14ac:dyDescent="0.25">
      <c r="A75" s="184"/>
      <c r="B75" s="36"/>
      <c r="C75" s="161"/>
      <c r="D75" s="14"/>
      <c r="E75" s="183" t="s">
        <v>30</v>
      </c>
      <c r="F75" s="30"/>
      <c r="G75" s="30"/>
      <c r="H75" s="30"/>
      <c r="I75" s="30"/>
      <c r="J75" s="31"/>
      <c r="K75" s="50"/>
    </row>
    <row r="76" spans="1:11" x14ac:dyDescent="0.25">
      <c r="A76" s="319" t="s">
        <v>11</v>
      </c>
      <c r="B76" s="319"/>
      <c r="C76" s="319"/>
      <c r="D76" s="321"/>
      <c r="E76" s="319"/>
      <c r="F76" s="40">
        <f>SUM(F64:F75)</f>
        <v>2640</v>
      </c>
      <c r="G76" s="41">
        <f>SUM(G64:G75)</f>
        <v>554.39999999999986</v>
      </c>
      <c r="H76" s="36"/>
      <c r="I76" s="40">
        <f>SUM(I64:I75)</f>
        <v>554.39999999999986</v>
      </c>
      <c r="J76" s="164">
        <f>SUM(J64:J75)</f>
        <v>266</v>
      </c>
      <c r="K76" s="160">
        <f>SUM(K64:K75)</f>
        <v>2928.4000000000005</v>
      </c>
    </row>
  </sheetData>
  <mergeCells count="1">
    <mergeCell ref="A76:E76"/>
  </mergeCells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D6F8-E249-4C1F-A942-B02C7B8FA127}">
  <dimension ref="A1:O232"/>
  <sheetViews>
    <sheetView topLeftCell="A208" workbookViewId="0">
      <selection activeCell="A230" sqref="A230:L230"/>
    </sheetView>
  </sheetViews>
  <sheetFormatPr baseColWidth="10" defaultRowHeight="15" x14ac:dyDescent="0.25"/>
  <cols>
    <col min="2" max="2" width="17.5703125" customWidth="1"/>
    <col min="3" max="3" width="37.7109375" customWidth="1"/>
    <col min="4" max="4" width="14.42578125" customWidth="1"/>
    <col min="5" max="5" width="11.5703125" bestFit="1" customWidth="1"/>
    <col min="6" max="6" width="12.140625" bestFit="1" customWidth="1"/>
    <col min="7" max="7" width="11.5703125" bestFit="1" customWidth="1"/>
    <col min="8" max="8" width="12" bestFit="1" customWidth="1"/>
    <col min="9" max="9" width="24.28515625" customWidth="1"/>
  </cols>
  <sheetData>
    <row r="1" spans="1:15" x14ac:dyDescent="0.25">
      <c r="A1" s="319" t="s">
        <v>1</v>
      </c>
      <c r="B1" s="319" t="s">
        <v>2</v>
      </c>
      <c r="C1" s="319" t="s">
        <v>32</v>
      </c>
      <c r="D1" s="319" t="s">
        <v>33</v>
      </c>
      <c r="E1" s="319" t="s">
        <v>408</v>
      </c>
      <c r="F1" s="319" t="s">
        <v>11</v>
      </c>
      <c r="G1" s="319" t="s">
        <v>34</v>
      </c>
      <c r="H1" s="319"/>
      <c r="I1" s="319" t="s">
        <v>35</v>
      </c>
      <c r="J1" s="319" t="s">
        <v>36</v>
      </c>
      <c r="K1" s="319" t="s">
        <v>37</v>
      </c>
      <c r="L1" s="319" t="s">
        <v>38</v>
      </c>
      <c r="M1" s="319" t="s">
        <v>37</v>
      </c>
      <c r="N1" s="320" t="s">
        <v>38</v>
      </c>
      <c r="O1" s="319" t="s">
        <v>40</v>
      </c>
    </row>
    <row r="2" spans="1:15" x14ac:dyDescent="0.25">
      <c r="A2" s="320"/>
      <c r="B2" s="320"/>
      <c r="C2" s="320"/>
      <c r="D2" s="320"/>
      <c r="E2" s="320"/>
      <c r="F2" s="320"/>
      <c r="G2" s="52" t="s">
        <v>41</v>
      </c>
      <c r="H2" s="53" t="s">
        <v>42</v>
      </c>
      <c r="I2" s="320"/>
      <c r="J2" s="320"/>
      <c r="K2" s="320"/>
      <c r="L2" s="320"/>
      <c r="M2" s="320"/>
      <c r="N2" s="323"/>
      <c r="O2" s="320"/>
    </row>
    <row r="3" spans="1:15" x14ac:dyDescent="0.25">
      <c r="A3" s="159">
        <v>45444</v>
      </c>
      <c r="B3" s="55" t="s">
        <v>1732</v>
      </c>
      <c r="C3" s="55" t="s">
        <v>43</v>
      </c>
      <c r="D3" s="75">
        <f>F3/1.1</f>
        <v>236.36363636363635</v>
      </c>
      <c r="E3" s="75">
        <f t="shared" ref="E3:E66" si="0">D3*10/100</f>
        <v>23.636363636363637</v>
      </c>
      <c r="F3" s="75">
        <v>260</v>
      </c>
      <c r="G3" s="75">
        <v>50</v>
      </c>
      <c r="H3" s="58">
        <f t="shared" ref="H3:H66" si="1">F3-G3</f>
        <v>210</v>
      </c>
      <c r="I3" s="14" t="s">
        <v>1979</v>
      </c>
      <c r="J3" s="75">
        <v>220</v>
      </c>
      <c r="K3" s="75">
        <v>40</v>
      </c>
      <c r="L3" s="14" t="s">
        <v>252</v>
      </c>
      <c r="M3" s="14"/>
      <c r="N3" s="14"/>
      <c r="O3" s="14"/>
    </row>
    <row r="4" spans="1:15" x14ac:dyDescent="0.25">
      <c r="A4" s="159">
        <v>45444</v>
      </c>
      <c r="B4" s="55" t="s">
        <v>1733</v>
      </c>
      <c r="C4" s="55" t="s">
        <v>43</v>
      </c>
      <c r="D4" s="75">
        <f t="shared" ref="D4:D67" si="2">F4/1.1</f>
        <v>277.27272727272725</v>
      </c>
      <c r="E4" s="75">
        <f t="shared" si="0"/>
        <v>27.727272727272727</v>
      </c>
      <c r="F4" s="75">
        <v>305</v>
      </c>
      <c r="G4" s="75">
        <v>50</v>
      </c>
      <c r="H4" s="58">
        <f t="shared" si="1"/>
        <v>255</v>
      </c>
      <c r="I4" s="14" t="s">
        <v>1980</v>
      </c>
      <c r="J4" s="75">
        <v>220</v>
      </c>
      <c r="K4" s="75">
        <v>40</v>
      </c>
      <c r="L4" s="14" t="s">
        <v>252</v>
      </c>
      <c r="M4" s="75">
        <v>45</v>
      </c>
      <c r="N4" s="14" t="s">
        <v>45</v>
      </c>
      <c r="O4" s="14"/>
    </row>
    <row r="5" spans="1:15" x14ac:dyDescent="0.25">
      <c r="A5" s="159">
        <v>45444</v>
      </c>
      <c r="B5" s="55" t="s">
        <v>1734</v>
      </c>
      <c r="C5" s="55" t="s">
        <v>43</v>
      </c>
      <c r="D5" s="75">
        <f t="shared" si="2"/>
        <v>263.63636363636363</v>
      </c>
      <c r="E5" s="75">
        <f t="shared" si="0"/>
        <v>26.36363636363636</v>
      </c>
      <c r="F5" s="75">
        <v>290</v>
      </c>
      <c r="G5" s="75">
        <v>50</v>
      </c>
      <c r="H5" s="58">
        <f t="shared" si="1"/>
        <v>240</v>
      </c>
      <c r="I5" s="14" t="s">
        <v>1981</v>
      </c>
      <c r="J5" s="75">
        <v>270</v>
      </c>
      <c r="K5" s="75">
        <v>20</v>
      </c>
      <c r="L5" s="14" t="s">
        <v>252</v>
      </c>
      <c r="M5" s="75"/>
      <c r="N5" s="14"/>
      <c r="O5" s="14"/>
    </row>
    <row r="6" spans="1:15" x14ac:dyDescent="0.25">
      <c r="A6" s="159">
        <v>45444</v>
      </c>
      <c r="B6" s="55" t="s">
        <v>1735</v>
      </c>
      <c r="C6" s="55" t="s">
        <v>43</v>
      </c>
      <c r="D6" s="75">
        <f t="shared" si="2"/>
        <v>236.36363636363635</v>
      </c>
      <c r="E6" s="75">
        <f t="shared" si="0"/>
        <v>23.636363636363637</v>
      </c>
      <c r="F6" s="75">
        <v>260</v>
      </c>
      <c r="G6" s="75">
        <v>50</v>
      </c>
      <c r="H6" s="58">
        <f t="shared" si="1"/>
        <v>210</v>
      </c>
      <c r="I6" s="14" t="s">
        <v>1982</v>
      </c>
      <c r="J6" s="75">
        <v>220</v>
      </c>
      <c r="K6" s="75">
        <v>40</v>
      </c>
      <c r="L6" s="14" t="s">
        <v>252</v>
      </c>
      <c r="M6" s="75"/>
      <c r="N6" s="14"/>
      <c r="O6" s="14"/>
    </row>
    <row r="7" spans="1:15" x14ac:dyDescent="0.25">
      <c r="A7" s="159">
        <v>45444</v>
      </c>
      <c r="B7" s="55" t="s">
        <v>1736</v>
      </c>
      <c r="C7" s="55" t="s">
        <v>43</v>
      </c>
      <c r="D7" s="75">
        <f t="shared" si="2"/>
        <v>227.27272727272725</v>
      </c>
      <c r="E7" s="75">
        <f t="shared" si="0"/>
        <v>22.727272727272727</v>
      </c>
      <c r="F7" s="75">
        <v>250</v>
      </c>
      <c r="G7" s="75"/>
      <c r="H7" s="58">
        <f t="shared" si="1"/>
        <v>250</v>
      </c>
      <c r="I7" s="14" t="s">
        <v>1983</v>
      </c>
      <c r="J7" s="75">
        <v>250</v>
      </c>
      <c r="K7" s="75"/>
      <c r="L7" s="14"/>
      <c r="M7" s="75"/>
      <c r="N7" s="14"/>
      <c r="O7" s="14"/>
    </row>
    <row r="8" spans="1:15" x14ac:dyDescent="0.25">
      <c r="A8" s="159">
        <v>45444</v>
      </c>
      <c r="B8" s="55" t="s">
        <v>1737</v>
      </c>
      <c r="C8" s="55" t="s">
        <v>43</v>
      </c>
      <c r="D8" s="75">
        <f t="shared" si="2"/>
        <v>245.45454545454544</v>
      </c>
      <c r="E8" s="75">
        <f t="shared" si="0"/>
        <v>24.545454545454547</v>
      </c>
      <c r="F8" s="75">
        <v>270</v>
      </c>
      <c r="G8" s="75">
        <v>50</v>
      </c>
      <c r="H8" s="58">
        <f t="shared" si="1"/>
        <v>220</v>
      </c>
      <c r="I8" s="14" t="s">
        <v>1984</v>
      </c>
      <c r="J8" s="75">
        <v>270</v>
      </c>
      <c r="K8" s="75"/>
      <c r="L8" s="14"/>
      <c r="M8" s="75"/>
      <c r="N8" s="14"/>
      <c r="O8" s="14"/>
    </row>
    <row r="9" spans="1:15" x14ac:dyDescent="0.25">
      <c r="A9" s="159">
        <v>45444</v>
      </c>
      <c r="B9" s="55" t="s">
        <v>1738</v>
      </c>
      <c r="C9" s="55" t="s">
        <v>43</v>
      </c>
      <c r="D9" s="75">
        <f t="shared" si="2"/>
        <v>199.99999999999997</v>
      </c>
      <c r="E9" s="75">
        <f t="shared" si="0"/>
        <v>19.999999999999996</v>
      </c>
      <c r="F9" s="75">
        <v>220</v>
      </c>
      <c r="G9" s="75">
        <v>50</v>
      </c>
      <c r="H9" s="58">
        <f t="shared" si="1"/>
        <v>170</v>
      </c>
      <c r="I9" s="14" t="s">
        <v>2099</v>
      </c>
      <c r="J9" s="75">
        <v>170</v>
      </c>
      <c r="K9" s="75">
        <v>50</v>
      </c>
      <c r="L9" s="14" t="s">
        <v>252</v>
      </c>
      <c r="M9" s="75"/>
      <c r="N9" s="14"/>
      <c r="O9" s="14"/>
    </row>
    <row r="10" spans="1:15" x14ac:dyDescent="0.25">
      <c r="A10" s="159">
        <v>45444</v>
      </c>
      <c r="B10" s="55" t="s">
        <v>1739</v>
      </c>
      <c r="C10" s="55" t="s">
        <v>43</v>
      </c>
      <c r="D10" s="75">
        <f t="shared" si="2"/>
        <v>154.54545454545453</v>
      </c>
      <c r="E10" s="75">
        <f t="shared" si="0"/>
        <v>15.454545454545453</v>
      </c>
      <c r="F10" s="75">
        <v>170</v>
      </c>
      <c r="G10" s="75"/>
      <c r="H10" s="58">
        <f t="shared" si="1"/>
        <v>170</v>
      </c>
      <c r="I10" s="14" t="s">
        <v>1833</v>
      </c>
      <c r="J10" s="75">
        <v>170</v>
      </c>
      <c r="K10" s="75"/>
      <c r="L10" s="14"/>
      <c r="M10" s="75"/>
      <c r="N10" s="14"/>
      <c r="O10" s="14"/>
    </row>
    <row r="11" spans="1:15" x14ac:dyDescent="0.25">
      <c r="A11" s="159">
        <v>45444</v>
      </c>
      <c r="B11" s="55" t="s">
        <v>1740</v>
      </c>
      <c r="C11" s="55" t="s">
        <v>43</v>
      </c>
      <c r="D11" s="75">
        <f t="shared" si="2"/>
        <v>127.27272727272727</v>
      </c>
      <c r="E11" s="75">
        <f t="shared" si="0"/>
        <v>12.727272727272727</v>
      </c>
      <c r="F11" s="75">
        <v>140</v>
      </c>
      <c r="G11" s="75"/>
      <c r="H11" s="58">
        <f t="shared" si="1"/>
        <v>140</v>
      </c>
      <c r="I11" s="14" t="s">
        <v>1837</v>
      </c>
      <c r="J11" s="75">
        <v>140</v>
      </c>
      <c r="K11" s="75"/>
      <c r="L11" s="14"/>
      <c r="M11" s="75"/>
      <c r="N11" s="14"/>
      <c r="O11" s="14"/>
    </row>
    <row r="12" spans="1:15" x14ac:dyDescent="0.25">
      <c r="A12" s="159">
        <v>45444</v>
      </c>
      <c r="B12" s="55" t="s">
        <v>1741</v>
      </c>
      <c r="C12" s="55" t="s">
        <v>43</v>
      </c>
      <c r="D12" s="75">
        <f t="shared" si="2"/>
        <v>145.45454545454544</v>
      </c>
      <c r="E12" s="75">
        <f t="shared" si="0"/>
        <v>14.545454545454545</v>
      </c>
      <c r="F12" s="75">
        <v>160</v>
      </c>
      <c r="G12" s="75"/>
      <c r="H12" s="58">
        <f t="shared" si="1"/>
        <v>160</v>
      </c>
      <c r="I12" s="14" t="s">
        <v>604</v>
      </c>
      <c r="J12" s="75">
        <v>160</v>
      </c>
      <c r="K12" s="75"/>
      <c r="L12" s="14"/>
      <c r="M12" s="75"/>
      <c r="N12" s="14"/>
      <c r="O12" s="14"/>
    </row>
    <row r="13" spans="1:15" x14ac:dyDescent="0.25">
      <c r="A13" s="159">
        <v>45444</v>
      </c>
      <c r="B13" s="55" t="s">
        <v>1742</v>
      </c>
      <c r="C13" s="55" t="s">
        <v>43</v>
      </c>
      <c r="D13" s="75">
        <f t="shared" si="2"/>
        <v>109.09090909090908</v>
      </c>
      <c r="E13" s="75">
        <f t="shared" si="0"/>
        <v>10.909090909090908</v>
      </c>
      <c r="F13" s="75">
        <v>120</v>
      </c>
      <c r="G13" s="75"/>
      <c r="H13" s="58">
        <f t="shared" si="1"/>
        <v>120</v>
      </c>
      <c r="I13" s="14" t="s">
        <v>1833</v>
      </c>
      <c r="J13" s="75">
        <v>120</v>
      </c>
      <c r="K13" s="75"/>
      <c r="L13" s="14"/>
      <c r="M13" s="75"/>
      <c r="N13" s="14"/>
      <c r="O13" s="14"/>
    </row>
    <row r="14" spans="1:15" x14ac:dyDescent="0.25">
      <c r="A14" s="159">
        <v>45444</v>
      </c>
      <c r="B14" s="55" t="s">
        <v>1743</v>
      </c>
      <c r="C14" s="55" t="s">
        <v>43</v>
      </c>
      <c r="D14" s="75">
        <f t="shared" si="2"/>
        <v>172.72727272727272</v>
      </c>
      <c r="E14" s="75">
        <f t="shared" si="0"/>
        <v>17.272727272727273</v>
      </c>
      <c r="F14" s="75">
        <v>190</v>
      </c>
      <c r="G14" s="75">
        <v>50</v>
      </c>
      <c r="H14" s="58">
        <f t="shared" si="1"/>
        <v>140</v>
      </c>
      <c r="I14" s="14" t="s">
        <v>2100</v>
      </c>
      <c r="J14" s="75">
        <v>170</v>
      </c>
      <c r="K14" s="75">
        <v>20</v>
      </c>
      <c r="L14" s="14" t="s">
        <v>252</v>
      </c>
      <c r="M14" s="75"/>
      <c r="N14" s="14"/>
      <c r="O14" s="14"/>
    </row>
    <row r="15" spans="1:15" x14ac:dyDescent="0.25">
      <c r="A15" s="159">
        <v>45444</v>
      </c>
      <c r="B15" s="55" t="s">
        <v>1744</v>
      </c>
      <c r="C15" s="55" t="s">
        <v>43</v>
      </c>
      <c r="D15" s="75">
        <f t="shared" si="2"/>
        <v>190.90909090909091</v>
      </c>
      <c r="E15" s="75">
        <f t="shared" si="0"/>
        <v>19.09090909090909</v>
      </c>
      <c r="F15" s="75">
        <v>210</v>
      </c>
      <c r="G15" s="75">
        <v>50</v>
      </c>
      <c r="H15" s="58">
        <f t="shared" si="1"/>
        <v>160</v>
      </c>
      <c r="I15" s="14" t="s">
        <v>2101</v>
      </c>
      <c r="J15" s="75">
        <v>170</v>
      </c>
      <c r="K15" s="75">
        <v>40</v>
      </c>
      <c r="L15" s="14" t="s">
        <v>252</v>
      </c>
      <c r="M15" s="75"/>
      <c r="N15" s="14"/>
      <c r="O15" s="14"/>
    </row>
    <row r="16" spans="1:15" x14ac:dyDescent="0.25">
      <c r="A16" s="159">
        <v>45444</v>
      </c>
      <c r="B16" s="55" t="s">
        <v>1745</v>
      </c>
      <c r="C16" s="55" t="s">
        <v>43</v>
      </c>
      <c r="D16" s="75">
        <f t="shared" si="2"/>
        <v>163.63636363636363</v>
      </c>
      <c r="E16" s="75">
        <f t="shared" si="0"/>
        <v>16.363636363636363</v>
      </c>
      <c r="F16" s="75">
        <v>180</v>
      </c>
      <c r="G16" s="75"/>
      <c r="H16" s="58">
        <f t="shared" si="1"/>
        <v>180</v>
      </c>
      <c r="I16" s="14" t="s">
        <v>1837</v>
      </c>
      <c r="J16" s="75">
        <v>180</v>
      </c>
      <c r="K16" s="75"/>
      <c r="L16" s="14"/>
      <c r="M16" s="75"/>
      <c r="N16" s="14"/>
      <c r="O16" s="14"/>
    </row>
    <row r="17" spans="1:15" x14ac:dyDescent="0.25">
      <c r="A17" s="159">
        <v>45444</v>
      </c>
      <c r="B17" s="55" t="s">
        <v>1746</v>
      </c>
      <c r="C17" s="55" t="s">
        <v>43</v>
      </c>
      <c r="D17" s="75">
        <f t="shared" si="2"/>
        <v>127.27272727272727</v>
      </c>
      <c r="E17" s="75">
        <f t="shared" si="0"/>
        <v>12.727272727272727</v>
      </c>
      <c r="F17" s="75">
        <v>140</v>
      </c>
      <c r="G17" s="75"/>
      <c r="H17" s="58">
        <f t="shared" si="1"/>
        <v>140</v>
      </c>
      <c r="I17" s="14" t="s">
        <v>2102</v>
      </c>
      <c r="J17" s="75">
        <v>140</v>
      </c>
      <c r="K17" s="75"/>
      <c r="L17" s="14"/>
      <c r="M17" s="75"/>
      <c r="N17" s="14"/>
      <c r="O17" s="14"/>
    </row>
    <row r="18" spans="1:15" x14ac:dyDescent="0.25">
      <c r="A18" s="159">
        <v>45444</v>
      </c>
      <c r="B18" s="55" t="s">
        <v>1747</v>
      </c>
      <c r="C18" s="55" t="s">
        <v>43</v>
      </c>
      <c r="D18" s="75">
        <f t="shared" si="2"/>
        <v>190.90909090909091</v>
      </c>
      <c r="E18" s="75">
        <f t="shared" si="0"/>
        <v>19.09090909090909</v>
      </c>
      <c r="F18" s="75">
        <v>210</v>
      </c>
      <c r="G18" s="75">
        <v>50</v>
      </c>
      <c r="H18" s="58">
        <f t="shared" si="1"/>
        <v>160</v>
      </c>
      <c r="I18" s="14" t="s">
        <v>2103</v>
      </c>
      <c r="J18" s="75">
        <v>170</v>
      </c>
      <c r="K18" s="75">
        <v>40</v>
      </c>
      <c r="L18" s="14" t="s">
        <v>252</v>
      </c>
      <c r="M18" s="75"/>
      <c r="N18" s="14"/>
      <c r="O18" s="14"/>
    </row>
    <row r="19" spans="1:15" x14ac:dyDescent="0.25">
      <c r="A19" s="159">
        <v>45444</v>
      </c>
      <c r="B19" s="55" t="s">
        <v>1748</v>
      </c>
      <c r="C19" s="55" t="s">
        <v>43</v>
      </c>
      <c r="D19" s="75">
        <f t="shared" si="2"/>
        <v>127.27272727272727</v>
      </c>
      <c r="E19" s="75">
        <f t="shared" si="0"/>
        <v>12.727272727272727</v>
      </c>
      <c r="F19" s="75">
        <v>140</v>
      </c>
      <c r="G19" s="75">
        <v>50</v>
      </c>
      <c r="H19" s="58">
        <f t="shared" si="1"/>
        <v>90</v>
      </c>
      <c r="I19" s="14" t="s">
        <v>1817</v>
      </c>
      <c r="J19" s="75">
        <v>170</v>
      </c>
      <c r="K19" s="75">
        <v>20</v>
      </c>
      <c r="L19" s="14" t="s">
        <v>252</v>
      </c>
      <c r="M19" s="75"/>
      <c r="N19" s="14"/>
      <c r="O19" s="14"/>
    </row>
    <row r="20" spans="1:15" x14ac:dyDescent="0.25">
      <c r="A20" s="159">
        <v>45444</v>
      </c>
      <c r="B20" s="55" t="s">
        <v>1749</v>
      </c>
      <c r="C20" s="55" t="s">
        <v>43</v>
      </c>
      <c r="D20" s="75">
        <f t="shared" si="2"/>
        <v>281.81818181818181</v>
      </c>
      <c r="E20" s="75">
        <f t="shared" si="0"/>
        <v>28.18181818181818</v>
      </c>
      <c r="F20" s="75">
        <v>310</v>
      </c>
      <c r="G20" s="75">
        <v>50</v>
      </c>
      <c r="H20" s="58">
        <f t="shared" si="1"/>
        <v>260</v>
      </c>
      <c r="I20" s="14" t="s">
        <v>2104</v>
      </c>
      <c r="J20" s="75">
        <v>270</v>
      </c>
      <c r="K20" s="75">
        <v>40</v>
      </c>
      <c r="L20" s="14" t="s">
        <v>252</v>
      </c>
      <c r="M20" s="75"/>
      <c r="N20" s="14"/>
      <c r="O20" s="14"/>
    </row>
    <row r="21" spans="1:15" x14ac:dyDescent="0.25">
      <c r="A21" s="159">
        <v>45444</v>
      </c>
      <c r="B21" s="55" t="s">
        <v>1750</v>
      </c>
      <c r="C21" s="55" t="s">
        <v>43</v>
      </c>
      <c r="D21" s="75">
        <f t="shared" si="2"/>
        <v>163.63636363636363</v>
      </c>
      <c r="E21" s="75">
        <f t="shared" si="0"/>
        <v>16.363636363636363</v>
      </c>
      <c r="F21" s="75">
        <v>180</v>
      </c>
      <c r="G21" s="75">
        <v>50</v>
      </c>
      <c r="H21" s="58">
        <f t="shared" si="1"/>
        <v>130</v>
      </c>
      <c r="I21" s="14" t="s">
        <v>2105</v>
      </c>
      <c r="J21" s="75">
        <v>180</v>
      </c>
      <c r="K21" s="75"/>
      <c r="L21" s="14"/>
      <c r="M21" s="75"/>
      <c r="N21" s="14"/>
      <c r="O21" s="14"/>
    </row>
    <row r="22" spans="1:15" x14ac:dyDescent="0.25">
      <c r="A22" s="159">
        <v>45444</v>
      </c>
      <c r="B22" s="55" t="s">
        <v>1751</v>
      </c>
      <c r="C22" s="55" t="s">
        <v>43</v>
      </c>
      <c r="D22" s="75">
        <f t="shared" si="2"/>
        <v>227.27272727272725</v>
      </c>
      <c r="E22" s="75">
        <f t="shared" si="0"/>
        <v>22.727272727272727</v>
      </c>
      <c r="F22" s="75">
        <v>250</v>
      </c>
      <c r="G22" s="75">
        <v>50</v>
      </c>
      <c r="H22" s="58">
        <f t="shared" si="1"/>
        <v>200</v>
      </c>
      <c r="I22" s="14" t="s">
        <v>2106</v>
      </c>
      <c r="J22" s="75">
        <v>250</v>
      </c>
      <c r="K22" s="75"/>
      <c r="L22" s="14"/>
      <c r="M22" s="75"/>
      <c r="N22" s="14"/>
      <c r="O22" s="14"/>
    </row>
    <row r="23" spans="1:15" x14ac:dyDescent="0.25">
      <c r="A23" s="159">
        <v>45444</v>
      </c>
      <c r="B23" s="55" t="s">
        <v>1752</v>
      </c>
      <c r="C23" s="55" t="s">
        <v>43</v>
      </c>
      <c r="D23" s="75">
        <f t="shared" si="2"/>
        <v>154.54545454545453</v>
      </c>
      <c r="E23" s="75">
        <f t="shared" si="0"/>
        <v>15.454545454545453</v>
      </c>
      <c r="F23" s="75">
        <v>170</v>
      </c>
      <c r="G23" s="75">
        <v>50</v>
      </c>
      <c r="H23" s="58">
        <f t="shared" si="1"/>
        <v>120</v>
      </c>
      <c r="I23" s="14" t="s">
        <v>2107</v>
      </c>
      <c r="J23" s="75">
        <v>170</v>
      </c>
      <c r="K23" s="75"/>
      <c r="L23" s="14"/>
      <c r="M23" s="75"/>
      <c r="N23" s="14"/>
      <c r="O23" s="14"/>
    </row>
    <row r="24" spans="1:15" x14ac:dyDescent="0.25">
      <c r="A24" s="159">
        <v>45444</v>
      </c>
      <c r="B24" s="55" t="s">
        <v>1753</v>
      </c>
      <c r="C24" s="55" t="s">
        <v>43</v>
      </c>
      <c r="D24" s="75">
        <f t="shared" si="2"/>
        <v>272.72727272727269</v>
      </c>
      <c r="E24" s="75">
        <f t="shared" si="0"/>
        <v>27.27272727272727</v>
      </c>
      <c r="F24" s="75">
        <v>300</v>
      </c>
      <c r="G24" s="75">
        <v>50</v>
      </c>
      <c r="H24" s="58">
        <f t="shared" si="1"/>
        <v>250</v>
      </c>
      <c r="I24" s="14" t="s">
        <v>2108</v>
      </c>
      <c r="J24" s="75">
        <v>270</v>
      </c>
      <c r="K24" s="75">
        <v>30</v>
      </c>
      <c r="L24" s="14" t="s">
        <v>252</v>
      </c>
      <c r="M24" s="75"/>
      <c r="N24" s="14"/>
      <c r="O24" s="14"/>
    </row>
    <row r="25" spans="1:15" x14ac:dyDescent="0.25">
      <c r="A25" s="159">
        <v>45444</v>
      </c>
      <c r="B25" s="55" t="s">
        <v>1754</v>
      </c>
      <c r="C25" s="55" t="s">
        <v>43</v>
      </c>
      <c r="D25" s="75">
        <f t="shared" si="2"/>
        <v>227.27272727272725</v>
      </c>
      <c r="E25" s="75">
        <f t="shared" si="0"/>
        <v>22.727272727272727</v>
      </c>
      <c r="F25" s="75">
        <v>250</v>
      </c>
      <c r="G25" s="75">
        <v>50</v>
      </c>
      <c r="H25" s="58">
        <f t="shared" si="1"/>
        <v>200</v>
      </c>
      <c r="I25" s="14" t="s">
        <v>2109</v>
      </c>
      <c r="J25" s="75">
        <v>220</v>
      </c>
      <c r="K25" s="75">
        <v>30</v>
      </c>
      <c r="L25" s="14" t="s">
        <v>252</v>
      </c>
      <c r="M25" s="75"/>
      <c r="N25" s="14"/>
      <c r="O25" s="14"/>
    </row>
    <row r="26" spans="1:15" x14ac:dyDescent="0.25">
      <c r="A26" s="86">
        <v>45446</v>
      </c>
      <c r="B26" s="55" t="s">
        <v>1755</v>
      </c>
      <c r="C26" s="55" t="s">
        <v>43</v>
      </c>
      <c r="D26" s="75">
        <f t="shared" si="2"/>
        <v>327.27272727272725</v>
      </c>
      <c r="E26" s="75">
        <f t="shared" si="0"/>
        <v>32.727272727272727</v>
      </c>
      <c r="F26" s="75">
        <v>360</v>
      </c>
      <c r="G26" s="75"/>
      <c r="H26" s="58">
        <f t="shared" si="1"/>
        <v>360</v>
      </c>
      <c r="I26" s="14" t="s">
        <v>603</v>
      </c>
      <c r="J26" s="75">
        <v>360</v>
      </c>
      <c r="K26" s="75"/>
      <c r="L26" s="14"/>
      <c r="M26" s="75"/>
      <c r="N26" s="14"/>
      <c r="O26" s="14"/>
    </row>
    <row r="27" spans="1:15" x14ac:dyDescent="0.25">
      <c r="A27" s="86">
        <v>45448</v>
      </c>
      <c r="B27" s="55" t="s">
        <v>1756</v>
      </c>
      <c r="C27" s="55" t="s">
        <v>43</v>
      </c>
      <c r="D27" s="75">
        <f t="shared" si="2"/>
        <v>199.99999999999997</v>
      </c>
      <c r="E27" s="75">
        <f t="shared" si="0"/>
        <v>19.999999999999996</v>
      </c>
      <c r="F27" s="75">
        <v>220</v>
      </c>
      <c r="G27" s="75">
        <v>50</v>
      </c>
      <c r="H27" s="58">
        <f t="shared" si="1"/>
        <v>170</v>
      </c>
      <c r="I27" s="14" t="s">
        <v>2110</v>
      </c>
      <c r="J27" s="75">
        <v>220</v>
      </c>
      <c r="K27" s="75"/>
      <c r="L27" s="14"/>
      <c r="M27" s="75"/>
      <c r="N27" s="14"/>
      <c r="O27" s="14"/>
    </row>
    <row r="28" spans="1:15" x14ac:dyDescent="0.25">
      <c r="A28" s="86">
        <v>45449</v>
      </c>
      <c r="B28" s="55" t="s">
        <v>1757</v>
      </c>
      <c r="C28" s="55" t="s">
        <v>43</v>
      </c>
      <c r="D28" s="75">
        <f t="shared" si="2"/>
        <v>181.81818181818181</v>
      </c>
      <c r="E28" s="75">
        <f t="shared" si="0"/>
        <v>18.18181818181818</v>
      </c>
      <c r="F28" s="75">
        <v>200</v>
      </c>
      <c r="G28" s="75">
        <v>50</v>
      </c>
      <c r="H28" s="58">
        <f t="shared" si="1"/>
        <v>150</v>
      </c>
      <c r="I28" s="14" t="s">
        <v>2142</v>
      </c>
      <c r="J28" s="75">
        <v>170</v>
      </c>
      <c r="K28" s="75">
        <v>30</v>
      </c>
      <c r="L28" s="14" t="s">
        <v>252</v>
      </c>
      <c r="M28" s="75"/>
      <c r="N28" s="14"/>
      <c r="O28" s="14"/>
    </row>
    <row r="29" spans="1:15" x14ac:dyDescent="0.25">
      <c r="A29" s="86">
        <v>45449</v>
      </c>
      <c r="B29" s="55" t="s">
        <v>1758</v>
      </c>
      <c r="C29" s="55" t="s">
        <v>43</v>
      </c>
      <c r="D29" s="75">
        <f t="shared" si="2"/>
        <v>145.45454545454544</v>
      </c>
      <c r="E29" s="75">
        <f t="shared" si="0"/>
        <v>14.545454545454545</v>
      </c>
      <c r="F29" s="75">
        <v>160</v>
      </c>
      <c r="G29" s="75"/>
      <c r="H29" s="58">
        <f t="shared" si="1"/>
        <v>160</v>
      </c>
      <c r="I29" s="14" t="s">
        <v>603</v>
      </c>
      <c r="J29" s="75">
        <v>160</v>
      </c>
      <c r="K29" s="75">
        <v>30</v>
      </c>
      <c r="L29" s="14" t="s">
        <v>252</v>
      </c>
      <c r="M29" s="75"/>
      <c r="N29" s="14"/>
      <c r="O29" s="14"/>
    </row>
    <row r="30" spans="1:15" x14ac:dyDescent="0.25">
      <c r="A30" s="86">
        <v>45450</v>
      </c>
      <c r="B30" s="55" t="s">
        <v>1759</v>
      </c>
      <c r="C30" s="55" t="s">
        <v>43</v>
      </c>
      <c r="D30" s="75">
        <f t="shared" si="2"/>
        <v>263.63636363636363</v>
      </c>
      <c r="E30" s="75">
        <f t="shared" si="0"/>
        <v>26.36363636363636</v>
      </c>
      <c r="F30" s="75">
        <v>290</v>
      </c>
      <c r="G30" s="75">
        <v>50</v>
      </c>
      <c r="H30" s="58">
        <f t="shared" si="1"/>
        <v>240</v>
      </c>
      <c r="I30" s="14" t="s">
        <v>2143</v>
      </c>
      <c r="J30" s="75">
        <v>270</v>
      </c>
      <c r="K30" s="75">
        <v>20</v>
      </c>
      <c r="L30" s="14" t="s">
        <v>252</v>
      </c>
      <c r="M30" s="75"/>
      <c r="N30" s="14"/>
      <c r="O30" s="14"/>
    </row>
    <row r="31" spans="1:15" x14ac:dyDescent="0.25">
      <c r="A31" s="86">
        <v>45450</v>
      </c>
      <c r="B31" s="55" t="s">
        <v>1760</v>
      </c>
      <c r="C31" s="55" t="s">
        <v>43</v>
      </c>
      <c r="D31" s="75">
        <f t="shared" si="2"/>
        <v>154.54545454545453</v>
      </c>
      <c r="E31" s="75">
        <f t="shared" si="0"/>
        <v>15.454545454545453</v>
      </c>
      <c r="F31" s="75">
        <v>170</v>
      </c>
      <c r="G31" s="75">
        <v>50</v>
      </c>
      <c r="H31" s="58">
        <f t="shared" si="1"/>
        <v>120</v>
      </c>
      <c r="I31" s="14" t="s">
        <v>2144</v>
      </c>
      <c r="J31" s="75">
        <v>170</v>
      </c>
      <c r="K31" s="75"/>
      <c r="L31" s="14"/>
      <c r="M31" s="75"/>
      <c r="N31" s="14"/>
      <c r="O31" s="14"/>
    </row>
    <row r="32" spans="1:15" x14ac:dyDescent="0.25">
      <c r="A32" s="86">
        <v>45450</v>
      </c>
      <c r="B32" s="55" t="s">
        <v>1761</v>
      </c>
      <c r="C32" s="55" t="s">
        <v>43</v>
      </c>
      <c r="D32" s="75">
        <f t="shared" si="2"/>
        <v>172.72727272727272</v>
      </c>
      <c r="E32" s="75">
        <f t="shared" si="0"/>
        <v>17.272727272727273</v>
      </c>
      <c r="F32" s="75">
        <v>190</v>
      </c>
      <c r="G32" s="75">
        <v>50</v>
      </c>
      <c r="H32" s="58">
        <f t="shared" si="1"/>
        <v>140</v>
      </c>
      <c r="I32" s="14" t="s">
        <v>2145</v>
      </c>
      <c r="J32" s="75">
        <v>170</v>
      </c>
      <c r="K32" s="75">
        <v>20</v>
      </c>
      <c r="L32" s="14" t="s">
        <v>252</v>
      </c>
      <c r="M32" s="75"/>
      <c r="N32" s="14"/>
      <c r="O32" s="14"/>
    </row>
    <row r="33" spans="1:15" x14ac:dyDescent="0.25">
      <c r="A33" s="86">
        <v>45450</v>
      </c>
      <c r="B33" s="55" t="s">
        <v>1762</v>
      </c>
      <c r="C33" s="55" t="s">
        <v>43</v>
      </c>
      <c r="D33" s="75">
        <f t="shared" si="2"/>
        <v>163.63636363636363</v>
      </c>
      <c r="E33" s="75">
        <f t="shared" si="0"/>
        <v>16.363636363636363</v>
      </c>
      <c r="F33" s="75">
        <v>180</v>
      </c>
      <c r="G33" s="75"/>
      <c r="H33" s="58">
        <f t="shared" si="1"/>
        <v>180</v>
      </c>
      <c r="I33" s="14" t="s">
        <v>603</v>
      </c>
      <c r="J33" s="75">
        <v>180</v>
      </c>
      <c r="K33" s="75"/>
      <c r="L33" s="14"/>
      <c r="M33" s="75"/>
      <c r="N33" s="14"/>
      <c r="O33" s="14"/>
    </row>
    <row r="34" spans="1:15" x14ac:dyDescent="0.25">
      <c r="A34" s="86">
        <v>45450</v>
      </c>
      <c r="B34" s="55" t="s">
        <v>1763</v>
      </c>
      <c r="C34" s="55" t="s">
        <v>43</v>
      </c>
      <c r="D34" s="75">
        <f t="shared" si="2"/>
        <v>199.99999999999997</v>
      </c>
      <c r="E34" s="75">
        <f t="shared" si="0"/>
        <v>19.999999999999996</v>
      </c>
      <c r="F34" s="75">
        <v>220</v>
      </c>
      <c r="G34" s="75">
        <v>50</v>
      </c>
      <c r="H34" s="58">
        <f t="shared" si="1"/>
        <v>170</v>
      </c>
      <c r="I34" s="14" t="s">
        <v>2146</v>
      </c>
      <c r="J34" s="75">
        <v>220</v>
      </c>
      <c r="K34" s="75"/>
      <c r="L34" s="14"/>
      <c r="M34" s="75"/>
      <c r="N34" s="14"/>
      <c r="O34" s="14"/>
    </row>
    <row r="35" spans="1:15" x14ac:dyDescent="0.25">
      <c r="A35" s="86">
        <v>45450</v>
      </c>
      <c r="B35" s="55" t="s">
        <v>1764</v>
      </c>
      <c r="C35" s="55" t="s">
        <v>43</v>
      </c>
      <c r="D35" s="75">
        <f t="shared" si="2"/>
        <v>199.99999999999997</v>
      </c>
      <c r="E35" s="75">
        <f t="shared" si="0"/>
        <v>19.999999999999996</v>
      </c>
      <c r="F35" s="75">
        <v>220</v>
      </c>
      <c r="G35" s="75">
        <v>50</v>
      </c>
      <c r="H35" s="58">
        <f t="shared" si="1"/>
        <v>170</v>
      </c>
      <c r="I35" s="14" t="s">
        <v>2147</v>
      </c>
      <c r="J35" s="75">
        <v>220</v>
      </c>
      <c r="K35" s="75"/>
      <c r="L35" s="14"/>
      <c r="M35" s="75"/>
      <c r="N35" s="14"/>
      <c r="O35" s="14"/>
    </row>
    <row r="36" spans="1:15" x14ac:dyDescent="0.25">
      <c r="A36" s="86">
        <v>45450</v>
      </c>
      <c r="B36" s="55" t="s">
        <v>1765</v>
      </c>
      <c r="C36" s="55" t="s">
        <v>43</v>
      </c>
      <c r="D36" s="75">
        <f t="shared" si="2"/>
        <v>354.5454545454545</v>
      </c>
      <c r="E36" s="75">
        <f t="shared" si="0"/>
        <v>35.454545454545453</v>
      </c>
      <c r="F36" s="75">
        <v>390</v>
      </c>
      <c r="G36" s="75"/>
      <c r="H36" s="58">
        <f t="shared" si="1"/>
        <v>390</v>
      </c>
      <c r="I36" s="14" t="s">
        <v>603</v>
      </c>
      <c r="J36" s="75">
        <v>180</v>
      </c>
      <c r="K36" s="75">
        <v>50</v>
      </c>
      <c r="L36" s="14" t="s">
        <v>252</v>
      </c>
      <c r="M36" s="75">
        <v>160</v>
      </c>
      <c r="N36" s="14" t="s">
        <v>1836</v>
      </c>
      <c r="O36" s="14"/>
    </row>
    <row r="37" spans="1:15" x14ac:dyDescent="0.25">
      <c r="A37" s="86">
        <v>45450</v>
      </c>
      <c r="B37" s="55" t="s">
        <v>1766</v>
      </c>
      <c r="C37" s="55" t="s">
        <v>43</v>
      </c>
      <c r="D37" s="75">
        <f t="shared" si="2"/>
        <v>390.90909090909088</v>
      </c>
      <c r="E37" s="75">
        <f t="shared" si="0"/>
        <v>39.090909090909093</v>
      </c>
      <c r="F37" s="75">
        <v>430</v>
      </c>
      <c r="G37" s="75">
        <v>50</v>
      </c>
      <c r="H37" s="58">
        <f t="shared" si="1"/>
        <v>380</v>
      </c>
      <c r="I37" s="14" t="s">
        <v>2148</v>
      </c>
      <c r="J37" s="75">
        <v>270</v>
      </c>
      <c r="K37" s="75"/>
      <c r="L37" s="14"/>
      <c r="M37" s="75">
        <v>160</v>
      </c>
      <c r="N37" s="14" t="s">
        <v>1836</v>
      </c>
      <c r="O37" s="14"/>
    </row>
    <row r="38" spans="1:15" x14ac:dyDescent="0.25">
      <c r="A38" s="86">
        <v>45450</v>
      </c>
      <c r="B38" s="55" t="s">
        <v>1767</v>
      </c>
      <c r="C38" s="55" t="s">
        <v>43</v>
      </c>
      <c r="D38" s="75">
        <f t="shared" si="2"/>
        <v>245.45454545454544</v>
      </c>
      <c r="E38" s="75">
        <f t="shared" si="0"/>
        <v>24.545454545454547</v>
      </c>
      <c r="F38" s="75">
        <v>270</v>
      </c>
      <c r="G38" s="75">
        <v>50</v>
      </c>
      <c r="H38" s="58">
        <f t="shared" si="1"/>
        <v>220</v>
      </c>
      <c r="I38" s="14" t="s">
        <v>2149</v>
      </c>
      <c r="J38" s="75">
        <v>270</v>
      </c>
      <c r="K38" s="75"/>
      <c r="L38" s="14"/>
      <c r="M38" s="75"/>
      <c r="N38" s="14"/>
      <c r="O38" s="14"/>
    </row>
    <row r="39" spans="1:15" x14ac:dyDescent="0.25">
      <c r="A39" s="86">
        <v>45450</v>
      </c>
      <c r="B39" s="55" t="s">
        <v>1768</v>
      </c>
      <c r="C39" s="55" t="s">
        <v>43</v>
      </c>
      <c r="D39" s="75">
        <f t="shared" si="2"/>
        <v>163.63636363636363</v>
      </c>
      <c r="E39" s="75">
        <f t="shared" si="0"/>
        <v>16.363636363636363</v>
      </c>
      <c r="F39" s="75">
        <v>180</v>
      </c>
      <c r="G39" s="75"/>
      <c r="H39" s="58">
        <f t="shared" si="1"/>
        <v>180</v>
      </c>
      <c r="I39" s="14" t="s">
        <v>603</v>
      </c>
      <c r="J39" s="75">
        <v>180</v>
      </c>
      <c r="K39" s="75"/>
      <c r="L39" s="14"/>
      <c r="M39" s="75"/>
      <c r="N39" s="14"/>
      <c r="O39" s="14"/>
    </row>
    <row r="40" spans="1:15" x14ac:dyDescent="0.25">
      <c r="A40" s="86">
        <v>45450</v>
      </c>
      <c r="B40" s="55" t="s">
        <v>1769</v>
      </c>
      <c r="C40" s="55" t="s">
        <v>43</v>
      </c>
      <c r="D40" s="75">
        <f t="shared" si="2"/>
        <v>190.90909090909091</v>
      </c>
      <c r="E40" s="75">
        <f t="shared" si="0"/>
        <v>19.09090909090909</v>
      </c>
      <c r="F40" s="75">
        <v>210</v>
      </c>
      <c r="G40" s="75">
        <v>50</v>
      </c>
      <c r="H40" s="58">
        <f t="shared" si="1"/>
        <v>160</v>
      </c>
      <c r="I40" s="14" t="s">
        <v>2150</v>
      </c>
      <c r="J40" s="75">
        <v>170</v>
      </c>
      <c r="K40" s="75">
        <v>40</v>
      </c>
      <c r="L40" s="14" t="s">
        <v>252</v>
      </c>
      <c r="M40" s="75"/>
      <c r="N40" s="14"/>
      <c r="O40" s="14"/>
    </row>
    <row r="41" spans="1:15" x14ac:dyDescent="0.25">
      <c r="A41" s="86">
        <v>45450</v>
      </c>
      <c r="B41" s="55" t="s">
        <v>1770</v>
      </c>
      <c r="C41" s="55" t="s">
        <v>43</v>
      </c>
      <c r="D41" s="75">
        <f t="shared" si="2"/>
        <v>127.27272727272727</v>
      </c>
      <c r="E41" s="75">
        <f t="shared" si="0"/>
        <v>12.727272727272727</v>
      </c>
      <c r="F41" s="75">
        <v>140</v>
      </c>
      <c r="G41" s="75"/>
      <c r="H41" s="58">
        <f t="shared" si="1"/>
        <v>140</v>
      </c>
      <c r="I41" s="14" t="s">
        <v>603</v>
      </c>
      <c r="J41" s="75">
        <v>140</v>
      </c>
      <c r="K41" s="75"/>
      <c r="L41" s="14"/>
      <c r="M41" s="75"/>
      <c r="N41" s="14"/>
      <c r="O41" s="14"/>
    </row>
    <row r="42" spans="1:15" x14ac:dyDescent="0.25">
      <c r="A42" s="86">
        <v>45450</v>
      </c>
      <c r="B42" s="55" t="s">
        <v>1771</v>
      </c>
      <c r="C42" s="55" t="s">
        <v>43</v>
      </c>
      <c r="D42" s="75">
        <f t="shared" si="2"/>
        <v>127.27272727272727</v>
      </c>
      <c r="E42" s="75">
        <f t="shared" si="0"/>
        <v>12.727272727272727</v>
      </c>
      <c r="F42" s="75">
        <v>140</v>
      </c>
      <c r="G42" s="75"/>
      <c r="H42" s="58">
        <f t="shared" si="1"/>
        <v>140</v>
      </c>
      <c r="I42" s="14" t="s">
        <v>603</v>
      </c>
      <c r="J42" s="75">
        <v>140</v>
      </c>
      <c r="K42" s="75"/>
      <c r="L42" s="14"/>
      <c r="M42" s="75"/>
      <c r="N42" s="14"/>
      <c r="O42" s="14"/>
    </row>
    <row r="43" spans="1:15" x14ac:dyDescent="0.25">
      <c r="A43" s="86">
        <v>45451</v>
      </c>
      <c r="B43" s="55" t="s">
        <v>1772</v>
      </c>
      <c r="C43" s="55" t="s">
        <v>43</v>
      </c>
      <c r="D43" s="75">
        <f t="shared" si="2"/>
        <v>199.99999999999997</v>
      </c>
      <c r="E43" s="75">
        <f t="shared" si="0"/>
        <v>19.999999999999996</v>
      </c>
      <c r="F43" s="75">
        <v>220</v>
      </c>
      <c r="G43" s="75">
        <v>50</v>
      </c>
      <c r="H43" s="58">
        <f t="shared" si="1"/>
        <v>170</v>
      </c>
      <c r="I43" s="14" t="s">
        <v>2151</v>
      </c>
      <c r="J43" s="75">
        <v>170</v>
      </c>
      <c r="K43" s="75">
        <v>50</v>
      </c>
      <c r="L43" s="14" t="s">
        <v>252</v>
      </c>
      <c r="M43" s="75"/>
      <c r="N43" s="14"/>
      <c r="O43" s="14"/>
    </row>
    <row r="44" spans="1:15" x14ac:dyDescent="0.25">
      <c r="A44" s="86">
        <v>45451</v>
      </c>
      <c r="B44" s="55" t="s">
        <v>1773</v>
      </c>
      <c r="C44" s="55" t="s">
        <v>43</v>
      </c>
      <c r="D44" s="75">
        <f t="shared" si="2"/>
        <v>245.45454545454544</v>
      </c>
      <c r="E44" s="75">
        <f t="shared" si="0"/>
        <v>24.545454545454547</v>
      </c>
      <c r="F44" s="75">
        <v>270</v>
      </c>
      <c r="G44" s="75">
        <v>50</v>
      </c>
      <c r="H44" s="58">
        <f t="shared" si="1"/>
        <v>220</v>
      </c>
      <c r="I44" s="14" t="s">
        <v>1874</v>
      </c>
      <c r="J44" s="75">
        <v>270</v>
      </c>
      <c r="K44" s="75"/>
      <c r="L44" s="14"/>
      <c r="M44" s="75"/>
      <c r="N44" s="14"/>
      <c r="O44" s="14"/>
    </row>
    <row r="45" spans="1:15" x14ac:dyDescent="0.25">
      <c r="A45" s="86">
        <v>45451</v>
      </c>
      <c r="B45" s="55" t="s">
        <v>1774</v>
      </c>
      <c r="C45" s="55" t="s">
        <v>43</v>
      </c>
      <c r="D45" s="75">
        <f t="shared" si="2"/>
        <v>236.36363636363635</v>
      </c>
      <c r="E45" s="75">
        <f t="shared" si="0"/>
        <v>23.636363636363637</v>
      </c>
      <c r="F45" s="75">
        <v>260</v>
      </c>
      <c r="G45" s="75">
        <v>50</v>
      </c>
      <c r="H45" s="58">
        <f t="shared" si="1"/>
        <v>210</v>
      </c>
      <c r="I45" s="14" t="s">
        <v>2152</v>
      </c>
      <c r="J45" s="75">
        <v>260</v>
      </c>
      <c r="K45" s="75"/>
      <c r="L45" s="14"/>
      <c r="M45" s="75"/>
      <c r="N45" s="14"/>
      <c r="O45" s="14"/>
    </row>
    <row r="46" spans="1:15" x14ac:dyDescent="0.25">
      <c r="A46" s="86">
        <v>45451</v>
      </c>
      <c r="B46" s="55" t="s">
        <v>1775</v>
      </c>
      <c r="C46" s="55" t="s">
        <v>43</v>
      </c>
      <c r="D46" s="75">
        <f t="shared" si="2"/>
        <v>118.18181818181817</v>
      </c>
      <c r="E46" s="75">
        <f t="shared" si="0"/>
        <v>11.818181818181818</v>
      </c>
      <c r="F46" s="75">
        <v>130</v>
      </c>
      <c r="G46" s="75"/>
      <c r="H46" s="58">
        <f t="shared" si="1"/>
        <v>130</v>
      </c>
      <c r="I46" s="14" t="s">
        <v>604</v>
      </c>
      <c r="J46" s="75">
        <v>130</v>
      </c>
      <c r="K46" s="75"/>
      <c r="L46" s="14"/>
      <c r="M46" s="75"/>
      <c r="N46" s="14"/>
      <c r="O46" s="14"/>
    </row>
    <row r="47" spans="1:15" x14ac:dyDescent="0.25">
      <c r="A47" s="86">
        <v>45451</v>
      </c>
      <c r="B47" s="55" t="s">
        <v>1776</v>
      </c>
      <c r="C47" s="55" t="s">
        <v>43</v>
      </c>
      <c r="D47" s="75">
        <f t="shared" si="2"/>
        <v>245.45454545454544</v>
      </c>
      <c r="E47" s="75">
        <f t="shared" si="0"/>
        <v>24.545454545454547</v>
      </c>
      <c r="F47" s="75">
        <v>270</v>
      </c>
      <c r="G47" s="75">
        <v>50</v>
      </c>
      <c r="H47" s="58">
        <f t="shared" si="1"/>
        <v>220</v>
      </c>
      <c r="I47" s="14" t="s">
        <v>2153</v>
      </c>
      <c r="J47" s="75">
        <v>270</v>
      </c>
      <c r="K47" s="75"/>
      <c r="L47" s="14"/>
      <c r="M47" s="75"/>
      <c r="N47" s="14"/>
      <c r="O47" s="14"/>
    </row>
    <row r="48" spans="1:15" x14ac:dyDescent="0.25">
      <c r="A48" s="86">
        <v>45451</v>
      </c>
      <c r="B48" s="55" t="s">
        <v>1777</v>
      </c>
      <c r="C48" s="55" t="s">
        <v>43</v>
      </c>
      <c r="D48" s="75">
        <f t="shared" si="2"/>
        <v>154.54545454545453</v>
      </c>
      <c r="E48" s="75">
        <f t="shared" si="0"/>
        <v>15.454545454545453</v>
      </c>
      <c r="F48" s="75">
        <v>170</v>
      </c>
      <c r="G48" s="75">
        <v>50</v>
      </c>
      <c r="H48" s="58">
        <f t="shared" si="1"/>
        <v>120</v>
      </c>
      <c r="I48" s="14" t="s">
        <v>2154</v>
      </c>
      <c r="J48" s="75">
        <v>170</v>
      </c>
      <c r="K48" s="75"/>
      <c r="L48" s="14"/>
      <c r="M48" s="75"/>
      <c r="N48" s="14"/>
      <c r="O48" s="14"/>
    </row>
    <row r="49" spans="1:15" x14ac:dyDescent="0.25">
      <c r="A49" s="86">
        <v>45451</v>
      </c>
      <c r="B49" s="55" t="s">
        <v>1778</v>
      </c>
      <c r="C49" s="55" t="s">
        <v>43</v>
      </c>
      <c r="D49" s="75">
        <f t="shared" si="2"/>
        <v>154.54545454545453</v>
      </c>
      <c r="E49" s="75">
        <f t="shared" si="0"/>
        <v>15.454545454545453</v>
      </c>
      <c r="F49" s="75">
        <v>170</v>
      </c>
      <c r="G49" s="75">
        <v>50</v>
      </c>
      <c r="H49" s="58">
        <f t="shared" si="1"/>
        <v>120</v>
      </c>
      <c r="I49" s="14" t="s">
        <v>2155</v>
      </c>
      <c r="J49" s="75">
        <v>170</v>
      </c>
      <c r="K49" s="75"/>
      <c r="L49" s="14"/>
      <c r="M49" s="75"/>
      <c r="N49" s="14"/>
      <c r="O49" s="14"/>
    </row>
    <row r="50" spans="1:15" x14ac:dyDescent="0.25">
      <c r="A50" s="86">
        <v>45451</v>
      </c>
      <c r="B50" s="55" t="s">
        <v>1779</v>
      </c>
      <c r="C50" s="55" t="s">
        <v>43</v>
      </c>
      <c r="D50" s="75">
        <f t="shared" si="2"/>
        <v>190.90909090909091</v>
      </c>
      <c r="E50" s="75">
        <f t="shared" si="0"/>
        <v>19.09090909090909</v>
      </c>
      <c r="F50" s="75">
        <v>210</v>
      </c>
      <c r="G50" s="75">
        <v>50</v>
      </c>
      <c r="H50" s="58">
        <f t="shared" si="1"/>
        <v>160</v>
      </c>
      <c r="I50" s="14" t="s">
        <v>2156</v>
      </c>
      <c r="J50" s="75">
        <v>170</v>
      </c>
      <c r="K50" s="75">
        <v>30</v>
      </c>
      <c r="L50" s="14" t="s">
        <v>252</v>
      </c>
      <c r="M50" s="75"/>
      <c r="N50" s="14"/>
      <c r="O50" s="14"/>
    </row>
    <row r="51" spans="1:15" x14ac:dyDescent="0.25">
      <c r="A51" s="86">
        <v>45451</v>
      </c>
      <c r="B51" s="55" t="s">
        <v>1780</v>
      </c>
      <c r="C51" s="55" t="s">
        <v>43</v>
      </c>
      <c r="D51" s="75">
        <f t="shared" si="2"/>
        <v>190.90909090909091</v>
      </c>
      <c r="E51" s="75">
        <f t="shared" si="0"/>
        <v>19.09090909090909</v>
      </c>
      <c r="F51" s="75">
        <v>210</v>
      </c>
      <c r="G51" s="75">
        <v>210</v>
      </c>
      <c r="H51" s="58">
        <f t="shared" si="1"/>
        <v>0</v>
      </c>
      <c r="I51" s="14" t="s">
        <v>2157</v>
      </c>
      <c r="J51" s="75">
        <v>170</v>
      </c>
      <c r="K51" s="75">
        <v>40</v>
      </c>
      <c r="L51" s="14" t="s">
        <v>252</v>
      </c>
      <c r="M51" s="75"/>
      <c r="N51" s="14"/>
      <c r="O51" s="14"/>
    </row>
    <row r="52" spans="1:15" x14ac:dyDescent="0.25">
      <c r="A52" s="86">
        <v>45451</v>
      </c>
      <c r="B52" s="55" t="s">
        <v>1781</v>
      </c>
      <c r="C52" s="55" t="s">
        <v>43</v>
      </c>
      <c r="D52" s="75">
        <f t="shared" si="2"/>
        <v>190.90909090909091</v>
      </c>
      <c r="E52" s="75">
        <f t="shared" si="0"/>
        <v>19.09090909090909</v>
      </c>
      <c r="F52" s="75">
        <v>210</v>
      </c>
      <c r="G52" s="75">
        <v>50</v>
      </c>
      <c r="H52" s="58">
        <f t="shared" si="1"/>
        <v>160</v>
      </c>
      <c r="I52" s="14" t="s">
        <v>2158</v>
      </c>
      <c r="J52" s="75">
        <v>170</v>
      </c>
      <c r="K52" s="75">
        <v>30</v>
      </c>
      <c r="L52" s="14" t="s">
        <v>252</v>
      </c>
      <c r="M52" s="75"/>
      <c r="N52" s="14"/>
      <c r="O52" s="14"/>
    </row>
    <row r="53" spans="1:15" x14ac:dyDescent="0.25">
      <c r="A53" s="86">
        <v>45451</v>
      </c>
      <c r="B53" s="55" t="s">
        <v>1782</v>
      </c>
      <c r="C53" s="55" t="s">
        <v>43</v>
      </c>
      <c r="D53" s="75">
        <f t="shared" si="2"/>
        <v>154.54545454545453</v>
      </c>
      <c r="E53" s="75">
        <f t="shared" si="0"/>
        <v>15.454545454545453</v>
      </c>
      <c r="F53" s="75">
        <v>170</v>
      </c>
      <c r="G53" s="75">
        <v>50</v>
      </c>
      <c r="H53" s="58">
        <f t="shared" si="1"/>
        <v>120</v>
      </c>
      <c r="I53" s="14" t="s">
        <v>2159</v>
      </c>
      <c r="J53" s="75">
        <v>170</v>
      </c>
      <c r="K53" s="75"/>
      <c r="L53" s="14"/>
      <c r="M53" s="75"/>
      <c r="N53" s="14"/>
      <c r="O53" s="14"/>
    </row>
    <row r="54" spans="1:15" x14ac:dyDescent="0.25">
      <c r="A54" s="86">
        <v>45451</v>
      </c>
      <c r="B54" s="55" t="s">
        <v>1783</v>
      </c>
      <c r="C54" s="55" t="s">
        <v>43</v>
      </c>
      <c r="D54" s="75">
        <f t="shared" si="2"/>
        <v>154.54545454545453</v>
      </c>
      <c r="E54" s="75">
        <f t="shared" si="0"/>
        <v>15.454545454545453</v>
      </c>
      <c r="F54" s="75">
        <v>170</v>
      </c>
      <c r="G54" s="75">
        <v>50</v>
      </c>
      <c r="H54" s="58">
        <f t="shared" si="1"/>
        <v>120</v>
      </c>
      <c r="I54" s="14" t="s">
        <v>2160</v>
      </c>
      <c r="J54" s="75">
        <v>170</v>
      </c>
      <c r="K54" s="75"/>
      <c r="L54" s="14"/>
      <c r="M54" s="75"/>
      <c r="N54" s="14"/>
      <c r="O54" s="14"/>
    </row>
    <row r="55" spans="1:15" x14ac:dyDescent="0.25">
      <c r="A55" s="86">
        <v>45451</v>
      </c>
      <c r="B55" s="55" t="s">
        <v>1985</v>
      </c>
      <c r="C55" s="55" t="s">
        <v>43</v>
      </c>
      <c r="D55" s="75">
        <f t="shared" si="2"/>
        <v>218.18181818181816</v>
      </c>
      <c r="E55" s="75">
        <f t="shared" si="0"/>
        <v>21.818181818181817</v>
      </c>
      <c r="F55" s="75">
        <v>240</v>
      </c>
      <c r="G55" s="75">
        <v>240</v>
      </c>
      <c r="H55" s="58">
        <f t="shared" si="1"/>
        <v>0</v>
      </c>
      <c r="I55" s="14" t="s">
        <v>2161</v>
      </c>
      <c r="J55" s="75">
        <v>220</v>
      </c>
      <c r="K55" s="75">
        <v>20</v>
      </c>
      <c r="L55" s="14" t="s">
        <v>252</v>
      </c>
      <c r="M55" s="75"/>
      <c r="N55" s="14"/>
      <c r="O55" s="14"/>
    </row>
    <row r="56" spans="1:15" x14ac:dyDescent="0.25">
      <c r="A56" s="86">
        <v>45451</v>
      </c>
      <c r="B56" s="55" t="s">
        <v>1986</v>
      </c>
      <c r="C56" s="55" t="s">
        <v>43</v>
      </c>
      <c r="D56" s="75">
        <f t="shared" si="2"/>
        <v>181.81818181818181</v>
      </c>
      <c r="E56" s="75">
        <f t="shared" si="0"/>
        <v>18.18181818181818</v>
      </c>
      <c r="F56" s="75">
        <v>200</v>
      </c>
      <c r="G56" s="75">
        <v>50</v>
      </c>
      <c r="H56" s="58">
        <f t="shared" si="1"/>
        <v>150</v>
      </c>
      <c r="I56" s="14" t="s">
        <v>2162</v>
      </c>
      <c r="J56" s="75">
        <v>200</v>
      </c>
      <c r="K56" s="75"/>
      <c r="L56" s="14"/>
      <c r="M56" s="75"/>
      <c r="N56" s="14"/>
      <c r="O56" s="14"/>
    </row>
    <row r="57" spans="1:15" x14ac:dyDescent="0.25">
      <c r="A57" s="86">
        <v>45451</v>
      </c>
      <c r="B57" s="55" t="s">
        <v>1987</v>
      </c>
      <c r="C57" s="55" t="s">
        <v>43</v>
      </c>
      <c r="D57" s="75">
        <f t="shared" si="2"/>
        <v>245.45454545454544</v>
      </c>
      <c r="E57" s="75">
        <f t="shared" si="0"/>
        <v>24.545454545454547</v>
      </c>
      <c r="F57" s="75">
        <v>270</v>
      </c>
      <c r="G57" s="75">
        <v>50</v>
      </c>
      <c r="H57" s="58">
        <f t="shared" si="1"/>
        <v>220</v>
      </c>
      <c r="I57" s="14" t="s">
        <v>2163</v>
      </c>
      <c r="J57" s="75">
        <v>270</v>
      </c>
      <c r="K57" s="75"/>
      <c r="L57" s="14"/>
      <c r="M57" s="75"/>
      <c r="N57" s="14"/>
      <c r="O57" s="14"/>
    </row>
    <row r="58" spans="1:15" x14ac:dyDescent="0.25">
      <c r="A58" s="86">
        <v>45451</v>
      </c>
      <c r="B58" s="55" t="s">
        <v>1988</v>
      </c>
      <c r="C58" s="55" t="s">
        <v>43</v>
      </c>
      <c r="D58" s="75">
        <f t="shared" si="2"/>
        <v>172.72727272727272</v>
      </c>
      <c r="E58" s="75">
        <f t="shared" si="0"/>
        <v>17.272727272727273</v>
      </c>
      <c r="F58" s="75">
        <v>190</v>
      </c>
      <c r="G58" s="75"/>
      <c r="H58" s="58">
        <f t="shared" si="1"/>
        <v>190</v>
      </c>
      <c r="I58" s="14" t="s">
        <v>2164</v>
      </c>
      <c r="J58" s="75">
        <v>190</v>
      </c>
      <c r="K58" s="75"/>
      <c r="L58" s="14"/>
      <c r="M58" s="75"/>
      <c r="N58" s="14"/>
      <c r="O58" s="14"/>
    </row>
    <row r="59" spans="1:15" x14ac:dyDescent="0.25">
      <c r="A59" s="86">
        <v>45451</v>
      </c>
      <c r="B59" s="55" t="s">
        <v>1989</v>
      </c>
      <c r="C59" s="55" t="s">
        <v>43</v>
      </c>
      <c r="D59" s="75">
        <f t="shared" si="2"/>
        <v>199.99999999999997</v>
      </c>
      <c r="E59" s="75">
        <f t="shared" si="0"/>
        <v>19.999999999999996</v>
      </c>
      <c r="F59" s="75">
        <v>220</v>
      </c>
      <c r="G59" s="75">
        <v>50</v>
      </c>
      <c r="H59" s="58">
        <f t="shared" si="1"/>
        <v>170</v>
      </c>
      <c r="I59" s="14" t="s">
        <v>2165</v>
      </c>
      <c r="J59" s="75">
        <v>220</v>
      </c>
      <c r="K59" s="75"/>
      <c r="L59" s="14"/>
      <c r="M59" s="75"/>
      <c r="N59" s="14"/>
      <c r="O59" s="14"/>
    </row>
    <row r="60" spans="1:15" x14ac:dyDescent="0.25">
      <c r="A60" s="86">
        <v>45451</v>
      </c>
      <c r="B60" s="55" t="s">
        <v>1990</v>
      </c>
      <c r="C60" s="55" t="s">
        <v>43</v>
      </c>
      <c r="D60" s="75">
        <f t="shared" si="2"/>
        <v>199.99999999999997</v>
      </c>
      <c r="E60" s="75">
        <f t="shared" si="0"/>
        <v>19.999999999999996</v>
      </c>
      <c r="F60" s="75">
        <v>220</v>
      </c>
      <c r="G60" s="75">
        <v>50</v>
      </c>
      <c r="H60" s="58">
        <f t="shared" si="1"/>
        <v>170</v>
      </c>
      <c r="I60" s="14" t="s">
        <v>2154</v>
      </c>
      <c r="J60" s="75">
        <v>220</v>
      </c>
      <c r="K60" s="75"/>
      <c r="L60" s="14"/>
      <c r="M60" s="75"/>
      <c r="N60" s="14"/>
      <c r="O60" s="14"/>
    </row>
    <row r="61" spans="1:15" x14ac:dyDescent="0.25">
      <c r="A61" s="86">
        <v>45451</v>
      </c>
      <c r="B61" s="55" t="s">
        <v>1991</v>
      </c>
      <c r="C61" s="55" t="s">
        <v>43</v>
      </c>
      <c r="D61" s="75">
        <f t="shared" si="2"/>
        <v>213.63636363636363</v>
      </c>
      <c r="E61" s="75">
        <f t="shared" si="0"/>
        <v>21.36363636363636</v>
      </c>
      <c r="F61" s="75">
        <v>235</v>
      </c>
      <c r="G61" s="75">
        <v>50</v>
      </c>
      <c r="H61" s="58">
        <f t="shared" si="1"/>
        <v>185</v>
      </c>
      <c r="I61" s="14" t="s">
        <v>2166</v>
      </c>
      <c r="J61" s="75">
        <v>235</v>
      </c>
      <c r="K61" s="75"/>
      <c r="L61" s="14"/>
      <c r="M61" s="75"/>
      <c r="N61" s="14"/>
      <c r="O61" s="14"/>
    </row>
    <row r="62" spans="1:15" x14ac:dyDescent="0.25">
      <c r="A62" s="86">
        <v>45451</v>
      </c>
      <c r="B62" s="55" t="s">
        <v>1992</v>
      </c>
      <c r="C62" s="55" t="s">
        <v>43</v>
      </c>
      <c r="D62" s="75">
        <f t="shared" si="2"/>
        <v>263.63636363636363</v>
      </c>
      <c r="E62" s="75">
        <f t="shared" si="0"/>
        <v>26.36363636363636</v>
      </c>
      <c r="F62" s="75">
        <v>290</v>
      </c>
      <c r="G62" s="75">
        <v>50</v>
      </c>
      <c r="H62" s="58">
        <f t="shared" si="1"/>
        <v>240</v>
      </c>
      <c r="I62" s="14" t="s">
        <v>2167</v>
      </c>
      <c r="J62" s="75">
        <v>270</v>
      </c>
      <c r="K62" s="75">
        <v>20</v>
      </c>
      <c r="L62" s="14" t="s">
        <v>252</v>
      </c>
      <c r="M62" s="75"/>
      <c r="N62" s="14"/>
      <c r="O62" s="14"/>
    </row>
    <row r="63" spans="1:15" x14ac:dyDescent="0.25">
      <c r="A63" s="86">
        <v>45451</v>
      </c>
      <c r="B63" s="55" t="s">
        <v>1993</v>
      </c>
      <c r="C63" s="55" t="s">
        <v>43</v>
      </c>
      <c r="D63" s="75">
        <f t="shared" si="2"/>
        <v>199.99999999999997</v>
      </c>
      <c r="E63" s="75">
        <f t="shared" si="0"/>
        <v>19.999999999999996</v>
      </c>
      <c r="F63" s="75">
        <v>220</v>
      </c>
      <c r="G63" s="75">
        <v>50</v>
      </c>
      <c r="H63" s="58">
        <f t="shared" si="1"/>
        <v>170</v>
      </c>
      <c r="I63" s="14" t="s">
        <v>2168</v>
      </c>
      <c r="J63" s="75">
        <v>220</v>
      </c>
      <c r="K63" s="75"/>
      <c r="L63" s="14"/>
      <c r="M63" s="75"/>
      <c r="N63" s="14"/>
      <c r="O63" s="14"/>
    </row>
    <row r="64" spans="1:15" x14ac:dyDescent="0.25">
      <c r="A64" s="86">
        <v>45451</v>
      </c>
      <c r="B64" s="55" t="s">
        <v>1994</v>
      </c>
      <c r="C64" s="55" t="s">
        <v>43</v>
      </c>
      <c r="D64" s="75">
        <f t="shared" si="2"/>
        <v>245.45454545454544</v>
      </c>
      <c r="E64" s="75">
        <f t="shared" si="0"/>
        <v>24.545454545454547</v>
      </c>
      <c r="F64" s="75">
        <v>270</v>
      </c>
      <c r="G64" s="75">
        <v>50</v>
      </c>
      <c r="H64" s="58">
        <f t="shared" si="1"/>
        <v>220</v>
      </c>
      <c r="I64" s="14" t="s">
        <v>2169</v>
      </c>
      <c r="J64" s="75">
        <v>270</v>
      </c>
      <c r="K64" s="75"/>
      <c r="L64" s="14"/>
      <c r="M64" s="75"/>
      <c r="N64" s="14"/>
      <c r="O64" s="14"/>
    </row>
    <row r="65" spans="1:15" x14ac:dyDescent="0.25">
      <c r="A65" s="86">
        <v>45451</v>
      </c>
      <c r="B65" s="55" t="s">
        <v>1995</v>
      </c>
      <c r="C65" s="55" t="s">
        <v>43</v>
      </c>
      <c r="D65" s="75">
        <f t="shared" si="2"/>
        <v>263.63636363636363</v>
      </c>
      <c r="E65" s="75">
        <f t="shared" si="0"/>
        <v>26.36363636363636</v>
      </c>
      <c r="F65" s="75">
        <v>290</v>
      </c>
      <c r="G65" s="75">
        <v>130</v>
      </c>
      <c r="H65" s="58">
        <f t="shared" si="1"/>
        <v>160</v>
      </c>
      <c r="I65" s="14" t="s">
        <v>2170</v>
      </c>
      <c r="J65" s="75">
        <v>210</v>
      </c>
      <c r="K65" s="75"/>
      <c r="L65" s="14"/>
      <c r="M65" s="75"/>
      <c r="N65" s="14"/>
      <c r="O65" s="14"/>
    </row>
    <row r="66" spans="1:15" x14ac:dyDescent="0.25">
      <c r="A66" s="86">
        <v>45451</v>
      </c>
      <c r="B66" s="55" t="s">
        <v>1996</v>
      </c>
      <c r="C66" s="55" t="s">
        <v>43</v>
      </c>
      <c r="D66" s="75">
        <f t="shared" si="2"/>
        <v>245.45454545454544</v>
      </c>
      <c r="E66" s="75">
        <f t="shared" si="0"/>
        <v>24.545454545454547</v>
      </c>
      <c r="F66" s="75">
        <v>270</v>
      </c>
      <c r="G66" s="75">
        <v>50</v>
      </c>
      <c r="H66" s="58">
        <f t="shared" si="1"/>
        <v>220</v>
      </c>
      <c r="I66" s="14" t="s">
        <v>2171</v>
      </c>
      <c r="J66" s="75">
        <v>270</v>
      </c>
      <c r="K66" s="75"/>
      <c r="L66" s="14"/>
      <c r="M66" s="75"/>
      <c r="N66" s="14"/>
      <c r="O66" s="14"/>
    </row>
    <row r="67" spans="1:15" x14ac:dyDescent="0.25">
      <c r="A67" s="86">
        <v>45451</v>
      </c>
      <c r="B67" s="55" t="s">
        <v>1997</v>
      </c>
      <c r="C67" s="55" t="s">
        <v>43</v>
      </c>
      <c r="D67" s="75">
        <f t="shared" si="2"/>
        <v>199.99999999999997</v>
      </c>
      <c r="E67" s="75">
        <f t="shared" ref="E67:E130" si="3">D67*10/100</f>
        <v>19.999999999999996</v>
      </c>
      <c r="F67" s="75">
        <v>220</v>
      </c>
      <c r="G67" s="75">
        <v>50</v>
      </c>
      <c r="H67" s="58">
        <f t="shared" ref="H67:H130" si="4">F67-G67</f>
        <v>170</v>
      </c>
      <c r="I67" s="14" t="s">
        <v>2172</v>
      </c>
      <c r="J67" s="75">
        <v>220</v>
      </c>
      <c r="K67" s="75"/>
      <c r="L67" s="14"/>
      <c r="M67" s="75"/>
      <c r="N67" s="14"/>
      <c r="O67" s="14"/>
    </row>
    <row r="68" spans="1:15" x14ac:dyDescent="0.25">
      <c r="A68" s="86">
        <v>45451</v>
      </c>
      <c r="B68" s="55" t="s">
        <v>1998</v>
      </c>
      <c r="C68" s="55" t="s">
        <v>43</v>
      </c>
      <c r="D68" s="75">
        <f t="shared" ref="D68:D131" si="5">F68/1.1</f>
        <v>199.99999999999997</v>
      </c>
      <c r="E68" s="75">
        <f t="shared" si="3"/>
        <v>19.999999999999996</v>
      </c>
      <c r="F68" s="75">
        <v>220</v>
      </c>
      <c r="G68" s="75"/>
      <c r="H68" s="58">
        <f t="shared" si="4"/>
        <v>220</v>
      </c>
      <c r="I68" s="14" t="s">
        <v>1876</v>
      </c>
      <c r="J68" s="75">
        <v>220</v>
      </c>
      <c r="K68" s="75"/>
      <c r="L68" s="14"/>
      <c r="M68" s="75"/>
      <c r="N68" s="14"/>
      <c r="O68" s="14"/>
    </row>
    <row r="69" spans="1:15" x14ac:dyDescent="0.25">
      <c r="A69" s="86">
        <v>45451</v>
      </c>
      <c r="B69" s="55" t="s">
        <v>1999</v>
      </c>
      <c r="C69" s="55" t="s">
        <v>43</v>
      </c>
      <c r="D69" s="75">
        <f t="shared" si="5"/>
        <v>290.90909090909088</v>
      </c>
      <c r="E69" s="75">
        <f t="shared" si="3"/>
        <v>29.09090909090909</v>
      </c>
      <c r="F69" s="75">
        <v>320</v>
      </c>
      <c r="G69" s="75">
        <v>50</v>
      </c>
      <c r="H69" s="58">
        <f t="shared" si="4"/>
        <v>270</v>
      </c>
      <c r="I69" s="14" t="s">
        <v>2173</v>
      </c>
      <c r="J69" s="75">
        <v>270</v>
      </c>
      <c r="K69" s="75">
        <v>50</v>
      </c>
      <c r="L69" s="14" t="s">
        <v>252</v>
      </c>
      <c r="M69" s="75"/>
      <c r="N69" s="14"/>
      <c r="O69" s="14"/>
    </row>
    <row r="70" spans="1:15" x14ac:dyDescent="0.25">
      <c r="A70" s="86">
        <v>45451</v>
      </c>
      <c r="B70" s="55" t="s">
        <v>2000</v>
      </c>
      <c r="C70" s="55" t="s">
        <v>43</v>
      </c>
      <c r="D70" s="75">
        <f t="shared" si="5"/>
        <v>245.45454545454544</v>
      </c>
      <c r="E70" s="75">
        <f t="shared" si="3"/>
        <v>24.545454545454547</v>
      </c>
      <c r="F70" s="75">
        <v>270</v>
      </c>
      <c r="G70" s="75">
        <v>50</v>
      </c>
      <c r="H70" s="58">
        <f t="shared" si="4"/>
        <v>220</v>
      </c>
      <c r="I70" s="14" t="s">
        <v>2174</v>
      </c>
      <c r="J70" s="75">
        <v>270</v>
      </c>
      <c r="K70" s="75"/>
      <c r="L70" s="14"/>
      <c r="M70" s="75"/>
      <c r="N70" s="14"/>
      <c r="O70" s="14"/>
    </row>
    <row r="71" spans="1:15" x14ac:dyDescent="0.25">
      <c r="A71" s="86">
        <v>45451</v>
      </c>
      <c r="B71" s="55" t="s">
        <v>2001</v>
      </c>
      <c r="C71" s="55" t="s">
        <v>43</v>
      </c>
      <c r="D71" s="75">
        <f t="shared" si="5"/>
        <v>245.45454545454544</v>
      </c>
      <c r="E71" s="75">
        <f t="shared" si="3"/>
        <v>24.545454545454547</v>
      </c>
      <c r="F71" s="75">
        <v>270</v>
      </c>
      <c r="G71" s="75">
        <v>50</v>
      </c>
      <c r="H71" s="58">
        <f t="shared" si="4"/>
        <v>220</v>
      </c>
      <c r="I71" s="14" t="s">
        <v>2175</v>
      </c>
      <c r="J71" s="75">
        <v>270</v>
      </c>
      <c r="K71" s="75"/>
      <c r="L71" s="14"/>
      <c r="M71" s="75"/>
      <c r="N71" s="14"/>
      <c r="O71" s="14"/>
    </row>
    <row r="72" spans="1:15" x14ac:dyDescent="0.25">
      <c r="A72" s="86">
        <v>45451</v>
      </c>
      <c r="B72" s="55" t="s">
        <v>2002</v>
      </c>
      <c r="C72" s="55" t="s">
        <v>43</v>
      </c>
      <c r="D72" s="75">
        <f t="shared" si="5"/>
        <v>172.72727272727272</v>
      </c>
      <c r="E72" s="75">
        <f t="shared" si="3"/>
        <v>17.272727272727273</v>
      </c>
      <c r="F72" s="75">
        <v>190</v>
      </c>
      <c r="G72" s="75"/>
      <c r="H72" s="58">
        <f t="shared" si="4"/>
        <v>190</v>
      </c>
      <c r="I72" s="14" t="s">
        <v>2176</v>
      </c>
      <c r="J72" s="75">
        <v>190</v>
      </c>
      <c r="K72" s="75"/>
      <c r="L72" s="14"/>
      <c r="M72" s="75"/>
      <c r="N72" s="14"/>
      <c r="O72" s="14"/>
    </row>
    <row r="73" spans="1:15" x14ac:dyDescent="0.25">
      <c r="A73" s="86">
        <v>45451</v>
      </c>
      <c r="B73" s="55" t="s">
        <v>2003</v>
      </c>
      <c r="C73" s="55" t="s">
        <v>43</v>
      </c>
      <c r="D73" s="75">
        <f t="shared" si="5"/>
        <v>199.99999999999997</v>
      </c>
      <c r="E73" s="75">
        <f t="shared" si="3"/>
        <v>19.999999999999996</v>
      </c>
      <c r="F73" s="75">
        <v>220</v>
      </c>
      <c r="G73" s="75">
        <v>50</v>
      </c>
      <c r="H73" s="58">
        <f t="shared" si="4"/>
        <v>170</v>
      </c>
      <c r="I73" s="14" t="s">
        <v>2177</v>
      </c>
      <c r="J73" s="75">
        <v>220</v>
      </c>
      <c r="K73" s="75"/>
      <c r="L73" s="14"/>
      <c r="M73" s="75"/>
      <c r="N73" s="14"/>
      <c r="O73" s="14"/>
    </row>
    <row r="74" spans="1:15" x14ac:dyDescent="0.25">
      <c r="A74" s="86">
        <v>45451</v>
      </c>
      <c r="B74" s="55" t="s">
        <v>2004</v>
      </c>
      <c r="C74" s="55" t="s">
        <v>43</v>
      </c>
      <c r="D74" s="75">
        <f t="shared" si="5"/>
        <v>199.99999999999997</v>
      </c>
      <c r="E74" s="75">
        <f t="shared" si="3"/>
        <v>19.999999999999996</v>
      </c>
      <c r="F74" s="75">
        <v>220</v>
      </c>
      <c r="G74" s="75">
        <v>50</v>
      </c>
      <c r="H74" s="58">
        <f t="shared" si="4"/>
        <v>170</v>
      </c>
      <c r="I74" s="14" t="s">
        <v>2178</v>
      </c>
      <c r="J74" s="75">
        <v>220</v>
      </c>
      <c r="K74" s="75"/>
      <c r="L74" s="14"/>
      <c r="M74" s="75"/>
      <c r="N74" s="14"/>
      <c r="O74" s="14"/>
    </row>
    <row r="75" spans="1:15" x14ac:dyDescent="0.25">
      <c r="A75" s="86">
        <v>45452</v>
      </c>
      <c r="B75" s="55" t="s">
        <v>2005</v>
      </c>
      <c r="C75" s="55" t="s">
        <v>43</v>
      </c>
      <c r="D75" s="75">
        <f t="shared" si="5"/>
        <v>178.18181818181816</v>
      </c>
      <c r="E75" s="75">
        <f t="shared" si="3"/>
        <v>17.818181818181817</v>
      </c>
      <c r="F75" s="75">
        <v>196</v>
      </c>
      <c r="G75" s="75"/>
      <c r="H75" s="58">
        <f t="shared" si="4"/>
        <v>196</v>
      </c>
      <c r="I75" s="14" t="s">
        <v>603</v>
      </c>
      <c r="J75" s="75">
        <v>196</v>
      </c>
      <c r="K75" s="75"/>
      <c r="L75" s="14"/>
      <c r="M75" s="75"/>
      <c r="N75" s="14"/>
      <c r="O75" s="14"/>
    </row>
    <row r="76" spans="1:15" x14ac:dyDescent="0.25">
      <c r="A76" s="86">
        <v>45452</v>
      </c>
      <c r="B76" s="55" t="s">
        <v>2006</v>
      </c>
      <c r="C76" s="55" t="s">
        <v>43</v>
      </c>
      <c r="D76" s="75">
        <f t="shared" si="5"/>
        <v>163.63636363636363</v>
      </c>
      <c r="E76" s="75">
        <f t="shared" si="3"/>
        <v>16.363636363636363</v>
      </c>
      <c r="F76" s="75">
        <v>180</v>
      </c>
      <c r="G76" s="75"/>
      <c r="H76" s="58">
        <f t="shared" si="4"/>
        <v>180</v>
      </c>
      <c r="I76" s="14" t="s">
        <v>603</v>
      </c>
      <c r="J76" s="75">
        <v>180</v>
      </c>
      <c r="K76" s="75"/>
      <c r="L76" s="14"/>
      <c r="M76" s="75"/>
      <c r="N76" s="14"/>
      <c r="O76" s="14"/>
    </row>
    <row r="77" spans="1:15" x14ac:dyDescent="0.25">
      <c r="A77" s="86">
        <v>45452</v>
      </c>
      <c r="B77" s="55" t="s">
        <v>2007</v>
      </c>
      <c r="C77" s="55" t="s">
        <v>43</v>
      </c>
      <c r="D77" s="75">
        <f t="shared" si="5"/>
        <v>272.72727272727269</v>
      </c>
      <c r="E77" s="75">
        <f t="shared" si="3"/>
        <v>27.27272727272727</v>
      </c>
      <c r="F77" s="75">
        <v>300</v>
      </c>
      <c r="G77" s="75">
        <v>50</v>
      </c>
      <c r="H77" s="58">
        <f t="shared" si="4"/>
        <v>250</v>
      </c>
      <c r="I77" s="14" t="s">
        <v>2179</v>
      </c>
      <c r="J77" s="75">
        <v>270</v>
      </c>
      <c r="K77" s="75">
        <v>30</v>
      </c>
      <c r="L77" s="14" t="s">
        <v>252</v>
      </c>
      <c r="M77" s="75"/>
      <c r="N77" s="14"/>
      <c r="O77" s="14"/>
    </row>
    <row r="78" spans="1:15" x14ac:dyDescent="0.25">
      <c r="A78" s="86">
        <v>45452</v>
      </c>
      <c r="B78" s="55" t="s">
        <v>2008</v>
      </c>
      <c r="C78" s="55" t="s">
        <v>43</v>
      </c>
      <c r="D78" s="75">
        <f t="shared" si="5"/>
        <v>145.45454545454544</v>
      </c>
      <c r="E78" s="75">
        <f t="shared" si="3"/>
        <v>14.545454545454545</v>
      </c>
      <c r="F78" s="75">
        <v>160</v>
      </c>
      <c r="G78" s="75"/>
      <c r="H78" s="58">
        <f t="shared" si="4"/>
        <v>160</v>
      </c>
      <c r="I78" s="14" t="s">
        <v>603</v>
      </c>
      <c r="J78" s="75">
        <v>160</v>
      </c>
      <c r="K78" s="75"/>
      <c r="L78" s="14"/>
      <c r="M78" s="75"/>
      <c r="N78" s="14"/>
      <c r="O78" s="14"/>
    </row>
    <row r="79" spans="1:15" x14ac:dyDescent="0.25">
      <c r="A79" s="86">
        <v>45453</v>
      </c>
      <c r="B79" s="55" t="s">
        <v>2009</v>
      </c>
      <c r="C79" s="55" t="s">
        <v>43</v>
      </c>
      <c r="D79" s="75">
        <f t="shared" si="5"/>
        <v>245.45454545454544</v>
      </c>
      <c r="E79" s="75">
        <f t="shared" si="3"/>
        <v>24.545454545454547</v>
      </c>
      <c r="F79" s="75">
        <v>270</v>
      </c>
      <c r="G79" s="75"/>
      <c r="H79" s="58">
        <f t="shared" si="4"/>
        <v>270</v>
      </c>
      <c r="I79" s="14" t="s">
        <v>2180</v>
      </c>
      <c r="J79" s="75">
        <v>270</v>
      </c>
      <c r="K79" s="75"/>
      <c r="L79" s="14"/>
      <c r="M79" s="75"/>
      <c r="N79" s="14"/>
      <c r="O79" s="14"/>
    </row>
    <row r="80" spans="1:15" x14ac:dyDescent="0.25">
      <c r="A80" s="86">
        <v>45453</v>
      </c>
      <c r="B80" s="55" t="s">
        <v>2010</v>
      </c>
      <c r="C80" s="55" t="s">
        <v>43</v>
      </c>
      <c r="D80" s="75">
        <f t="shared" si="5"/>
        <v>245.45454545454544</v>
      </c>
      <c r="E80" s="75">
        <f t="shared" si="3"/>
        <v>24.545454545454547</v>
      </c>
      <c r="F80" s="75">
        <v>270</v>
      </c>
      <c r="G80" s="75"/>
      <c r="H80" s="58">
        <f t="shared" si="4"/>
        <v>270</v>
      </c>
      <c r="I80" s="14" t="s">
        <v>2180</v>
      </c>
      <c r="J80" s="75">
        <v>270</v>
      </c>
      <c r="K80" s="75"/>
      <c r="L80" s="14"/>
      <c r="M80" s="75"/>
      <c r="N80" s="14"/>
      <c r="O80" s="14"/>
    </row>
    <row r="81" spans="1:15" x14ac:dyDescent="0.25">
      <c r="A81" s="86">
        <v>45453</v>
      </c>
      <c r="B81" s="55" t="s">
        <v>2011</v>
      </c>
      <c r="C81" s="55" t="s">
        <v>43</v>
      </c>
      <c r="D81" s="75">
        <f t="shared" si="5"/>
        <v>154.54545454545453</v>
      </c>
      <c r="E81" s="75">
        <f t="shared" si="3"/>
        <v>15.454545454545453</v>
      </c>
      <c r="F81" s="75">
        <v>170</v>
      </c>
      <c r="G81" s="75"/>
      <c r="H81" s="58">
        <f t="shared" si="4"/>
        <v>170</v>
      </c>
      <c r="I81" s="14" t="s">
        <v>2180</v>
      </c>
      <c r="J81" s="75">
        <v>170</v>
      </c>
      <c r="K81" s="75"/>
      <c r="L81" s="14"/>
      <c r="M81" s="75"/>
      <c r="N81" s="14"/>
      <c r="O81" s="14"/>
    </row>
    <row r="82" spans="1:15" x14ac:dyDescent="0.25">
      <c r="A82" s="86">
        <v>45453</v>
      </c>
      <c r="B82" s="55" t="s">
        <v>2012</v>
      </c>
      <c r="C82" s="55" t="s">
        <v>43</v>
      </c>
      <c r="D82" s="75">
        <f t="shared" si="5"/>
        <v>154.54545454545453</v>
      </c>
      <c r="E82" s="75">
        <f t="shared" si="3"/>
        <v>15.454545454545453</v>
      </c>
      <c r="F82" s="75">
        <v>170</v>
      </c>
      <c r="G82" s="75"/>
      <c r="H82" s="58">
        <f t="shared" si="4"/>
        <v>170</v>
      </c>
      <c r="I82" s="14" t="s">
        <v>2180</v>
      </c>
      <c r="J82" s="75">
        <v>170</v>
      </c>
      <c r="K82" s="75"/>
      <c r="L82" s="14"/>
      <c r="M82" s="75"/>
      <c r="N82" s="14"/>
      <c r="O82" s="14"/>
    </row>
    <row r="83" spans="1:15" x14ac:dyDescent="0.25">
      <c r="A83" s="86">
        <v>45453</v>
      </c>
      <c r="B83" s="55" t="s">
        <v>2013</v>
      </c>
      <c r="C83" s="55" t="s">
        <v>43</v>
      </c>
      <c r="D83" s="75">
        <f t="shared" si="5"/>
        <v>154.54545454545453</v>
      </c>
      <c r="E83" s="75">
        <f t="shared" si="3"/>
        <v>15.454545454545453</v>
      </c>
      <c r="F83" s="75">
        <v>170</v>
      </c>
      <c r="G83" s="75">
        <v>50</v>
      </c>
      <c r="H83" s="58">
        <f t="shared" si="4"/>
        <v>120</v>
      </c>
      <c r="I83" s="14" t="s">
        <v>2181</v>
      </c>
      <c r="J83" s="75">
        <v>170</v>
      </c>
      <c r="K83" s="75"/>
      <c r="L83" s="14"/>
      <c r="M83" s="75"/>
      <c r="N83" s="14"/>
      <c r="O83" s="14"/>
    </row>
    <row r="84" spans="1:15" x14ac:dyDescent="0.25">
      <c r="A84" s="86">
        <v>45455</v>
      </c>
      <c r="B84" s="55" t="s">
        <v>2014</v>
      </c>
      <c r="C84" s="55" t="s">
        <v>43</v>
      </c>
      <c r="D84" s="75">
        <f t="shared" si="5"/>
        <v>222.72727272727272</v>
      </c>
      <c r="E84" s="75">
        <f t="shared" si="3"/>
        <v>22.27272727272727</v>
      </c>
      <c r="F84" s="75">
        <v>245</v>
      </c>
      <c r="G84" s="75">
        <v>50</v>
      </c>
      <c r="H84" s="58">
        <f t="shared" si="4"/>
        <v>195</v>
      </c>
      <c r="I84" s="14" t="s">
        <v>2187</v>
      </c>
      <c r="J84" s="75">
        <v>170</v>
      </c>
      <c r="K84" s="75">
        <v>30</v>
      </c>
      <c r="L84" s="14" t="s">
        <v>252</v>
      </c>
      <c r="M84" s="75">
        <v>45</v>
      </c>
      <c r="N84" s="14" t="s">
        <v>45</v>
      </c>
      <c r="O84" s="14"/>
    </row>
    <row r="85" spans="1:15" x14ac:dyDescent="0.25">
      <c r="A85" s="86">
        <v>45455</v>
      </c>
      <c r="B85" s="55" t="s">
        <v>2015</v>
      </c>
      <c r="C85" s="55" t="s">
        <v>43</v>
      </c>
      <c r="D85" s="75">
        <f t="shared" si="5"/>
        <v>209.09090909090907</v>
      </c>
      <c r="E85" s="75">
        <f t="shared" si="3"/>
        <v>20.909090909090907</v>
      </c>
      <c r="F85" s="75">
        <v>230</v>
      </c>
      <c r="G85" s="75"/>
      <c r="H85" s="58">
        <f t="shared" si="4"/>
        <v>230</v>
      </c>
      <c r="I85" s="14" t="s">
        <v>603</v>
      </c>
      <c r="J85" s="75">
        <v>230</v>
      </c>
      <c r="K85" s="75"/>
      <c r="L85" s="14"/>
      <c r="M85" s="75"/>
      <c r="N85" s="14"/>
      <c r="O85" s="14"/>
    </row>
    <row r="86" spans="1:15" x14ac:dyDescent="0.25">
      <c r="A86" s="86">
        <v>45455</v>
      </c>
      <c r="B86" s="55" t="s">
        <v>2016</v>
      </c>
      <c r="C86" s="55" t="s">
        <v>43</v>
      </c>
      <c r="D86" s="75">
        <f t="shared" si="5"/>
        <v>199.99999999999997</v>
      </c>
      <c r="E86" s="75">
        <f t="shared" si="3"/>
        <v>19.999999999999996</v>
      </c>
      <c r="F86" s="75">
        <v>220</v>
      </c>
      <c r="G86" s="75">
        <v>50</v>
      </c>
      <c r="H86" s="58">
        <f t="shared" si="4"/>
        <v>170</v>
      </c>
      <c r="I86" s="14" t="s">
        <v>2188</v>
      </c>
      <c r="J86" s="75">
        <v>220</v>
      </c>
      <c r="K86" s="75"/>
      <c r="L86" s="14"/>
      <c r="M86" s="75"/>
      <c r="N86" s="14"/>
      <c r="O86" s="14"/>
    </row>
    <row r="87" spans="1:15" x14ac:dyDescent="0.25">
      <c r="A87" s="86">
        <v>45455</v>
      </c>
      <c r="B87" s="55" t="s">
        <v>2017</v>
      </c>
      <c r="C87" s="55" t="s">
        <v>43</v>
      </c>
      <c r="D87" s="75">
        <f t="shared" si="5"/>
        <v>245.45454545454544</v>
      </c>
      <c r="E87" s="75">
        <f t="shared" si="3"/>
        <v>24.545454545454547</v>
      </c>
      <c r="F87" s="75">
        <v>270</v>
      </c>
      <c r="G87" s="75">
        <v>50</v>
      </c>
      <c r="H87" s="58">
        <f t="shared" si="4"/>
        <v>220</v>
      </c>
      <c r="I87" s="14" t="s">
        <v>2154</v>
      </c>
      <c r="J87" s="75">
        <v>220</v>
      </c>
      <c r="K87" s="75">
        <v>50</v>
      </c>
      <c r="L87" s="14" t="s">
        <v>252</v>
      </c>
      <c r="M87" s="75"/>
      <c r="N87" s="14"/>
      <c r="O87" s="14"/>
    </row>
    <row r="88" spans="1:15" x14ac:dyDescent="0.25">
      <c r="A88" s="86">
        <v>45456</v>
      </c>
      <c r="B88" s="55" t="s">
        <v>2018</v>
      </c>
      <c r="C88" s="55" t="s">
        <v>43</v>
      </c>
      <c r="D88" s="75">
        <f t="shared" si="5"/>
        <v>163.63636363636363</v>
      </c>
      <c r="E88" s="75">
        <f t="shared" si="3"/>
        <v>16.363636363636363</v>
      </c>
      <c r="F88" s="75">
        <v>180</v>
      </c>
      <c r="G88" s="75"/>
      <c r="H88" s="58">
        <f t="shared" si="4"/>
        <v>180</v>
      </c>
      <c r="I88" s="14" t="s">
        <v>2189</v>
      </c>
      <c r="J88" s="75">
        <v>180</v>
      </c>
      <c r="K88" s="75"/>
      <c r="L88" s="14"/>
      <c r="M88" s="75"/>
      <c r="N88" s="14"/>
      <c r="O88" s="14"/>
    </row>
    <row r="89" spans="1:15" x14ac:dyDescent="0.25">
      <c r="A89" s="86">
        <v>45456</v>
      </c>
      <c r="B89" s="55" t="s">
        <v>2019</v>
      </c>
      <c r="C89" s="55" t="s">
        <v>43</v>
      </c>
      <c r="D89" s="75">
        <f t="shared" si="5"/>
        <v>154.54545454545453</v>
      </c>
      <c r="E89" s="75">
        <f t="shared" si="3"/>
        <v>15.454545454545453</v>
      </c>
      <c r="F89" s="75">
        <v>170</v>
      </c>
      <c r="G89" s="75">
        <v>50</v>
      </c>
      <c r="H89" s="58">
        <f t="shared" si="4"/>
        <v>120</v>
      </c>
      <c r="I89" s="14" t="s">
        <v>2190</v>
      </c>
      <c r="J89" s="75">
        <v>170</v>
      </c>
      <c r="K89" s="75"/>
      <c r="L89" s="14"/>
      <c r="M89" s="75"/>
      <c r="N89" s="14"/>
      <c r="O89" s="14"/>
    </row>
    <row r="90" spans="1:15" x14ac:dyDescent="0.25">
      <c r="A90" s="86">
        <v>45456</v>
      </c>
      <c r="B90" s="55" t="s">
        <v>2020</v>
      </c>
      <c r="C90" s="55" t="s">
        <v>43</v>
      </c>
      <c r="D90" s="75">
        <f t="shared" si="5"/>
        <v>99.999999999999986</v>
      </c>
      <c r="E90" s="75">
        <f t="shared" si="3"/>
        <v>9.9999999999999982</v>
      </c>
      <c r="F90" s="75">
        <v>110</v>
      </c>
      <c r="G90" s="75"/>
      <c r="H90" s="58">
        <f t="shared" si="4"/>
        <v>110</v>
      </c>
      <c r="I90" s="14" t="s">
        <v>603</v>
      </c>
      <c r="J90" s="75">
        <v>110</v>
      </c>
      <c r="K90" s="75"/>
      <c r="L90" s="14"/>
      <c r="M90" s="75"/>
      <c r="N90" s="14"/>
      <c r="O90" s="14"/>
    </row>
    <row r="91" spans="1:15" x14ac:dyDescent="0.25">
      <c r="A91" s="86">
        <v>45456</v>
      </c>
      <c r="B91" s="55" t="s">
        <v>2021</v>
      </c>
      <c r="C91" s="55" t="s">
        <v>43</v>
      </c>
      <c r="D91" s="75">
        <f t="shared" si="5"/>
        <v>172.72727272727272</v>
      </c>
      <c r="E91" s="75">
        <f t="shared" si="3"/>
        <v>17.272727272727273</v>
      </c>
      <c r="F91" s="75">
        <v>190</v>
      </c>
      <c r="G91" s="75">
        <v>50</v>
      </c>
      <c r="H91" s="58">
        <f t="shared" si="4"/>
        <v>140</v>
      </c>
      <c r="I91" s="14" t="s">
        <v>2191</v>
      </c>
      <c r="J91" s="75">
        <v>170</v>
      </c>
      <c r="K91" s="75">
        <v>20</v>
      </c>
      <c r="L91" s="14" t="s">
        <v>252</v>
      </c>
      <c r="M91" s="75"/>
      <c r="N91" s="14"/>
      <c r="O91" s="14"/>
    </row>
    <row r="92" spans="1:15" x14ac:dyDescent="0.25">
      <c r="A92" s="86">
        <v>45457</v>
      </c>
      <c r="B92" s="55" t="s">
        <v>2022</v>
      </c>
      <c r="C92" s="55" t="s">
        <v>43</v>
      </c>
      <c r="D92" s="75">
        <f t="shared" si="5"/>
        <v>172.72727272727272</v>
      </c>
      <c r="E92" s="75">
        <f t="shared" si="3"/>
        <v>17.272727272727273</v>
      </c>
      <c r="F92" s="75">
        <v>190</v>
      </c>
      <c r="G92" s="75"/>
      <c r="H92" s="58">
        <f t="shared" si="4"/>
        <v>190</v>
      </c>
      <c r="I92" s="14" t="s">
        <v>2154</v>
      </c>
      <c r="J92" s="75">
        <v>190</v>
      </c>
      <c r="K92" s="75"/>
      <c r="L92" s="14"/>
      <c r="M92" s="75"/>
      <c r="N92" s="14"/>
      <c r="O92" s="14"/>
    </row>
    <row r="93" spans="1:15" x14ac:dyDescent="0.25">
      <c r="A93" s="86">
        <v>45457</v>
      </c>
      <c r="B93" s="55" t="s">
        <v>2023</v>
      </c>
      <c r="C93" s="55" t="s">
        <v>43</v>
      </c>
      <c r="D93" s="75">
        <f t="shared" si="5"/>
        <v>472.72727272727269</v>
      </c>
      <c r="E93" s="75">
        <f t="shared" si="3"/>
        <v>47.272727272727273</v>
      </c>
      <c r="F93" s="75">
        <v>520</v>
      </c>
      <c r="G93" s="75">
        <v>50</v>
      </c>
      <c r="H93" s="58">
        <f t="shared" si="4"/>
        <v>470</v>
      </c>
      <c r="I93" s="14" t="s">
        <v>2196</v>
      </c>
      <c r="J93" s="75">
        <v>520</v>
      </c>
      <c r="K93" s="75"/>
      <c r="L93" s="14"/>
      <c r="M93" s="75"/>
      <c r="N93" s="14"/>
      <c r="O93" s="14"/>
    </row>
    <row r="94" spans="1:15" x14ac:dyDescent="0.25">
      <c r="A94" s="86">
        <v>45457</v>
      </c>
      <c r="B94" s="55" t="s">
        <v>2024</v>
      </c>
      <c r="C94" s="55" t="s">
        <v>43</v>
      </c>
      <c r="D94" s="75">
        <f t="shared" si="5"/>
        <v>263.63636363636363</v>
      </c>
      <c r="E94" s="75">
        <f t="shared" si="3"/>
        <v>26.36363636363636</v>
      </c>
      <c r="F94" s="75">
        <v>290</v>
      </c>
      <c r="G94" s="75">
        <v>50</v>
      </c>
      <c r="H94" s="58">
        <f t="shared" si="4"/>
        <v>240</v>
      </c>
      <c r="I94" s="14" t="s">
        <v>2197</v>
      </c>
      <c r="J94" s="75">
        <v>270</v>
      </c>
      <c r="K94" s="75">
        <v>20</v>
      </c>
      <c r="L94" s="14" t="s">
        <v>252</v>
      </c>
      <c r="M94" s="75"/>
      <c r="N94" s="14"/>
      <c r="O94" s="14"/>
    </row>
    <row r="95" spans="1:15" x14ac:dyDescent="0.25">
      <c r="A95" s="86">
        <v>45457</v>
      </c>
      <c r="B95" s="55" t="s">
        <v>2025</v>
      </c>
      <c r="C95" s="55" t="s">
        <v>43</v>
      </c>
      <c r="D95" s="75">
        <f t="shared" si="5"/>
        <v>199.99999999999997</v>
      </c>
      <c r="E95" s="75">
        <f t="shared" si="3"/>
        <v>19.999999999999996</v>
      </c>
      <c r="F95" s="75">
        <v>220</v>
      </c>
      <c r="G95" s="75"/>
      <c r="H95" s="58">
        <f t="shared" si="4"/>
        <v>220</v>
      </c>
      <c r="I95" s="14" t="s">
        <v>1398</v>
      </c>
      <c r="J95" s="75">
        <v>220</v>
      </c>
      <c r="K95" s="75"/>
      <c r="L95" s="14"/>
      <c r="M95" s="75"/>
      <c r="N95" s="14"/>
      <c r="O95" s="14"/>
    </row>
    <row r="96" spans="1:15" x14ac:dyDescent="0.25">
      <c r="A96" s="86">
        <v>45457</v>
      </c>
      <c r="B96" s="55" t="s">
        <v>2026</v>
      </c>
      <c r="C96" s="55" t="s">
        <v>43</v>
      </c>
      <c r="D96" s="75">
        <f t="shared" si="5"/>
        <v>118.18181818181817</v>
      </c>
      <c r="E96" s="75">
        <f t="shared" si="3"/>
        <v>11.818181818181818</v>
      </c>
      <c r="F96" s="75">
        <v>130</v>
      </c>
      <c r="G96" s="75"/>
      <c r="H96" s="58">
        <f t="shared" si="4"/>
        <v>130</v>
      </c>
      <c r="I96" s="14" t="s">
        <v>604</v>
      </c>
      <c r="J96" s="75">
        <v>130</v>
      </c>
      <c r="K96" s="75"/>
      <c r="L96" s="14"/>
      <c r="M96" s="75"/>
      <c r="N96" s="14"/>
      <c r="O96" s="14"/>
    </row>
    <row r="97" spans="1:15" x14ac:dyDescent="0.25">
      <c r="A97" s="86">
        <v>45457</v>
      </c>
      <c r="B97" s="55" t="s">
        <v>2027</v>
      </c>
      <c r="C97" s="55" t="s">
        <v>43</v>
      </c>
      <c r="D97" s="75">
        <f t="shared" si="5"/>
        <v>245.45454545454544</v>
      </c>
      <c r="E97" s="75">
        <f t="shared" si="3"/>
        <v>24.545454545454547</v>
      </c>
      <c r="F97" s="75">
        <v>270</v>
      </c>
      <c r="G97" s="75">
        <v>270</v>
      </c>
      <c r="H97" s="58">
        <f t="shared" si="4"/>
        <v>0</v>
      </c>
      <c r="I97" s="14" t="s">
        <v>2198</v>
      </c>
      <c r="J97" s="75">
        <v>270</v>
      </c>
      <c r="K97" s="75"/>
      <c r="L97" s="14"/>
      <c r="M97" s="75"/>
      <c r="N97" s="14"/>
      <c r="O97" s="14"/>
    </row>
    <row r="98" spans="1:15" x14ac:dyDescent="0.25">
      <c r="A98" s="86">
        <v>45457</v>
      </c>
      <c r="B98" s="55" t="s">
        <v>2028</v>
      </c>
      <c r="C98" s="55" t="s">
        <v>43</v>
      </c>
      <c r="D98" s="75">
        <f t="shared" si="5"/>
        <v>245.45454545454544</v>
      </c>
      <c r="E98" s="75">
        <f t="shared" si="3"/>
        <v>24.545454545454547</v>
      </c>
      <c r="F98" s="75">
        <v>270</v>
      </c>
      <c r="G98" s="75">
        <v>50</v>
      </c>
      <c r="H98" s="58">
        <f t="shared" si="4"/>
        <v>220</v>
      </c>
      <c r="I98" s="14" t="s">
        <v>2199</v>
      </c>
      <c r="J98" s="75">
        <v>270</v>
      </c>
      <c r="K98" s="75"/>
      <c r="L98" s="14"/>
      <c r="M98" s="75"/>
      <c r="N98" s="14"/>
      <c r="O98" s="14"/>
    </row>
    <row r="99" spans="1:15" x14ac:dyDescent="0.25">
      <c r="A99" s="86">
        <v>45457</v>
      </c>
      <c r="B99" s="55" t="s">
        <v>2029</v>
      </c>
      <c r="C99" s="55" t="s">
        <v>43</v>
      </c>
      <c r="D99" s="75">
        <f t="shared" si="5"/>
        <v>245.45454545454544</v>
      </c>
      <c r="E99" s="75">
        <f t="shared" si="3"/>
        <v>24.545454545454547</v>
      </c>
      <c r="F99" s="75">
        <v>270</v>
      </c>
      <c r="G99" s="75">
        <v>50</v>
      </c>
      <c r="H99" s="58">
        <f t="shared" si="4"/>
        <v>220</v>
      </c>
      <c r="I99" s="14" t="s">
        <v>2200</v>
      </c>
      <c r="J99" s="75">
        <v>270</v>
      </c>
      <c r="K99" s="75"/>
      <c r="L99" s="14"/>
      <c r="M99" s="75"/>
      <c r="N99" s="14"/>
      <c r="O99" s="14"/>
    </row>
    <row r="100" spans="1:15" x14ac:dyDescent="0.25">
      <c r="A100" s="86">
        <v>45457</v>
      </c>
      <c r="B100" s="55" t="s">
        <v>2030</v>
      </c>
      <c r="C100" s="55" t="s">
        <v>43</v>
      </c>
      <c r="D100" s="75">
        <f t="shared" si="5"/>
        <v>245.45454545454544</v>
      </c>
      <c r="E100" s="75">
        <f t="shared" si="3"/>
        <v>24.545454545454547</v>
      </c>
      <c r="F100" s="75">
        <v>270</v>
      </c>
      <c r="G100" s="75">
        <v>50</v>
      </c>
      <c r="H100" s="58">
        <f t="shared" si="4"/>
        <v>220</v>
      </c>
      <c r="I100" s="14" t="s">
        <v>2201</v>
      </c>
      <c r="J100" s="75">
        <v>270</v>
      </c>
      <c r="K100" s="75"/>
      <c r="L100" s="14"/>
      <c r="M100" s="75"/>
      <c r="N100" s="14"/>
      <c r="O100" s="14"/>
    </row>
    <row r="101" spans="1:15" x14ac:dyDescent="0.25">
      <c r="A101" s="86">
        <v>45457</v>
      </c>
      <c r="B101" s="55" t="s">
        <v>2031</v>
      </c>
      <c r="C101" s="55" t="s">
        <v>43</v>
      </c>
      <c r="D101" s="75">
        <f t="shared" si="5"/>
        <v>218.18181818181816</v>
      </c>
      <c r="E101" s="75">
        <f t="shared" si="3"/>
        <v>21.818181818181817</v>
      </c>
      <c r="F101" s="75">
        <v>240</v>
      </c>
      <c r="G101" s="75"/>
      <c r="H101" s="58">
        <f t="shared" si="4"/>
        <v>240</v>
      </c>
      <c r="I101" s="14" t="s">
        <v>2154</v>
      </c>
      <c r="J101" s="75">
        <v>240</v>
      </c>
      <c r="K101" s="75"/>
      <c r="L101" s="14"/>
      <c r="M101" s="75"/>
      <c r="N101" s="14"/>
      <c r="O101" s="14"/>
    </row>
    <row r="102" spans="1:15" x14ac:dyDescent="0.25">
      <c r="A102" s="86">
        <v>45457</v>
      </c>
      <c r="B102" s="55" t="s">
        <v>2032</v>
      </c>
      <c r="C102" s="55" t="s">
        <v>43</v>
      </c>
      <c r="D102" s="75">
        <f t="shared" si="5"/>
        <v>227.27272727272725</v>
      </c>
      <c r="E102" s="75">
        <f t="shared" si="3"/>
        <v>22.727272727272727</v>
      </c>
      <c r="F102" s="75">
        <v>250</v>
      </c>
      <c r="G102" s="75"/>
      <c r="H102" s="58">
        <f t="shared" si="4"/>
        <v>250</v>
      </c>
      <c r="I102" s="14" t="s">
        <v>2154</v>
      </c>
      <c r="J102" s="75">
        <v>250</v>
      </c>
      <c r="K102" s="75"/>
      <c r="L102" s="14"/>
      <c r="M102" s="75"/>
      <c r="N102" s="14"/>
      <c r="O102" s="14"/>
    </row>
    <row r="103" spans="1:15" x14ac:dyDescent="0.25">
      <c r="A103" s="86">
        <v>45458</v>
      </c>
      <c r="B103" s="55" t="s">
        <v>2033</v>
      </c>
      <c r="C103" s="55" t="s">
        <v>43</v>
      </c>
      <c r="D103" s="75">
        <f t="shared" si="5"/>
        <v>245.45454545454544</v>
      </c>
      <c r="E103" s="75">
        <f t="shared" si="3"/>
        <v>24.545454545454547</v>
      </c>
      <c r="F103" s="75">
        <v>270</v>
      </c>
      <c r="G103" s="75">
        <v>50</v>
      </c>
      <c r="H103" s="58">
        <f t="shared" si="4"/>
        <v>220</v>
      </c>
      <c r="I103" s="14" t="s">
        <v>2202</v>
      </c>
      <c r="J103" s="75">
        <v>270</v>
      </c>
      <c r="K103" s="75"/>
      <c r="L103" s="14"/>
      <c r="M103" s="75"/>
      <c r="N103" s="14"/>
      <c r="O103" s="14"/>
    </row>
    <row r="104" spans="1:15" x14ac:dyDescent="0.25">
      <c r="A104" s="86">
        <v>45458</v>
      </c>
      <c r="B104" s="55" t="s">
        <v>2034</v>
      </c>
      <c r="C104" s="55" t="s">
        <v>43</v>
      </c>
      <c r="D104" s="75">
        <f t="shared" si="5"/>
        <v>272.72727272727269</v>
      </c>
      <c r="E104" s="75">
        <f t="shared" si="3"/>
        <v>27.27272727272727</v>
      </c>
      <c r="F104" s="75">
        <v>300</v>
      </c>
      <c r="G104" s="75">
        <v>50</v>
      </c>
      <c r="H104" s="58">
        <f t="shared" si="4"/>
        <v>250</v>
      </c>
      <c r="I104" s="14" t="s">
        <v>1269</v>
      </c>
      <c r="J104" s="75">
        <v>300</v>
      </c>
      <c r="K104" s="75"/>
      <c r="L104" s="14"/>
      <c r="M104" s="75"/>
      <c r="N104" s="14"/>
      <c r="O104" s="14"/>
    </row>
    <row r="105" spans="1:15" x14ac:dyDescent="0.25">
      <c r="A105" s="86">
        <v>45458</v>
      </c>
      <c r="B105" s="55" t="s">
        <v>2035</v>
      </c>
      <c r="C105" s="55" t="s">
        <v>43</v>
      </c>
      <c r="D105" s="75">
        <f t="shared" si="5"/>
        <v>163.63636363636363</v>
      </c>
      <c r="E105" s="75">
        <f t="shared" si="3"/>
        <v>16.363636363636363</v>
      </c>
      <c r="F105" s="75">
        <v>180</v>
      </c>
      <c r="G105" s="75"/>
      <c r="H105" s="58">
        <f t="shared" si="4"/>
        <v>180</v>
      </c>
      <c r="I105" s="14" t="s">
        <v>604</v>
      </c>
      <c r="J105" s="75">
        <v>180</v>
      </c>
      <c r="K105" s="75"/>
      <c r="L105" s="14"/>
      <c r="M105" s="75"/>
      <c r="N105" s="14"/>
      <c r="O105" s="14"/>
    </row>
    <row r="106" spans="1:15" x14ac:dyDescent="0.25">
      <c r="A106" s="86">
        <v>45458</v>
      </c>
      <c r="B106" s="55" t="s">
        <v>2036</v>
      </c>
      <c r="C106" s="55" t="s">
        <v>43</v>
      </c>
      <c r="D106" s="75">
        <f t="shared" si="5"/>
        <v>199.99999999999997</v>
      </c>
      <c r="E106" s="75">
        <f t="shared" si="3"/>
        <v>19.999999999999996</v>
      </c>
      <c r="F106" s="75">
        <v>220</v>
      </c>
      <c r="G106" s="75">
        <v>50</v>
      </c>
      <c r="H106" s="58">
        <f t="shared" si="4"/>
        <v>170</v>
      </c>
      <c r="I106" s="14" t="s">
        <v>2203</v>
      </c>
      <c r="J106" s="75">
        <v>220</v>
      </c>
      <c r="K106" s="75"/>
      <c r="L106" s="14"/>
      <c r="M106" s="75"/>
      <c r="N106" s="14"/>
      <c r="O106" s="14"/>
    </row>
    <row r="107" spans="1:15" x14ac:dyDescent="0.25">
      <c r="A107" s="86">
        <v>45458</v>
      </c>
      <c r="B107" s="55" t="s">
        <v>2037</v>
      </c>
      <c r="C107" s="55" t="s">
        <v>43</v>
      </c>
      <c r="D107" s="75">
        <f t="shared" si="5"/>
        <v>245.45454545454544</v>
      </c>
      <c r="E107" s="75">
        <f t="shared" si="3"/>
        <v>24.545454545454547</v>
      </c>
      <c r="F107" s="75">
        <v>270</v>
      </c>
      <c r="G107" s="75">
        <v>50</v>
      </c>
      <c r="H107" s="58">
        <f t="shared" si="4"/>
        <v>220</v>
      </c>
      <c r="I107" s="14" t="s">
        <v>2204</v>
      </c>
      <c r="J107" s="75">
        <v>270</v>
      </c>
      <c r="K107" s="75"/>
      <c r="L107" s="14"/>
      <c r="M107" s="75"/>
      <c r="N107" s="14"/>
      <c r="O107" s="14"/>
    </row>
    <row r="108" spans="1:15" x14ac:dyDescent="0.25">
      <c r="A108" s="86">
        <v>45458</v>
      </c>
      <c r="B108" s="55" t="s">
        <v>2038</v>
      </c>
      <c r="C108" s="55" t="s">
        <v>43</v>
      </c>
      <c r="D108" s="75">
        <f t="shared" si="5"/>
        <v>218.18181818181816</v>
      </c>
      <c r="E108" s="75">
        <f t="shared" si="3"/>
        <v>21.818181818181817</v>
      </c>
      <c r="F108" s="75">
        <v>240</v>
      </c>
      <c r="G108" s="75">
        <v>50</v>
      </c>
      <c r="H108" s="58">
        <f t="shared" si="4"/>
        <v>190</v>
      </c>
      <c r="I108" s="14" t="s">
        <v>2205</v>
      </c>
      <c r="J108" s="75">
        <v>220</v>
      </c>
      <c r="K108" s="75">
        <v>20</v>
      </c>
      <c r="L108" s="14" t="s">
        <v>252</v>
      </c>
      <c r="M108" s="75"/>
      <c r="N108" s="14"/>
      <c r="O108" s="14"/>
    </row>
    <row r="109" spans="1:15" x14ac:dyDescent="0.25">
      <c r="A109" s="86">
        <v>45458</v>
      </c>
      <c r="B109" s="55" t="s">
        <v>2039</v>
      </c>
      <c r="C109" s="55" t="s">
        <v>43</v>
      </c>
      <c r="D109" s="75">
        <f t="shared" si="5"/>
        <v>245.45454545454544</v>
      </c>
      <c r="E109" s="75">
        <f t="shared" si="3"/>
        <v>24.545454545454547</v>
      </c>
      <c r="F109" s="75">
        <v>270</v>
      </c>
      <c r="G109" s="75">
        <v>50</v>
      </c>
      <c r="H109" s="58">
        <f t="shared" si="4"/>
        <v>220</v>
      </c>
      <c r="I109" s="14" t="s">
        <v>2207</v>
      </c>
      <c r="J109" s="75">
        <v>270</v>
      </c>
      <c r="K109" s="75"/>
      <c r="L109" s="14"/>
      <c r="M109" s="75"/>
      <c r="N109" s="14"/>
      <c r="O109" s="14"/>
    </row>
    <row r="110" spans="1:15" x14ac:dyDescent="0.25">
      <c r="A110" s="86">
        <v>45458</v>
      </c>
      <c r="B110" s="55" t="s">
        <v>2040</v>
      </c>
      <c r="C110" s="55" t="s">
        <v>43</v>
      </c>
      <c r="D110" s="75">
        <f t="shared" si="5"/>
        <v>199.99999999999997</v>
      </c>
      <c r="E110" s="75">
        <f t="shared" si="3"/>
        <v>19.999999999999996</v>
      </c>
      <c r="F110" s="75">
        <v>220</v>
      </c>
      <c r="G110" s="75">
        <v>50</v>
      </c>
      <c r="H110" s="58">
        <f t="shared" si="4"/>
        <v>170</v>
      </c>
      <c r="I110" s="14" t="s">
        <v>2208</v>
      </c>
      <c r="J110" s="75">
        <v>220</v>
      </c>
      <c r="K110" s="75"/>
      <c r="L110" s="14"/>
      <c r="M110" s="75"/>
      <c r="N110" s="14"/>
      <c r="O110" s="14"/>
    </row>
    <row r="111" spans="1:15" x14ac:dyDescent="0.25">
      <c r="A111" s="86">
        <v>45458</v>
      </c>
      <c r="B111" s="55" t="s">
        <v>2041</v>
      </c>
      <c r="C111" s="55" t="s">
        <v>43</v>
      </c>
      <c r="D111" s="75">
        <f t="shared" si="5"/>
        <v>199.99999999999997</v>
      </c>
      <c r="E111" s="75">
        <f t="shared" si="3"/>
        <v>19.999999999999996</v>
      </c>
      <c r="F111" s="75">
        <v>220</v>
      </c>
      <c r="G111" s="75">
        <v>50</v>
      </c>
      <c r="H111" s="58">
        <f t="shared" si="4"/>
        <v>170</v>
      </c>
      <c r="I111" s="14" t="s">
        <v>2209</v>
      </c>
      <c r="J111" s="75">
        <v>220</v>
      </c>
      <c r="K111" s="75"/>
      <c r="L111" s="14"/>
      <c r="M111" s="75"/>
      <c r="N111" s="14"/>
      <c r="O111" s="14"/>
    </row>
    <row r="112" spans="1:15" x14ac:dyDescent="0.25">
      <c r="A112" s="86">
        <v>45458</v>
      </c>
      <c r="B112" s="55" t="s">
        <v>2042</v>
      </c>
      <c r="C112" s="55" t="s">
        <v>43</v>
      </c>
      <c r="D112" s="75">
        <f t="shared" si="5"/>
        <v>199.99999999999997</v>
      </c>
      <c r="E112" s="75">
        <f t="shared" si="3"/>
        <v>19.999999999999996</v>
      </c>
      <c r="F112" s="75">
        <v>220</v>
      </c>
      <c r="G112" s="75">
        <v>50</v>
      </c>
      <c r="H112" s="58">
        <f t="shared" si="4"/>
        <v>170</v>
      </c>
      <c r="I112" s="14" t="s">
        <v>2210</v>
      </c>
      <c r="J112" s="75">
        <v>220</v>
      </c>
      <c r="K112" s="75"/>
      <c r="L112" s="14"/>
      <c r="M112" s="75"/>
      <c r="N112" s="14"/>
      <c r="O112" s="14"/>
    </row>
    <row r="113" spans="1:15" x14ac:dyDescent="0.25">
      <c r="A113" s="86">
        <v>45458</v>
      </c>
      <c r="B113" s="55" t="s">
        <v>2043</v>
      </c>
      <c r="C113" s="55" t="s">
        <v>43</v>
      </c>
      <c r="D113" s="75">
        <f t="shared" si="5"/>
        <v>199.99999999999997</v>
      </c>
      <c r="E113" s="75">
        <f t="shared" si="3"/>
        <v>19.999999999999996</v>
      </c>
      <c r="F113" s="75">
        <v>220</v>
      </c>
      <c r="G113" s="75">
        <v>50</v>
      </c>
      <c r="H113" s="58">
        <f t="shared" si="4"/>
        <v>170</v>
      </c>
      <c r="I113" s="14" t="s">
        <v>2211</v>
      </c>
      <c r="J113" s="75">
        <v>220</v>
      </c>
      <c r="K113" s="75"/>
      <c r="L113" s="14"/>
      <c r="M113" s="75"/>
      <c r="N113" s="14"/>
      <c r="O113" s="14"/>
    </row>
    <row r="114" spans="1:15" x14ac:dyDescent="0.25">
      <c r="A114" s="86">
        <v>45458</v>
      </c>
      <c r="B114" s="55" t="s">
        <v>2044</v>
      </c>
      <c r="C114" s="55" t="s">
        <v>43</v>
      </c>
      <c r="D114" s="75">
        <f t="shared" si="5"/>
        <v>313.63636363636363</v>
      </c>
      <c r="E114" s="75">
        <f t="shared" si="3"/>
        <v>31.36363636363636</v>
      </c>
      <c r="F114" s="75">
        <v>345</v>
      </c>
      <c r="G114" s="75">
        <v>50</v>
      </c>
      <c r="H114" s="58">
        <f t="shared" si="4"/>
        <v>295</v>
      </c>
      <c r="I114" s="14" t="s">
        <v>2212</v>
      </c>
      <c r="J114" s="75">
        <v>270</v>
      </c>
      <c r="K114" s="75">
        <v>30</v>
      </c>
      <c r="L114" s="14" t="s">
        <v>252</v>
      </c>
      <c r="M114" s="75">
        <v>45</v>
      </c>
      <c r="N114" s="14" t="s">
        <v>45</v>
      </c>
      <c r="O114" s="14"/>
    </row>
    <row r="115" spans="1:15" x14ac:dyDescent="0.25">
      <c r="A115" s="86">
        <v>45458</v>
      </c>
      <c r="B115" s="55" t="s">
        <v>2045</v>
      </c>
      <c r="C115" s="55" t="s">
        <v>43</v>
      </c>
      <c r="D115" s="75">
        <f t="shared" si="5"/>
        <v>236.36363636363635</v>
      </c>
      <c r="E115" s="75">
        <f t="shared" si="3"/>
        <v>23.636363636363637</v>
      </c>
      <c r="F115" s="75">
        <v>260</v>
      </c>
      <c r="G115" s="75">
        <v>50</v>
      </c>
      <c r="H115" s="58">
        <f t="shared" si="4"/>
        <v>210</v>
      </c>
      <c r="I115" s="14" t="s">
        <v>2213</v>
      </c>
      <c r="J115" s="75">
        <v>220</v>
      </c>
      <c r="K115" s="75">
        <v>40</v>
      </c>
      <c r="L115" s="14" t="s">
        <v>252</v>
      </c>
      <c r="M115" s="75"/>
      <c r="N115" s="14"/>
      <c r="O115" s="14"/>
    </row>
    <row r="116" spans="1:15" x14ac:dyDescent="0.25">
      <c r="A116" s="86">
        <v>45458</v>
      </c>
      <c r="B116" s="55" t="s">
        <v>2046</v>
      </c>
      <c r="C116" s="55" t="s">
        <v>43</v>
      </c>
      <c r="D116" s="75">
        <f t="shared" si="5"/>
        <v>318.18181818181813</v>
      </c>
      <c r="E116" s="75">
        <f t="shared" si="3"/>
        <v>31.818181818181809</v>
      </c>
      <c r="F116" s="75">
        <v>350</v>
      </c>
      <c r="G116" s="75">
        <v>50</v>
      </c>
      <c r="H116" s="58">
        <f t="shared" si="4"/>
        <v>300</v>
      </c>
      <c r="I116" s="14" t="s">
        <v>1880</v>
      </c>
      <c r="J116" s="75">
        <v>270</v>
      </c>
      <c r="K116" s="75">
        <v>80</v>
      </c>
      <c r="L116" s="14" t="s">
        <v>252</v>
      </c>
      <c r="M116" s="75"/>
      <c r="N116" s="14"/>
      <c r="O116" s="14"/>
    </row>
    <row r="117" spans="1:15" x14ac:dyDescent="0.25">
      <c r="A117" s="86">
        <v>45458</v>
      </c>
      <c r="B117" s="55" t="s">
        <v>2047</v>
      </c>
      <c r="C117" s="55" t="s">
        <v>43</v>
      </c>
      <c r="D117" s="75">
        <f t="shared" si="5"/>
        <v>245.45454545454544</v>
      </c>
      <c r="E117" s="75">
        <f t="shared" si="3"/>
        <v>24.545454545454547</v>
      </c>
      <c r="F117" s="75">
        <v>270</v>
      </c>
      <c r="G117" s="75">
        <v>50</v>
      </c>
      <c r="H117" s="58">
        <f t="shared" si="4"/>
        <v>220</v>
      </c>
      <c r="I117" s="14" t="s">
        <v>2214</v>
      </c>
      <c r="J117" s="75">
        <v>270</v>
      </c>
      <c r="K117" s="75"/>
      <c r="L117" s="14"/>
      <c r="M117" s="75"/>
      <c r="N117" s="14"/>
      <c r="O117" s="14"/>
    </row>
    <row r="118" spans="1:15" x14ac:dyDescent="0.25">
      <c r="A118" s="86">
        <v>45458</v>
      </c>
      <c r="B118" s="55" t="s">
        <v>2048</v>
      </c>
      <c r="C118" s="55" t="s">
        <v>43</v>
      </c>
      <c r="D118" s="75">
        <f t="shared" si="5"/>
        <v>172.72727272727272</v>
      </c>
      <c r="E118" s="75">
        <f t="shared" si="3"/>
        <v>17.272727272727273</v>
      </c>
      <c r="F118" s="75">
        <v>190</v>
      </c>
      <c r="G118" s="75">
        <v>50</v>
      </c>
      <c r="H118" s="58">
        <f t="shared" si="4"/>
        <v>140</v>
      </c>
      <c r="I118" s="14" t="s">
        <v>2215</v>
      </c>
      <c r="J118" s="75">
        <v>170</v>
      </c>
      <c r="K118" s="75">
        <v>20</v>
      </c>
      <c r="L118" s="14" t="s">
        <v>252</v>
      </c>
      <c r="M118" s="75"/>
      <c r="N118" s="14"/>
      <c r="O118" s="14"/>
    </row>
    <row r="119" spans="1:15" x14ac:dyDescent="0.25">
      <c r="A119" s="86">
        <v>45458</v>
      </c>
      <c r="B119" s="55" t="s">
        <v>2049</v>
      </c>
      <c r="C119" s="55" t="s">
        <v>43</v>
      </c>
      <c r="D119" s="75">
        <f t="shared" si="5"/>
        <v>127.27272727272727</v>
      </c>
      <c r="E119" s="75">
        <f t="shared" si="3"/>
        <v>12.727272727272727</v>
      </c>
      <c r="F119" s="75">
        <v>140</v>
      </c>
      <c r="G119" s="75"/>
      <c r="H119" s="58">
        <f t="shared" si="4"/>
        <v>140</v>
      </c>
      <c r="I119" s="14" t="s">
        <v>2216</v>
      </c>
      <c r="J119" s="75">
        <v>140</v>
      </c>
      <c r="K119" s="75"/>
      <c r="L119" s="14"/>
      <c r="M119" s="75"/>
      <c r="N119" s="14"/>
      <c r="O119" s="14"/>
    </row>
    <row r="120" spans="1:15" x14ac:dyDescent="0.25">
      <c r="A120" s="86">
        <v>45458</v>
      </c>
      <c r="B120" s="55" t="s">
        <v>2050</v>
      </c>
      <c r="C120" s="55" t="s">
        <v>43</v>
      </c>
      <c r="D120" s="75">
        <f t="shared" si="5"/>
        <v>195.45454545454544</v>
      </c>
      <c r="E120" s="75">
        <f t="shared" si="3"/>
        <v>19.545454545454547</v>
      </c>
      <c r="F120" s="75">
        <v>215</v>
      </c>
      <c r="G120" s="75">
        <v>50</v>
      </c>
      <c r="H120" s="58">
        <f t="shared" si="4"/>
        <v>165</v>
      </c>
      <c r="I120" s="14" t="s">
        <v>2217</v>
      </c>
      <c r="J120" s="75">
        <v>170</v>
      </c>
      <c r="K120" s="75"/>
      <c r="L120" s="14"/>
      <c r="M120" s="75">
        <v>45</v>
      </c>
      <c r="N120" s="14" t="s">
        <v>45</v>
      </c>
      <c r="O120" s="14"/>
    </row>
    <row r="121" spans="1:15" x14ac:dyDescent="0.25">
      <c r="A121" s="86">
        <v>45458</v>
      </c>
      <c r="B121" s="55" t="s">
        <v>2051</v>
      </c>
      <c r="C121" s="55" t="s">
        <v>43</v>
      </c>
      <c r="D121" s="75">
        <f t="shared" si="5"/>
        <v>172.72727272727272</v>
      </c>
      <c r="E121" s="75">
        <f t="shared" si="3"/>
        <v>17.272727272727273</v>
      </c>
      <c r="F121" s="75">
        <v>190</v>
      </c>
      <c r="G121" s="75">
        <v>50</v>
      </c>
      <c r="H121" s="58">
        <f t="shared" si="4"/>
        <v>140</v>
      </c>
      <c r="I121" s="14" t="s">
        <v>2218</v>
      </c>
      <c r="J121" s="75">
        <v>170</v>
      </c>
      <c r="K121" s="75">
        <v>20</v>
      </c>
      <c r="L121" s="14" t="s">
        <v>252</v>
      </c>
      <c r="M121" s="75"/>
      <c r="N121" s="14"/>
      <c r="O121" s="14"/>
    </row>
    <row r="122" spans="1:15" x14ac:dyDescent="0.25">
      <c r="A122" s="86">
        <v>45458</v>
      </c>
      <c r="B122" s="55" t="s">
        <v>2052</v>
      </c>
      <c r="C122" s="55" t="s">
        <v>43</v>
      </c>
      <c r="D122" s="75">
        <f t="shared" si="5"/>
        <v>181.81818181818181</v>
      </c>
      <c r="E122" s="75">
        <f t="shared" si="3"/>
        <v>18.18181818181818</v>
      </c>
      <c r="F122" s="75">
        <v>200</v>
      </c>
      <c r="G122" s="75">
        <v>50</v>
      </c>
      <c r="H122" s="58">
        <f t="shared" si="4"/>
        <v>150</v>
      </c>
      <c r="I122" s="14" t="s">
        <v>2219</v>
      </c>
      <c r="J122" s="75">
        <v>170</v>
      </c>
      <c r="K122" s="75">
        <v>30</v>
      </c>
      <c r="L122" s="14" t="s">
        <v>252</v>
      </c>
      <c r="M122" s="75"/>
      <c r="N122" s="14"/>
      <c r="O122" s="14"/>
    </row>
    <row r="123" spans="1:15" x14ac:dyDescent="0.25">
      <c r="A123" s="86">
        <v>45458</v>
      </c>
      <c r="B123" s="55" t="s">
        <v>2053</v>
      </c>
      <c r="C123" s="55" t="s">
        <v>43</v>
      </c>
      <c r="D123" s="75">
        <f t="shared" si="5"/>
        <v>154.54545454545453</v>
      </c>
      <c r="E123" s="75">
        <f t="shared" si="3"/>
        <v>15.454545454545453</v>
      </c>
      <c r="F123" s="75">
        <v>170</v>
      </c>
      <c r="G123" s="75">
        <v>50</v>
      </c>
      <c r="H123" s="58">
        <f t="shared" si="4"/>
        <v>120</v>
      </c>
      <c r="I123" s="14" t="s">
        <v>2220</v>
      </c>
      <c r="J123" s="75">
        <v>170</v>
      </c>
      <c r="K123" s="75"/>
      <c r="L123" s="14"/>
      <c r="M123" s="75"/>
      <c r="N123" s="14"/>
      <c r="O123" s="14"/>
    </row>
    <row r="124" spans="1:15" x14ac:dyDescent="0.25">
      <c r="A124" s="86">
        <v>45458</v>
      </c>
      <c r="B124" s="55" t="s">
        <v>2054</v>
      </c>
      <c r="C124" s="55" t="s">
        <v>43</v>
      </c>
      <c r="D124" s="75">
        <f t="shared" si="5"/>
        <v>154.54545454545453</v>
      </c>
      <c r="E124" s="75">
        <f t="shared" si="3"/>
        <v>15.454545454545453</v>
      </c>
      <c r="F124" s="75">
        <v>170</v>
      </c>
      <c r="G124" s="75">
        <v>50</v>
      </c>
      <c r="H124" s="58">
        <f t="shared" si="4"/>
        <v>120</v>
      </c>
      <c r="I124" s="14" t="s">
        <v>2180</v>
      </c>
      <c r="J124" s="75">
        <v>170</v>
      </c>
      <c r="K124" s="75"/>
      <c r="L124" s="14"/>
      <c r="M124" s="75"/>
      <c r="N124" s="14"/>
      <c r="O124" s="14"/>
    </row>
    <row r="125" spans="1:15" x14ac:dyDescent="0.25">
      <c r="A125" s="86">
        <v>45458</v>
      </c>
      <c r="B125" s="55" t="s">
        <v>2055</v>
      </c>
      <c r="C125" s="55" t="s">
        <v>43</v>
      </c>
      <c r="D125" s="75">
        <f t="shared" si="5"/>
        <v>172.72727272727272</v>
      </c>
      <c r="E125" s="75">
        <f t="shared" si="3"/>
        <v>17.272727272727273</v>
      </c>
      <c r="F125" s="75">
        <v>190</v>
      </c>
      <c r="G125" s="75">
        <v>50</v>
      </c>
      <c r="H125" s="58">
        <f t="shared" si="4"/>
        <v>140</v>
      </c>
      <c r="I125" s="14" t="s">
        <v>2223</v>
      </c>
      <c r="J125" s="75">
        <v>170</v>
      </c>
      <c r="K125" s="75">
        <v>20</v>
      </c>
      <c r="L125" s="14" t="s">
        <v>252</v>
      </c>
      <c r="M125" s="75"/>
      <c r="N125" s="14"/>
      <c r="O125" s="14"/>
    </row>
    <row r="126" spans="1:15" x14ac:dyDescent="0.25">
      <c r="A126" s="86">
        <v>45458</v>
      </c>
      <c r="B126" s="55" t="s">
        <v>2056</v>
      </c>
      <c r="C126" s="55" t="s">
        <v>43</v>
      </c>
      <c r="D126" s="75">
        <f t="shared" si="5"/>
        <v>209.09090909090907</v>
      </c>
      <c r="E126" s="75">
        <f t="shared" si="3"/>
        <v>20.909090909090907</v>
      </c>
      <c r="F126" s="75">
        <v>230</v>
      </c>
      <c r="G126" s="75"/>
      <c r="H126" s="58">
        <f t="shared" si="4"/>
        <v>230</v>
      </c>
      <c r="I126" t="s">
        <v>2222</v>
      </c>
      <c r="J126" s="75">
        <v>230</v>
      </c>
      <c r="K126" s="75"/>
      <c r="L126" s="14"/>
      <c r="M126" s="75"/>
      <c r="N126" s="14"/>
      <c r="O126" s="14"/>
    </row>
    <row r="127" spans="1:15" x14ac:dyDescent="0.25">
      <c r="A127" s="86">
        <v>45458</v>
      </c>
      <c r="B127" s="55" t="s">
        <v>2057</v>
      </c>
      <c r="C127" s="55" t="s">
        <v>43</v>
      </c>
      <c r="D127" s="75">
        <f t="shared" si="5"/>
        <v>127.27272727272727</v>
      </c>
      <c r="E127" s="75">
        <f t="shared" si="3"/>
        <v>12.727272727272727</v>
      </c>
      <c r="F127" s="75">
        <v>140</v>
      </c>
      <c r="G127" s="75"/>
      <c r="H127" s="58">
        <f t="shared" si="4"/>
        <v>140</v>
      </c>
      <c r="I127" s="14" t="s">
        <v>1833</v>
      </c>
      <c r="J127" s="75">
        <v>140</v>
      </c>
      <c r="K127" s="75"/>
      <c r="L127" s="14"/>
      <c r="M127" s="75"/>
      <c r="N127" s="14"/>
      <c r="O127" s="14"/>
    </row>
    <row r="128" spans="1:15" x14ac:dyDescent="0.25">
      <c r="A128" s="86">
        <v>45458</v>
      </c>
      <c r="B128" s="55" t="s">
        <v>2058</v>
      </c>
      <c r="C128" s="55" t="s">
        <v>43</v>
      </c>
      <c r="D128" s="75">
        <f t="shared" si="5"/>
        <v>109.09090909090908</v>
      </c>
      <c r="E128" s="75">
        <f t="shared" si="3"/>
        <v>10.909090909090908</v>
      </c>
      <c r="F128" s="75">
        <v>120</v>
      </c>
      <c r="G128" s="75"/>
      <c r="H128" s="58">
        <f t="shared" si="4"/>
        <v>120</v>
      </c>
      <c r="I128" s="14" t="s">
        <v>2221</v>
      </c>
      <c r="J128" s="75">
        <v>120</v>
      </c>
      <c r="K128" s="75"/>
      <c r="L128" s="14"/>
      <c r="M128" s="75"/>
      <c r="N128" s="14"/>
      <c r="O128" s="14"/>
    </row>
    <row r="129" spans="1:15" x14ac:dyDescent="0.25">
      <c r="A129" s="86">
        <v>45458</v>
      </c>
      <c r="B129" s="55" t="s">
        <v>2059</v>
      </c>
      <c r="C129" s="55" t="s">
        <v>43</v>
      </c>
      <c r="D129" s="75">
        <f t="shared" si="5"/>
        <v>154.54545454545453</v>
      </c>
      <c r="E129" s="75">
        <f t="shared" si="3"/>
        <v>15.454545454545453</v>
      </c>
      <c r="F129" s="75">
        <v>170</v>
      </c>
      <c r="G129" s="75">
        <v>50</v>
      </c>
      <c r="H129" s="58">
        <f t="shared" si="4"/>
        <v>120</v>
      </c>
      <c r="I129" s="14" t="s">
        <v>2224</v>
      </c>
      <c r="J129" s="75">
        <v>170</v>
      </c>
      <c r="K129" s="75"/>
      <c r="L129" s="14"/>
      <c r="M129" s="75"/>
      <c r="N129" s="14"/>
      <c r="O129" s="14"/>
    </row>
    <row r="130" spans="1:15" x14ac:dyDescent="0.25">
      <c r="A130" s="86">
        <v>45458</v>
      </c>
      <c r="B130" s="55" t="s">
        <v>2060</v>
      </c>
      <c r="C130" s="55" t="s">
        <v>43</v>
      </c>
      <c r="D130" s="75">
        <f t="shared" si="5"/>
        <v>154.54545454545453</v>
      </c>
      <c r="E130" s="75">
        <f t="shared" si="3"/>
        <v>15.454545454545453</v>
      </c>
      <c r="F130" s="75">
        <v>170</v>
      </c>
      <c r="G130" s="75">
        <v>50</v>
      </c>
      <c r="H130" s="58">
        <f t="shared" si="4"/>
        <v>120</v>
      </c>
      <c r="I130" s="14" t="s">
        <v>2154</v>
      </c>
      <c r="J130" s="75">
        <v>170</v>
      </c>
      <c r="K130" s="75"/>
      <c r="L130" s="14"/>
      <c r="M130" s="75"/>
      <c r="N130" s="14"/>
      <c r="O130" s="14"/>
    </row>
    <row r="131" spans="1:15" x14ac:dyDescent="0.25">
      <c r="A131" s="86">
        <v>45459</v>
      </c>
      <c r="B131" s="55" t="s">
        <v>2061</v>
      </c>
      <c r="C131" s="55" t="s">
        <v>43</v>
      </c>
      <c r="D131" s="75">
        <f t="shared" si="5"/>
        <v>199.99999999999997</v>
      </c>
      <c r="E131" s="75">
        <f t="shared" ref="E131:E194" si="6">D131*10/100</f>
        <v>19.999999999999996</v>
      </c>
      <c r="F131" s="75">
        <v>220</v>
      </c>
      <c r="G131" s="75">
        <v>50</v>
      </c>
      <c r="H131" s="58">
        <f t="shared" ref="H131:H194" si="7">F131-G131</f>
        <v>170</v>
      </c>
      <c r="I131" s="14" t="s">
        <v>2225</v>
      </c>
      <c r="J131" s="75">
        <v>220</v>
      </c>
      <c r="K131" s="75"/>
      <c r="L131" s="14"/>
      <c r="M131" s="75"/>
      <c r="N131" s="14"/>
      <c r="O131" s="14"/>
    </row>
    <row r="132" spans="1:15" x14ac:dyDescent="0.25">
      <c r="A132" s="86">
        <v>45459</v>
      </c>
      <c r="B132" s="55" t="s">
        <v>2062</v>
      </c>
      <c r="C132" s="55" t="s">
        <v>43</v>
      </c>
      <c r="D132" s="75">
        <f t="shared" ref="D132:D195" si="8">F132/1.1</f>
        <v>154.54545454545453</v>
      </c>
      <c r="E132" s="75">
        <f t="shared" si="6"/>
        <v>15.454545454545453</v>
      </c>
      <c r="F132" s="75">
        <v>170</v>
      </c>
      <c r="G132" s="75">
        <v>50</v>
      </c>
      <c r="H132" s="58">
        <f t="shared" si="7"/>
        <v>120</v>
      </c>
      <c r="I132" s="14" t="s">
        <v>2154</v>
      </c>
      <c r="J132" s="75">
        <v>170</v>
      </c>
      <c r="K132" s="75"/>
      <c r="L132" s="14"/>
      <c r="M132" s="75"/>
      <c r="N132" s="14"/>
      <c r="O132" s="14"/>
    </row>
    <row r="133" spans="1:15" x14ac:dyDescent="0.25">
      <c r="A133" s="86">
        <v>45459</v>
      </c>
      <c r="B133" s="55" t="s">
        <v>2063</v>
      </c>
      <c r="C133" s="55" t="s">
        <v>43</v>
      </c>
      <c r="D133" s="75">
        <f t="shared" si="8"/>
        <v>172.72727272727272</v>
      </c>
      <c r="E133" s="75">
        <f t="shared" si="6"/>
        <v>17.272727272727273</v>
      </c>
      <c r="F133" s="75">
        <v>190</v>
      </c>
      <c r="G133" s="75">
        <v>50</v>
      </c>
      <c r="H133" s="58">
        <f t="shared" si="7"/>
        <v>140</v>
      </c>
      <c r="I133" s="14" t="s">
        <v>2154</v>
      </c>
      <c r="J133" s="75">
        <v>170</v>
      </c>
      <c r="K133" s="75">
        <v>20</v>
      </c>
      <c r="L133" s="14" t="s">
        <v>252</v>
      </c>
      <c r="M133" s="75"/>
      <c r="N133" s="14"/>
      <c r="O133" s="14"/>
    </row>
    <row r="134" spans="1:15" x14ac:dyDescent="0.25">
      <c r="A134" s="86">
        <v>45459</v>
      </c>
      <c r="B134" s="55" t="s">
        <v>2064</v>
      </c>
      <c r="C134" s="55" t="s">
        <v>43</v>
      </c>
      <c r="D134" s="75">
        <f t="shared" si="8"/>
        <v>236.36363636363635</v>
      </c>
      <c r="E134" s="75">
        <f t="shared" si="6"/>
        <v>23.636363636363637</v>
      </c>
      <c r="F134" s="75">
        <v>260</v>
      </c>
      <c r="G134" s="75">
        <v>50</v>
      </c>
      <c r="H134" s="58">
        <f t="shared" si="7"/>
        <v>210</v>
      </c>
      <c r="I134" s="14" t="s">
        <v>2154</v>
      </c>
      <c r="J134" s="75">
        <v>260</v>
      </c>
      <c r="K134" s="75"/>
      <c r="L134" s="14"/>
      <c r="M134" s="75"/>
      <c r="N134" s="14"/>
      <c r="O134" s="14"/>
    </row>
    <row r="135" spans="1:15" x14ac:dyDescent="0.25">
      <c r="A135" s="86">
        <v>45459</v>
      </c>
      <c r="B135" s="55" t="s">
        <v>2065</v>
      </c>
      <c r="C135" s="55" t="s">
        <v>43</v>
      </c>
      <c r="D135" s="75">
        <f t="shared" si="8"/>
        <v>227.27272727272725</v>
      </c>
      <c r="E135" s="75">
        <f t="shared" si="6"/>
        <v>22.727272727272727</v>
      </c>
      <c r="F135" s="75">
        <v>250</v>
      </c>
      <c r="G135" s="75">
        <v>50</v>
      </c>
      <c r="H135" s="58">
        <f t="shared" si="7"/>
        <v>200</v>
      </c>
      <c r="I135" s="14" t="s">
        <v>2226</v>
      </c>
      <c r="J135" s="75">
        <v>260</v>
      </c>
      <c r="K135" s="75"/>
      <c r="L135" s="14"/>
      <c r="M135" s="75"/>
      <c r="N135" s="14"/>
      <c r="O135" s="14"/>
    </row>
    <row r="136" spans="1:15" x14ac:dyDescent="0.25">
      <c r="A136" s="86">
        <v>45459</v>
      </c>
      <c r="B136" s="55" t="s">
        <v>2066</v>
      </c>
      <c r="C136" s="55" t="s">
        <v>43</v>
      </c>
      <c r="D136" s="75">
        <f t="shared" si="8"/>
        <v>263.63636363636363</v>
      </c>
      <c r="E136" s="75">
        <f t="shared" si="6"/>
        <v>26.36363636363636</v>
      </c>
      <c r="F136" s="75">
        <v>290</v>
      </c>
      <c r="G136" s="75">
        <v>50</v>
      </c>
      <c r="H136" s="58">
        <f t="shared" si="7"/>
        <v>240</v>
      </c>
      <c r="I136" s="14" t="s">
        <v>2154</v>
      </c>
      <c r="J136" s="75">
        <v>270</v>
      </c>
      <c r="K136" s="75">
        <v>20</v>
      </c>
      <c r="L136" s="14" t="s">
        <v>252</v>
      </c>
      <c r="M136" s="75"/>
      <c r="N136" s="14"/>
      <c r="O136" s="14"/>
    </row>
    <row r="137" spans="1:15" x14ac:dyDescent="0.25">
      <c r="A137" s="86">
        <v>45460</v>
      </c>
      <c r="B137" s="55" t="s">
        <v>2067</v>
      </c>
      <c r="C137" s="55" t="s">
        <v>43</v>
      </c>
      <c r="D137" s="75">
        <f t="shared" si="8"/>
        <v>218.18181818181816</v>
      </c>
      <c r="E137" s="75">
        <f t="shared" si="6"/>
        <v>21.818181818181817</v>
      </c>
      <c r="F137" s="75">
        <v>240</v>
      </c>
      <c r="G137" s="75">
        <v>50</v>
      </c>
      <c r="H137" s="58">
        <f t="shared" si="7"/>
        <v>190</v>
      </c>
      <c r="I137" s="14" t="s">
        <v>2154</v>
      </c>
      <c r="J137" s="75">
        <v>220</v>
      </c>
      <c r="K137" s="75">
        <v>20</v>
      </c>
      <c r="L137" s="14" t="s">
        <v>252</v>
      </c>
      <c r="M137" s="75"/>
      <c r="N137" s="14"/>
      <c r="O137" s="14"/>
    </row>
    <row r="138" spans="1:15" x14ac:dyDescent="0.25">
      <c r="A138" s="86">
        <v>45461</v>
      </c>
      <c r="B138" s="55" t="s">
        <v>2068</v>
      </c>
      <c r="C138" s="55" t="s">
        <v>43</v>
      </c>
      <c r="D138" s="75">
        <f t="shared" si="8"/>
        <v>286.36363636363632</v>
      </c>
      <c r="E138" s="75">
        <f t="shared" si="6"/>
        <v>28.63636363636363</v>
      </c>
      <c r="F138" s="75">
        <v>315</v>
      </c>
      <c r="G138" s="75">
        <v>50</v>
      </c>
      <c r="H138" s="58">
        <f t="shared" si="7"/>
        <v>265</v>
      </c>
      <c r="I138" s="14" t="s">
        <v>2227</v>
      </c>
      <c r="J138" s="75">
        <v>270</v>
      </c>
      <c r="K138" s="75"/>
      <c r="L138" s="14"/>
      <c r="M138" s="75">
        <v>45</v>
      </c>
      <c r="N138" s="14" t="s">
        <v>45</v>
      </c>
      <c r="O138" s="14"/>
    </row>
    <row r="139" spans="1:15" x14ac:dyDescent="0.25">
      <c r="A139" s="86">
        <v>45462</v>
      </c>
      <c r="B139" s="55" t="s">
        <v>2069</v>
      </c>
      <c r="C139" s="55" t="s">
        <v>43</v>
      </c>
      <c r="D139" s="75">
        <f t="shared" si="8"/>
        <v>172.72727272727272</v>
      </c>
      <c r="E139" s="75">
        <f t="shared" si="6"/>
        <v>17.272727272727273</v>
      </c>
      <c r="F139" s="75">
        <v>190</v>
      </c>
      <c r="G139" s="75">
        <v>50</v>
      </c>
      <c r="H139" s="58">
        <f t="shared" si="7"/>
        <v>140</v>
      </c>
      <c r="I139" s="14" t="s">
        <v>2228</v>
      </c>
      <c r="J139" s="75">
        <v>170</v>
      </c>
      <c r="K139" s="75">
        <v>20</v>
      </c>
      <c r="L139" s="14" t="s">
        <v>252</v>
      </c>
      <c r="M139" s="75"/>
      <c r="N139" s="14"/>
      <c r="O139" s="14"/>
    </row>
    <row r="140" spans="1:15" x14ac:dyDescent="0.25">
      <c r="A140" s="86">
        <v>45463</v>
      </c>
      <c r="B140" s="55" t="s">
        <v>2070</v>
      </c>
      <c r="C140" s="55" t="s">
        <v>43</v>
      </c>
      <c r="D140" s="75">
        <f t="shared" si="8"/>
        <v>199.99999999999997</v>
      </c>
      <c r="E140" s="75">
        <f t="shared" si="6"/>
        <v>19.999999999999996</v>
      </c>
      <c r="F140" s="75">
        <v>220</v>
      </c>
      <c r="G140" s="75">
        <v>50</v>
      </c>
      <c r="H140" s="58">
        <f t="shared" si="7"/>
        <v>170</v>
      </c>
      <c r="I140" s="14" t="s">
        <v>2229</v>
      </c>
      <c r="J140" s="75">
        <v>220</v>
      </c>
      <c r="K140" s="75"/>
      <c r="L140" s="14"/>
      <c r="M140" s="75"/>
      <c r="N140" s="14"/>
      <c r="O140" s="14"/>
    </row>
    <row r="141" spans="1:15" x14ac:dyDescent="0.25">
      <c r="A141" s="86">
        <v>45463</v>
      </c>
      <c r="B141" s="55" t="s">
        <v>2071</v>
      </c>
      <c r="C141" s="55" t="s">
        <v>43</v>
      </c>
      <c r="D141" s="75">
        <f t="shared" si="8"/>
        <v>199.99999999999997</v>
      </c>
      <c r="E141" s="75">
        <f t="shared" si="6"/>
        <v>19.999999999999996</v>
      </c>
      <c r="F141" s="75">
        <v>220</v>
      </c>
      <c r="G141" s="75">
        <v>50</v>
      </c>
      <c r="H141" s="58">
        <f t="shared" si="7"/>
        <v>170</v>
      </c>
      <c r="I141" s="14" t="s">
        <v>2230</v>
      </c>
      <c r="J141" s="75">
        <v>220</v>
      </c>
      <c r="K141" s="75"/>
      <c r="L141" s="14"/>
      <c r="M141" s="75"/>
      <c r="N141" s="14"/>
      <c r="O141" s="14"/>
    </row>
    <row r="142" spans="1:15" x14ac:dyDescent="0.25">
      <c r="A142" s="86">
        <v>45463</v>
      </c>
      <c r="B142" s="55" t="s">
        <v>2072</v>
      </c>
      <c r="C142" s="55" t="s">
        <v>43</v>
      </c>
      <c r="D142" s="75">
        <f t="shared" si="8"/>
        <v>245.45454545454544</v>
      </c>
      <c r="E142" s="75">
        <f t="shared" si="6"/>
        <v>24.545454545454547</v>
      </c>
      <c r="F142" s="75">
        <v>270</v>
      </c>
      <c r="G142" s="75">
        <v>50</v>
      </c>
      <c r="H142" s="58">
        <f t="shared" si="7"/>
        <v>220</v>
      </c>
      <c r="I142" s="14" t="s">
        <v>2231</v>
      </c>
      <c r="J142" s="75">
        <v>270</v>
      </c>
      <c r="K142" s="75"/>
      <c r="L142" s="14"/>
      <c r="M142" s="75"/>
      <c r="N142" s="14"/>
      <c r="O142" s="14"/>
    </row>
    <row r="143" spans="1:15" x14ac:dyDescent="0.25">
      <c r="A143" s="86">
        <v>45463</v>
      </c>
      <c r="B143" s="55" t="s">
        <v>2073</v>
      </c>
      <c r="C143" s="55" t="s">
        <v>43</v>
      </c>
      <c r="D143" s="75">
        <f t="shared" si="8"/>
        <v>127.27272727272727</v>
      </c>
      <c r="E143" s="75">
        <f t="shared" si="6"/>
        <v>12.727272727272727</v>
      </c>
      <c r="F143" s="75">
        <v>140</v>
      </c>
      <c r="G143" s="75"/>
      <c r="H143" s="58">
        <f t="shared" si="7"/>
        <v>140</v>
      </c>
      <c r="I143" s="14" t="s">
        <v>603</v>
      </c>
      <c r="J143" s="75">
        <v>140</v>
      </c>
      <c r="K143" s="75"/>
      <c r="L143" s="14"/>
      <c r="M143" s="75"/>
      <c r="N143" s="14"/>
      <c r="O143" s="14"/>
    </row>
    <row r="144" spans="1:15" x14ac:dyDescent="0.25">
      <c r="A144" s="86">
        <v>45464</v>
      </c>
      <c r="B144" s="55" t="s">
        <v>2074</v>
      </c>
      <c r="C144" s="55" t="s">
        <v>43</v>
      </c>
      <c r="D144" s="75">
        <f t="shared" si="8"/>
        <v>190.90909090909091</v>
      </c>
      <c r="E144" s="75">
        <f t="shared" si="6"/>
        <v>19.09090909090909</v>
      </c>
      <c r="F144" s="75">
        <v>210</v>
      </c>
      <c r="G144" s="75">
        <v>50</v>
      </c>
      <c r="H144" s="58">
        <f t="shared" si="7"/>
        <v>160</v>
      </c>
      <c r="I144" s="14" t="s">
        <v>2232</v>
      </c>
      <c r="J144" s="75">
        <v>170</v>
      </c>
      <c r="K144" s="75">
        <v>40</v>
      </c>
      <c r="L144" s="14" t="s">
        <v>252</v>
      </c>
      <c r="M144" s="75"/>
      <c r="N144" s="14"/>
      <c r="O144" s="14"/>
    </row>
    <row r="145" spans="1:15" x14ac:dyDescent="0.25">
      <c r="A145" s="86">
        <v>45464</v>
      </c>
      <c r="B145" s="55" t="s">
        <v>2075</v>
      </c>
      <c r="C145" s="55" t="s">
        <v>43</v>
      </c>
      <c r="D145" s="75">
        <f t="shared" si="8"/>
        <v>172.72727272727272</v>
      </c>
      <c r="E145" s="75">
        <f t="shared" si="6"/>
        <v>17.272727272727273</v>
      </c>
      <c r="F145" s="75">
        <v>190</v>
      </c>
      <c r="G145" s="75">
        <v>50</v>
      </c>
      <c r="H145" s="58">
        <f t="shared" si="7"/>
        <v>140</v>
      </c>
      <c r="I145" s="14" t="s">
        <v>2233</v>
      </c>
      <c r="J145" s="75">
        <v>170</v>
      </c>
      <c r="K145" s="75">
        <v>20</v>
      </c>
      <c r="L145" s="14" t="s">
        <v>252</v>
      </c>
      <c r="M145" s="75"/>
      <c r="N145" s="14"/>
      <c r="O145" s="14"/>
    </row>
    <row r="146" spans="1:15" x14ac:dyDescent="0.25">
      <c r="A146" s="86">
        <v>45464</v>
      </c>
      <c r="B146" s="55" t="s">
        <v>2076</v>
      </c>
      <c r="C146" s="55" t="s">
        <v>43</v>
      </c>
      <c r="D146" s="75">
        <f t="shared" si="8"/>
        <v>222.72727272727272</v>
      </c>
      <c r="E146" s="75">
        <f t="shared" si="6"/>
        <v>22.27272727272727</v>
      </c>
      <c r="F146" s="75">
        <v>245</v>
      </c>
      <c r="G146" s="75">
        <v>50</v>
      </c>
      <c r="H146" s="58">
        <f t="shared" si="7"/>
        <v>195</v>
      </c>
      <c r="I146" s="14" t="s">
        <v>2234</v>
      </c>
      <c r="J146" s="75">
        <v>170</v>
      </c>
      <c r="K146" s="75">
        <v>30</v>
      </c>
      <c r="L146" s="14" t="s">
        <v>252</v>
      </c>
      <c r="M146" s="75">
        <v>45</v>
      </c>
      <c r="N146" s="14" t="s">
        <v>45</v>
      </c>
      <c r="O146" s="14"/>
    </row>
    <row r="147" spans="1:15" x14ac:dyDescent="0.25">
      <c r="A147" s="86">
        <v>45464</v>
      </c>
      <c r="B147" s="55" t="s">
        <v>2077</v>
      </c>
      <c r="C147" s="55" t="s">
        <v>43</v>
      </c>
      <c r="D147" s="75">
        <f t="shared" si="8"/>
        <v>236.36363636363635</v>
      </c>
      <c r="E147" s="75">
        <f t="shared" si="6"/>
        <v>23.636363636363637</v>
      </c>
      <c r="F147" s="75">
        <v>260</v>
      </c>
      <c r="G147" s="75">
        <v>50</v>
      </c>
      <c r="H147" s="58">
        <f t="shared" si="7"/>
        <v>210</v>
      </c>
      <c r="I147" s="14" t="s">
        <v>2235</v>
      </c>
      <c r="J147" s="75">
        <v>260</v>
      </c>
      <c r="K147" s="75"/>
      <c r="L147" s="14"/>
      <c r="M147" s="75"/>
      <c r="N147" s="14"/>
      <c r="O147" s="14"/>
    </row>
    <row r="148" spans="1:15" x14ac:dyDescent="0.25">
      <c r="A148" s="86">
        <v>45464</v>
      </c>
      <c r="B148" s="55" t="s">
        <v>2078</v>
      </c>
      <c r="C148" s="55" t="s">
        <v>43</v>
      </c>
      <c r="D148" s="75">
        <f t="shared" si="8"/>
        <v>209.09090909090907</v>
      </c>
      <c r="E148" s="75">
        <f t="shared" si="6"/>
        <v>20.909090909090907</v>
      </c>
      <c r="F148" s="75">
        <v>230</v>
      </c>
      <c r="G148" s="75"/>
      <c r="H148" s="58">
        <f t="shared" si="7"/>
        <v>230</v>
      </c>
      <c r="I148" s="14" t="s">
        <v>603</v>
      </c>
      <c r="J148" s="75">
        <v>230</v>
      </c>
      <c r="K148" s="75"/>
      <c r="L148" s="14"/>
      <c r="M148" s="75"/>
      <c r="N148" s="14"/>
      <c r="O148" s="14"/>
    </row>
    <row r="149" spans="1:15" x14ac:dyDescent="0.25">
      <c r="A149" s="86">
        <v>45464</v>
      </c>
      <c r="B149" s="55" t="s">
        <v>2079</v>
      </c>
      <c r="C149" s="55" t="s">
        <v>43</v>
      </c>
      <c r="D149" s="75">
        <f t="shared" si="8"/>
        <v>245.45454545454544</v>
      </c>
      <c r="E149" s="75">
        <f t="shared" si="6"/>
        <v>24.545454545454547</v>
      </c>
      <c r="F149" s="75">
        <v>270</v>
      </c>
      <c r="G149" s="75">
        <v>50</v>
      </c>
      <c r="H149" s="58">
        <f t="shared" si="7"/>
        <v>220</v>
      </c>
      <c r="I149" s="14" t="s">
        <v>2236</v>
      </c>
      <c r="J149" s="75">
        <v>270</v>
      </c>
      <c r="K149" s="75"/>
      <c r="L149" s="14"/>
      <c r="M149" s="75"/>
      <c r="N149" s="14"/>
      <c r="O149" s="14"/>
    </row>
    <row r="150" spans="1:15" x14ac:dyDescent="0.25">
      <c r="A150" s="86">
        <v>45464</v>
      </c>
      <c r="B150" s="55" t="s">
        <v>2080</v>
      </c>
      <c r="C150" s="55" t="s">
        <v>43</v>
      </c>
      <c r="D150" s="75">
        <f t="shared" si="8"/>
        <v>245.45454545454544</v>
      </c>
      <c r="E150" s="75">
        <f t="shared" si="6"/>
        <v>24.545454545454547</v>
      </c>
      <c r="F150" s="75">
        <v>270</v>
      </c>
      <c r="G150" s="75">
        <v>50</v>
      </c>
      <c r="H150" s="58">
        <f t="shared" si="7"/>
        <v>220</v>
      </c>
      <c r="I150" s="14" t="s">
        <v>2237</v>
      </c>
      <c r="J150" s="75">
        <v>270</v>
      </c>
      <c r="K150" s="75"/>
      <c r="L150" s="14"/>
      <c r="M150" s="75"/>
      <c r="N150" s="14"/>
      <c r="O150" s="14"/>
    </row>
    <row r="151" spans="1:15" x14ac:dyDescent="0.25">
      <c r="A151" s="86">
        <v>45464</v>
      </c>
      <c r="B151" s="55" t="s">
        <v>2081</v>
      </c>
      <c r="C151" s="55" t="s">
        <v>43</v>
      </c>
      <c r="D151" s="75">
        <f t="shared" si="8"/>
        <v>195.45454545454544</v>
      </c>
      <c r="E151" s="75">
        <f t="shared" si="6"/>
        <v>19.545454545454547</v>
      </c>
      <c r="F151" s="75">
        <v>215</v>
      </c>
      <c r="G151" s="75">
        <v>50</v>
      </c>
      <c r="H151" s="58">
        <f t="shared" si="7"/>
        <v>165</v>
      </c>
      <c r="I151" s="14" t="s">
        <v>2238</v>
      </c>
      <c r="J151" s="75">
        <v>170</v>
      </c>
      <c r="K151" s="75"/>
      <c r="L151" s="14"/>
      <c r="M151" s="75">
        <v>45</v>
      </c>
      <c r="N151" s="14" t="s">
        <v>45</v>
      </c>
      <c r="O151" s="14"/>
    </row>
    <row r="152" spans="1:15" x14ac:dyDescent="0.25">
      <c r="A152" s="86">
        <v>45464</v>
      </c>
      <c r="B152" s="55" t="s">
        <v>2082</v>
      </c>
      <c r="C152" s="55" t="s">
        <v>43</v>
      </c>
      <c r="D152" s="75">
        <f t="shared" si="8"/>
        <v>199.99999999999997</v>
      </c>
      <c r="E152" s="75">
        <f t="shared" si="6"/>
        <v>19.999999999999996</v>
      </c>
      <c r="F152" s="75">
        <v>220</v>
      </c>
      <c r="G152" s="75">
        <v>50</v>
      </c>
      <c r="H152" s="58">
        <f t="shared" si="7"/>
        <v>170</v>
      </c>
      <c r="I152" s="14" t="s">
        <v>2239</v>
      </c>
      <c r="J152" s="75">
        <v>170</v>
      </c>
      <c r="K152" s="75">
        <v>50</v>
      </c>
      <c r="L152" s="14" t="s">
        <v>252</v>
      </c>
      <c r="M152" s="75"/>
      <c r="N152" s="14"/>
      <c r="O152" s="14"/>
    </row>
    <row r="153" spans="1:15" x14ac:dyDescent="0.25">
      <c r="A153" s="86">
        <v>45464</v>
      </c>
      <c r="B153" s="55" t="s">
        <v>2083</v>
      </c>
      <c r="C153" s="55" t="s">
        <v>43</v>
      </c>
      <c r="D153" s="75">
        <f t="shared" si="8"/>
        <v>163.63636363636363</v>
      </c>
      <c r="E153" s="75">
        <f t="shared" si="6"/>
        <v>16.363636363636363</v>
      </c>
      <c r="F153" s="75">
        <v>180</v>
      </c>
      <c r="G153" s="75"/>
      <c r="H153" s="58">
        <f t="shared" si="7"/>
        <v>180</v>
      </c>
      <c r="I153" s="14"/>
      <c r="J153" s="75">
        <v>180</v>
      </c>
      <c r="K153" s="75"/>
      <c r="L153" s="14"/>
      <c r="M153" s="75"/>
      <c r="N153" s="14"/>
      <c r="O153" s="14"/>
    </row>
    <row r="154" spans="1:15" x14ac:dyDescent="0.25">
      <c r="A154" s="86">
        <v>45465</v>
      </c>
      <c r="B154" s="55" t="s">
        <v>2084</v>
      </c>
      <c r="C154" s="55" t="s">
        <v>43</v>
      </c>
      <c r="D154" s="75">
        <f t="shared" si="8"/>
        <v>263.63636363636363</v>
      </c>
      <c r="E154" s="75">
        <f t="shared" si="6"/>
        <v>26.36363636363636</v>
      </c>
      <c r="F154" s="75">
        <v>290</v>
      </c>
      <c r="G154" s="75">
        <v>50</v>
      </c>
      <c r="H154" s="58">
        <f t="shared" si="7"/>
        <v>240</v>
      </c>
      <c r="I154" s="14" t="s">
        <v>2240</v>
      </c>
      <c r="J154" s="75">
        <v>270</v>
      </c>
      <c r="K154" s="75">
        <v>20</v>
      </c>
      <c r="L154" s="14" t="s">
        <v>252</v>
      </c>
      <c r="M154" s="75"/>
      <c r="N154" s="14"/>
      <c r="O154" s="14"/>
    </row>
    <row r="155" spans="1:15" x14ac:dyDescent="0.25">
      <c r="A155" s="86">
        <v>45465</v>
      </c>
      <c r="B155" s="55" t="s">
        <v>2085</v>
      </c>
      <c r="C155" s="55" t="s">
        <v>43</v>
      </c>
      <c r="D155" s="75">
        <f t="shared" si="8"/>
        <v>272.72727272727269</v>
      </c>
      <c r="E155" s="75">
        <f t="shared" si="6"/>
        <v>27.27272727272727</v>
      </c>
      <c r="F155" s="75">
        <v>300</v>
      </c>
      <c r="G155" s="75">
        <v>50</v>
      </c>
      <c r="H155" s="58">
        <f t="shared" si="7"/>
        <v>250</v>
      </c>
      <c r="I155" s="14" t="s">
        <v>2241</v>
      </c>
      <c r="J155" s="75">
        <v>270</v>
      </c>
      <c r="K155" s="75">
        <v>30</v>
      </c>
      <c r="L155" s="14" t="s">
        <v>252</v>
      </c>
      <c r="M155" s="75"/>
      <c r="N155" s="14"/>
      <c r="O155" s="14"/>
    </row>
    <row r="156" spans="1:15" x14ac:dyDescent="0.25">
      <c r="A156" s="86">
        <v>45465</v>
      </c>
      <c r="B156" s="55" t="s">
        <v>2086</v>
      </c>
      <c r="C156" s="55" t="s">
        <v>43</v>
      </c>
      <c r="D156" s="75">
        <f t="shared" si="8"/>
        <v>199.99999999999997</v>
      </c>
      <c r="E156" s="75">
        <f t="shared" si="6"/>
        <v>19.999999999999996</v>
      </c>
      <c r="F156" s="75">
        <v>220</v>
      </c>
      <c r="G156" s="75">
        <v>50</v>
      </c>
      <c r="H156" s="58">
        <f t="shared" si="7"/>
        <v>170</v>
      </c>
      <c r="I156" s="14" t="s">
        <v>2242</v>
      </c>
      <c r="J156" s="75">
        <v>220</v>
      </c>
      <c r="K156" s="75"/>
      <c r="L156" s="14"/>
      <c r="M156" s="75"/>
      <c r="N156" s="14"/>
      <c r="O156" s="14"/>
    </row>
    <row r="157" spans="1:15" x14ac:dyDescent="0.25">
      <c r="A157" s="86">
        <v>45465</v>
      </c>
      <c r="B157" s="55" t="s">
        <v>2087</v>
      </c>
      <c r="C157" s="55" t="s">
        <v>43</v>
      </c>
      <c r="D157" s="75">
        <f t="shared" si="8"/>
        <v>199.99999999999997</v>
      </c>
      <c r="E157" s="75">
        <f t="shared" si="6"/>
        <v>19.999999999999996</v>
      </c>
      <c r="F157" s="75">
        <v>220</v>
      </c>
      <c r="G157" s="75">
        <v>50</v>
      </c>
      <c r="H157" s="58">
        <f t="shared" si="7"/>
        <v>170</v>
      </c>
      <c r="I157" s="14" t="s">
        <v>2154</v>
      </c>
      <c r="J157" s="75">
        <v>220</v>
      </c>
      <c r="K157" s="75"/>
      <c r="L157" s="14"/>
      <c r="M157" s="75"/>
      <c r="N157" s="14"/>
      <c r="O157" s="14"/>
    </row>
    <row r="158" spans="1:15" x14ac:dyDescent="0.25">
      <c r="A158" s="86">
        <v>45465</v>
      </c>
      <c r="B158" s="55" t="s">
        <v>2088</v>
      </c>
      <c r="C158" s="55" t="s">
        <v>43</v>
      </c>
      <c r="D158" s="75">
        <f t="shared" si="8"/>
        <v>172.72727272727272</v>
      </c>
      <c r="E158" s="75">
        <f t="shared" si="6"/>
        <v>17.272727272727273</v>
      </c>
      <c r="F158" s="75">
        <v>190</v>
      </c>
      <c r="G158" s="75">
        <v>50</v>
      </c>
      <c r="H158" s="58">
        <f t="shared" si="7"/>
        <v>140</v>
      </c>
      <c r="I158" s="14" t="s">
        <v>2243</v>
      </c>
      <c r="J158" s="75">
        <v>170</v>
      </c>
      <c r="K158" s="75">
        <v>20</v>
      </c>
      <c r="L158" s="14" t="s">
        <v>252</v>
      </c>
      <c r="M158" s="75"/>
      <c r="N158" s="14"/>
      <c r="O158" s="14"/>
    </row>
    <row r="159" spans="1:15" x14ac:dyDescent="0.25">
      <c r="A159" s="86">
        <v>45465</v>
      </c>
      <c r="B159" s="55" t="s">
        <v>2089</v>
      </c>
      <c r="C159" s="55" t="s">
        <v>43</v>
      </c>
      <c r="D159" s="75">
        <f t="shared" si="8"/>
        <v>154.54545454545453</v>
      </c>
      <c r="E159" s="75">
        <f t="shared" si="6"/>
        <v>15.454545454545453</v>
      </c>
      <c r="F159" s="75">
        <v>170</v>
      </c>
      <c r="G159" s="75">
        <v>50</v>
      </c>
      <c r="H159" s="58">
        <f t="shared" si="7"/>
        <v>120</v>
      </c>
      <c r="I159" s="14" t="s">
        <v>2244</v>
      </c>
      <c r="J159" s="75">
        <v>170</v>
      </c>
      <c r="K159" s="75"/>
      <c r="L159" s="14"/>
      <c r="M159" s="75"/>
      <c r="N159" s="14"/>
      <c r="O159" s="14"/>
    </row>
    <row r="160" spans="1:15" x14ac:dyDescent="0.25">
      <c r="A160" s="86">
        <v>45465</v>
      </c>
      <c r="B160" s="55" t="s">
        <v>2090</v>
      </c>
      <c r="C160" s="55" t="s">
        <v>43</v>
      </c>
      <c r="D160" s="75">
        <f t="shared" si="8"/>
        <v>190.90909090909091</v>
      </c>
      <c r="E160" s="75">
        <f t="shared" si="6"/>
        <v>19.09090909090909</v>
      </c>
      <c r="F160" s="75">
        <v>210</v>
      </c>
      <c r="G160" s="75">
        <v>50</v>
      </c>
      <c r="H160" s="58">
        <f t="shared" si="7"/>
        <v>160</v>
      </c>
      <c r="I160" s="14" t="s">
        <v>2245</v>
      </c>
      <c r="J160" s="75">
        <v>170</v>
      </c>
      <c r="K160" s="75">
        <v>40</v>
      </c>
      <c r="L160" s="14" t="s">
        <v>252</v>
      </c>
      <c r="M160" s="75"/>
      <c r="N160" s="14"/>
      <c r="O160" s="14"/>
    </row>
    <row r="161" spans="1:15" x14ac:dyDescent="0.25">
      <c r="A161" s="86">
        <v>45465</v>
      </c>
      <c r="B161" s="55" t="s">
        <v>2091</v>
      </c>
      <c r="C161" s="55" t="s">
        <v>43</v>
      </c>
      <c r="D161" s="75">
        <f t="shared" si="8"/>
        <v>181.81818181818181</v>
      </c>
      <c r="E161" s="75">
        <f t="shared" si="6"/>
        <v>18.18181818181818</v>
      </c>
      <c r="F161" s="75">
        <v>200</v>
      </c>
      <c r="G161" s="75">
        <v>50</v>
      </c>
      <c r="H161" s="58">
        <f t="shared" si="7"/>
        <v>150</v>
      </c>
      <c r="I161" s="14" t="s">
        <v>2246</v>
      </c>
      <c r="J161" s="75">
        <v>170</v>
      </c>
      <c r="K161" s="75">
        <v>30</v>
      </c>
      <c r="L161" s="14" t="s">
        <v>252</v>
      </c>
      <c r="M161" s="75"/>
      <c r="N161" s="14"/>
      <c r="O161" s="14"/>
    </row>
    <row r="162" spans="1:15" x14ac:dyDescent="0.25">
      <c r="A162" s="86">
        <v>45465</v>
      </c>
      <c r="B162" s="55" t="s">
        <v>2092</v>
      </c>
      <c r="C162" s="55" t="s">
        <v>43</v>
      </c>
      <c r="D162" s="75">
        <f t="shared" si="8"/>
        <v>154.54545454545453</v>
      </c>
      <c r="E162" s="75">
        <f t="shared" si="6"/>
        <v>15.454545454545453</v>
      </c>
      <c r="F162" s="75">
        <v>170</v>
      </c>
      <c r="G162" s="75">
        <v>50</v>
      </c>
      <c r="H162" s="58">
        <f t="shared" si="7"/>
        <v>120</v>
      </c>
      <c r="I162" s="14" t="s">
        <v>2247</v>
      </c>
      <c r="J162" s="75">
        <v>170</v>
      </c>
      <c r="K162" s="75"/>
      <c r="L162" s="14"/>
      <c r="M162" s="75"/>
      <c r="N162" s="14"/>
      <c r="O162" s="14"/>
    </row>
    <row r="163" spans="1:15" x14ac:dyDescent="0.25">
      <c r="A163" s="86">
        <v>45465</v>
      </c>
      <c r="B163" s="55" t="s">
        <v>2093</v>
      </c>
      <c r="C163" s="55" t="s">
        <v>43</v>
      </c>
      <c r="D163" s="75">
        <f t="shared" si="8"/>
        <v>181.81818181818181</v>
      </c>
      <c r="E163" s="75">
        <f t="shared" si="6"/>
        <v>18.18181818181818</v>
      </c>
      <c r="F163" s="75">
        <v>200</v>
      </c>
      <c r="G163" s="75">
        <v>50</v>
      </c>
      <c r="H163" s="58">
        <f t="shared" si="7"/>
        <v>150</v>
      </c>
      <c r="I163" s="14" t="s">
        <v>2248</v>
      </c>
      <c r="J163" s="75">
        <v>170</v>
      </c>
      <c r="K163" s="75">
        <v>30</v>
      </c>
      <c r="L163" s="14" t="s">
        <v>252</v>
      </c>
      <c r="M163" s="75"/>
      <c r="N163" s="14"/>
      <c r="O163" s="14"/>
    </row>
    <row r="164" spans="1:15" x14ac:dyDescent="0.25">
      <c r="A164" s="86">
        <v>45465</v>
      </c>
      <c r="B164" s="55" t="s">
        <v>2094</v>
      </c>
      <c r="C164" s="55" t="s">
        <v>43</v>
      </c>
      <c r="D164" s="75">
        <f t="shared" si="8"/>
        <v>81.818181818181813</v>
      </c>
      <c r="E164" s="75">
        <f t="shared" si="6"/>
        <v>8.1818181818181817</v>
      </c>
      <c r="F164" s="75">
        <v>90</v>
      </c>
      <c r="G164" s="75">
        <v>50</v>
      </c>
      <c r="H164" s="58">
        <f t="shared" si="7"/>
        <v>40</v>
      </c>
      <c r="I164" s="14" t="s">
        <v>2249</v>
      </c>
      <c r="J164" s="75">
        <v>90</v>
      </c>
      <c r="K164" s="75"/>
      <c r="L164" s="14"/>
      <c r="M164" s="75"/>
      <c r="N164" s="14"/>
      <c r="O164" s="14"/>
    </row>
    <row r="165" spans="1:15" x14ac:dyDescent="0.25">
      <c r="A165" s="86">
        <v>45465</v>
      </c>
      <c r="B165" s="55" t="s">
        <v>2095</v>
      </c>
      <c r="C165" s="55" t="s">
        <v>43</v>
      </c>
      <c r="D165" s="75">
        <f t="shared" si="8"/>
        <v>154.54545454545453</v>
      </c>
      <c r="E165" s="75">
        <f t="shared" si="6"/>
        <v>15.454545454545453</v>
      </c>
      <c r="F165" s="75">
        <v>170</v>
      </c>
      <c r="G165" s="75">
        <v>50</v>
      </c>
      <c r="H165" s="58">
        <f t="shared" si="7"/>
        <v>120</v>
      </c>
      <c r="I165" s="14" t="s">
        <v>2250</v>
      </c>
      <c r="J165" s="75">
        <v>170</v>
      </c>
      <c r="K165" s="75"/>
      <c r="L165" s="14"/>
      <c r="M165" s="75"/>
      <c r="N165" s="14"/>
      <c r="O165" s="14"/>
    </row>
    <row r="166" spans="1:15" x14ac:dyDescent="0.25">
      <c r="A166" s="86">
        <v>45465</v>
      </c>
      <c r="B166" s="55" t="s">
        <v>2096</v>
      </c>
      <c r="C166" s="55" t="s">
        <v>43</v>
      </c>
      <c r="D166" s="75">
        <f t="shared" si="8"/>
        <v>181.81818181818181</v>
      </c>
      <c r="E166" s="75">
        <f t="shared" si="6"/>
        <v>18.18181818181818</v>
      </c>
      <c r="F166" s="75">
        <v>200</v>
      </c>
      <c r="G166" s="75">
        <v>50</v>
      </c>
      <c r="H166" s="58">
        <f t="shared" si="7"/>
        <v>150</v>
      </c>
      <c r="I166" s="14" t="s">
        <v>2312</v>
      </c>
      <c r="J166" s="75">
        <v>170</v>
      </c>
      <c r="K166" s="75">
        <v>30</v>
      </c>
      <c r="L166" s="14" t="s">
        <v>252</v>
      </c>
      <c r="M166" s="75"/>
      <c r="N166" s="14"/>
      <c r="O166" s="14"/>
    </row>
    <row r="167" spans="1:15" x14ac:dyDescent="0.25">
      <c r="A167" s="86">
        <v>45465</v>
      </c>
      <c r="B167" s="55" t="s">
        <v>2097</v>
      </c>
      <c r="C167" s="55" t="s">
        <v>43</v>
      </c>
      <c r="D167" s="75">
        <f t="shared" si="8"/>
        <v>245.45454545454544</v>
      </c>
      <c r="E167" s="75">
        <f t="shared" si="6"/>
        <v>24.545454545454547</v>
      </c>
      <c r="F167" s="75">
        <v>270</v>
      </c>
      <c r="G167" s="75">
        <v>50</v>
      </c>
      <c r="H167" s="58">
        <f t="shared" si="7"/>
        <v>220</v>
      </c>
      <c r="I167" s="14" t="s">
        <v>2206</v>
      </c>
      <c r="J167" s="75">
        <v>270</v>
      </c>
      <c r="K167" s="75"/>
      <c r="L167" s="14"/>
      <c r="M167" s="75"/>
      <c r="N167" s="14"/>
      <c r="O167" s="14"/>
    </row>
    <row r="168" spans="1:15" x14ac:dyDescent="0.25">
      <c r="A168" s="86">
        <v>45465</v>
      </c>
      <c r="B168" s="55" t="s">
        <v>2098</v>
      </c>
      <c r="C168" s="55" t="s">
        <v>43</v>
      </c>
      <c r="D168" s="75">
        <f t="shared" si="8"/>
        <v>245.45454545454544</v>
      </c>
      <c r="E168" s="75">
        <f t="shared" si="6"/>
        <v>24.545454545454547</v>
      </c>
      <c r="F168" s="75">
        <v>270</v>
      </c>
      <c r="G168" s="75">
        <v>50</v>
      </c>
      <c r="H168" s="58">
        <f t="shared" si="7"/>
        <v>220</v>
      </c>
      <c r="I168" s="14" t="s">
        <v>2313</v>
      </c>
      <c r="J168" s="75">
        <v>270</v>
      </c>
      <c r="K168" s="75"/>
      <c r="L168" s="14"/>
      <c r="M168" s="75"/>
      <c r="N168" s="14"/>
      <c r="O168" s="14"/>
    </row>
    <row r="169" spans="1:15" x14ac:dyDescent="0.25">
      <c r="A169" s="86">
        <v>45465</v>
      </c>
      <c r="B169" s="55" t="s">
        <v>2251</v>
      </c>
      <c r="C169" s="55" t="s">
        <v>43</v>
      </c>
      <c r="D169" s="75">
        <f t="shared" si="8"/>
        <v>177.27272727272725</v>
      </c>
      <c r="E169" s="75">
        <f t="shared" si="6"/>
        <v>17.727272727272727</v>
      </c>
      <c r="F169" s="75">
        <v>195</v>
      </c>
      <c r="G169" s="75">
        <v>50</v>
      </c>
      <c r="H169" s="75">
        <f t="shared" si="7"/>
        <v>145</v>
      </c>
      <c r="I169" s="14" t="s">
        <v>2314</v>
      </c>
      <c r="J169" s="75">
        <v>195</v>
      </c>
      <c r="K169" s="75"/>
      <c r="L169" s="14"/>
      <c r="M169" s="14"/>
      <c r="N169" s="14"/>
      <c r="O169" s="14"/>
    </row>
    <row r="170" spans="1:15" x14ac:dyDescent="0.25">
      <c r="A170" s="86">
        <v>45465</v>
      </c>
      <c r="B170" s="55" t="s">
        <v>2252</v>
      </c>
      <c r="C170" s="55" t="s">
        <v>43</v>
      </c>
      <c r="D170" s="75">
        <f t="shared" si="8"/>
        <v>245.45454545454544</v>
      </c>
      <c r="E170" s="75">
        <f t="shared" si="6"/>
        <v>24.545454545454547</v>
      </c>
      <c r="F170" s="75">
        <v>270</v>
      </c>
      <c r="G170" s="75">
        <v>50</v>
      </c>
      <c r="H170" s="75">
        <f t="shared" si="7"/>
        <v>220</v>
      </c>
      <c r="I170" s="14" t="s">
        <v>2315</v>
      </c>
      <c r="J170" s="75">
        <v>270</v>
      </c>
      <c r="K170" s="75"/>
      <c r="L170" s="14"/>
      <c r="M170" s="14"/>
      <c r="N170" s="14"/>
      <c r="O170" s="14"/>
    </row>
    <row r="171" spans="1:15" x14ac:dyDescent="0.25">
      <c r="A171" s="86">
        <v>45465</v>
      </c>
      <c r="B171" s="55" t="s">
        <v>2253</v>
      </c>
      <c r="C171" s="55" t="s">
        <v>43</v>
      </c>
      <c r="D171" s="75">
        <f t="shared" si="8"/>
        <v>245.45454545454544</v>
      </c>
      <c r="E171" s="75">
        <f t="shared" si="6"/>
        <v>24.545454545454547</v>
      </c>
      <c r="F171" s="75">
        <v>270</v>
      </c>
      <c r="G171" s="75">
        <v>270</v>
      </c>
      <c r="H171" s="75">
        <f t="shared" si="7"/>
        <v>0</v>
      </c>
      <c r="I171" s="14" t="s">
        <v>2316</v>
      </c>
      <c r="J171" s="75">
        <v>270</v>
      </c>
      <c r="K171" s="75"/>
      <c r="L171" s="14"/>
      <c r="M171" s="14"/>
      <c r="N171" s="14"/>
      <c r="O171" s="14"/>
    </row>
    <row r="172" spans="1:15" x14ac:dyDescent="0.25">
      <c r="A172" s="86">
        <v>45465</v>
      </c>
      <c r="B172" s="55" t="s">
        <v>2254</v>
      </c>
      <c r="C172" s="55" t="s">
        <v>43</v>
      </c>
      <c r="D172" s="75">
        <f t="shared" si="8"/>
        <v>172.72727272727272</v>
      </c>
      <c r="E172" s="75">
        <f t="shared" si="6"/>
        <v>17.272727272727273</v>
      </c>
      <c r="F172" s="75">
        <v>190</v>
      </c>
      <c r="G172" s="75">
        <v>50</v>
      </c>
      <c r="H172" s="75">
        <f t="shared" si="7"/>
        <v>140</v>
      </c>
      <c r="I172" s="14" t="s">
        <v>2154</v>
      </c>
      <c r="J172" s="75">
        <v>190</v>
      </c>
      <c r="K172" s="75"/>
      <c r="L172" s="14"/>
      <c r="M172" s="14"/>
      <c r="N172" s="14"/>
      <c r="O172" s="14"/>
    </row>
    <row r="173" spans="1:15" x14ac:dyDescent="0.25">
      <c r="A173" s="86">
        <v>45465</v>
      </c>
      <c r="B173" s="55" t="s">
        <v>2255</v>
      </c>
      <c r="C173" s="55" t="s">
        <v>43</v>
      </c>
      <c r="D173" s="75">
        <f t="shared" si="8"/>
        <v>199.99999999999997</v>
      </c>
      <c r="E173" s="75">
        <f t="shared" si="6"/>
        <v>19.999999999999996</v>
      </c>
      <c r="F173" s="75">
        <v>220</v>
      </c>
      <c r="G173" s="75">
        <v>50</v>
      </c>
      <c r="H173" s="75">
        <f t="shared" si="7"/>
        <v>170</v>
      </c>
      <c r="I173" s="14" t="s">
        <v>2317</v>
      </c>
      <c r="J173" s="75">
        <v>220</v>
      </c>
      <c r="K173" s="75"/>
      <c r="L173" s="14"/>
      <c r="M173" s="14"/>
      <c r="N173" s="14"/>
      <c r="O173" s="14"/>
    </row>
    <row r="174" spans="1:15" x14ac:dyDescent="0.25">
      <c r="A174" s="86">
        <v>45465</v>
      </c>
      <c r="B174" s="55" t="s">
        <v>2256</v>
      </c>
      <c r="C174" s="55" t="s">
        <v>43</v>
      </c>
      <c r="D174" s="75">
        <f t="shared" si="8"/>
        <v>199.99999999999997</v>
      </c>
      <c r="E174" s="75">
        <f t="shared" si="6"/>
        <v>19.999999999999996</v>
      </c>
      <c r="F174" s="75">
        <v>220</v>
      </c>
      <c r="G174" s="75">
        <v>50</v>
      </c>
      <c r="H174" s="75">
        <f t="shared" si="7"/>
        <v>170</v>
      </c>
      <c r="I174" s="14" t="s">
        <v>1897</v>
      </c>
      <c r="J174" s="75">
        <v>220</v>
      </c>
      <c r="K174" s="75"/>
      <c r="L174" s="14"/>
      <c r="M174" s="14"/>
      <c r="N174" s="14"/>
      <c r="O174" s="14"/>
    </row>
    <row r="175" spans="1:15" x14ac:dyDescent="0.25">
      <c r="A175" s="86">
        <v>45465</v>
      </c>
      <c r="B175" s="55" t="s">
        <v>2257</v>
      </c>
      <c r="C175" s="55" t="s">
        <v>43</v>
      </c>
      <c r="D175" s="75">
        <f t="shared" si="8"/>
        <v>227.27272727272725</v>
      </c>
      <c r="E175" s="75">
        <f t="shared" si="6"/>
        <v>22.727272727272727</v>
      </c>
      <c r="F175" s="75">
        <v>250</v>
      </c>
      <c r="G175" s="75">
        <v>50</v>
      </c>
      <c r="H175" s="75">
        <f t="shared" si="7"/>
        <v>200</v>
      </c>
      <c r="I175" s="14" t="s">
        <v>2318</v>
      </c>
      <c r="J175" s="75">
        <v>220</v>
      </c>
      <c r="K175" s="75">
        <v>30</v>
      </c>
      <c r="L175" s="14" t="s">
        <v>252</v>
      </c>
      <c r="M175" s="14"/>
      <c r="N175" s="14"/>
      <c r="O175" s="14"/>
    </row>
    <row r="176" spans="1:15" x14ac:dyDescent="0.25">
      <c r="A176" s="86">
        <v>45465</v>
      </c>
      <c r="B176" s="55" t="s">
        <v>2258</v>
      </c>
      <c r="C176" s="55" t="s">
        <v>43</v>
      </c>
      <c r="D176" s="75">
        <f t="shared" si="8"/>
        <v>199.99999999999997</v>
      </c>
      <c r="E176" s="75">
        <f t="shared" si="6"/>
        <v>19.999999999999996</v>
      </c>
      <c r="F176" s="75">
        <v>220</v>
      </c>
      <c r="G176" s="75">
        <v>50</v>
      </c>
      <c r="H176" s="75">
        <f t="shared" si="7"/>
        <v>170</v>
      </c>
      <c r="I176" s="14" t="s">
        <v>2319</v>
      </c>
      <c r="J176" s="75">
        <v>220</v>
      </c>
      <c r="K176" s="75"/>
      <c r="L176" s="14"/>
      <c r="M176" s="14"/>
      <c r="N176" s="14"/>
      <c r="O176" s="14"/>
    </row>
    <row r="177" spans="1:15" x14ac:dyDescent="0.25">
      <c r="A177" s="86">
        <v>45465</v>
      </c>
      <c r="B177" s="55" t="s">
        <v>2259</v>
      </c>
      <c r="C177" s="55" t="s">
        <v>43</v>
      </c>
      <c r="D177" s="75">
        <f t="shared" si="8"/>
        <v>245.45454545454544</v>
      </c>
      <c r="E177" s="75">
        <f t="shared" si="6"/>
        <v>24.545454545454547</v>
      </c>
      <c r="F177" s="75">
        <v>270</v>
      </c>
      <c r="G177" s="75">
        <v>50</v>
      </c>
      <c r="H177" s="75">
        <f t="shared" si="7"/>
        <v>220</v>
      </c>
      <c r="I177" s="14" t="s">
        <v>2154</v>
      </c>
      <c r="J177" s="75">
        <v>270</v>
      </c>
      <c r="K177" s="75"/>
      <c r="L177" s="14"/>
      <c r="M177" s="14"/>
      <c r="N177" s="14"/>
      <c r="O177" s="14"/>
    </row>
    <row r="178" spans="1:15" x14ac:dyDescent="0.25">
      <c r="A178" s="86">
        <v>45466</v>
      </c>
      <c r="B178" s="55" t="s">
        <v>2260</v>
      </c>
      <c r="C178" s="55" t="s">
        <v>43</v>
      </c>
      <c r="D178" s="75">
        <f t="shared" si="8"/>
        <v>181.81818181818181</v>
      </c>
      <c r="E178" s="75">
        <f t="shared" si="6"/>
        <v>18.18181818181818</v>
      </c>
      <c r="F178" s="75">
        <v>200</v>
      </c>
      <c r="G178" s="75">
        <v>50</v>
      </c>
      <c r="H178" s="75">
        <f t="shared" si="7"/>
        <v>150</v>
      </c>
      <c r="I178" s="14" t="s">
        <v>2320</v>
      </c>
      <c r="J178" s="75">
        <v>170</v>
      </c>
      <c r="K178" s="75">
        <v>30</v>
      </c>
      <c r="L178" s="14" t="s">
        <v>252</v>
      </c>
      <c r="M178" s="14"/>
      <c r="N178" s="14"/>
      <c r="O178" s="14"/>
    </row>
    <row r="179" spans="1:15" x14ac:dyDescent="0.25">
      <c r="A179" s="86">
        <v>45466</v>
      </c>
      <c r="B179" s="55" t="s">
        <v>2261</v>
      </c>
      <c r="C179" s="55" t="s">
        <v>43</v>
      </c>
      <c r="D179" s="75">
        <f t="shared" si="8"/>
        <v>127.27272727272727</v>
      </c>
      <c r="E179" s="75">
        <f t="shared" si="6"/>
        <v>12.727272727272727</v>
      </c>
      <c r="F179" s="75">
        <v>140</v>
      </c>
      <c r="G179" s="75"/>
      <c r="H179" s="75">
        <f t="shared" si="7"/>
        <v>140</v>
      </c>
      <c r="I179" s="14" t="s">
        <v>603</v>
      </c>
      <c r="J179" s="75">
        <v>140</v>
      </c>
      <c r="K179" s="75"/>
      <c r="L179" s="14"/>
      <c r="M179" s="14"/>
      <c r="N179" s="14"/>
      <c r="O179" s="14"/>
    </row>
    <row r="180" spans="1:15" x14ac:dyDescent="0.25">
      <c r="A180" s="86">
        <v>45466</v>
      </c>
      <c r="B180" s="55" t="s">
        <v>2262</v>
      </c>
      <c r="C180" s="55" t="s">
        <v>43</v>
      </c>
      <c r="D180" s="75">
        <f t="shared" si="8"/>
        <v>281.81818181818181</v>
      </c>
      <c r="E180" s="75">
        <f t="shared" si="6"/>
        <v>28.18181818181818</v>
      </c>
      <c r="F180" s="75">
        <v>310</v>
      </c>
      <c r="G180" s="75">
        <v>50</v>
      </c>
      <c r="H180" s="75">
        <f t="shared" si="7"/>
        <v>260</v>
      </c>
      <c r="I180" s="14" t="s">
        <v>2321</v>
      </c>
      <c r="J180" s="75">
        <v>270</v>
      </c>
      <c r="K180" s="75">
        <v>40</v>
      </c>
      <c r="L180" s="14" t="s">
        <v>252</v>
      </c>
      <c r="M180" s="14"/>
      <c r="N180" s="14"/>
      <c r="O180" s="14"/>
    </row>
    <row r="181" spans="1:15" x14ac:dyDescent="0.25">
      <c r="A181" s="86">
        <v>45467</v>
      </c>
      <c r="B181" s="55" t="s">
        <v>2263</v>
      </c>
      <c r="C181" s="55" t="s">
        <v>43</v>
      </c>
      <c r="D181" s="75">
        <f t="shared" si="8"/>
        <v>127.27272727272727</v>
      </c>
      <c r="E181" s="75">
        <f t="shared" si="6"/>
        <v>12.727272727272727</v>
      </c>
      <c r="F181" s="75">
        <v>140</v>
      </c>
      <c r="G181" s="75"/>
      <c r="H181" s="75">
        <f t="shared" si="7"/>
        <v>140</v>
      </c>
      <c r="I181" s="14" t="s">
        <v>603</v>
      </c>
      <c r="J181" s="75">
        <v>140</v>
      </c>
      <c r="K181" s="75"/>
      <c r="L181" s="14"/>
      <c r="M181" s="14"/>
      <c r="N181" s="14"/>
      <c r="O181" s="14"/>
    </row>
    <row r="182" spans="1:15" x14ac:dyDescent="0.25">
      <c r="A182" s="86">
        <v>45467</v>
      </c>
      <c r="B182" s="55" t="s">
        <v>2264</v>
      </c>
      <c r="C182" s="55" t="s">
        <v>43</v>
      </c>
      <c r="D182" s="75">
        <f t="shared" si="8"/>
        <v>163.63636363636363</v>
      </c>
      <c r="E182" s="75">
        <f t="shared" si="6"/>
        <v>16.363636363636363</v>
      </c>
      <c r="F182" s="75">
        <v>180</v>
      </c>
      <c r="G182" s="75">
        <v>50</v>
      </c>
      <c r="H182" s="75">
        <f t="shared" si="7"/>
        <v>130</v>
      </c>
      <c r="I182" s="14" t="s">
        <v>2322</v>
      </c>
      <c r="J182" s="75">
        <v>180</v>
      </c>
      <c r="K182" s="75"/>
      <c r="L182" s="14"/>
      <c r="M182" s="14"/>
      <c r="N182" s="14"/>
      <c r="O182" s="14"/>
    </row>
    <row r="183" spans="1:15" x14ac:dyDescent="0.25">
      <c r="A183" s="86">
        <v>45467</v>
      </c>
      <c r="B183" s="55" t="s">
        <v>2265</v>
      </c>
      <c r="C183" s="55" t="s">
        <v>43</v>
      </c>
      <c r="D183" s="75">
        <f t="shared" si="8"/>
        <v>109.09090909090908</v>
      </c>
      <c r="E183" s="75">
        <f t="shared" si="6"/>
        <v>10.909090909090908</v>
      </c>
      <c r="F183" s="75">
        <v>120</v>
      </c>
      <c r="G183" s="75"/>
      <c r="H183" s="75">
        <f t="shared" si="7"/>
        <v>120</v>
      </c>
      <c r="I183" s="14" t="s">
        <v>604</v>
      </c>
      <c r="J183" s="75">
        <v>120</v>
      </c>
      <c r="K183" s="75"/>
      <c r="L183" s="14"/>
      <c r="M183" s="14"/>
      <c r="N183" s="14"/>
      <c r="O183" s="14"/>
    </row>
    <row r="184" spans="1:15" x14ac:dyDescent="0.25">
      <c r="A184" s="86">
        <v>45467</v>
      </c>
      <c r="B184" s="55" t="s">
        <v>2266</v>
      </c>
      <c r="C184" s="55" t="s">
        <v>43</v>
      </c>
      <c r="D184" s="75">
        <f t="shared" si="8"/>
        <v>154.54545454545453</v>
      </c>
      <c r="E184" s="75">
        <f t="shared" si="6"/>
        <v>15.454545454545453</v>
      </c>
      <c r="F184" s="75">
        <v>170</v>
      </c>
      <c r="G184" s="75"/>
      <c r="H184" s="75">
        <f t="shared" si="7"/>
        <v>170</v>
      </c>
      <c r="I184" s="14" t="s">
        <v>2323</v>
      </c>
      <c r="J184" s="75">
        <v>170</v>
      </c>
      <c r="K184" s="75"/>
      <c r="L184" s="14"/>
      <c r="M184" s="14"/>
      <c r="N184" s="14"/>
      <c r="O184" s="14"/>
    </row>
    <row r="185" spans="1:15" x14ac:dyDescent="0.25">
      <c r="A185" s="86">
        <v>45467</v>
      </c>
      <c r="B185" s="55" t="s">
        <v>2267</v>
      </c>
      <c r="C185" s="55" t="s">
        <v>43</v>
      </c>
      <c r="D185" s="75">
        <f t="shared" si="8"/>
        <v>181.81818181818181</v>
      </c>
      <c r="E185" s="75">
        <f t="shared" si="6"/>
        <v>18.18181818181818</v>
      </c>
      <c r="F185" s="75">
        <v>200</v>
      </c>
      <c r="G185" s="75"/>
      <c r="H185" s="75">
        <f t="shared" si="7"/>
        <v>200</v>
      </c>
      <c r="I185" s="14" t="s">
        <v>603</v>
      </c>
      <c r="J185" s="75">
        <v>200</v>
      </c>
      <c r="K185" s="75"/>
      <c r="L185" s="14"/>
      <c r="M185" s="14"/>
      <c r="N185" s="14"/>
      <c r="O185" s="14"/>
    </row>
    <row r="186" spans="1:15" x14ac:dyDescent="0.25">
      <c r="A186" s="86">
        <v>45467</v>
      </c>
      <c r="B186" s="55" t="s">
        <v>2268</v>
      </c>
      <c r="C186" s="55" t="s">
        <v>43</v>
      </c>
      <c r="D186" s="75">
        <f t="shared" si="8"/>
        <v>245.45454545454544</v>
      </c>
      <c r="E186" s="75">
        <f t="shared" si="6"/>
        <v>24.545454545454547</v>
      </c>
      <c r="F186" s="75">
        <v>270</v>
      </c>
      <c r="G186" s="75"/>
      <c r="H186" s="75">
        <f t="shared" si="7"/>
        <v>270</v>
      </c>
      <c r="I186" s="14" t="s">
        <v>2324</v>
      </c>
      <c r="J186" s="75">
        <v>270</v>
      </c>
      <c r="K186" s="75"/>
      <c r="L186" s="14"/>
      <c r="M186" s="14"/>
      <c r="N186" s="14"/>
      <c r="O186" s="14"/>
    </row>
    <row r="187" spans="1:15" x14ac:dyDescent="0.25">
      <c r="A187" s="86">
        <v>45469</v>
      </c>
      <c r="B187" s="55" t="s">
        <v>2269</v>
      </c>
      <c r="C187" s="55" t="s">
        <v>43</v>
      </c>
      <c r="D187" s="75">
        <f t="shared" si="8"/>
        <v>172.72727272727272</v>
      </c>
      <c r="E187" s="75">
        <f t="shared" si="6"/>
        <v>17.272727272727273</v>
      </c>
      <c r="F187" s="75">
        <v>190</v>
      </c>
      <c r="G187" s="75"/>
      <c r="H187" s="75">
        <f t="shared" si="7"/>
        <v>190</v>
      </c>
      <c r="I187" s="14" t="s">
        <v>2325</v>
      </c>
      <c r="J187" s="75">
        <v>190</v>
      </c>
      <c r="K187" s="75"/>
      <c r="L187" s="14"/>
      <c r="M187" s="14"/>
      <c r="N187" s="14"/>
      <c r="O187" s="14"/>
    </row>
    <row r="188" spans="1:15" x14ac:dyDescent="0.25">
      <c r="A188" s="86">
        <v>45470</v>
      </c>
      <c r="B188" s="55" t="s">
        <v>2270</v>
      </c>
      <c r="C188" s="55" t="s">
        <v>43</v>
      </c>
      <c r="D188" s="75">
        <f t="shared" si="8"/>
        <v>245.45454545454544</v>
      </c>
      <c r="E188" s="75">
        <f t="shared" si="6"/>
        <v>24.545454545454547</v>
      </c>
      <c r="F188" s="75">
        <v>270</v>
      </c>
      <c r="G188" s="75">
        <v>50</v>
      </c>
      <c r="H188" s="75">
        <f t="shared" si="7"/>
        <v>220</v>
      </c>
      <c r="I188" s="14" t="s">
        <v>2326</v>
      </c>
      <c r="J188" s="75">
        <v>270</v>
      </c>
      <c r="K188" s="75"/>
      <c r="L188" s="14"/>
      <c r="M188" s="14"/>
      <c r="N188" s="14"/>
      <c r="O188" s="14"/>
    </row>
    <row r="189" spans="1:15" x14ac:dyDescent="0.25">
      <c r="A189" s="86">
        <v>45470</v>
      </c>
      <c r="B189" s="55" t="s">
        <v>2271</v>
      </c>
      <c r="C189" s="55" t="s">
        <v>43</v>
      </c>
      <c r="D189" s="75">
        <f t="shared" si="8"/>
        <v>163.63636363636363</v>
      </c>
      <c r="E189" s="75">
        <f t="shared" si="6"/>
        <v>16.363636363636363</v>
      </c>
      <c r="F189" s="75">
        <v>180</v>
      </c>
      <c r="G189" s="75"/>
      <c r="H189" s="75">
        <f t="shared" si="7"/>
        <v>180</v>
      </c>
      <c r="I189" s="14" t="s">
        <v>603</v>
      </c>
      <c r="J189" s="75">
        <v>180</v>
      </c>
      <c r="K189" s="75"/>
      <c r="L189" s="14"/>
      <c r="M189" s="14"/>
      <c r="N189" s="14"/>
      <c r="O189" s="14"/>
    </row>
    <row r="190" spans="1:15" x14ac:dyDescent="0.25">
      <c r="A190" s="86">
        <v>45470</v>
      </c>
      <c r="B190" s="55" t="s">
        <v>2272</v>
      </c>
      <c r="C190" s="55" t="s">
        <v>43</v>
      </c>
      <c r="D190" s="75">
        <f t="shared" si="8"/>
        <v>222.72727272727272</v>
      </c>
      <c r="E190" s="75">
        <f t="shared" si="6"/>
        <v>22.27272727272727</v>
      </c>
      <c r="F190" s="75">
        <v>245</v>
      </c>
      <c r="G190" s="75"/>
      <c r="H190" s="75">
        <f t="shared" si="7"/>
        <v>245</v>
      </c>
      <c r="I190" s="14" t="s">
        <v>2234</v>
      </c>
      <c r="J190" s="75">
        <v>270</v>
      </c>
      <c r="K190" s="75">
        <v>30</v>
      </c>
      <c r="L190" s="14" t="s">
        <v>252</v>
      </c>
      <c r="M190" s="75">
        <v>45</v>
      </c>
      <c r="N190" s="14" t="s">
        <v>45</v>
      </c>
      <c r="O190" s="14"/>
    </row>
    <row r="191" spans="1:15" x14ac:dyDescent="0.25">
      <c r="A191" s="86">
        <v>45470</v>
      </c>
      <c r="B191" s="55" t="s">
        <v>2273</v>
      </c>
      <c r="C191" s="55" t="s">
        <v>43</v>
      </c>
      <c r="D191" s="75">
        <f t="shared" si="8"/>
        <v>286.36363636363632</v>
      </c>
      <c r="E191" s="75">
        <f t="shared" si="6"/>
        <v>28.63636363636363</v>
      </c>
      <c r="F191" s="75">
        <v>315</v>
      </c>
      <c r="G191" s="75"/>
      <c r="H191" s="75">
        <f t="shared" si="7"/>
        <v>315</v>
      </c>
      <c r="I191" s="14" t="s">
        <v>2327</v>
      </c>
      <c r="J191" s="75">
        <v>270</v>
      </c>
      <c r="K191" s="75"/>
      <c r="L191" s="14"/>
      <c r="M191" s="75">
        <v>45</v>
      </c>
      <c r="N191" s="14" t="s">
        <v>45</v>
      </c>
      <c r="O191" s="14"/>
    </row>
    <row r="192" spans="1:15" x14ac:dyDescent="0.25">
      <c r="A192" s="86">
        <v>45471</v>
      </c>
      <c r="B192" s="55" t="s">
        <v>2274</v>
      </c>
      <c r="C192" s="55" t="s">
        <v>43</v>
      </c>
      <c r="D192" s="75">
        <f t="shared" si="8"/>
        <v>145.45454545454544</v>
      </c>
      <c r="E192" s="75">
        <f t="shared" si="6"/>
        <v>14.545454545454545</v>
      </c>
      <c r="F192" s="75">
        <v>160</v>
      </c>
      <c r="G192" s="75"/>
      <c r="H192" s="75">
        <f t="shared" si="7"/>
        <v>160</v>
      </c>
      <c r="I192" s="14" t="s">
        <v>603</v>
      </c>
      <c r="J192" s="75">
        <v>160</v>
      </c>
      <c r="K192" s="75"/>
      <c r="L192" s="14"/>
      <c r="M192" s="14"/>
      <c r="N192" s="14"/>
      <c r="O192" s="14"/>
    </row>
    <row r="193" spans="1:15" x14ac:dyDescent="0.25">
      <c r="A193" s="86">
        <v>45471</v>
      </c>
      <c r="B193" s="55" t="s">
        <v>2275</v>
      </c>
      <c r="C193" s="55" t="s">
        <v>43</v>
      </c>
      <c r="D193" s="75">
        <f t="shared" si="8"/>
        <v>154.54545454545453</v>
      </c>
      <c r="E193" s="75">
        <f t="shared" si="6"/>
        <v>15.454545454545453</v>
      </c>
      <c r="F193" s="75">
        <v>170</v>
      </c>
      <c r="G193" s="75">
        <v>50</v>
      </c>
      <c r="H193" s="75">
        <f t="shared" si="7"/>
        <v>120</v>
      </c>
      <c r="I193" s="14" t="s">
        <v>2347</v>
      </c>
      <c r="J193" s="75">
        <v>170</v>
      </c>
      <c r="K193" s="75"/>
      <c r="L193" s="14"/>
      <c r="M193" s="14"/>
      <c r="N193" s="14"/>
      <c r="O193" s="14"/>
    </row>
    <row r="194" spans="1:15" x14ac:dyDescent="0.25">
      <c r="A194" s="86">
        <v>45471</v>
      </c>
      <c r="B194" s="55" t="s">
        <v>2276</v>
      </c>
      <c r="C194" s="55" t="s">
        <v>43</v>
      </c>
      <c r="D194" s="75">
        <f t="shared" si="8"/>
        <v>209.09090909090907</v>
      </c>
      <c r="E194" s="75">
        <f t="shared" si="6"/>
        <v>20.909090909090907</v>
      </c>
      <c r="F194" s="75">
        <v>230</v>
      </c>
      <c r="G194" s="75">
        <v>50</v>
      </c>
      <c r="H194" s="75">
        <f t="shared" si="7"/>
        <v>180</v>
      </c>
      <c r="I194" s="14" t="s">
        <v>2348</v>
      </c>
      <c r="J194" s="75">
        <v>170</v>
      </c>
      <c r="K194" s="75">
        <v>70</v>
      </c>
      <c r="L194" s="14" t="s">
        <v>252</v>
      </c>
      <c r="M194" s="14"/>
      <c r="N194" s="14"/>
      <c r="O194" s="14"/>
    </row>
    <row r="195" spans="1:15" x14ac:dyDescent="0.25">
      <c r="A195" s="86">
        <v>45471</v>
      </c>
      <c r="B195" s="55" t="s">
        <v>2277</v>
      </c>
      <c r="C195" s="55" t="s">
        <v>43</v>
      </c>
      <c r="D195" s="75">
        <f t="shared" si="8"/>
        <v>154.54545454545453</v>
      </c>
      <c r="E195" s="75">
        <f t="shared" ref="E195:E229" si="9">D195*10/100</f>
        <v>15.454545454545453</v>
      </c>
      <c r="F195" s="75">
        <v>170</v>
      </c>
      <c r="G195" s="75">
        <v>50</v>
      </c>
      <c r="H195" s="75">
        <f t="shared" ref="H195:H229" si="10">F195-G195</f>
        <v>120</v>
      </c>
      <c r="I195" s="14" t="s">
        <v>2349</v>
      </c>
      <c r="J195" s="75">
        <v>170</v>
      </c>
      <c r="K195" s="75"/>
      <c r="L195" s="14"/>
      <c r="M195" s="14"/>
      <c r="N195" s="14"/>
      <c r="O195" s="14"/>
    </row>
    <row r="196" spans="1:15" x14ac:dyDescent="0.25">
      <c r="A196" s="86">
        <v>45471</v>
      </c>
      <c r="B196" s="55" t="s">
        <v>2278</v>
      </c>
      <c r="C196" s="55" t="s">
        <v>43</v>
      </c>
      <c r="D196" s="75">
        <f t="shared" ref="D196:D229" si="11">F196/1.1</f>
        <v>181.81818181818181</v>
      </c>
      <c r="E196" s="75">
        <f t="shared" si="9"/>
        <v>18.18181818181818</v>
      </c>
      <c r="F196" s="75">
        <v>200</v>
      </c>
      <c r="G196" s="75"/>
      <c r="H196" s="75">
        <f t="shared" si="10"/>
        <v>200</v>
      </c>
      <c r="I196" s="14" t="s">
        <v>2350</v>
      </c>
      <c r="J196" s="75">
        <v>200</v>
      </c>
      <c r="K196" s="75"/>
      <c r="L196" s="14"/>
      <c r="M196" s="14"/>
      <c r="N196" s="14"/>
      <c r="O196" s="14"/>
    </row>
    <row r="197" spans="1:15" x14ac:dyDescent="0.25">
      <c r="A197" s="86">
        <v>45471</v>
      </c>
      <c r="B197" s="55" t="s">
        <v>2279</v>
      </c>
      <c r="C197" s="55" t="s">
        <v>43</v>
      </c>
      <c r="D197" s="75">
        <f t="shared" si="11"/>
        <v>227.27272727272725</v>
      </c>
      <c r="E197" s="75">
        <f t="shared" si="9"/>
        <v>22.727272727272727</v>
      </c>
      <c r="F197" s="75">
        <v>250</v>
      </c>
      <c r="G197" s="75">
        <v>250</v>
      </c>
      <c r="H197" s="75">
        <f t="shared" si="10"/>
        <v>0</v>
      </c>
      <c r="I197" s="14" t="s">
        <v>2351</v>
      </c>
      <c r="J197" s="75">
        <v>220</v>
      </c>
      <c r="K197" s="75">
        <v>30</v>
      </c>
      <c r="L197" s="14" t="s">
        <v>252</v>
      </c>
      <c r="M197" s="14"/>
      <c r="N197" s="14"/>
      <c r="O197" s="14"/>
    </row>
    <row r="198" spans="1:15" x14ac:dyDescent="0.25">
      <c r="A198" s="86">
        <v>45471</v>
      </c>
      <c r="B198" s="55" t="s">
        <v>2280</v>
      </c>
      <c r="C198" s="55" t="s">
        <v>43</v>
      </c>
      <c r="D198" s="75">
        <f t="shared" si="11"/>
        <v>172.72727272727272</v>
      </c>
      <c r="E198" s="75">
        <f t="shared" si="9"/>
        <v>17.272727272727273</v>
      </c>
      <c r="F198" s="75">
        <v>190</v>
      </c>
      <c r="G198" s="75">
        <v>50</v>
      </c>
      <c r="H198" s="75">
        <f t="shared" si="10"/>
        <v>140</v>
      </c>
      <c r="I198" s="14" t="s">
        <v>2352</v>
      </c>
      <c r="J198" s="75">
        <v>190</v>
      </c>
      <c r="K198" s="75"/>
      <c r="L198" s="14"/>
      <c r="M198" s="14"/>
      <c r="N198" s="14"/>
      <c r="O198" s="14"/>
    </row>
    <row r="199" spans="1:15" x14ac:dyDescent="0.25">
      <c r="A199" s="86">
        <v>45471</v>
      </c>
      <c r="B199" s="55" t="s">
        <v>2281</v>
      </c>
      <c r="C199" s="55" t="s">
        <v>43</v>
      </c>
      <c r="D199" s="75">
        <f t="shared" si="11"/>
        <v>172.72727272727272</v>
      </c>
      <c r="E199" s="75">
        <f t="shared" si="9"/>
        <v>17.272727272727273</v>
      </c>
      <c r="F199" s="75">
        <v>190</v>
      </c>
      <c r="G199" s="75"/>
      <c r="H199" s="75">
        <f t="shared" si="10"/>
        <v>190</v>
      </c>
      <c r="I199" s="14" t="s">
        <v>1398</v>
      </c>
      <c r="J199" s="75">
        <v>190</v>
      </c>
      <c r="K199" s="75"/>
      <c r="L199" s="14"/>
      <c r="M199" s="14"/>
      <c r="N199" s="14"/>
      <c r="O199" s="14"/>
    </row>
    <row r="200" spans="1:15" x14ac:dyDescent="0.25">
      <c r="A200" s="86">
        <v>45471</v>
      </c>
      <c r="B200" s="55" t="s">
        <v>2282</v>
      </c>
      <c r="C200" s="55" t="s">
        <v>43</v>
      </c>
      <c r="D200" s="75">
        <f t="shared" si="11"/>
        <v>236.36363636363635</v>
      </c>
      <c r="E200" s="75">
        <f t="shared" si="9"/>
        <v>23.636363636363637</v>
      </c>
      <c r="F200" s="75">
        <v>260</v>
      </c>
      <c r="G200" s="75">
        <v>50</v>
      </c>
      <c r="H200" s="75">
        <f t="shared" si="10"/>
        <v>210</v>
      </c>
      <c r="I200" s="14" t="s">
        <v>2353</v>
      </c>
      <c r="J200" s="75">
        <v>220</v>
      </c>
      <c r="K200" s="75">
        <v>40</v>
      </c>
      <c r="L200" s="14" t="s">
        <v>252</v>
      </c>
      <c r="M200" s="14"/>
      <c r="N200" s="14"/>
      <c r="O200" s="14"/>
    </row>
    <row r="201" spans="1:15" x14ac:dyDescent="0.25">
      <c r="A201" s="86">
        <v>45471</v>
      </c>
      <c r="B201" s="55" t="s">
        <v>2283</v>
      </c>
      <c r="C201" s="55" t="s">
        <v>43</v>
      </c>
      <c r="D201" s="75">
        <f t="shared" si="11"/>
        <v>227.27272727272725</v>
      </c>
      <c r="E201" s="75">
        <f t="shared" si="9"/>
        <v>22.727272727272727</v>
      </c>
      <c r="F201" s="75">
        <v>250</v>
      </c>
      <c r="G201" s="75">
        <v>50</v>
      </c>
      <c r="H201" s="75">
        <f t="shared" si="10"/>
        <v>200</v>
      </c>
      <c r="I201" s="14" t="s">
        <v>2153</v>
      </c>
      <c r="J201" s="75">
        <v>220</v>
      </c>
      <c r="K201" s="75">
        <v>30</v>
      </c>
      <c r="L201" s="14" t="s">
        <v>252</v>
      </c>
      <c r="M201" s="14"/>
      <c r="N201" s="14"/>
      <c r="O201" s="14"/>
    </row>
    <row r="202" spans="1:15" x14ac:dyDescent="0.25">
      <c r="A202" s="86">
        <v>45471</v>
      </c>
      <c r="B202" s="55" t="s">
        <v>2284</v>
      </c>
      <c r="C202" s="55" t="s">
        <v>43</v>
      </c>
      <c r="D202" s="75">
        <f t="shared" si="11"/>
        <v>236.36363636363635</v>
      </c>
      <c r="E202" s="75">
        <f t="shared" si="9"/>
        <v>23.636363636363637</v>
      </c>
      <c r="F202" s="75">
        <v>260</v>
      </c>
      <c r="G202" s="75">
        <v>50</v>
      </c>
      <c r="H202" s="75">
        <f t="shared" si="10"/>
        <v>210</v>
      </c>
      <c r="I202" s="14" t="s">
        <v>2354</v>
      </c>
      <c r="J202" s="75">
        <v>220</v>
      </c>
      <c r="K202" s="75">
        <v>40</v>
      </c>
      <c r="L202" s="14" t="s">
        <v>252</v>
      </c>
      <c r="M202" s="14"/>
      <c r="N202" s="14"/>
      <c r="O202" s="14"/>
    </row>
    <row r="203" spans="1:15" x14ac:dyDescent="0.25">
      <c r="A203" s="86">
        <v>45471</v>
      </c>
      <c r="B203" s="55" t="s">
        <v>2285</v>
      </c>
      <c r="C203" s="55" t="s">
        <v>43</v>
      </c>
      <c r="D203" s="75">
        <f t="shared" si="11"/>
        <v>245.45454545454544</v>
      </c>
      <c r="E203" s="75">
        <f t="shared" si="9"/>
        <v>24.545454545454547</v>
      </c>
      <c r="F203" s="75">
        <v>270</v>
      </c>
      <c r="G203" s="75">
        <v>50</v>
      </c>
      <c r="H203" s="75">
        <f t="shared" si="10"/>
        <v>220</v>
      </c>
      <c r="I203" s="14" t="s">
        <v>2355</v>
      </c>
      <c r="J203" s="75">
        <v>270</v>
      </c>
      <c r="K203" s="75"/>
      <c r="L203" s="14"/>
      <c r="M203" s="14"/>
      <c r="N203" s="14"/>
      <c r="O203" s="14"/>
    </row>
    <row r="204" spans="1:15" x14ac:dyDescent="0.25">
      <c r="A204" s="86">
        <v>45471</v>
      </c>
      <c r="B204" s="55" t="s">
        <v>2286</v>
      </c>
      <c r="C204" s="55" t="s">
        <v>43</v>
      </c>
      <c r="D204" s="75">
        <f t="shared" si="11"/>
        <v>286.36363636363632</v>
      </c>
      <c r="E204" s="75">
        <f t="shared" si="9"/>
        <v>28.63636363636363</v>
      </c>
      <c r="F204" s="75">
        <v>315</v>
      </c>
      <c r="G204" s="75">
        <v>50</v>
      </c>
      <c r="H204" s="75">
        <f t="shared" si="10"/>
        <v>265</v>
      </c>
      <c r="I204" s="14" t="s">
        <v>2356</v>
      </c>
      <c r="J204" s="75">
        <v>270</v>
      </c>
      <c r="K204" s="75"/>
      <c r="L204" s="14"/>
      <c r="M204" s="75">
        <v>45</v>
      </c>
      <c r="N204" s="14" t="s">
        <v>45</v>
      </c>
      <c r="O204" s="14"/>
    </row>
    <row r="205" spans="1:15" x14ac:dyDescent="0.25">
      <c r="A205" s="86">
        <v>45472</v>
      </c>
      <c r="B205" s="55" t="s">
        <v>2287</v>
      </c>
      <c r="C205" s="55" t="s">
        <v>43</v>
      </c>
      <c r="D205" s="75">
        <f t="shared" si="11"/>
        <v>181.81818181818181</v>
      </c>
      <c r="E205" s="75">
        <f t="shared" si="9"/>
        <v>18.18181818181818</v>
      </c>
      <c r="F205" s="75">
        <v>200</v>
      </c>
      <c r="G205" s="75">
        <v>50</v>
      </c>
      <c r="H205" s="75">
        <f t="shared" si="10"/>
        <v>150</v>
      </c>
      <c r="I205" s="14" t="s">
        <v>2357</v>
      </c>
      <c r="J205" s="75">
        <v>170</v>
      </c>
      <c r="K205" s="75">
        <v>30</v>
      </c>
      <c r="L205" s="14" t="s">
        <v>252</v>
      </c>
      <c r="M205" s="14"/>
      <c r="N205" s="14"/>
      <c r="O205" s="14"/>
    </row>
    <row r="206" spans="1:15" x14ac:dyDescent="0.25">
      <c r="A206" s="86">
        <v>45472</v>
      </c>
      <c r="B206" s="55" t="s">
        <v>2288</v>
      </c>
      <c r="C206" s="55" t="s">
        <v>43</v>
      </c>
      <c r="D206" s="75">
        <f t="shared" si="11"/>
        <v>181.81818181818181</v>
      </c>
      <c r="E206" s="75">
        <f t="shared" si="9"/>
        <v>18.18181818181818</v>
      </c>
      <c r="F206" s="75">
        <v>200</v>
      </c>
      <c r="G206" s="75">
        <v>50</v>
      </c>
      <c r="H206" s="75">
        <f t="shared" si="10"/>
        <v>150</v>
      </c>
      <c r="I206" s="14" t="s">
        <v>2154</v>
      </c>
      <c r="J206" s="75">
        <v>170</v>
      </c>
      <c r="K206" s="75">
        <v>30</v>
      </c>
      <c r="L206" s="14" t="s">
        <v>252</v>
      </c>
      <c r="M206" s="14"/>
      <c r="N206" s="14"/>
      <c r="O206" s="14"/>
    </row>
    <row r="207" spans="1:15" x14ac:dyDescent="0.25">
      <c r="A207" s="86">
        <v>45472</v>
      </c>
      <c r="B207" s="55" t="s">
        <v>2289</v>
      </c>
      <c r="C207" s="55" t="s">
        <v>43</v>
      </c>
      <c r="D207" s="75">
        <f t="shared" si="11"/>
        <v>127.27272727272727</v>
      </c>
      <c r="E207" s="75">
        <f t="shared" si="9"/>
        <v>12.727272727272727</v>
      </c>
      <c r="F207" s="75">
        <v>140</v>
      </c>
      <c r="G207" s="75"/>
      <c r="H207" s="75">
        <f t="shared" si="10"/>
        <v>140</v>
      </c>
      <c r="I207" s="14" t="s">
        <v>1837</v>
      </c>
      <c r="J207" s="75">
        <v>140</v>
      </c>
      <c r="K207" s="75"/>
      <c r="L207" s="14"/>
      <c r="M207" s="14"/>
      <c r="N207" s="14"/>
      <c r="O207" s="14"/>
    </row>
    <row r="208" spans="1:15" x14ac:dyDescent="0.25">
      <c r="A208" s="86">
        <v>45472</v>
      </c>
      <c r="B208" s="55" t="s">
        <v>2290</v>
      </c>
      <c r="C208" s="55" t="s">
        <v>43</v>
      </c>
      <c r="D208" s="75">
        <f t="shared" si="11"/>
        <v>263.63636363636363</v>
      </c>
      <c r="E208" s="75">
        <f t="shared" si="9"/>
        <v>26.36363636363636</v>
      </c>
      <c r="F208" s="75">
        <v>290</v>
      </c>
      <c r="G208" s="75">
        <v>50</v>
      </c>
      <c r="H208" s="75">
        <f t="shared" si="10"/>
        <v>240</v>
      </c>
      <c r="I208" s="14" t="s">
        <v>2358</v>
      </c>
      <c r="J208" s="75">
        <v>290</v>
      </c>
      <c r="K208" s="75"/>
      <c r="L208" s="14"/>
      <c r="M208" s="14"/>
      <c r="N208" s="14"/>
      <c r="O208" s="14"/>
    </row>
    <row r="209" spans="1:15" x14ac:dyDescent="0.25">
      <c r="A209" s="86">
        <v>45472</v>
      </c>
      <c r="B209" s="55" t="s">
        <v>2291</v>
      </c>
      <c r="C209" s="55" t="s">
        <v>43</v>
      </c>
      <c r="D209" s="75">
        <f t="shared" si="11"/>
        <v>154.54545454545453</v>
      </c>
      <c r="E209" s="75">
        <f t="shared" si="9"/>
        <v>15.454545454545453</v>
      </c>
      <c r="F209" s="75">
        <v>170</v>
      </c>
      <c r="G209" s="75">
        <v>50</v>
      </c>
      <c r="H209" s="75">
        <f t="shared" si="10"/>
        <v>120</v>
      </c>
      <c r="I209" s="14" t="s">
        <v>2359</v>
      </c>
      <c r="J209" s="75">
        <v>170</v>
      </c>
      <c r="K209" s="75"/>
      <c r="L209" s="14"/>
      <c r="M209" s="14"/>
      <c r="N209" s="14"/>
      <c r="O209" s="14"/>
    </row>
    <row r="210" spans="1:15" x14ac:dyDescent="0.25">
      <c r="A210" s="86">
        <v>45472</v>
      </c>
      <c r="B210" s="55" t="s">
        <v>2292</v>
      </c>
      <c r="C210" s="55" t="s">
        <v>43</v>
      </c>
      <c r="D210" s="75">
        <f t="shared" si="11"/>
        <v>227.27272727272725</v>
      </c>
      <c r="E210" s="75">
        <f t="shared" si="9"/>
        <v>22.727272727272727</v>
      </c>
      <c r="F210" s="75">
        <v>250</v>
      </c>
      <c r="G210" s="75">
        <v>50</v>
      </c>
      <c r="H210" s="75">
        <f t="shared" si="10"/>
        <v>200</v>
      </c>
      <c r="I210" s="14" t="s">
        <v>2360</v>
      </c>
      <c r="J210" s="75">
        <v>220</v>
      </c>
      <c r="K210" s="75">
        <v>30</v>
      </c>
      <c r="L210" s="14" t="s">
        <v>252</v>
      </c>
      <c r="M210" s="14"/>
      <c r="N210" s="14"/>
      <c r="O210" s="14"/>
    </row>
    <row r="211" spans="1:15" x14ac:dyDescent="0.25">
      <c r="A211" s="86">
        <v>45472</v>
      </c>
      <c r="B211" s="55" t="s">
        <v>2293</v>
      </c>
      <c r="C211" s="55" t="s">
        <v>43</v>
      </c>
      <c r="D211" s="75">
        <f t="shared" si="11"/>
        <v>245.45454545454544</v>
      </c>
      <c r="E211" s="75">
        <f t="shared" si="9"/>
        <v>24.545454545454547</v>
      </c>
      <c r="F211" s="75">
        <v>270</v>
      </c>
      <c r="G211" s="75">
        <v>50</v>
      </c>
      <c r="H211" s="75">
        <f t="shared" si="10"/>
        <v>220</v>
      </c>
      <c r="I211" s="14" t="s">
        <v>2361</v>
      </c>
      <c r="J211" s="75">
        <v>270</v>
      </c>
      <c r="K211" s="75"/>
      <c r="L211" s="14"/>
      <c r="M211" s="14"/>
      <c r="N211" s="14"/>
      <c r="O211" s="14"/>
    </row>
    <row r="212" spans="1:15" x14ac:dyDescent="0.25">
      <c r="A212" s="86">
        <v>45472</v>
      </c>
      <c r="B212" s="55" t="s">
        <v>2294</v>
      </c>
      <c r="C212" s="55" t="s">
        <v>43</v>
      </c>
      <c r="D212" s="75">
        <f t="shared" si="11"/>
        <v>272.72727272727269</v>
      </c>
      <c r="E212" s="75">
        <f t="shared" si="9"/>
        <v>27.27272727272727</v>
      </c>
      <c r="F212" s="75">
        <v>300</v>
      </c>
      <c r="G212" s="75">
        <v>50</v>
      </c>
      <c r="H212" s="75">
        <f t="shared" si="10"/>
        <v>250</v>
      </c>
      <c r="I212" s="14" t="s">
        <v>2362</v>
      </c>
      <c r="J212" s="75">
        <v>270</v>
      </c>
      <c r="K212" s="75">
        <v>30</v>
      </c>
      <c r="L212" s="14" t="s">
        <v>252</v>
      </c>
      <c r="M212" s="14"/>
      <c r="N212" s="14"/>
      <c r="O212" s="14"/>
    </row>
    <row r="213" spans="1:15" x14ac:dyDescent="0.25">
      <c r="A213" s="86">
        <v>45472</v>
      </c>
      <c r="B213" s="55" t="s">
        <v>2295</v>
      </c>
      <c r="C213" s="55" t="s">
        <v>43</v>
      </c>
      <c r="D213" s="75">
        <f t="shared" si="11"/>
        <v>127.27272727272727</v>
      </c>
      <c r="E213" s="75">
        <f t="shared" si="9"/>
        <v>12.727272727272727</v>
      </c>
      <c r="F213" s="75">
        <v>140</v>
      </c>
      <c r="G213" s="75"/>
      <c r="H213" s="75">
        <f t="shared" si="10"/>
        <v>140</v>
      </c>
      <c r="I213" s="14" t="s">
        <v>604</v>
      </c>
      <c r="J213" s="75">
        <v>140</v>
      </c>
      <c r="K213" s="75"/>
      <c r="L213" s="14"/>
      <c r="M213" s="14"/>
      <c r="N213" s="14"/>
      <c r="O213" s="14"/>
    </row>
    <row r="214" spans="1:15" x14ac:dyDescent="0.25">
      <c r="A214" s="86">
        <v>45472</v>
      </c>
      <c r="B214" s="55" t="s">
        <v>2296</v>
      </c>
      <c r="C214" s="55" t="s">
        <v>43</v>
      </c>
      <c r="D214" s="75">
        <f t="shared" si="11"/>
        <v>236.36363636363635</v>
      </c>
      <c r="E214" s="75">
        <f t="shared" si="9"/>
        <v>23.636363636363637</v>
      </c>
      <c r="F214" s="75">
        <v>260</v>
      </c>
      <c r="G214" s="75">
        <v>50</v>
      </c>
      <c r="H214" s="75">
        <f t="shared" si="10"/>
        <v>210</v>
      </c>
      <c r="I214" s="14" t="s">
        <v>2363</v>
      </c>
      <c r="J214" s="75">
        <v>220</v>
      </c>
      <c r="K214" s="75">
        <v>40</v>
      </c>
      <c r="L214" s="14" t="s">
        <v>252</v>
      </c>
      <c r="M214" s="14"/>
      <c r="N214" s="14"/>
      <c r="O214" s="14"/>
    </row>
    <row r="215" spans="1:15" x14ac:dyDescent="0.25">
      <c r="A215" s="86">
        <v>45472</v>
      </c>
      <c r="B215" s="55" t="s">
        <v>2297</v>
      </c>
      <c r="C215" s="55" t="s">
        <v>43</v>
      </c>
      <c r="D215" s="75">
        <f t="shared" si="11"/>
        <v>218.18181818181816</v>
      </c>
      <c r="E215" s="75">
        <f t="shared" si="9"/>
        <v>21.818181818181817</v>
      </c>
      <c r="F215" s="75">
        <v>240</v>
      </c>
      <c r="G215" s="75"/>
      <c r="H215" s="75">
        <f t="shared" si="10"/>
        <v>240</v>
      </c>
      <c r="I215" s="14" t="s">
        <v>2364</v>
      </c>
      <c r="J215" s="75">
        <v>240</v>
      </c>
      <c r="K215" s="75"/>
      <c r="L215" s="14"/>
      <c r="M215" s="14"/>
      <c r="N215" s="14"/>
      <c r="O215" s="14"/>
    </row>
    <row r="216" spans="1:15" x14ac:dyDescent="0.25">
      <c r="A216" s="86">
        <v>45472</v>
      </c>
      <c r="B216" s="55" t="s">
        <v>2298</v>
      </c>
      <c r="C216" s="55" t="s">
        <v>43</v>
      </c>
      <c r="D216" s="75">
        <f t="shared" si="11"/>
        <v>199.99999999999997</v>
      </c>
      <c r="E216" s="75">
        <f t="shared" si="9"/>
        <v>19.999999999999996</v>
      </c>
      <c r="F216" s="75">
        <v>220</v>
      </c>
      <c r="G216" s="75">
        <v>50</v>
      </c>
      <c r="H216" s="75">
        <f t="shared" si="10"/>
        <v>170</v>
      </c>
      <c r="I216" s="14" t="s">
        <v>2365</v>
      </c>
      <c r="J216" s="75">
        <v>220</v>
      </c>
      <c r="K216" s="75"/>
      <c r="L216" s="14"/>
      <c r="M216" s="14"/>
      <c r="N216" s="14"/>
      <c r="O216" s="14"/>
    </row>
    <row r="217" spans="1:15" x14ac:dyDescent="0.25">
      <c r="A217" s="86">
        <v>45472</v>
      </c>
      <c r="B217" s="55" t="s">
        <v>2299</v>
      </c>
      <c r="C217" s="55" t="s">
        <v>43</v>
      </c>
      <c r="D217" s="75">
        <f t="shared" si="11"/>
        <v>199.99999999999997</v>
      </c>
      <c r="E217" s="75">
        <f t="shared" si="9"/>
        <v>19.999999999999996</v>
      </c>
      <c r="F217" s="75">
        <v>220</v>
      </c>
      <c r="G217" s="75">
        <v>50</v>
      </c>
      <c r="H217" s="75">
        <f t="shared" si="10"/>
        <v>170</v>
      </c>
      <c r="I217" s="14" t="s">
        <v>2366</v>
      </c>
      <c r="J217" s="75">
        <v>220</v>
      </c>
      <c r="K217" s="75"/>
      <c r="L217" s="14"/>
      <c r="M217" s="14"/>
      <c r="N217" s="14"/>
      <c r="O217" s="14"/>
    </row>
    <row r="218" spans="1:15" x14ac:dyDescent="0.25">
      <c r="A218" s="86">
        <v>45472</v>
      </c>
      <c r="B218" s="55" t="s">
        <v>2300</v>
      </c>
      <c r="C218" s="55" t="s">
        <v>43</v>
      </c>
      <c r="D218" s="75">
        <f t="shared" si="11"/>
        <v>163.63636363636363</v>
      </c>
      <c r="E218" s="75">
        <f t="shared" si="9"/>
        <v>16.363636363636363</v>
      </c>
      <c r="F218" s="75">
        <v>180</v>
      </c>
      <c r="G218" s="75"/>
      <c r="H218" s="75">
        <f t="shared" si="10"/>
        <v>180</v>
      </c>
      <c r="I218" s="14" t="s">
        <v>1837</v>
      </c>
      <c r="J218" s="75">
        <v>180</v>
      </c>
      <c r="K218" s="75"/>
      <c r="L218" s="14"/>
      <c r="M218" s="14"/>
      <c r="N218" s="14"/>
      <c r="O218" s="14"/>
    </row>
    <row r="219" spans="1:15" x14ac:dyDescent="0.25">
      <c r="A219" s="86">
        <v>45472</v>
      </c>
      <c r="B219" s="55" t="s">
        <v>2301</v>
      </c>
      <c r="C219" s="55" t="s">
        <v>43</v>
      </c>
      <c r="D219" s="75">
        <f t="shared" si="11"/>
        <v>154.54545454545453</v>
      </c>
      <c r="E219" s="75">
        <f t="shared" si="9"/>
        <v>15.454545454545453</v>
      </c>
      <c r="F219" s="75">
        <v>170</v>
      </c>
      <c r="G219" s="75">
        <v>50</v>
      </c>
      <c r="H219" s="75">
        <f t="shared" si="10"/>
        <v>120</v>
      </c>
      <c r="I219" s="14" t="s">
        <v>2367</v>
      </c>
      <c r="J219" s="75">
        <v>170</v>
      </c>
      <c r="K219" s="75"/>
      <c r="L219" s="14"/>
      <c r="M219" s="14"/>
      <c r="N219" s="14"/>
      <c r="O219" s="14"/>
    </row>
    <row r="220" spans="1:15" x14ac:dyDescent="0.25">
      <c r="A220" s="86">
        <v>45472</v>
      </c>
      <c r="B220" s="55" t="s">
        <v>2302</v>
      </c>
      <c r="C220" s="55" t="s">
        <v>43</v>
      </c>
      <c r="D220" s="75">
        <f t="shared" si="11"/>
        <v>190.90909090909091</v>
      </c>
      <c r="E220" s="75">
        <f t="shared" si="9"/>
        <v>19.09090909090909</v>
      </c>
      <c r="F220" s="75">
        <v>210</v>
      </c>
      <c r="G220" s="75">
        <v>50</v>
      </c>
      <c r="H220" s="75">
        <f t="shared" si="10"/>
        <v>160</v>
      </c>
      <c r="I220" s="14" t="s">
        <v>2368</v>
      </c>
      <c r="J220" s="75">
        <v>170</v>
      </c>
      <c r="K220" s="75">
        <v>40</v>
      </c>
      <c r="L220" s="14" t="s">
        <v>252</v>
      </c>
      <c r="M220" s="14"/>
      <c r="N220" s="14"/>
      <c r="O220" s="14"/>
    </row>
    <row r="221" spans="1:15" x14ac:dyDescent="0.25">
      <c r="A221" s="86">
        <v>45472</v>
      </c>
      <c r="B221" s="55" t="s">
        <v>2303</v>
      </c>
      <c r="C221" s="55" t="s">
        <v>43</v>
      </c>
      <c r="D221" s="75">
        <f t="shared" si="11"/>
        <v>154.54545454545453</v>
      </c>
      <c r="E221" s="75">
        <f t="shared" si="9"/>
        <v>15.454545454545453</v>
      </c>
      <c r="F221" s="75">
        <v>170</v>
      </c>
      <c r="G221" s="75">
        <v>50</v>
      </c>
      <c r="H221" s="75">
        <f t="shared" si="10"/>
        <v>120</v>
      </c>
      <c r="I221" s="14" t="s">
        <v>2369</v>
      </c>
      <c r="J221" s="75">
        <v>170</v>
      </c>
      <c r="K221" s="75"/>
      <c r="L221" s="14"/>
      <c r="M221" s="14"/>
      <c r="N221" s="14"/>
      <c r="O221" s="14"/>
    </row>
    <row r="222" spans="1:15" x14ac:dyDescent="0.25">
      <c r="A222" s="86">
        <v>45472</v>
      </c>
      <c r="B222" s="55" t="s">
        <v>2304</v>
      </c>
      <c r="C222" s="55" t="s">
        <v>43</v>
      </c>
      <c r="D222" s="75">
        <f t="shared" si="11"/>
        <v>199.99999999999997</v>
      </c>
      <c r="E222" s="75">
        <f t="shared" si="9"/>
        <v>19.999999999999996</v>
      </c>
      <c r="F222" s="75">
        <v>220</v>
      </c>
      <c r="G222" s="75">
        <v>50</v>
      </c>
      <c r="H222" s="75">
        <f t="shared" si="10"/>
        <v>170</v>
      </c>
      <c r="I222" s="14" t="s">
        <v>2370</v>
      </c>
      <c r="J222" s="75">
        <v>220</v>
      </c>
      <c r="K222" s="75"/>
      <c r="L222" s="14"/>
      <c r="M222" s="14"/>
      <c r="N222" s="14"/>
      <c r="O222" s="14"/>
    </row>
    <row r="223" spans="1:15" x14ac:dyDescent="0.25">
      <c r="A223" s="86">
        <v>45472</v>
      </c>
      <c r="B223" s="55" t="s">
        <v>2305</v>
      </c>
      <c r="C223" s="55" t="s">
        <v>43</v>
      </c>
      <c r="D223" s="75">
        <f t="shared" si="11"/>
        <v>199.99999999999997</v>
      </c>
      <c r="E223" s="75">
        <f t="shared" si="9"/>
        <v>19.999999999999996</v>
      </c>
      <c r="F223" s="75">
        <v>220</v>
      </c>
      <c r="G223" s="75">
        <v>50</v>
      </c>
      <c r="H223" s="75">
        <f t="shared" si="10"/>
        <v>170</v>
      </c>
      <c r="I223" s="14" t="s">
        <v>2371</v>
      </c>
      <c r="J223" s="75">
        <v>220</v>
      </c>
      <c r="K223" s="75"/>
      <c r="L223" s="14"/>
      <c r="M223" s="14"/>
      <c r="N223" s="14"/>
      <c r="O223" s="14"/>
    </row>
    <row r="224" spans="1:15" x14ac:dyDescent="0.25">
      <c r="A224" s="86">
        <v>45472</v>
      </c>
      <c r="B224" s="55" t="s">
        <v>2306</v>
      </c>
      <c r="C224" s="55" t="s">
        <v>43</v>
      </c>
      <c r="D224" s="75">
        <f t="shared" si="11"/>
        <v>236.36363636363635</v>
      </c>
      <c r="E224" s="75">
        <f t="shared" si="9"/>
        <v>23.636363636363637</v>
      </c>
      <c r="F224" s="75">
        <v>260</v>
      </c>
      <c r="G224" s="75">
        <v>50</v>
      </c>
      <c r="H224" s="75">
        <f t="shared" si="10"/>
        <v>210</v>
      </c>
      <c r="I224" s="14" t="s">
        <v>2372</v>
      </c>
      <c r="J224" s="75">
        <v>220</v>
      </c>
      <c r="K224" s="75">
        <v>40</v>
      </c>
      <c r="L224" s="14" t="s">
        <v>252</v>
      </c>
      <c r="M224" s="14"/>
      <c r="N224" s="14"/>
      <c r="O224" s="14"/>
    </row>
    <row r="225" spans="1:15" x14ac:dyDescent="0.25">
      <c r="A225" s="86">
        <v>45472</v>
      </c>
      <c r="B225" s="55" t="s">
        <v>2307</v>
      </c>
      <c r="C225" s="55" t="s">
        <v>43</v>
      </c>
      <c r="D225" s="75">
        <f t="shared" si="11"/>
        <v>259.09090909090907</v>
      </c>
      <c r="E225" s="75">
        <f t="shared" si="9"/>
        <v>25.909090909090907</v>
      </c>
      <c r="F225" s="75">
        <v>285</v>
      </c>
      <c r="G225" s="75">
        <v>50</v>
      </c>
      <c r="H225" s="75">
        <f t="shared" si="10"/>
        <v>235</v>
      </c>
      <c r="I225" s="14" t="s">
        <v>2373</v>
      </c>
      <c r="J225" s="75">
        <v>220</v>
      </c>
      <c r="K225" s="75">
        <v>20</v>
      </c>
      <c r="L225" s="14" t="s">
        <v>252</v>
      </c>
      <c r="M225" s="75">
        <v>45</v>
      </c>
      <c r="N225" s="14" t="s">
        <v>45</v>
      </c>
      <c r="O225" s="14"/>
    </row>
    <row r="226" spans="1:15" x14ac:dyDescent="0.25">
      <c r="A226" s="86">
        <v>45473</v>
      </c>
      <c r="B226" s="55" t="s">
        <v>2308</v>
      </c>
      <c r="C226" s="55" t="s">
        <v>43</v>
      </c>
      <c r="D226" s="75">
        <f t="shared" si="11"/>
        <v>199.99999999999997</v>
      </c>
      <c r="E226" s="75">
        <f t="shared" si="9"/>
        <v>19.999999999999996</v>
      </c>
      <c r="F226" s="75">
        <v>220</v>
      </c>
      <c r="G226" s="75">
        <v>50</v>
      </c>
      <c r="H226" s="75">
        <f t="shared" si="10"/>
        <v>170</v>
      </c>
      <c r="I226" s="14" t="s">
        <v>2154</v>
      </c>
      <c r="J226" s="75">
        <v>220</v>
      </c>
      <c r="K226" s="75"/>
      <c r="L226" s="14"/>
      <c r="M226" s="14"/>
      <c r="N226" s="14"/>
      <c r="O226" s="14"/>
    </row>
    <row r="227" spans="1:15" x14ac:dyDescent="0.25">
      <c r="A227" s="86">
        <v>45473</v>
      </c>
      <c r="B227" s="55" t="s">
        <v>2309</v>
      </c>
      <c r="C227" s="55" t="s">
        <v>43</v>
      </c>
      <c r="D227" s="75">
        <f t="shared" si="11"/>
        <v>231.81818181818181</v>
      </c>
      <c r="E227" s="75">
        <f t="shared" si="9"/>
        <v>23.18181818181818</v>
      </c>
      <c r="F227" s="75">
        <v>255</v>
      </c>
      <c r="G227" s="75">
        <v>50</v>
      </c>
      <c r="H227" s="75">
        <f t="shared" si="10"/>
        <v>205</v>
      </c>
      <c r="I227" s="14" t="s">
        <v>2154</v>
      </c>
      <c r="J227" s="75">
        <v>210</v>
      </c>
      <c r="K227" s="75"/>
      <c r="L227" s="14"/>
      <c r="M227" s="75">
        <v>45</v>
      </c>
      <c r="N227" s="14" t="s">
        <v>45</v>
      </c>
      <c r="O227" s="14"/>
    </row>
    <row r="228" spans="1:15" x14ac:dyDescent="0.25">
      <c r="A228" s="86">
        <v>45473</v>
      </c>
      <c r="B228" s="55" t="s">
        <v>2310</v>
      </c>
      <c r="C228" s="55" t="s">
        <v>43</v>
      </c>
      <c r="D228" s="75">
        <f t="shared" si="11"/>
        <v>259.09090909090907</v>
      </c>
      <c r="E228" s="75">
        <f t="shared" si="9"/>
        <v>25.909090909090907</v>
      </c>
      <c r="F228" s="75">
        <v>285</v>
      </c>
      <c r="G228" s="75">
        <v>50</v>
      </c>
      <c r="H228" s="75">
        <f t="shared" si="10"/>
        <v>235</v>
      </c>
      <c r="I228" s="14" t="s">
        <v>2374</v>
      </c>
      <c r="J228" s="75">
        <v>220</v>
      </c>
      <c r="K228" s="75">
        <v>20</v>
      </c>
      <c r="L228" s="14" t="s">
        <v>252</v>
      </c>
      <c r="M228" s="75">
        <v>45</v>
      </c>
      <c r="N228" s="14" t="s">
        <v>45</v>
      </c>
      <c r="O228" s="14"/>
    </row>
    <row r="229" spans="1:15" x14ac:dyDescent="0.25">
      <c r="A229" s="86">
        <v>45473</v>
      </c>
      <c r="B229" s="55" t="s">
        <v>2311</v>
      </c>
      <c r="C229" s="55" t="s">
        <v>43</v>
      </c>
      <c r="D229" s="75">
        <f t="shared" si="11"/>
        <v>218.18181818181816</v>
      </c>
      <c r="E229" s="75">
        <f t="shared" si="9"/>
        <v>21.818181818181817</v>
      </c>
      <c r="F229" s="75">
        <v>240</v>
      </c>
      <c r="G229" s="75">
        <v>50</v>
      </c>
      <c r="H229" s="75">
        <f t="shared" si="10"/>
        <v>190</v>
      </c>
      <c r="I229" s="14" t="s">
        <v>2375</v>
      </c>
      <c r="J229" s="75">
        <v>220</v>
      </c>
      <c r="K229" s="75">
        <v>20</v>
      </c>
      <c r="L229" s="14" t="s">
        <v>252</v>
      </c>
      <c r="M229" s="14"/>
      <c r="N229" s="14"/>
      <c r="O229" s="14"/>
    </row>
    <row r="230" spans="1:15" x14ac:dyDescent="0.25">
      <c r="A230" s="189">
        <v>45473</v>
      </c>
      <c r="B230" s="190" t="s">
        <v>2518</v>
      </c>
      <c r="C230" s="190" t="s">
        <v>2812</v>
      </c>
      <c r="D230" s="132">
        <v>1904.77</v>
      </c>
      <c r="E230" s="132">
        <f>D230*21/100</f>
        <v>400.00169999999997</v>
      </c>
      <c r="F230" s="132">
        <f>D230+E230</f>
        <v>2304.7716999999998</v>
      </c>
      <c r="G230" s="132"/>
      <c r="H230" s="132">
        <v>2304.77</v>
      </c>
      <c r="I230" s="191" t="s">
        <v>2813</v>
      </c>
      <c r="J230" s="192"/>
      <c r="K230" s="192"/>
      <c r="L230" s="182"/>
    </row>
    <row r="231" spans="1:15" x14ac:dyDescent="0.25">
      <c r="A231" s="322" t="s">
        <v>11</v>
      </c>
      <c r="B231" s="322"/>
      <c r="C231" s="322"/>
      <c r="D231" s="160">
        <f>SUM(D3:D229)</f>
        <v>46200.909090909103</v>
      </c>
      <c r="E231" s="75">
        <f>SUM(E3:E230)</f>
        <v>5020.092609090907</v>
      </c>
      <c r="F231" s="75">
        <f>SUM(F3:F229)</f>
        <v>50821</v>
      </c>
      <c r="G231" s="75">
        <f>SUM(G3:G229)</f>
        <v>9520</v>
      </c>
      <c r="H231" s="75">
        <f>SUM(H3:H229)</f>
        <v>41301</v>
      </c>
      <c r="I231" s="191" t="s">
        <v>2814</v>
      </c>
      <c r="J231" t="s">
        <v>2815</v>
      </c>
    </row>
    <row r="232" spans="1:15" x14ac:dyDescent="0.25">
      <c r="D232" t="s">
        <v>2459</v>
      </c>
      <c r="E232" t="s">
        <v>408</v>
      </c>
      <c r="F232" t="s">
        <v>11</v>
      </c>
      <c r="G232" t="s">
        <v>2461</v>
      </c>
      <c r="H232" t="s">
        <v>42</v>
      </c>
    </row>
  </sheetData>
  <mergeCells count="15">
    <mergeCell ref="A231:C231"/>
    <mergeCell ref="F1:F2"/>
    <mergeCell ref="A1:A2"/>
    <mergeCell ref="B1:B2"/>
    <mergeCell ref="C1:C2"/>
    <mergeCell ref="D1:D2"/>
    <mergeCell ref="E1:E2"/>
    <mergeCell ref="N1:N2"/>
    <mergeCell ref="O1:O2"/>
    <mergeCell ref="G1:H1"/>
    <mergeCell ref="I1:I2"/>
    <mergeCell ref="J1:J2"/>
    <mergeCell ref="K1:K2"/>
    <mergeCell ref="L1:L2"/>
    <mergeCell ref="M1:M2"/>
  </mergeCells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9E59-44A9-4E98-AE9B-7FA6CDB2DE2C}">
  <dimension ref="A1:N135"/>
  <sheetViews>
    <sheetView topLeftCell="A73" workbookViewId="0">
      <selection activeCell="L82" sqref="L82"/>
    </sheetView>
  </sheetViews>
  <sheetFormatPr baseColWidth="10" defaultRowHeight="15" x14ac:dyDescent="0.25"/>
  <cols>
    <col min="2" max="2" width="36.7109375" customWidth="1"/>
    <col min="3" max="3" width="52.7109375" customWidth="1"/>
    <col min="4" max="4" width="15.85546875" customWidth="1"/>
    <col min="5" max="5" width="31.7109375" customWidth="1"/>
    <col min="6" max="6" width="18.140625" customWidth="1"/>
    <col min="7" max="7" width="12" bestFit="1" customWidth="1"/>
  </cols>
  <sheetData>
    <row r="1" spans="1:12" x14ac:dyDescent="0.25">
      <c r="A1" t="s">
        <v>0</v>
      </c>
      <c r="B1" s="1">
        <v>45474</v>
      </c>
    </row>
    <row r="3" spans="1:12" x14ac:dyDescent="0.2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2" x14ac:dyDescent="0.25">
      <c r="A4" s="11"/>
      <c r="B4" s="12"/>
      <c r="C4" s="13"/>
      <c r="D4" s="108"/>
      <c r="E4" s="15"/>
      <c r="F4" s="16"/>
      <c r="G4" s="16"/>
      <c r="H4" s="16"/>
      <c r="I4" s="9"/>
      <c r="J4" s="17"/>
      <c r="K4" s="9"/>
    </row>
    <row r="5" spans="1:12" x14ac:dyDescent="0.25">
      <c r="A5" s="11">
        <v>45474</v>
      </c>
      <c r="B5" s="12" t="s">
        <v>2923</v>
      </c>
      <c r="C5" s="13" t="s">
        <v>12</v>
      </c>
      <c r="D5" s="108" t="s">
        <v>13</v>
      </c>
      <c r="E5" s="15" t="s">
        <v>14</v>
      </c>
      <c r="F5" s="16">
        <v>1650</v>
      </c>
      <c r="G5" s="16"/>
      <c r="H5" s="16"/>
      <c r="I5" s="9">
        <f t="shared" ref="I5:I115" si="0">G5+H5</f>
        <v>0</v>
      </c>
      <c r="J5" s="17"/>
      <c r="K5" s="9">
        <f t="shared" ref="K5:K115" si="1">F5+I5-J5</f>
        <v>1650</v>
      </c>
      <c r="L5" t="s">
        <v>41</v>
      </c>
    </row>
    <row r="6" spans="1:12" x14ac:dyDescent="0.25">
      <c r="A6" s="5">
        <v>45481</v>
      </c>
      <c r="B6" s="6" t="s">
        <v>2512</v>
      </c>
      <c r="C6" s="28" t="s">
        <v>292</v>
      </c>
      <c r="D6" s="35" t="s">
        <v>293</v>
      </c>
      <c r="E6" s="14" t="s">
        <v>792</v>
      </c>
      <c r="F6" s="9">
        <v>126.95</v>
      </c>
      <c r="G6" s="9">
        <v>26.66</v>
      </c>
      <c r="H6" s="9"/>
      <c r="I6" s="9">
        <f t="shared" si="0"/>
        <v>26.66</v>
      </c>
      <c r="J6" s="23"/>
      <c r="K6" s="9">
        <f t="shared" si="1"/>
        <v>153.61000000000001</v>
      </c>
      <c r="L6" t="s">
        <v>295</v>
      </c>
    </row>
    <row r="7" spans="1:12" x14ac:dyDescent="0.25">
      <c r="A7" s="24">
        <v>45484</v>
      </c>
      <c r="B7" s="25" t="s">
        <v>2810</v>
      </c>
      <c r="C7" s="28" t="s">
        <v>292</v>
      </c>
      <c r="D7" s="35" t="s">
        <v>293</v>
      </c>
      <c r="E7" s="14" t="s">
        <v>792</v>
      </c>
      <c r="F7" s="9">
        <v>22.7</v>
      </c>
      <c r="G7" s="9">
        <v>2.98</v>
      </c>
      <c r="H7" s="22"/>
      <c r="I7" s="9">
        <f t="shared" si="0"/>
        <v>2.98</v>
      </c>
      <c r="J7" s="23"/>
      <c r="K7" s="9">
        <f t="shared" si="1"/>
        <v>25.68</v>
      </c>
      <c r="L7" t="s">
        <v>295</v>
      </c>
    </row>
    <row r="8" spans="1:12" x14ac:dyDescent="0.25">
      <c r="A8" s="18">
        <v>45481</v>
      </c>
      <c r="B8" s="27" t="s">
        <v>2513</v>
      </c>
      <c r="C8" s="28" t="s">
        <v>2514</v>
      </c>
      <c r="D8" s="152" t="s">
        <v>2515</v>
      </c>
      <c r="E8" s="29" t="s">
        <v>2516</v>
      </c>
      <c r="F8" s="22">
        <v>8</v>
      </c>
      <c r="G8" s="22">
        <v>1.26</v>
      </c>
      <c r="H8" s="30"/>
      <c r="I8" s="9">
        <f t="shared" si="0"/>
        <v>1.26</v>
      </c>
      <c r="J8" s="31"/>
      <c r="K8" s="9">
        <f t="shared" si="1"/>
        <v>9.26</v>
      </c>
      <c r="L8" t="s">
        <v>295</v>
      </c>
    </row>
    <row r="9" spans="1:12" x14ac:dyDescent="0.25">
      <c r="A9" s="18">
        <v>45475</v>
      </c>
      <c r="B9" s="27" t="s">
        <v>2791</v>
      </c>
      <c r="C9" s="28" t="s">
        <v>1869</v>
      </c>
      <c r="D9" s="35" t="s">
        <v>1870</v>
      </c>
      <c r="E9" s="29" t="s">
        <v>402</v>
      </c>
      <c r="F9" s="22">
        <v>1.018</v>
      </c>
      <c r="G9" s="22">
        <v>2.14</v>
      </c>
      <c r="H9" s="30"/>
      <c r="I9" s="9">
        <f t="shared" si="0"/>
        <v>2.14</v>
      </c>
      <c r="J9" s="31"/>
      <c r="K9" s="9">
        <f t="shared" si="1"/>
        <v>3.1580000000000004</v>
      </c>
      <c r="L9" t="s">
        <v>267</v>
      </c>
    </row>
    <row r="10" spans="1:12" x14ac:dyDescent="0.25">
      <c r="A10" s="18">
        <v>45476</v>
      </c>
      <c r="B10" s="27" t="s">
        <v>2792</v>
      </c>
      <c r="C10" s="28" t="s">
        <v>2141</v>
      </c>
      <c r="D10" s="35" t="s">
        <v>712</v>
      </c>
      <c r="E10" s="29" t="s">
        <v>560</v>
      </c>
      <c r="F10" s="22">
        <v>43.8</v>
      </c>
      <c r="G10" s="22">
        <v>9.1999999999999993</v>
      </c>
      <c r="H10" s="30"/>
      <c r="I10" s="9">
        <f t="shared" si="0"/>
        <v>9.1999999999999993</v>
      </c>
      <c r="J10" s="31"/>
      <c r="K10" s="9">
        <f t="shared" si="1"/>
        <v>53</v>
      </c>
      <c r="L10" t="s">
        <v>41</v>
      </c>
    </row>
    <row r="11" spans="1:12" x14ac:dyDescent="0.25">
      <c r="A11" s="33">
        <v>45477</v>
      </c>
      <c r="B11" s="34" t="s">
        <v>2793</v>
      </c>
      <c r="C11" s="28" t="s">
        <v>400</v>
      </c>
      <c r="D11" s="35" t="s">
        <v>401</v>
      </c>
      <c r="E11" s="29" t="s">
        <v>1871</v>
      </c>
      <c r="F11" s="22">
        <v>5.12</v>
      </c>
      <c r="G11" s="22">
        <v>1.08</v>
      </c>
      <c r="H11" s="30"/>
      <c r="I11" s="9">
        <f t="shared" si="0"/>
        <v>1.08</v>
      </c>
      <c r="J11" s="31"/>
      <c r="K11" s="9">
        <f t="shared" si="1"/>
        <v>6.2</v>
      </c>
      <c r="L11" t="s">
        <v>42</v>
      </c>
    </row>
    <row r="12" spans="1:12" x14ac:dyDescent="0.25">
      <c r="A12" s="324">
        <v>45481</v>
      </c>
      <c r="B12" s="330" t="s">
        <v>2794</v>
      </c>
      <c r="C12" s="330" t="s">
        <v>2141</v>
      </c>
      <c r="D12" s="335" t="s">
        <v>712</v>
      </c>
      <c r="E12" s="330" t="s">
        <v>560</v>
      </c>
      <c r="F12" s="22">
        <v>43.56</v>
      </c>
      <c r="G12" s="22">
        <v>9.15</v>
      </c>
      <c r="H12" s="30"/>
      <c r="I12" s="9">
        <f t="shared" si="0"/>
        <v>9.15</v>
      </c>
      <c r="J12" s="31"/>
      <c r="K12" s="333">
        <f>F12+F13+G12+H13</f>
        <v>78.12</v>
      </c>
    </row>
    <row r="13" spans="1:12" x14ac:dyDescent="0.25">
      <c r="A13" s="326"/>
      <c r="B13" s="332"/>
      <c r="C13" s="332"/>
      <c r="D13" s="336"/>
      <c r="E13" s="332"/>
      <c r="F13" s="22">
        <v>23.1</v>
      </c>
      <c r="G13" s="22"/>
      <c r="H13" s="30">
        <v>2.31</v>
      </c>
      <c r="I13" s="9">
        <f t="shared" si="0"/>
        <v>2.31</v>
      </c>
      <c r="J13" s="31"/>
      <c r="K13" s="334"/>
      <c r="L13" t="s">
        <v>41</v>
      </c>
    </row>
    <row r="14" spans="1:12" x14ac:dyDescent="0.25">
      <c r="A14" s="100">
        <v>45481</v>
      </c>
      <c r="B14" s="157" t="s">
        <v>2795</v>
      </c>
      <c r="C14" s="28" t="s">
        <v>400</v>
      </c>
      <c r="D14" s="35" t="s">
        <v>401</v>
      </c>
      <c r="E14" s="29" t="s">
        <v>1871</v>
      </c>
      <c r="F14" s="22">
        <v>32.99</v>
      </c>
      <c r="G14" s="22">
        <v>6.93</v>
      </c>
      <c r="H14" s="30"/>
      <c r="I14" s="9">
        <f t="shared" si="0"/>
        <v>6.93</v>
      </c>
      <c r="J14" s="31"/>
      <c r="K14" s="9">
        <f t="shared" si="1"/>
        <v>39.92</v>
      </c>
      <c r="L14" t="s">
        <v>42</v>
      </c>
    </row>
    <row r="15" spans="1:12" x14ac:dyDescent="0.25">
      <c r="A15" s="86">
        <v>45481</v>
      </c>
      <c r="B15" s="14" t="s">
        <v>2796</v>
      </c>
      <c r="C15" s="28" t="s">
        <v>1862</v>
      </c>
      <c r="D15" s="35" t="s">
        <v>581</v>
      </c>
      <c r="E15" s="14" t="s">
        <v>1863</v>
      </c>
      <c r="F15" s="138">
        <v>68.55</v>
      </c>
      <c r="G15" s="22">
        <v>14.4</v>
      </c>
      <c r="H15" s="30"/>
      <c r="I15" s="9">
        <f t="shared" si="0"/>
        <v>14.4</v>
      </c>
      <c r="J15" s="31"/>
      <c r="K15" s="9">
        <f t="shared" si="1"/>
        <v>82.95</v>
      </c>
      <c r="L15" t="s">
        <v>267</v>
      </c>
    </row>
    <row r="16" spans="1:12" x14ac:dyDescent="0.25">
      <c r="A16" s="86">
        <v>45482</v>
      </c>
      <c r="B16" s="108" t="s">
        <v>2797</v>
      </c>
      <c r="C16" s="156" t="s">
        <v>2798</v>
      </c>
      <c r="D16" s="35" t="s">
        <v>311</v>
      </c>
      <c r="E16" s="14" t="s">
        <v>2799</v>
      </c>
      <c r="F16" s="138">
        <v>76.06</v>
      </c>
      <c r="G16" s="22">
        <v>12.56</v>
      </c>
      <c r="H16" s="30"/>
      <c r="I16" s="9">
        <f t="shared" si="0"/>
        <v>12.56</v>
      </c>
      <c r="J16" s="31"/>
      <c r="K16" s="9">
        <f t="shared" si="1"/>
        <v>88.62</v>
      </c>
      <c r="L16" t="s">
        <v>42</v>
      </c>
    </row>
    <row r="17" spans="1:12" x14ac:dyDescent="0.25">
      <c r="A17" s="86">
        <v>45482</v>
      </c>
      <c r="B17" s="108" t="s">
        <v>2800</v>
      </c>
      <c r="C17" s="28" t="s">
        <v>1862</v>
      </c>
      <c r="D17" s="35" t="s">
        <v>581</v>
      </c>
      <c r="E17" s="14" t="s">
        <v>1863</v>
      </c>
      <c r="F17" s="138">
        <v>57.81</v>
      </c>
      <c r="G17" s="22">
        <v>12.14</v>
      </c>
      <c r="H17" s="30"/>
      <c r="I17" s="9">
        <f t="shared" si="0"/>
        <v>12.14</v>
      </c>
      <c r="J17" s="31"/>
      <c r="K17" s="9">
        <f t="shared" si="1"/>
        <v>69.95</v>
      </c>
      <c r="L17" t="s">
        <v>267</v>
      </c>
    </row>
    <row r="18" spans="1:12" x14ac:dyDescent="0.25">
      <c r="A18" s="86">
        <v>45483</v>
      </c>
      <c r="B18" s="188">
        <v>512001953</v>
      </c>
      <c r="C18" s="28" t="s">
        <v>1869</v>
      </c>
      <c r="D18" s="35" t="s">
        <v>1870</v>
      </c>
      <c r="E18" s="29" t="s">
        <v>402</v>
      </c>
      <c r="F18" s="138">
        <v>62.24</v>
      </c>
      <c r="G18" s="22">
        <v>13.07</v>
      </c>
      <c r="H18" s="30"/>
      <c r="I18" s="9">
        <f t="shared" si="0"/>
        <v>13.07</v>
      </c>
      <c r="J18" s="31"/>
      <c r="K18" s="9">
        <f t="shared" si="1"/>
        <v>75.31</v>
      </c>
      <c r="L18" t="s">
        <v>42</v>
      </c>
    </row>
    <row r="19" spans="1:12" x14ac:dyDescent="0.25">
      <c r="A19" s="86">
        <v>45483</v>
      </c>
      <c r="B19" s="111" t="s">
        <v>2801</v>
      </c>
      <c r="C19" s="28" t="s">
        <v>1869</v>
      </c>
      <c r="D19" s="35" t="s">
        <v>1870</v>
      </c>
      <c r="E19" s="29" t="s">
        <v>402</v>
      </c>
      <c r="F19" s="138">
        <v>-4.18</v>
      </c>
      <c r="G19" s="22">
        <v>-0.88</v>
      </c>
      <c r="H19" s="30"/>
      <c r="I19" s="9">
        <f t="shared" si="0"/>
        <v>-0.88</v>
      </c>
      <c r="J19" s="31"/>
      <c r="K19" s="9">
        <f t="shared" si="1"/>
        <v>-5.0599999999999996</v>
      </c>
      <c r="L19" t="s">
        <v>42</v>
      </c>
    </row>
    <row r="20" spans="1:12" x14ac:dyDescent="0.25">
      <c r="A20" s="104">
        <v>45504</v>
      </c>
      <c r="B20" s="105" t="s">
        <v>2932</v>
      </c>
      <c r="C20" s="109" t="s">
        <v>2802</v>
      </c>
      <c r="D20" s="108" t="s">
        <v>2803</v>
      </c>
      <c r="E20" s="110" t="s">
        <v>2799</v>
      </c>
      <c r="F20" s="22">
        <v>438.5</v>
      </c>
      <c r="G20" s="22"/>
      <c r="H20" s="30">
        <v>43.85</v>
      </c>
      <c r="I20" s="9">
        <f t="shared" si="0"/>
        <v>43.85</v>
      </c>
      <c r="J20" s="31"/>
      <c r="K20" s="9">
        <f t="shared" si="1"/>
        <v>482.35</v>
      </c>
      <c r="L20" t="s">
        <v>267</v>
      </c>
    </row>
    <row r="21" spans="1:12" x14ac:dyDescent="0.25">
      <c r="A21" s="33">
        <v>45485</v>
      </c>
      <c r="B21" s="34" t="s">
        <v>2804</v>
      </c>
      <c r="C21" s="28" t="s">
        <v>527</v>
      </c>
      <c r="D21" s="35" t="s">
        <v>20</v>
      </c>
      <c r="E21" s="29" t="s">
        <v>17</v>
      </c>
      <c r="F21" s="22">
        <v>24.79</v>
      </c>
      <c r="G21" s="22">
        <v>5.21</v>
      </c>
      <c r="H21" s="30"/>
      <c r="I21" s="9">
        <f t="shared" si="0"/>
        <v>5.21</v>
      </c>
      <c r="J21" s="31"/>
      <c r="K21" s="9">
        <f t="shared" si="1"/>
        <v>30</v>
      </c>
      <c r="L21" t="s">
        <v>267</v>
      </c>
    </row>
    <row r="22" spans="1:12" x14ac:dyDescent="0.25">
      <c r="A22" s="33">
        <v>45485</v>
      </c>
      <c r="B22" s="34" t="s">
        <v>2805</v>
      </c>
      <c r="C22" s="28" t="s">
        <v>397</v>
      </c>
      <c r="D22" s="35" t="s">
        <v>21</v>
      </c>
      <c r="E22" s="29" t="s">
        <v>266</v>
      </c>
      <c r="F22" s="22">
        <v>84.13</v>
      </c>
      <c r="G22" s="22">
        <v>17.670000000000002</v>
      </c>
      <c r="H22" s="30"/>
      <c r="I22" s="9">
        <f t="shared" si="0"/>
        <v>17.670000000000002</v>
      </c>
      <c r="J22" s="31"/>
      <c r="K22" s="9">
        <f t="shared" si="1"/>
        <v>101.8</v>
      </c>
      <c r="L22" t="s">
        <v>42</v>
      </c>
    </row>
    <row r="23" spans="1:12" x14ac:dyDescent="0.25">
      <c r="A23" s="33">
        <v>45485</v>
      </c>
      <c r="B23" s="35" t="s">
        <v>2806</v>
      </c>
      <c r="C23" s="28" t="s">
        <v>2141</v>
      </c>
      <c r="D23" s="35" t="s">
        <v>712</v>
      </c>
      <c r="E23" s="29" t="s">
        <v>560</v>
      </c>
      <c r="F23" s="22">
        <v>78.099999999999994</v>
      </c>
      <c r="G23" s="22">
        <v>16.399999999999999</v>
      </c>
      <c r="H23" s="30"/>
      <c r="I23" s="9">
        <f t="shared" si="0"/>
        <v>16.399999999999999</v>
      </c>
      <c r="J23" s="31"/>
      <c r="K23" s="9">
        <f t="shared" si="1"/>
        <v>94.5</v>
      </c>
      <c r="L23" t="s">
        <v>41</v>
      </c>
    </row>
    <row r="24" spans="1:12" x14ac:dyDescent="0.25">
      <c r="A24" s="33">
        <v>45489</v>
      </c>
      <c r="B24" s="34" t="s">
        <v>2807</v>
      </c>
      <c r="C24" s="28" t="s">
        <v>322</v>
      </c>
      <c r="D24" s="35" t="s">
        <v>323</v>
      </c>
      <c r="E24" s="29" t="s">
        <v>17</v>
      </c>
      <c r="F24" s="22">
        <v>24.79</v>
      </c>
      <c r="G24" s="22">
        <v>5.21</v>
      </c>
      <c r="H24" s="30"/>
      <c r="I24" s="9">
        <f t="shared" si="0"/>
        <v>5.21</v>
      </c>
      <c r="J24" s="31"/>
      <c r="K24" s="9">
        <f t="shared" si="1"/>
        <v>30</v>
      </c>
      <c r="L24" t="s">
        <v>267</v>
      </c>
    </row>
    <row r="25" spans="1:12" x14ac:dyDescent="0.25">
      <c r="A25" s="33">
        <v>45489</v>
      </c>
      <c r="B25" s="35" t="s">
        <v>2808</v>
      </c>
      <c r="C25" s="28" t="s">
        <v>721</v>
      </c>
      <c r="D25" s="35" t="s">
        <v>24</v>
      </c>
      <c r="E25" s="29" t="s">
        <v>25</v>
      </c>
      <c r="F25" s="22">
        <v>45.82</v>
      </c>
      <c r="G25" s="22"/>
      <c r="H25" s="30">
        <v>4.58</v>
      </c>
      <c r="I25" s="9">
        <f t="shared" si="0"/>
        <v>4.58</v>
      </c>
      <c r="J25" s="31"/>
      <c r="K25" s="9">
        <f t="shared" si="1"/>
        <v>50.4</v>
      </c>
      <c r="L25" t="s">
        <v>42</v>
      </c>
    </row>
    <row r="26" spans="1:12" x14ac:dyDescent="0.25">
      <c r="A26" s="33">
        <v>45490</v>
      </c>
      <c r="B26" s="35" t="s">
        <v>2809</v>
      </c>
      <c r="C26" s="28" t="s">
        <v>2141</v>
      </c>
      <c r="D26" s="35" t="s">
        <v>712</v>
      </c>
      <c r="E26" s="29" t="s">
        <v>560</v>
      </c>
      <c r="F26" s="22">
        <v>43.56</v>
      </c>
      <c r="G26" s="22">
        <v>9.15</v>
      </c>
      <c r="H26" s="30"/>
      <c r="I26" s="9">
        <f t="shared" si="0"/>
        <v>9.15</v>
      </c>
      <c r="J26" s="31"/>
      <c r="K26" s="9">
        <f t="shared" si="1"/>
        <v>52.71</v>
      </c>
      <c r="L26" t="s">
        <v>41</v>
      </c>
    </row>
    <row r="27" spans="1:12" x14ac:dyDescent="0.25">
      <c r="A27" s="33">
        <v>45491</v>
      </c>
      <c r="B27" s="35" t="s">
        <v>2821</v>
      </c>
      <c r="C27" s="28" t="s">
        <v>2798</v>
      </c>
      <c r="D27" s="35" t="s">
        <v>311</v>
      </c>
      <c r="E27" s="29" t="s">
        <v>2799</v>
      </c>
      <c r="F27" s="22">
        <v>34.08</v>
      </c>
      <c r="G27" s="22">
        <v>0.05</v>
      </c>
      <c r="H27" s="30">
        <v>2.94</v>
      </c>
      <c r="I27" s="9">
        <f t="shared" si="0"/>
        <v>2.9899999999999998</v>
      </c>
      <c r="J27" s="31"/>
      <c r="K27" s="9">
        <f t="shared" si="1"/>
        <v>37.07</v>
      </c>
      <c r="L27" t="s">
        <v>42</v>
      </c>
    </row>
    <row r="28" spans="1:12" x14ac:dyDescent="0.25">
      <c r="A28" s="33">
        <v>45491</v>
      </c>
      <c r="B28" s="34"/>
      <c r="C28" s="28" t="s">
        <v>400</v>
      </c>
      <c r="D28" s="35" t="s">
        <v>401</v>
      </c>
      <c r="E28" s="29" t="s">
        <v>1871</v>
      </c>
      <c r="F28" s="22">
        <v>29.94</v>
      </c>
      <c r="G28" s="22">
        <v>6.29</v>
      </c>
      <c r="H28" s="30"/>
      <c r="I28" s="9">
        <f t="shared" si="0"/>
        <v>6.29</v>
      </c>
      <c r="J28" s="31"/>
      <c r="K28" s="9">
        <f t="shared" si="1"/>
        <v>36.230000000000004</v>
      </c>
      <c r="L28" t="s">
        <v>42</v>
      </c>
    </row>
    <row r="29" spans="1:12" x14ac:dyDescent="0.25">
      <c r="A29" s="33">
        <v>45492</v>
      </c>
      <c r="B29" s="35" t="s">
        <v>2822</v>
      </c>
      <c r="C29" s="28" t="s">
        <v>397</v>
      </c>
      <c r="D29" s="35" t="s">
        <v>21</v>
      </c>
      <c r="E29" s="29" t="s">
        <v>266</v>
      </c>
      <c r="F29" s="22">
        <v>110.77</v>
      </c>
      <c r="G29" s="22">
        <v>23.26</v>
      </c>
      <c r="H29" s="30"/>
      <c r="I29" s="9">
        <f t="shared" si="0"/>
        <v>23.26</v>
      </c>
      <c r="J29" s="31"/>
      <c r="K29" s="9">
        <f t="shared" si="1"/>
        <v>134.03</v>
      </c>
      <c r="L29" t="s">
        <v>267</v>
      </c>
    </row>
    <row r="30" spans="1:12" x14ac:dyDescent="0.25">
      <c r="A30" s="33">
        <v>45492</v>
      </c>
      <c r="B30" s="34" t="s">
        <v>2843</v>
      </c>
      <c r="C30" s="28" t="s">
        <v>1862</v>
      </c>
      <c r="D30" s="35" t="s">
        <v>581</v>
      </c>
      <c r="E30" s="14" t="s">
        <v>1863</v>
      </c>
      <c r="F30" s="22">
        <v>52.02</v>
      </c>
      <c r="G30" s="22">
        <v>10.93</v>
      </c>
      <c r="H30" s="30"/>
      <c r="I30" s="9">
        <f t="shared" si="0"/>
        <v>10.93</v>
      </c>
      <c r="J30" s="31"/>
      <c r="K30" s="9">
        <f t="shared" si="1"/>
        <v>62.95</v>
      </c>
      <c r="L30" t="s">
        <v>42</v>
      </c>
    </row>
    <row r="31" spans="1:12" x14ac:dyDescent="0.25">
      <c r="A31" s="33">
        <v>45478</v>
      </c>
      <c r="B31" s="181" t="s">
        <v>2844</v>
      </c>
      <c r="C31" s="28" t="s">
        <v>18</v>
      </c>
      <c r="D31" s="35" t="s">
        <v>19</v>
      </c>
      <c r="E31" s="29" t="s">
        <v>17</v>
      </c>
      <c r="F31" s="22">
        <v>49.83</v>
      </c>
      <c r="G31" s="22">
        <v>10.46</v>
      </c>
      <c r="H31" s="30"/>
      <c r="I31" s="9">
        <f t="shared" si="0"/>
        <v>10.46</v>
      </c>
      <c r="J31" s="31"/>
      <c r="K31" s="9">
        <f t="shared" si="1"/>
        <v>60.29</v>
      </c>
      <c r="L31" t="s">
        <v>42</v>
      </c>
    </row>
    <row r="32" spans="1:12" x14ac:dyDescent="0.25">
      <c r="A32" s="33">
        <v>45487</v>
      </c>
      <c r="B32" s="34" t="s">
        <v>2845</v>
      </c>
      <c r="C32" s="28" t="s">
        <v>2846</v>
      </c>
      <c r="D32" s="35" t="s">
        <v>280</v>
      </c>
      <c r="E32" s="29" t="s">
        <v>281</v>
      </c>
      <c r="F32" s="22">
        <v>14.05</v>
      </c>
      <c r="G32" s="22">
        <v>2.95</v>
      </c>
      <c r="H32" s="30"/>
      <c r="I32" s="9">
        <f t="shared" si="0"/>
        <v>2.95</v>
      </c>
      <c r="J32" s="23"/>
      <c r="K32" s="9">
        <f>F32+I32+J32</f>
        <v>17</v>
      </c>
      <c r="L32" t="s">
        <v>42</v>
      </c>
    </row>
    <row r="33" spans="1:12" x14ac:dyDescent="0.25">
      <c r="A33" s="33">
        <v>45495</v>
      </c>
      <c r="B33" s="34" t="s">
        <v>2847</v>
      </c>
      <c r="C33" s="28" t="s">
        <v>400</v>
      </c>
      <c r="D33" s="35" t="s">
        <v>401</v>
      </c>
      <c r="E33" s="29" t="s">
        <v>1871</v>
      </c>
      <c r="F33" s="22">
        <v>78.319999999999993</v>
      </c>
      <c r="G33" s="22">
        <v>16.45</v>
      </c>
      <c r="H33" s="30"/>
      <c r="I33" s="9">
        <f t="shared" si="0"/>
        <v>16.45</v>
      </c>
      <c r="J33" s="31"/>
      <c r="K33" s="9">
        <f t="shared" si="1"/>
        <v>94.77</v>
      </c>
      <c r="L33" t="s">
        <v>42</v>
      </c>
    </row>
    <row r="34" spans="1:12" x14ac:dyDescent="0.25">
      <c r="A34" s="33">
        <v>45495</v>
      </c>
      <c r="B34" s="34" t="s">
        <v>2848</v>
      </c>
      <c r="C34" s="28" t="s">
        <v>1869</v>
      </c>
      <c r="D34" s="35" t="s">
        <v>1870</v>
      </c>
      <c r="E34" s="29" t="s">
        <v>1871</v>
      </c>
      <c r="F34" s="22">
        <v>14.79</v>
      </c>
      <c r="G34" s="22">
        <v>3.11</v>
      </c>
      <c r="H34" s="30"/>
      <c r="I34" s="9">
        <f t="shared" si="0"/>
        <v>3.11</v>
      </c>
      <c r="J34" s="31"/>
      <c r="K34" s="9">
        <f t="shared" si="1"/>
        <v>17.899999999999999</v>
      </c>
      <c r="L34" t="s">
        <v>42</v>
      </c>
    </row>
    <row r="35" spans="1:12" x14ac:dyDescent="0.25">
      <c r="A35" s="33">
        <v>45475</v>
      </c>
      <c r="B35" s="34" t="s">
        <v>2876</v>
      </c>
      <c r="C35" s="28" t="s">
        <v>302</v>
      </c>
      <c r="D35" s="35" t="s">
        <v>386</v>
      </c>
      <c r="E35" s="14" t="s">
        <v>304</v>
      </c>
      <c r="F35" s="22">
        <v>16</v>
      </c>
      <c r="G35" s="22">
        <v>3.36</v>
      </c>
      <c r="H35" s="30"/>
      <c r="I35" s="9">
        <f t="shared" si="0"/>
        <v>3.36</v>
      </c>
      <c r="J35" s="31"/>
      <c r="K35" s="9">
        <f t="shared" si="1"/>
        <v>19.36</v>
      </c>
      <c r="L35" t="s">
        <v>295</v>
      </c>
    </row>
    <row r="36" spans="1:12" x14ac:dyDescent="0.25">
      <c r="A36" s="33">
        <v>45485</v>
      </c>
      <c r="B36" s="34" t="s">
        <v>2877</v>
      </c>
      <c r="C36" s="28" t="s">
        <v>302</v>
      </c>
      <c r="D36" s="35" t="s">
        <v>386</v>
      </c>
      <c r="E36" s="14" t="s">
        <v>304</v>
      </c>
      <c r="F36" s="22">
        <v>16</v>
      </c>
      <c r="G36" s="22">
        <v>3.36</v>
      </c>
      <c r="H36" s="30"/>
      <c r="I36" s="9">
        <f t="shared" si="0"/>
        <v>3.36</v>
      </c>
      <c r="J36" s="31"/>
      <c r="K36" s="9">
        <f t="shared" si="1"/>
        <v>19.36</v>
      </c>
      <c r="L36" t="s">
        <v>295</v>
      </c>
    </row>
    <row r="37" spans="1:12" x14ac:dyDescent="0.25">
      <c r="A37" s="33">
        <v>45489</v>
      </c>
      <c r="B37" s="34" t="s">
        <v>2878</v>
      </c>
      <c r="C37" s="28" t="s">
        <v>302</v>
      </c>
      <c r="D37" s="35" t="s">
        <v>386</v>
      </c>
      <c r="E37" s="29" t="s">
        <v>304</v>
      </c>
      <c r="F37" s="22">
        <v>23.75</v>
      </c>
      <c r="G37" s="22">
        <v>4.99</v>
      </c>
      <c r="H37" s="30"/>
      <c r="I37" s="9">
        <f t="shared" si="0"/>
        <v>4.99</v>
      </c>
      <c r="J37" s="31"/>
      <c r="K37" s="9">
        <f t="shared" si="1"/>
        <v>28.740000000000002</v>
      </c>
      <c r="L37" t="s">
        <v>295</v>
      </c>
    </row>
    <row r="38" spans="1:12" x14ac:dyDescent="0.25">
      <c r="A38" s="33">
        <v>45492</v>
      </c>
      <c r="B38" s="34" t="s">
        <v>2879</v>
      </c>
      <c r="C38" s="28" t="s">
        <v>302</v>
      </c>
      <c r="D38" s="35" t="s">
        <v>386</v>
      </c>
      <c r="E38" s="14" t="s">
        <v>304</v>
      </c>
      <c r="F38" s="22">
        <v>29.99</v>
      </c>
      <c r="G38" s="22">
        <v>6.3</v>
      </c>
      <c r="H38" s="30"/>
      <c r="I38" s="9">
        <f t="shared" si="0"/>
        <v>6.3</v>
      </c>
      <c r="J38" s="31"/>
      <c r="K38" s="9">
        <f t="shared" si="1"/>
        <v>36.29</v>
      </c>
      <c r="L38" t="s">
        <v>295</v>
      </c>
    </row>
    <row r="39" spans="1:12" x14ac:dyDescent="0.25">
      <c r="A39" s="33">
        <v>45492</v>
      </c>
      <c r="B39" s="34" t="s">
        <v>2880</v>
      </c>
      <c r="C39" s="28" t="s">
        <v>302</v>
      </c>
      <c r="D39" s="35" t="s">
        <v>386</v>
      </c>
      <c r="E39" s="29" t="s">
        <v>304</v>
      </c>
      <c r="F39" s="22">
        <v>29.99</v>
      </c>
      <c r="G39" s="22">
        <v>6.3</v>
      </c>
      <c r="H39" s="30"/>
      <c r="I39" s="9">
        <f t="shared" si="0"/>
        <v>6.3</v>
      </c>
      <c r="J39" s="31"/>
      <c r="K39" s="9">
        <f t="shared" si="1"/>
        <v>36.29</v>
      </c>
      <c r="L39" t="s">
        <v>295</v>
      </c>
    </row>
    <row r="40" spans="1:12" x14ac:dyDescent="0.25">
      <c r="A40" s="33">
        <v>45495</v>
      </c>
      <c r="B40" s="34" t="s">
        <v>2881</v>
      </c>
      <c r="C40" s="28" t="s">
        <v>302</v>
      </c>
      <c r="D40" s="35" t="s">
        <v>386</v>
      </c>
      <c r="E40" s="14" t="s">
        <v>304</v>
      </c>
      <c r="F40" s="138">
        <v>29.99</v>
      </c>
      <c r="G40" s="22">
        <v>6.3</v>
      </c>
      <c r="H40" s="30"/>
      <c r="I40" s="9">
        <f t="shared" si="0"/>
        <v>6.3</v>
      </c>
      <c r="J40" s="31"/>
      <c r="K40" s="9">
        <f t="shared" si="1"/>
        <v>36.29</v>
      </c>
      <c r="L40" t="s">
        <v>295</v>
      </c>
    </row>
    <row r="41" spans="1:12" x14ac:dyDescent="0.25">
      <c r="A41" s="33">
        <v>45493</v>
      </c>
      <c r="B41" s="34" t="s">
        <v>2882</v>
      </c>
      <c r="C41" s="28" t="s">
        <v>815</v>
      </c>
      <c r="D41" s="35" t="s">
        <v>387</v>
      </c>
      <c r="E41" s="29" t="s">
        <v>389</v>
      </c>
      <c r="F41" s="138">
        <v>387.6</v>
      </c>
      <c r="G41" s="22">
        <v>81.400000000000006</v>
      </c>
      <c r="H41" s="30"/>
      <c r="I41" s="9">
        <f t="shared" si="0"/>
        <v>81.400000000000006</v>
      </c>
      <c r="J41" s="31"/>
      <c r="K41" s="9">
        <f t="shared" si="1"/>
        <v>469</v>
      </c>
      <c r="L41" t="s">
        <v>295</v>
      </c>
    </row>
    <row r="42" spans="1:12" x14ac:dyDescent="0.25">
      <c r="A42" s="33">
        <v>45493</v>
      </c>
      <c r="B42" s="34" t="s">
        <v>2883</v>
      </c>
      <c r="C42" s="28" t="s">
        <v>385</v>
      </c>
      <c r="D42" s="35" t="s">
        <v>388</v>
      </c>
      <c r="E42" s="29" t="s">
        <v>389</v>
      </c>
      <c r="F42" s="138">
        <v>4.95</v>
      </c>
      <c r="G42" s="22">
        <v>1.04</v>
      </c>
      <c r="H42" s="30"/>
      <c r="I42" s="9">
        <f t="shared" si="0"/>
        <v>1.04</v>
      </c>
      <c r="J42" s="31"/>
      <c r="K42" s="9">
        <f t="shared" si="1"/>
        <v>5.99</v>
      </c>
      <c r="L42" t="s">
        <v>295</v>
      </c>
    </row>
    <row r="43" spans="1:12" x14ac:dyDescent="0.25">
      <c r="A43" s="33">
        <v>45495</v>
      </c>
      <c r="B43" s="34" t="s">
        <v>2884</v>
      </c>
      <c r="C43" s="28" t="s">
        <v>829</v>
      </c>
      <c r="D43" s="35" t="s">
        <v>830</v>
      </c>
      <c r="E43" s="29" t="s">
        <v>797</v>
      </c>
      <c r="F43" s="138">
        <v>697.61</v>
      </c>
      <c r="G43" s="22">
        <v>145.76</v>
      </c>
      <c r="H43" s="30"/>
      <c r="I43" s="9">
        <f t="shared" si="0"/>
        <v>145.76</v>
      </c>
      <c r="J43" s="31"/>
      <c r="K43" s="9">
        <f t="shared" si="1"/>
        <v>843.37</v>
      </c>
      <c r="L43" t="s">
        <v>267</v>
      </c>
    </row>
    <row r="44" spans="1:12" x14ac:dyDescent="0.25">
      <c r="A44" s="33">
        <v>45498</v>
      </c>
      <c r="B44" s="34" t="s">
        <v>2885</v>
      </c>
      <c r="C44" s="28" t="s">
        <v>698</v>
      </c>
      <c r="D44" s="35" t="s">
        <v>289</v>
      </c>
      <c r="E44" s="29" t="s">
        <v>699</v>
      </c>
      <c r="F44" s="138">
        <v>155.74</v>
      </c>
      <c r="G44" s="22">
        <v>32.700000000000003</v>
      </c>
      <c r="H44" s="30"/>
      <c r="I44" s="9">
        <f t="shared" si="0"/>
        <v>32.700000000000003</v>
      </c>
      <c r="J44" s="31"/>
      <c r="K44" s="9">
        <f t="shared" si="1"/>
        <v>188.44</v>
      </c>
      <c r="L44" t="s">
        <v>295</v>
      </c>
    </row>
    <row r="45" spans="1:12" x14ac:dyDescent="0.25">
      <c r="A45" s="33">
        <v>45498</v>
      </c>
      <c r="B45" s="34" t="s">
        <v>2886</v>
      </c>
      <c r="C45" s="28" t="s">
        <v>3155</v>
      </c>
      <c r="D45" s="35" t="s">
        <v>2384</v>
      </c>
      <c r="E45" s="29" t="s">
        <v>699</v>
      </c>
      <c r="F45" s="138">
        <v>62.81</v>
      </c>
      <c r="G45" s="22">
        <v>13.19</v>
      </c>
      <c r="H45" s="30"/>
      <c r="I45" s="9">
        <f t="shared" si="0"/>
        <v>13.19</v>
      </c>
      <c r="J45" s="31"/>
      <c r="K45" s="9">
        <f t="shared" si="1"/>
        <v>76</v>
      </c>
      <c r="L45" t="s">
        <v>295</v>
      </c>
    </row>
    <row r="46" spans="1:12" x14ac:dyDescent="0.25">
      <c r="A46" s="33">
        <v>45496</v>
      </c>
      <c r="B46" s="34" t="s">
        <v>2887</v>
      </c>
      <c r="C46" s="28" t="s">
        <v>1862</v>
      </c>
      <c r="D46" s="195" t="s">
        <v>581</v>
      </c>
      <c r="E46" s="14" t="s">
        <v>1863</v>
      </c>
      <c r="F46" s="138">
        <v>52.02</v>
      </c>
      <c r="G46" s="22">
        <v>10.98</v>
      </c>
      <c r="H46" s="30"/>
      <c r="I46" s="9">
        <f t="shared" si="0"/>
        <v>10.98</v>
      </c>
      <c r="J46" s="31"/>
      <c r="K46" s="9">
        <f t="shared" si="1"/>
        <v>63</v>
      </c>
      <c r="L46" t="s">
        <v>267</v>
      </c>
    </row>
    <row r="47" spans="1:12" x14ac:dyDescent="0.25">
      <c r="A47" s="33">
        <v>45496</v>
      </c>
      <c r="B47" s="34" t="s">
        <v>2888</v>
      </c>
      <c r="C47" s="28" t="s">
        <v>721</v>
      </c>
      <c r="D47" s="195" t="s">
        <v>24</v>
      </c>
      <c r="E47" s="14" t="s">
        <v>25</v>
      </c>
      <c r="F47" s="138">
        <v>57.27</v>
      </c>
      <c r="G47" s="22"/>
      <c r="H47" s="30">
        <v>5.73</v>
      </c>
      <c r="I47" s="9">
        <f t="shared" si="0"/>
        <v>5.73</v>
      </c>
      <c r="J47" s="31"/>
      <c r="K47" s="9">
        <f t="shared" si="1"/>
        <v>63</v>
      </c>
      <c r="L47" t="s">
        <v>42</v>
      </c>
    </row>
    <row r="48" spans="1:12" x14ac:dyDescent="0.25">
      <c r="A48" s="33">
        <v>45496</v>
      </c>
      <c r="B48" s="34" t="s">
        <v>2889</v>
      </c>
      <c r="C48" s="28" t="s">
        <v>2141</v>
      </c>
      <c r="D48" s="195" t="s">
        <v>712</v>
      </c>
      <c r="E48" s="14" t="s">
        <v>560</v>
      </c>
      <c r="F48" s="138">
        <v>70.2</v>
      </c>
      <c r="G48" s="22">
        <v>14.74</v>
      </c>
      <c r="H48" s="30"/>
      <c r="I48" s="9">
        <f t="shared" si="0"/>
        <v>14.74</v>
      </c>
      <c r="J48" s="31"/>
      <c r="K48" s="9">
        <f t="shared" si="1"/>
        <v>84.94</v>
      </c>
      <c r="L48" t="s">
        <v>41</v>
      </c>
    </row>
    <row r="49" spans="1:12" x14ac:dyDescent="0.25">
      <c r="A49" s="33">
        <v>45499</v>
      </c>
      <c r="B49" s="34" t="s">
        <v>2890</v>
      </c>
      <c r="C49" s="28" t="s">
        <v>1862</v>
      </c>
      <c r="D49" s="195" t="s">
        <v>581</v>
      </c>
      <c r="E49" s="14" t="s">
        <v>1863</v>
      </c>
      <c r="F49" s="138">
        <v>52.02</v>
      </c>
      <c r="G49" s="22">
        <v>10.93</v>
      </c>
      <c r="H49" s="30"/>
      <c r="I49" s="9">
        <f t="shared" si="0"/>
        <v>10.93</v>
      </c>
      <c r="J49" s="31"/>
      <c r="K49" s="9">
        <f t="shared" si="1"/>
        <v>62.95</v>
      </c>
      <c r="L49" t="s">
        <v>267</v>
      </c>
    </row>
    <row r="50" spans="1:12" x14ac:dyDescent="0.25">
      <c r="A50" s="33">
        <v>45497</v>
      </c>
      <c r="B50" s="34" t="s">
        <v>2891</v>
      </c>
      <c r="C50" s="28" t="s">
        <v>2892</v>
      </c>
      <c r="D50" s="195" t="s">
        <v>2893</v>
      </c>
      <c r="E50" s="14" t="s">
        <v>1871</v>
      </c>
      <c r="F50" s="138">
        <v>5.0999999999999996</v>
      </c>
      <c r="G50" s="22">
        <v>1.07</v>
      </c>
      <c r="H50" s="30"/>
      <c r="I50" s="9">
        <f t="shared" si="0"/>
        <v>1.07</v>
      </c>
      <c r="J50" s="31"/>
      <c r="K50" s="9">
        <f t="shared" si="1"/>
        <v>6.17</v>
      </c>
      <c r="L50" t="s">
        <v>42</v>
      </c>
    </row>
    <row r="51" spans="1:12" x14ac:dyDescent="0.25">
      <c r="A51" s="33">
        <v>45499</v>
      </c>
      <c r="B51" s="34" t="s">
        <v>2894</v>
      </c>
      <c r="C51" s="28" t="s">
        <v>400</v>
      </c>
      <c r="D51" s="35" t="s">
        <v>401</v>
      </c>
      <c r="E51" s="107" t="s">
        <v>1871</v>
      </c>
      <c r="F51" s="22">
        <v>14.07</v>
      </c>
      <c r="G51" s="22">
        <v>2.95</v>
      </c>
      <c r="H51" s="30"/>
      <c r="I51" s="9">
        <f t="shared" si="0"/>
        <v>2.95</v>
      </c>
      <c r="J51" s="31"/>
      <c r="K51" s="9">
        <f t="shared" si="1"/>
        <v>17.02</v>
      </c>
      <c r="L51" t="s">
        <v>42</v>
      </c>
    </row>
    <row r="52" spans="1:12" x14ac:dyDescent="0.25">
      <c r="A52" s="33">
        <v>45499</v>
      </c>
      <c r="B52" s="34" t="s">
        <v>2895</v>
      </c>
      <c r="C52" s="28" t="s">
        <v>1869</v>
      </c>
      <c r="D52" s="35" t="s">
        <v>1870</v>
      </c>
      <c r="E52" s="14" t="s">
        <v>1871</v>
      </c>
      <c r="F52" s="22">
        <v>2.91</v>
      </c>
      <c r="G52" s="22">
        <v>0.61</v>
      </c>
      <c r="H52" s="30"/>
      <c r="I52" s="9">
        <f t="shared" si="0"/>
        <v>0.61</v>
      </c>
      <c r="J52" s="31"/>
      <c r="K52" s="9">
        <f t="shared" si="1"/>
        <v>3.52</v>
      </c>
      <c r="L52" t="s">
        <v>42</v>
      </c>
    </row>
    <row r="53" spans="1:12" x14ac:dyDescent="0.25">
      <c r="A53" s="33">
        <v>45500</v>
      </c>
      <c r="B53" s="34" t="s">
        <v>2896</v>
      </c>
      <c r="C53" s="28" t="s">
        <v>1862</v>
      </c>
      <c r="D53" s="35" t="s">
        <v>581</v>
      </c>
      <c r="E53" s="14" t="s">
        <v>1863</v>
      </c>
      <c r="F53" s="22">
        <v>52.02</v>
      </c>
      <c r="G53" s="22">
        <v>10.93</v>
      </c>
      <c r="H53" s="30"/>
      <c r="I53" s="9">
        <f t="shared" si="0"/>
        <v>10.93</v>
      </c>
      <c r="J53" s="31"/>
      <c r="K53" s="9">
        <f t="shared" si="1"/>
        <v>62.95</v>
      </c>
      <c r="L53" t="s">
        <v>42</v>
      </c>
    </row>
    <row r="54" spans="1:12" x14ac:dyDescent="0.25">
      <c r="A54" s="33">
        <v>45503</v>
      </c>
      <c r="B54" s="34" t="s">
        <v>2897</v>
      </c>
      <c r="C54" s="28" t="s">
        <v>527</v>
      </c>
      <c r="D54" s="35" t="s">
        <v>20</v>
      </c>
      <c r="E54" s="14" t="s">
        <v>17</v>
      </c>
      <c r="F54" s="22">
        <v>28.93</v>
      </c>
      <c r="G54" s="22">
        <v>6.08</v>
      </c>
      <c r="H54" s="30"/>
      <c r="I54" s="9">
        <f t="shared" si="0"/>
        <v>6.08</v>
      </c>
      <c r="J54" s="31"/>
      <c r="K54" s="9">
        <f t="shared" si="1"/>
        <v>35.01</v>
      </c>
      <c r="L54" t="s">
        <v>42</v>
      </c>
    </row>
    <row r="55" spans="1:12" x14ac:dyDescent="0.25">
      <c r="A55" s="33">
        <v>45501</v>
      </c>
      <c r="B55" s="34" t="s">
        <v>2898</v>
      </c>
      <c r="C55" s="28" t="s">
        <v>527</v>
      </c>
      <c r="D55" s="35" t="s">
        <v>20</v>
      </c>
      <c r="E55" s="14" t="s">
        <v>17</v>
      </c>
      <c r="F55" s="22">
        <v>40.93</v>
      </c>
      <c r="G55" s="22">
        <v>8.6</v>
      </c>
      <c r="H55" s="30"/>
      <c r="I55" s="9">
        <f t="shared" si="0"/>
        <v>8.6</v>
      </c>
      <c r="J55" s="31"/>
      <c r="K55" s="9">
        <f t="shared" si="1"/>
        <v>49.53</v>
      </c>
      <c r="L55" t="s">
        <v>42</v>
      </c>
    </row>
    <row r="56" spans="1:12" x14ac:dyDescent="0.25">
      <c r="A56" s="33">
        <v>45501</v>
      </c>
      <c r="B56" s="34" t="s">
        <v>2899</v>
      </c>
      <c r="C56" s="28" t="s">
        <v>527</v>
      </c>
      <c r="D56" s="35" t="s">
        <v>20</v>
      </c>
      <c r="E56" s="29" t="s">
        <v>17</v>
      </c>
      <c r="F56" s="22">
        <v>16.55</v>
      </c>
      <c r="G56" s="22">
        <v>3.47</v>
      </c>
      <c r="H56" s="30"/>
      <c r="I56" s="9">
        <f t="shared" si="0"/>
        <v>3.47</v>
      </c>
      <c r="J56" s="31"/>
      <c r="K56" s="9">
        <f t="shared" si="1"/>
        <v>20.02</v>
      </c>
      <c r="L56" t="s">
        <v>42</v>
      </c>
    </row>
    <row r="57" spans="1:12" x14ac:dyDescent="0.25">
      <c r="A57" s="33">
        <v>45504</v>
      </c>
      <c r="B57" s="34" t="s">
        <v>2900</v>
      </c>
      <c r="C57" s="28" t="s">
        <v>1862</v>
      </c>
      <c r="D57" s="35" t="s">
        <v>581</v>
      </c>
      <c r="E57" s="29" t="s">
        <v>1871</v>
      </c>
      <c r="F57" s="22">
        <v>52.02</v>
      </c>
      <c r="G57" s="22">
        <v>10.93</v>
      </c>
      <c r="H57" s="30"/>
      <c r="I57" s="9">
        <f t="shared" si="0"/>
        <v>10.93</v>
      </c>
      <c r="J57" s="31"/>
      <c r="K57" s="9">
        <f t="shared" si="1"/>
        <v>62.95</v>
      </c>
      <c r="L57" t="s">
        <v>42</v>
      </c>
    </row>
    <row r="58" spans="1:12" x14ac:dyDescent="0.25">
      <c r="A58" s="33">
        <v>45503</v>
      </c>
      <c r="B58" s="34" t="s">
        <v>2901</v>
      </c>
      <c r="C58" s="28" t="s">
        <v>1869</v>
      </c>
      <c r="D58" s="35" t="s">
        <v>1870</v>
      </c>
      <c r="E58" s="29" t="s">
        <v>1871</v>
      </c>
      <c r="F58" s="22">
        <v>11.46</v>
      </c>
      <c r="G58" s="22">
        <v>2.41</v>
      </c>
      <c r="H58" s="30"/>
      <c r="I58" s="9">
        <f t="shared" si="0"/>
        <v>2.41</v>
      </c>
      <c r="J58" s="31"/>
      <c r="K58" s="9">
        <f t="shared" si="1"/>
        <v>13.870000000000001</v>
      </c>
      <c r="L58" t="s">
        <v>42</v>
      </c>
    </row>
    <row r="59" spans="1:12" x14ac:dyDescent="0.25">
      <c r="A59" s="33">
        <v>45503</v>
      </c>
      <c r="B59" s="34" t="s">
        <v>2902</v>
      </c>
      <c r="C59" s="28" t="s">
        <v>721</v>
      </c>
      <c r="D59" s="35" t="s">
        <v>24</v>
      </c>
      <c r="E59" s="29" t="s">
        <v>25</v>
      </c>
      <c r="F59" s="22">
        <v>38.18</v>
      </c>
      <c r="G59" s="22"/>
      <c r="H59" s="30">
        <v>3.82</v>
      </c>
      <c r="I59" s="9">
        <f t="shared" si="0"/>
        <v>3.82</v>
      </c>
      <c r="J59" s="31"/>
      <c r="K59" s="9">
        <f t="shared" si="1"/>
        <v>42</v>
      </c>
      <c r="L59" t="s">
        <v>42</v>
      </c>
    </row>
    <row r="60" spans="1:12" x14ac:dyDescent="0.25">
      <c r="A60" s="33">
        <v>45501</v>
      </c>
      <c r="B60" s="34" t="s">
        <v>2905</v>
      </c>
      <c r="C60" s="28" t="s">
        <v>2906</v>
      </c>
      <c r="D60" s="35" t="s">
        <v>2907</v>
      </c>
      <c r="E60" s="29" t="s">
        <v>281</v>
      </c>
      <c r="F60" s="22">
        <v>292.08999999999997</v>
      </c>
      <c r="G60" s="22"/>
      <c r="H60" s="30">
        <v>29.21</v>
      </c>
      <c r="I60" s="9">
        <f t="shared" si="0"/>
        <v>29.21</v>
      </c>
      <c r="J60" s="31"/>
      <c r="K60" s="9">
        <f t="shared" si="1"/>
        <v>321.29999999999995</v>
      </c>
      <c r="L60" t="s">
        <v>267</v>
      </c>
    </row>
    <row r="61" spans="1:12" x14ac:dyDescent="0.25">
      <c r="A61" s="33">
        <v>45476</v>
      </c>
      <c r="B61" s="34" t="s">
        <v>2908</v>
      </c>
      <c r="C61" s="185" t="s">
        <v>2455</v>
      </c>
      <c r="D61" s="35" t="s">
        <v>2457</v>
      </c>
      <c r="E61" s="29" t="s">
        <v>2458</v>
      </c>
      <c r="F61" s="22">
        <v>99</v>
      </c>
      <c r="G61" s="22">
        <v>20.82</v>
      </c>
      <c r="H61" s="30"/>
      <c r="I61" s="9">
        <f t="shared" si="0"/>
        <v>20.82</v>
      </c>
      <c r="J61" s="31"/>
      <c r="K61" s="9">
        <f t="shared" si="1"/>
        <v>119.82</v>
      </c>
      <c r="L61" t="s">
        <v>295</v>
      </c>
    </row>
    <row r="62" spans="1:12" x14ac:dyDescent="0.25">
      <c r="A62" s="33">
        <v>45493</v>
      </c>
      <c r="B62" s="34" t="s">
        <v>2910</v>
      </c>
      <c r="C62" s="28" t="s">
        <v>2416</v>
      </c>
      <c r="D62" s="35" t="s">
        <v>2417</v>
      </c>
      <c r="E62" s="29" t="s">
        <v>281</v>
      </c>
      <c r="F62" s="22">
        <v>23.13</v>
      </c>
      <c r="G62" s="22">
        <v>4.8600000000000003</v>
      </c>
      <c r="H62" s="30"/>
      <c r="I62" s="9">
        <f t="shared" si="0"/>
        <v>4.8600000000000003</v>
      </c>
      <c r="J62" s="31"/>
      <c r="K62" s="9">
        <f t="shared" si="1"/>
        <v>27.99</v>
      </c>
      <c r="L62" t="s">
        <v>295</v>
      </c>
    </row>
    <row r="63" spans="1:12" x14ac:dyDescent="0.25">
      <c r="A63" s="33">
        <v>45495</v>
      </c>
      <c r="B63" s="34" t="s">
        <v>2911</v>
      </c>
      <c r="C63" s="28" t="s">
        <v>2416</v>
      </c>
      <c r="D63" s="35" t="s">
        <v>2417</v>
      </c>
      <c r="E63" s="29" t="s">
        <v>281</v>
      </c>
      <c r="F63" s="22">
        <v>20.239999999999998</v>
      </c>
      <c r="G63" s="22">
        <v>4.25</v>
      </c>
      <c r="H63" s="30"/>
      <c r="I63" s="9">
        <f t="shared" si="0"/>
        <v>4.25</v>
      </c>
      <c r="J63" s="31"/>
      <c r="K63" s="9">
        <f t="shared" si="1"/>
        <v>24.49</v>
      </c>
      <c r="L63" t="s">
        <v>295</v>
      </c>
    </row>
    <row r="64" spans="1:12" x14ac:dyDescent="0.25">
      <c r="A64" s="33">
        <v>45495</v>
      </c>
      <c r="B64" s="34" t="s">
        <v>2912</v>
      </c>
      <c r="C64" s="28" t="s">
        <v>2416</v>
      </c>
      <c r="D64" s="35" t="s">
        <v>2417</v>
      </c>
      <c r="E64" s="29" t="s">
        <v>281</v>
      </c>
      <c r="F64" s="22">
        <v>54.3</v>
      </c>
      <c r="G64" s="22">
        <v>11.4</v>
      </c>
      <c r="H64" s="30"/>
      <c r="I64" s="9">
        <f t="shared" si="0"/>
        <v>11.4</v>
      </c>
      <c r="J64" s="31"/>
      <c r="K64" s="9">
        <f t="shared" si="1"/>
        <v>65.7</v>
      </c>
      <c r="L64" t="s">
        <v>295</v>
      </c>
    </row>
    <row r="65" spans="1:12" x14ac:dyDescent="0.25">
      <c r="A65" s="33">
        <v>45493</v>
      </c>
      <c r="B65" s="34" t="s">
        <v>2913</v>
      </c>
      <c r="C65" s="28" t="s">
        <v>2914</v>
      </c>
      <c r="D65" s="154" t="s">
        <v>2919</v>
      </c>
      <c r="E65" s="29" t="s">
        <v>281</v>
      </c>
      <c r="F65" s="22">
        <v>11.45</v>
      </c>
      <c r="G65" s="22">
        <v>2.4</v>
      </c>
      <c r="H65" s="30"/>
      <c r="I65" s="9">
        <f t="shared" si="0"/>
        <v>2.4</v>
      </c>
      <c r="J65" s="31"/>
      <c r="K65" s="9">
        <f t="shared" si="1"/>
        <v>13.85</v>
      </c>
      <c r="L65" t="s">
        <v>295</v>
      </c>
    </row>
    <row r="66" spans="1:12" x14ac:dyDescent="0.25">
      <c r="A66" s="33">
        <v>45495</v>
      </c>
      <c r="B66" s="34" t="s">
        <v>2915</v>
      </c>
      <c r="C66" s="28" t="s">
        <v>2916</v>
      </c>
      <c r="D66" s="35" t="s">
        <v>2917</v>
      </c>
      <c r="E66" s="29" t="s">
        <v>281</v>
      </c>
      <c r="F66" s="22">
        <v>38.26</v>
      </c>
      <c r="G66" s="22">
        <v>8.0399999999999991</v>
      </c>
      <c r="H66" s="30"/>
      <c r="I66" s="9">
        <f t="shared" si="0"/>
        <v>8.0399999999999991</v>
      </c>
      <c r="J66" s="31"/>
      <c r="K66" s="9">
        <f t="shared" si="1"/>
        <v>46.3</v>
      </c>
      <c r="L66" t="s">
        <v>295</v>
      </c>
    </row>
    <row r="67" spans="1:12" x14ac:dyDescent="0.25">
      <c r="A67" s="33">
        <v>45496</v>
      </c>
      <c r="B67" s="34" t="s">
        <v>2918</v>
      </c>
      <c r="C67" s="28" t="s">
        <v>2921</v>
      </c>
      <c r="D67" s="154" t="s">
        <v>2920</v>
      </c>
      <c r="E67" s="29" t="s">
        <v>281</v>
      </c>
      <c r="F67" s="22">
        <v>13.25</v>
      </c>
      <c r="G67" s="22">
        <v>2.79</v>
      </c>
      <c r="H67" s="30"/>
      <c r="I67" s="9">
        <f t="shared" si="0"/>
        <v>2.79</v>
      </c>
      <c r="J67" s="31"/>
      <c r="K67" s="9">
        <f t="shared" si="1"/>
        <v>16.04</v>
      </c>
      <c r="L67" t="s">
        <v>295</v>
      </c>
    </row>
    <row r="68" spans="1:12" x14ac:dyDescent="0.25">
      <c r="A68" s="33">
        <v>45479</v>
      </c>
      <c r="B68" s="34" t="s">
        <v>2925</v>
      </c>
      <c r="C68" s="28" t="s">
        <v>2926</v>
      </c>
      <c r="D68" s="35" t="s">
        <v>1855</v>
      </c>
      <c r="E68" s="29" t="s">
        <v>2927</v>
      </c>
      <c r="F68" s="22">
        <v>182.14</v>
      </c>
      <c r="G68" s="22">
        <v>38.25</v>
      </c>
      <c r="H68" s="30"/>
      <c r="I68" s="9">
        <f t="shared" si="0"/>
        <v>38.25</v>
      </c>
      <c r="J68" s="31"/>
      <c r="K68" s="9">
        <f t="shared" si="1"/>
        <v>220.39</v>
      </c>
      <c r="L68" t="s">
        <v>267</v>
      </c>
    </row>
    <row r="69" spans="1:12" x14ac:dyDescent="0.25">
      <c r="A69" s="33">
        <v>45494</v>
      </c>
      <c r="B69" s="34" t="s">
        <v>2928</v>
      </c>
      <c r="C69" s="28" t="s">
        <v>2929</v>
      </c>
      <c r="D69" s="35" t="s">
        <v>2930</v>
      </c>
      <c r="E69" s="29" t="s">
        <v>281</v>
      </c>
      <c r="F69" s="22">
        <v>71.489999999999995</v>
      </c>
      <c r="G69" s="22">
        <v>15.01</v>
      </c>
      <c r="H69" s="30"/>
      <c r="I69" s="9">
        <f t="shared" si="0"/>
        <v>15.01</v>
      </c>
      <c r="J69" s="31"/>
      <c r="K69" s="9">
        <f t="shared" si="1"/>
        <v>86.5</v>
      </c>
      <c r="L69" t="s">
        <v>42</v>
      </c>
    </row>
    <row r="70" spans="1:12" x14ac:dyDescent="0.25">
      <c r="A70" s="33">
        <v>45475</v>
      </c>
      <c r="B70" s="34" t="s">
        <v>2791</v>
      </c>
      <c r="C70" s="28" t="s">
        <v>1869</v>
      </c>
      <c r="D70" s="35" t="s">
        <v>1870</v>
      </c>
      <c r="E70" s="29" t="s">
        <v>402</v>
      </c>
      <c r="F70" s="22">
        <v>10.18</v>
      </c>
      <c r="G70" s="22">
        <v>2.14</v>
      </c>
      <c r="H70" s="30"/>
      <c r="I70" s="9">
        <f t="shared" si="0"/>
        <v>2.14</v>
      </c>
      <c r="J70" s="31"/>
      <c r="K70" s="9">
        <f t="shared" si="1"/>
        <v>12.32</v>
      </c>
      <c r="L70" t="s">
        <v>267</v>
      </c>
    </row>
    <row r="71" spans="1:12" x14ac:dyDescent="0.25">
      <c r="A71" s="33">
        <v>45477</v>
      </c>
      <c r="B71" s="34" t="s">
        <v>2933</v>
      </c>
      <c r="C71" s="28" t="s">
        <v>1869</v>
      </c>
      <c r="D71" s="35" t="s">
        <v>1870</v>
      </c>
      <c r="E71" s="29" t="s">
        <v>402</v>
      </c>
      <c r="F71" s="22">
        <v>11.9</v>
      </c>
      <c r="G71" s="22">
        <v>2.5</v>
      </c>
      <c r="H71" s="30"/>
      <c r="I71" s="9">
        <f t="shared" si="0"/>
        <v>2.5</v>
      </c>
      <c r="J71" s="31"/>
      <c r="K71" s="9">
        <f t="shared" si="1"/>
        <v>14.4</v>
      </c>
      <c r="L71" t="s">
        <v>267</v>
      </c>
    </row>
    <row r="72" spans="1:12" x14ac:dyDescent="0.25">
      <c r="A72" s="33">
        <v>45478</v>
      </c>
      <c r="B72" s="34" t="s">
        <v>3091</v>
      </c>
      <c r="C72" s="28" t="s">
        <v>18</v>
      </c>
      <c r="D72" s="35" t="s">
        <v>19</v>
      </c>
      <c r="E72" s="29" t="s">
        <v>17</v>
      </c>
      <c r="F72" s="22">
        <v>49.83</v>
      </c>
      <c r="G72" s="22">
        <v>10.46</v>
      </c>
      <c r="H72" s="30"/>
      <c r="I72" s="9">
        <f t="shared" si="0"/>
        <v>10.46</v>
      </c>
      <c r="J72" s="31"/>
      <c r="K72" s="9">
        <f t="shared" si="1"/>
        <v>60.29</v>
      </c>
      <c r="L72" t="s">
        <v>42</v>
      </c>
    </row>
    <row r="73" spans="1:12" x14ac:dyDescent="0.25">
      <c r="A73" s="33">
        <v>45477</v>
      </c>
      <c r="B73" s="34" t="s">
        <v>3092</v>
      </c>
      <c r="C73" s="28" t="s">
        <v>1862</v>
      </c>
      <c r="D73" s="35" t="s">
        <v>581</v>
      </c>
      <c r="E73" s="29" t="s">
        <v>1863</v>
      </c>
      <c r="F73" s="22">
        <v>57.81</v>
      </c>
      <c r="G73" s="22">
        <v>12.14</v>
      </c>
      <c r="H73" s="30"/>
      <c r="I73" s="9">
        <f t="shared" si="0"/>
        <v>12.14</v>
      </c>
      <c r="J73" s="31"/>
      <c r="K73" s="9">
        <f t="shared" si="1"/>
        <v>69.95</v>
      </c>
      <c r="L73" t="s">
        <v>267</v>
      </c>
    </row>
    <row r="74" spans="1:12" x14ac:dyDescent="0.25">
      <c r="A74" s="33">
        <v>45477</v>
      </c>
      <c r="B74" s="34" t="s">
        <v>3093</v>
      </c>
      <c r="C74" s="28" t="s">
        <v>1862</v>
      </c>
      <c r="D74" s="35" t="s">
        <v>581</v>
      </c>
      <c r="E74" s="29" t="s">
        <v>1863</v>
      </c>
      <c r="F74" s="22">
        <v>57.81</v>
      </c>
      <c r="G74" s="22">
        <v>12.14</v>
      </c>
      <c r="H74" s="30"/>
      <c r="I74" s="9">
        <f t="shared" si="0"/>
        <v>12.14</v>
      </c>
      <c r="J74" s="31"/>
      <c r="K74" s="9">
        <f t="shared" si="1"/>
        <v>69.95</v>
      </c>
      <c r="L74" t="s">
        <v>267</v>
      </c>
    </row>
    <row r="75" spans="1:12" x14ac:dyDescent="0.25">
      <c r="A75" s="324">
        <v>45504</v>
      </c>
      <c r="B75" s="327" t="s">
        <v>3097</v>
      </c>
      <c r="C75" s="330" t="s">
        <v>715</v>
      </c>
      <c r="D75" s="330" t="s">
        <v>542</v>
      </c>
      <c r="E75" s="330" t="s">
        <v>17</v>
      </c>
      <c r="F75" s="22">
        <v>1.92</v>
      </c>
      <c r="G75" s="22"/>
      <c r="H75" s="30">
        <v>0.08</v>
      </c>
      <c r="I75" s="9"/>
      <c r="J75" s="31"/>
      <c r="K75" s="9"/>
      <c r="L75" t="s">
        <v>3098</v>
      </c>
    </row>
    <row r="76" spans="1:12" x14ac:dyDescent="0.25">
      <c r="A76" s="325"/>
      <c r="B76" s="328"/>
      <c r="C76" s="331"/>
      <c r="D76" s="331"/>
      <c r="E76" s="331"/>
      <c r="F76" s="22">
        <v>5.31</v>
      </c>
      <c r="G76" s="22"/>
      <c r="H76" s="30">
        <v>0.53</v>
      </c>
      <c r="I76" s="9"/>
      <c r="J76" s="31"/>
      <c r="K76" s="9"/>
    </row>
    <row r="77" spans="1:12" x14ac:dyDescent="0.25">
      <c r="A77" s="326"/>
      <c r="B77" s="329"/>
      <c r="C77" s="332"/>
      <c r="D77" s="332"/>
      <c r="E77" s="332"/>
      <c r="F77" s="22">
        <v>3045.17</v>
      </c>
      <c r="G77" s="22">
        <v>639.49</v>
      </c>
      <c r="H77" s="30"/>
      <c r="I77" s="9">
        <f>G77+H75+H76</f>
        <v>640.1</v>
      </c>
      <c r="J77" s="31"/>
      <c r="K77" s="9">
        <f>F75+F76+F77+I77</f>
        <v>3692.5</v>
      </c>
      <c r="L77" t="s">
        <v>42</v>
      </c>
    </row>
    <row r="78" spans="1:12" x14ac:dyDescent="0.25">
      <c r="A78" s="33">
        <v>45501</v>
      </c>
      <c r="B78" s="34" t="s">
        <v>3125</v>
      </c>
      <c r="C78" s="28" t="s">
        <v>633</v>
      </c>
      <c r="D78" s="35" t="s">
        <v>3126</v>
      </c>
      <c r="E78" s="29" t="s">
        <v>17</v>
      </c>
      <c r="F78" s="22">
        <v>68.84</v>
      </c>
      <c r="G78" s="22">
        <v>14.48</v>
      </c>
      <c r="H78" s="30"/>
      <c r="I78" s="9">
        <f t="shared" si="0"/>
        <v>14.48</v>
      </c>
      <c r="J78" s="31"/>
      <c r="K78" s="9">
        <f t="shared" si="1"/>
        <v>83.320000000000007</v>
      </c>
      <c r="L78" t="s">
        <v>267</v>
      </c>
    </row>
    <row r="79" spans="1:12" x14ac:dyDescent="0.25">
      <c r="A79" s="33">
        <v>45491</v>
      </c>
      <c r="B79" s="34" t="s">
        <v>3683</v>
      </c>
      <c r="C79" s="28" t="s">
        <v>3684</v>
      </c>
      <c r="D79" s="35" t="s">
        <v>3685</v>
      </c>
      <c r="E79" s="29" t="s">
        <v>3686</v>
      </c>
      <c r="F79" s="22">
        <v>10000</v>
      </c>
      <c r="G79" s="22">
        <v>2100</v>
      </c>
      <c r="H79" s="30"/>
      <c r="I79" s="9">
        <f t="shared" si="0"/>
        <v>2100</v>
      </c>
      <c r="J79" s="31"/>
      <c r="K79" s="9">
        <f t="shared" si="1"/>
        <v>12100</v>
      </c>
      <c r="L79" t="s">
        <v>3687</v>
      </c>
    </row>
    <row r="80" spans="1:12" x14ac:dyDescent="0.25">
      <c r="A80" s="33">
        <v>45475</v>
      </c>
      <c r="B80" s="34" t="s">
        <v>3696</v>
      </c>
      <c r="C80" s="28" t="s">
        <v>385</v>
      </c>
      <c r="D80" s="35" t="s">
        <v>388</v>
      </c>
      <c r="E80" s="29" t="s">
        <v>389</v>
      </c>
      <c r="F80" s="22">
        <v>16.52</v>
      </c>
      <c r="G80" s="22">
        <v>3.47</v>
      </c>
      <c r="H80" s="30"/>
      <c r="I80" s="9">
        <f t="shared" si="0"/>
        <v>3.47</v>
      </c>
      <c r="J80" s="31"/>
      <c r="K80" s="9">
        <f t="shared" si="1"/>
        <v>19.989999999999998</v>
      </c>
      <c r="L80" t="s">
        <v>3300</v>
      </c>
    </row>
    <row r="81" spans="1:12" x14ac:dyDescent="0.25">
      <c r="A81" s="33">
        <v>46598</v>
      </c>
      <c r="B81" s="34" t="s">
        <v>2507</v>
      </c>
      <c r="C81" s="28" t="s">
        <v>1412</v>
      </c>
      <c r="D81" s="36" t="s">
        <v>1414</v>
      </c>
      <c r="E81" s="29" t="s">
        <v>827</v>
      </c>
      <c r="F81" s="22">
        <v>495.87</v>
      </c>
      <c r="G81" s="22">
        <v>104.13</v>
      </c>
      <c r="H81" s="30"/>
      <c r="I81" s="9">
        <f t="shared" si="0"/>
        <v>104.13</v>
      </c>
      <c r="J81" s="31"/>
      <c r="K81" s="9">
        <f t="shared" si="1"/>
        <v>600</v>
      </c>
      <c r="L81" t="s">
        <v>41</v>
      </c>
    </row>
    <row r="82" spans="1:12" x14ac:dyDescent="0.25">
      <c r="A82" s="100">
        <v>45474</v>
      </c>
      <c r="B82" s="157" t="s">
        <v>3706</v>
      </c>
      <c r="C82" s="102" t="s">
        <v>1101</v>
      </c>
      <c r="D82" s="101" t="s">
        <v>1102</v>
      </c>
      <c r="E82" s="103" t="s">
        <v>1105</v>
      </c>
      <c r="F82" s="83">
        <v>900</v>
      </c>
      <c r="G82" s="83">
        <v>189</v>
      </c>
      <c r="H82" s="83"/>
      <c r="I82" s="251">
        <f t="shared" si="0"/>
        <v>189</v>
      </c>
      <c r="J82" s="266"/>
      <c r="K82" s="251">
        <f t="shared" si="1"/>
        <v>1089</v>
      </c>
      <c r="L82" s="196" t="s">
        <v>3707</v>
      </c>
    </row>
    <row r="83" spans="1:12" x14ac:dyDescent="0.25">
      <c r="A83" s="86">
        <v>45494</v>
      </c>
      <c r="B83" s="14" t="s">
        <v>3744</v>
      </c>
      <c r="C83" s="14" t="s">
        <v>3745</v>
      </c>
      <c r="D83" s="14" t="s">
        <v>3746</v>
      </c>
      <c r="E83" s="14" t="s">
        <v>281</v>
      </c>
      <c r="F83" s="14">
        <v>45.28</v>
      </c>
      <c r="G83" s="14">
        <v>9.51</v>
      </c>
      <c r="H83" s="14"/>
      <c r="I83" s="14">
        <f t="shared" si="0"/>
        <v>9.51</v>
      </c>
      <c r="J83" s="14"/>
      <c r="K83" s="14">
        <f t="shared" si="1"/>
        <v>54.79</v>
      </c>
      <c r="L83" t="s">
        <v>267</v>
      </c>
    </row>
    <row r="86" spans="1:12" x14ac:dyDescent="0.25">
      <c r="A86" s="189">
        <v>45397</v>
      </c>
      <c r="B86" s="246" t="s">
        <v>3387</v>
      </c>
      <c r="C86" s="247" t="s">
        <v>292</v>
      </c>
      <c r="D86" s="248" t="s">
        <v>293</v>
      </c>
      <c r="E86" s="246" t="s">
        <v>547</v>
      </c>
      <c r="F86" s="246">
        <v>254.74</v>
      </c>
      <c r="G86" s="246">
        <v>53.5</v>
      </c>
      <c r="H86" s="246"/>
      <c r="I86" s="246">
        <f>G86+H86</f>
        <v>53.5</v>
      </c>
      <c r="J86" s="246"/>
      <c r="K86" s="246">
        <f>F86+I86</f>
        <v>308.24</v>
      </c>
      <c r="L86" t="s">
        <v>295</v>
      </c>
    </row>
    <row r="87" spans="1:12" x14ac:dyDescent="0.25">
      <c r="A87" s="358">
        <v>45420</v>
      </c>
      <c r="B87" s="356" t="s">
        <v>3383</v>
      </c>
      <c r="C87" s="341" t="s">
        <v>3372</v>
      </c>
      <c r="D87" s="341" t="s">
        <v>3373</v>
      </c>
      <c r="E87" s="341" t="s">
        <v>3377</v>
      </c>
      <c r="F87" s="244">
        <v>99.19</v>
      </c>
      <c r="G87" s="244">
        <v>20.83</v>
      </c>
      <c r="H87" s="244"/>
      <c r="I87" s="237">
        <f>G87+H87</f>
        <v>20.83</v>
      </c>
      <c r="J87" s="245">
        <v>14.88</v>
      </c>
      <c r="K87" s="357">
        <f>F87+F88+I87-J87</f>
        <v>106.79</v>
      </c>
      <c r="L87" t="s">
        <v>3378</v>
      </c>
    </row>
    <row r="88" spans="1:12" x14ac:dyDescent="0.25">
      <c r="A88" s="345"/>
      <c r="B88" s="349"/>
      <c r="C88" s="340"/>
      <c r="D88" s="340"/>
      <c r="E88" s="340"/>
      <c r="F88" s="172">
        <v>1.65</v>
      </c>
      <c r="G88" s="172"/>
      <c r="H88" s="172"/>
      <c r="I88" s="173"/>
      <c r="J88" s="174"/>
      <c r="K88" s="351"/>
      <c r="L88" t="s">
        <v>3178</v>
      </c>
    </row>
    <row r="89" spans="1:12" x14ac:dyDescent="0.25">
      <c r="A89" s="344">
        <v>45420</v>
      </c>
      <c r="B89" s="348" t="s">
        <v>3384</v>
      </c>
      <c r="C89" s="339" t="s">
        <v>3372</v>
      </c>
      <c r="D89" s="339" t="s">
        <v>3373</v>
      </c>
      <c r="E89" s="339" t="s">
        <v>3377</v>
      </c>
      <c r="F89" s="172">
        <v>99.19</v>
      </c>
      <c r="G89" s="172">
        <v>20.83</v>
      </c>
      <c r="H89" s="172"/>
      <c r="I89" s="173">
        <f>G89+H89</f>
        <v>20.83</v>
      </c>
      <c r="J89" s="174">
        <v>14.88</v>
      </c>
      <c r="K89" s="350">
        <f>F89+F90+I89-J89</f>
        <v>106.79</v>
      </c>
      <c r="L89" t="s">
        <v>3378</v>
      </c>
    </row>
    <row r="90" spans="1:12" x14ac:dyDescent="0.25">
      <c r="A90" s="345"/>
      <c r="B90" s="356"/>
      <c r="C90" s="341"/>
      <c r="D90" s="340"/>
      <c r="E90" s="341"/>
      <c r="F90" s="172">
        <v>1.65</v>
      </c>
      <c r="G90" s="172"/>
      <c r="H90" s="172"/>
      <c r="I90" s="173"/>
      <c r="J90" s="174"/>
      <c r="K90" s="351"/>
      <c r="L90" t="s">
        <v>3178</v>
      </c>
    </row>
    <row r="91" spans="1:12" x14ac:dyDescent="0.25">
      <c r="A91" s="359">
        <v>45420</v>
      </c>
      <c r="B91" s="337" t="s">
        <v>3385</v>
      </c>
      <c r="C91" s="238" t="s">
        <v>3372</v>
      </c>
      <c r="D91" s="239" t="s">
        <v>3373</v>
      </c>
      <c r="E91" s="238" t="s">
        <v>3377</v>
      </c>
      <c r="F91" s="242">
        <v>99.19</v>
      </c>
      <c r="G91" s="202">
        <v>20.83</v>
      </c>
      <c r="H91" s="202"/>
      <c r="I91" s="173">
        <v>20.83</v>
      </c>
      <c r="J91" s="243">
        <v>14.88</v>
      </c>
      <c r="K91" s="236">
        <f>F91+F92+I91-J91</f>
        <v>106.79</v>
      </c>
      <c r="L91" t="s">
        <v>3378</v>
      </c>
    </row>
    <row r="92" spans="1:12" x14ac:dyDescent="0.25">
      <c r="A92" s="353"/>
      <c r="B92" s="338"/>
      <c r="C92" s="240"/>
      <c r="D92" s="241"/>
      <c r="E92" s="240"/>
      <c r="F92" s="127">
        <v>1.65</v>
      </c>
      <c r="G92" s="127"/>
      <c r="H92" s="127"/>
      <c r="I92" s="173"/>
      <c r="J92" s="127"/>
      <c r="K92" s="237"/>
      <c r="L92" t="s">
        <v>3178</v>
      </c>
    </row>
    <row r="93" spans="1:12" x14ac:dyDescent="0.25">
      <c r="A93" s="352">
        <v>45420</v>
      </c>
      <c r="B93" s="337" t="s">
        <v>3386</v>
      </c>
      <c r="C93" s="238" t="s">
        <v>3372</v>
      </c>
      <c r="D93" s="238" t="s">
        <v>3373</v>
      </c>
      <c r="E93" s="238" t="s">
        <v>3377</v>
      </c>
      <c r="F93" s="127">
        <v>99.19</v>
      </c>
      <c r="G93" s="127">
        <v>20.83</v>
      </c>
      <c r="H93" s="127"/>
      <c r="I93" s="173">
        <f>G93+H93</f>
        <v>20.83</v>
      </c>
      <c r="J93" s="127">
        <v>14.88</v>
      </c>
      <c r="K93" s="236">
        <f>F93+F94+I93-J93</f>
        <v>106.79</v>
      </c>
      <c r="L93" t="s">
        <v>3378</v>
      </c>
    </row>
    <row r="94" spans="1:12" x14ac:dyDescent="0.25">
      <c r="A94" s="360"/>
      <c r="B94" s="361"/>
      <c r="C94" s="240"/>
      <c r="D94" s="240"/>
      <c r="E94" s="240"/>
      <c r="F94" s="127">
        <v>1.65</v>
      </c>
      <c r="G94" s="127"/>
      <c r="H94" s="127"/>
      <c r="I94" s="173"/>
      <c r="J94" s="127"/>
      <c r="K94" s="237"/>
      <c r="L94" t="s">
        <v>3178</v>
      </c>
    </row>
    <row r="95" spans="1:12" x14ac:dyDescent="0.25">
      <c r="A95" s="344">
        <v>45432</v>
      </c>
      <c r="B95" s="348" t="s">
        <v>3381</v>
      </c>
      <c r="C95" s="339" t="s">
        <v>2798</v>
      </c>
      <c r="D95" s="339" t="s">
        <v>311</v>
      </c>
      <c r="E95" s="339" t="s">
        <v>281</v>
      </c>
      <c r="F95" s="172">
        <v>5.25</v>
      </c>
      <c r="G95" s="172"/>
      <c r="H95" s="172"/>
      <c r="I95" s="362">
        <f>H95+H96+H97+H98</f>
        <v>0.6100000000000001</v>
      </c>
      <c r="J95" s="174"/>
      <c r="K95" s="350">
        <f>F95+F96+F97+F98+I95</f>
        <v>12.429999999999998</v>
      </c>
    </row>
    <row r="96" spans="1:12" x14ac:dyDescent="0.25">
      <c r="A96" s="358"/>
      <c r="B96" s="356"/>
      <c r="C96" s="341"/>
      <c r="D96" s="341"/>
      <c r="E96" s="341"/>
      <c r="F96" s="172">
        <v>1.36</v>
      </c>
      <c r="G96" s="172"/>
      <c r="H96" s="172">
        <v>7.0000000000000007E-2</v>
      </c>
      <c r="I96" s="363"/>
      <c r="J96" s="174"/>
      <c r="K96" s="357"/>
      <c r="L96" t="s">
        <v>3382</v>
      </c>
    </row>
    <row r="97" spans="1:14" x14ac:dyDescent="0.25">
      <c r="A97" s="358"/>
      <c r="B97" s="356"/>
      <c r="C97" s="341"/>
      <c r="D97" s="341"/>
      <c r="E97" s="341"/>
      <c r="F97" s="172">
        <v>5.09</v>
      </c>
      <c r="G97" s="172"/>
      <c r="H97" s="172">
        <v>0.51</v>
      </c>
      <c r="I97" s="363"/>
      <c r="J97" s="174"/>
      <c r="K97" s="357"/>
    </row>
    <row r="98" spans="1:14" x14ac:dyDescent="0.25">
      <c r="A98" s="345"/>
      <c r="B98" s="349"/>
      <c r="C98" s="340"/>
      <c r="D98" s="340"/>
      <c r="E98" s="340"/>
      <c r="F98" s="172">
        <v>0.12</v>
      </c>
      <c r="G98" s="172"/>
      <c r="H98" s="172">
        <v>0.03</v>
      </c>
      <c r="I98" s="364"/>
      <c r="J98" s="174"/>
      <c r="K98" s="351"/>
    </row>
    <row r="99" spans="1:14" x14ac:dyDescent="0.25">
      <c r="A99" s="167">
        <v>45457</v>
      </c>
      <c r="B99" s="168" t="s">
        <v>3379</v>
      </c>
      <c r="C99" s="169" t="s">
        <v>397</v>
      </c>
      <c r="D99" s="170" t="s">
        <v>21</v>
      </c>
      <c r="E99" s="171" t="s">
        <v>266</v>
      </c>
      <c r="F99" s="172">
        <v>108.84</v>
      </c>
      <c r="G99" s="172">
        <v>22.86</v>
      </c>
      <c r="H99" s="172"/>
      <c r="I99" s="173">
        <f t="shared" si="0"/>
        <v>22.86</v>
      </c>
      <c r="J99" s="174"/>
      <c r="K99" s="173">
        <f t="shared" si="1"/>
        <v>131.69999999999999</v>
      </c>
    </row>
    <row r="100" spans="1:14" x14ac:dyDescent="0.25">
      <c r="A100" s="344">
        <v>45449</v>
      </c>
      <c r="B100" s="348" t="s">
        <v>3374</v>
      </c>
      <c r="C100" s="339" t="s">
        <v>3372</v>
      </c>
      <c r="D100" s="339" t="s">
        <v>3762</v>
      </c>
      <c r="E100" s="339" t="s">
        <v>3377</v>
      </c>
      <c r="F100" s="172">
        <v>136.62</v>
      </c>
      <c r="G100" s="172">
        <v>28.69</v>
      </c>
      <c r="H100" s="172"/>
      <c r="I100" s="173">
        <f t="shared" si="0"/>
        <v>28.69</v>
      </c>
      <c r="J100" s="174">
        <v>20.49</v>
      </c>
      <c r="K100" s="350">
        <f>F100+F101+I100-J100</f>
        <v>145.95999999999998</v>
      </c>
      <c r="L100" t="s">
        <v>3378</v>
      </c>
    </row>
    <row r="101" spans="1:14" x14ac:dyDescent="0.25">
      <c r="A101" s="345"/>
      <c r="B101" s="349"/>
      <c r="C101" s="340"/>
      <c r="D101" s="340"/>
      <c r="E101" s="340"/>
      <c r="F101" s="172">
        <v>1.1399999999999999</v>
      </c>
      <c r="G101" s="172"/>
      <c r="H101" s="172"/>
      <c r="I101" s="173"/>
      <c r="J101" s="174"/>
      <c r="K101" s="351"/>
      <c r="L101" t="s">
        <v>3178</v>
      </c>
    </row>
    <row r="102" spans="1:14" x14ac:dyDescent="0.25">
      <c r="A102" s="344">
        <v>45449</v>
      </c>
      <c r="B102" s="348" t="s">
        <v>3375</v>
      </c>
      <c r="C102" s="339" t="s">
        <v>3372</v>
      </c>
      <c r="D102" s="339" t="s">
        <v>3762</v>
      </c>
      <c r="E102" s="339" t="s">
        <v>3377</v>
      </c>
      <c r="F102" s="172">
        <v>132.26</v>
      </c>
      <c r="G102" s="172">
        <v>27.77</v>
      </c>
      <c r="H102" s="172"/>
      <c r="I102" s="173">
        <f t="shared" si="0"/>
        <v>27.77</v>
      </c>
      <c r="J102" s="174">
        <v>19.84</v>
      </c>
      <c r="K102" s="350">
        <f>F102+F103+I102-J102</f>
        <v>141.84</v>
      </c>
      <c r="L102" t="s">
        <v>3378</v>
      </c>
    </row>
    <row r="103" spans="1:14" x14ac:dyDescent="0.25">
      <c r="A103" s="345"/>
      <c r="B103" s="356"/>
      <c r="C103" s="341"/>
      <c r="D103" s="340"/>
      <c r="E103" s="341"/>
      <c r="F103" s="172">
        <v>1.65</v>
      </c>
      <c r="G103" s="172"/>
      <c r="H103" s="172"/>
      <c r="I103" s="173"/>
      <c r="J103" s="174"/>
      <c r="K103" s="351"/>
      <c r="L103" t="s">
        <v>3178</v>
      </c>
    </row>
    <row r="104" spans="1:14" x14ac:dyDescent="0.25">
      <c r="A104" s="346">
        <v>45449</v>
      </c>
      <c r="B104" s="337" t="s">
        <v>3376</v>
      </c>
      <c r="C104" s="342" t="s">
        <v>3372</v>
      </c>
      <c r="D104" s="354" t="s">
        <v>3762</v>
      </c>
      <c r="E104" s="342" t="s">
        <v>3377</v>
      </c>
      <c r="F104" s="242">
        <v>82.95</v>
      </c>
      <c r="G104" s="202">
        <v>17.420000000000002</v>
      </c>
      <c r="H104" s="202"/>
      <c r="I104" s="173">
        <v>17.420000000000002</v>
      </c>
      <c r="J104" s="243">
        <v>12.44</v>
      </c>
      <c r="K104" s="350">
        <f>F104+F105+I104-J104</f>
        <v>89.25</v>
      </c>
      <c r="L104" t="s">
        <v>3378</v>
      </c>
    </row>
    <row r="105" spans="1:14" x14ac:dyDescent="0.25">
      <c r="A105" s="347"/>
      <c r="B105" s="338"/>
      <c r="C105" s="343"/>
      <c r="D105" s="355"/>
      <c r="E105" s="343"/>
      <c r="F105" s="127">
        <v>1.32</v>
      </c>
      <c r="G105" s="127"/>
      <c r="H105" s="127"/>
      <c r="I105" s="173"/>
      <c r="J105" s="127"/>
      <c r="K105" s="351"/>
      <c r="L105" t="s">
        <v>3178</v>
      </c>
    </row>
    <row r="106" spans="1:14" x14ac:dyDescent="0.25">
      <c r="A106" s="352">
        <v>45449</v>
      </c>
      <c r="B106" s="337" t="s">
        <v>3380</v>
      </c>
      <c r="C106" s="342" t="s">
        <v>3372</v>
      </c>
      <c r="D106" s="342" t="s">
        <v>3762</v>
      </c>
      <c r="E106" s="342" t="s">
        <v>3377</v>
      </c>
      <c r="F106" s="127">
        <v>70.94</v>
      </c>
      <c r="G106" s="127">
        <v>14.9</v>
      </c>
      <c r="H106" s="127"/>
      <c r="I106" s="173">
        <f>G106+H106</f>
        <v>14.9</v>
      </c>
      <c r="J106" s="127">
        <v>10.64</v>
      </c>
      <c r="K106" s="350">
        <f>F106+F107+I106-J106</f>
        <v>76.100000000000009</v>
      </c>
      <c r="L106" t="s">
        <v>3378</v>
      </c>
    </row>
    <row r="107" spans="1:14" x14ac:dyDescent="0.25">
      <c r="A107" s="353"/>
      <c r="B107" s="338"/>
      <c r="C107" s="343"/>
      <c r="D107" s="343"/>
      <c r="E107" s="343"/>
      <c r="F107" s="127">
        <v>0.9</v>
      </c>
      <c r="G107" s="127"/>
      <c r="H107" s="127"/>
      <c r="I107" s="173"/>
      <c r="J107" s="127"/>
      <c r="K107" s="351"/>
      <c r="L107" t="s">
        <v>3178</v>
      </c>
    </row>
    <row r="108" spans="1:14" x14ac:dyDescent="0.25">
      <c r="A108" s="261">
        <v>45473</v>
      </c>
      <c r="B108" s="262" t="s">
        <v>2518</v>
      </c>
      <c r="C108" s="262" t="s">
        <v>2812</v>
      </c>
      <c r="D108" s="196"/>
      <c r="E108" s="196" t="s">
        <v>3741</v>
      </c>
      <c r="F108" s="135">
        <v>1904.77</v>
      </c>
      <c r="G108" s="135">
        <f>F108*21/100</f>
        <v>400.00169999999997</v>
      </c>
      <c r="H108" s="135"/>
      <c r="I108" s="135"/>
      <c r="J108" s="135">
        <v>2304.77</v>
      </c>
      <c r="K108" s="263" t="s">
        <v>2813</v>
      </c>
      <c r="L108" s="264"/>
      <c r="M108" s="264"/>
      <c r="N108" s="196"/>
    </row>
    <row r="109" spans="1:14" x14ac:dyDescent="0.25">
      <c r="A109" s="167">
        <v>45444</v>
      </c>
      <c r="B109" s="168" t="s">
        <v>2909</v>
      </c>
      <c r="C109" s="197" t="s">
        <v>2455</v>
      </c>
      <c r="D109" s="170" t="s">
        <v>2457</v>
      </c>
      <c r="E109" s="171" t="s">
        <v>2458</v>
      </c>
      <c r="F109" s="172">
        <v>99</v>
      </c>
      <c r="G109" s="172">
        <v>20.82</v>
      </c>
      <c r="H109" s="172"/>
      <c r="I109" s="173">
        <f t="shared" si="0"/>
        <v>20.82</v>
      </c>
      <c r="J109" s="174"/>
      <c r="K109" s="173">
        <f t="shared" si="1"/>
        <v>119.82</v>
      </c>
      <c r="L109" s="182" t="s">
        <v>295</v>
      </c>
    </row>
    <row r="110" spans="1:14" x14ac:dyDescent="0.25">
      <c r="A110" s="193">
        <v>45459</v>
      </c>
      <c r="B110" s="168" t="s">
        <v>2823</v>
      </c>
      <c r="C110" s="169" t="s">
        <v>1860</v>
      </c>
      <c r="D110" s="170" t="s">
        <v>16</v>
      </c>
      <c r="E110" s="171" t="s">
        <v>17</v>
      </c>
      <c r="F110" s="172">
        <v>29.26</v>
      </c>
      <c r="G110" s="172">
        <v>6.14</v>
      </c>
      <c r="H110" s="172"/>
      <c r="I110" s="173">
        <f t="shared" si="0"/>
        <v>6.14</v>
      </c>
      <c r="J110" s="174"/>
      <c r="K110" s="173">
        <f t="shared" si="1"/>
        <v>35.4</v>
      </c>
      <c r="L110" s="182" t="s">
        <v>42</v>
      </c>
    </row>
    <row r="111" spans="1:14" x14ac:dyDescent="0.25">
      <c r="A111" s="167">
        <v>45459</v>
      </c>
      <c r="B111" s="194" t="s">
        <v>2824</v>
      </c>
      <c r="C111" s="169" t="s">
        <v>1860</v>
      </c>
      <c r="D111" s="170" t="s">
        <v>16</v>
      </c>
      <c r="E111" s="171" t="s">
        <v>17</v>
      </c>
      <c r="F111" s="172">
        <v>121.5</v>
      </c>
      <c r="G111" s="172">
        <v>25.52</v>
      </c>
      <c r="H111" s="172"/>
      <c r="I111" s="173">
        <f t="shared" si="0"/>
        <v>25.52</v>
      </c>
      <c r="J111" s="174"/>
      <c r="K111" s="173">
        <f t="shared" si="1"/>
        <v>147.02000000000001</v>
      </c>
      <c r="L111" s="182" t="s">
        <v>42</v>
      </c>
    </row>
    <row r="112" spans="1:14" x14ac:dyDescent="0.25">
      <c r="A112" s="167">
        <v>45473</v>
      </c>
      <c r="B112" s="168" t="s">
        <v>2825</v>
      </c>
      <c r="C112" s="169" t="s">
        <v>1860</v>
      </c>
      <c r="D112" s="170" t="s">
        <v>16</v>
      </c>
      <c r="E112" s="171" t="s">
        <v>17</v>
      </c>
      <c r="F112" s="172">
        <v>144.66</v>
      </c>
      <c r="G112" s="172">
        <v>30.38</v>
      </c>
      <c r="H112" s="172"/>
      <c r="I112" s="173">
        <f t="shared" si="0"/>
        <v>30.38</v>
      </c>
      <c r="J112" s="174"/>
      <c r="K112" s="173">
        <f t="shared" si="1"/>
        <v>175.04</v>
      </c>
      <c r="L112" s="182" t="s">
        <v>42</v>
      </c>
    </row>
    <row r="113" spans="1:12" x14ac:dyDescent="0.25">
      <c r="A113" s="167">
        <v>45473</v>
      </c>
      <c r="B113" s="168" t="s">
        <v>2510</v>
      </c>
      <c r="C113" s="169" t="s">
        <v>1860</v>
      </c>
      <c r="D113" s="170" t="s">
        <v>16</v>
      </c>
      <c r="E113" s="171" t="s">
        <v>17</v>
      </c>
      <c r="F113" s="172">
        <v>64.14</v>
      </c>
      <c r="G113" s="172">
        <v>13.47</v>
      </c>
      <c r="H113" s="172"/>
      <c r="I113" s="173">
        <f t="shared" si="0"/>
        <v>13.47</v>
      </c>
      <c r="J113" s="174"/>
      <c r="K113" s="173">
        <f t="shared" si="1"/>
        <v>77.61</v>
      </c>
      <c r="L113" s="182" t="s">
        <v>42</v>
      </c>
    </row>
    <row r="114" spans="1:12" x14ac:dyDescent="0.25">
      <c r="A114" s="167">
        <v>45469</v>
      </c>
      <c r="B114" s="168" t="s">
        <v>2509</v>
      </c>
      <c r="C114" s="169" t="s">
        <v>400</v>
      </c>
      <c r="D114" s="170" t="s">
        <v>401</v>
      </c>
      <c r="E114" s="171" t="s">
        <v>1871</v>
      </c>
      <c r="F114" s="172">
        <v>11.73</v>
      </c>
      <c r="G114" s="172">
        <v>2.46</v>
      </c>
      <c r="H114" s="172"/>
      <c r="I114" s="173">
        <f t="shared" si="0"/>
        <v>2.46</v>
      </c>
      <c r="J114" s="174"/>
      <c r="K114" s="173">
        <f t="shared" si="1"/>
        <v>14.190000000000001</v>
      </c>
      <c r="L114" s="182" t="s">
        <v>42</v>
      </c>
    </row>
    <row r="115" spans="1:12" x14ac:dyDescent="0.25">
      <c r="A115" s="33"/>
      <c r="B115" s="34"/>
      <c r="C115" s="28"/>
      <c r="D115" s="35"/>
      <c r="E115" s="29"/>
      <c r="F115" s="22">
        <f>SUM(F5:F114)</f>
        <v>24442.707999999999</v>
      </c>
      <c r="G115" s="22">
        <f>SUM(G5:G114)</f>
        <v>4580.7617000000009</v>
      </c>
      <c r="H115" s="30">
        <f>SUM(H5:H114)</f>
        <v>93.66</v>
      </c>
      <c r="I115" s="9">
        <f t="shared" si="0"/>
        <v>4674.4217000000008</v>
      </c>
      <c r="J115" s="31"/>
      <c r="K115" s="9">
        <f t="shared" si="1"/>
        <v>29117.129699999998</v>
      </c>
    </row>
    <row r="118" spans="1:12" ht="15.75" thickBot="1" x14ac:dyDescent="0.3"/>
    <row r="119" spans="1:12" x14ac:dyDescent="0.25">
      <c r="A119" s="44" t="s">
        <v>1</v>
      </c>
      <c r="B119" s="45" t="s">
        <v>2</v>
      </c>
      <c r="C119" s="46" t="s">
        <v>26</v>
      </c>
      <c r="D119" s="46" t="s">
        <v>4</v>
      </c>
      <c r="E119" s="46" t="s">
        <v>5</v>
      </c>
      <c r="F119" s="46" t="s">
        <v>6</v>
      </c>
      <c r="G119" s="46" t="s">
        <v>7</v>
      </c>
      <c r="H119" s="46" t="s">
        <v>8</v>
      </c>
      <c r="I119" s="46" t="s">
        <v>9</v>
      </c>
      <c r="J119" s="47" t="s">
        <v>10</v>
      </c>
      <c r="K119" s="2" t="s">
        <v>11</v>
      </c>
    </row>
    <row r="120" spans="1:12" x14ac:dyDescent="0.25">
      <c r="A120" s="184">
        <v>45476</v>
      </c>
      <c r="B120" s="51" t="s">
        <v>3711</v>
      </c>
      <c r="C120" s="161" t="s">
        <v>3710</v>
      </c>
      <c r="D120" s="14" t="s">
        <v>3712</v>
      </c>
      <c r="E120" s="183" t="s">
        <v>30</v>
      </c>
      <c r="F120" s="60">
        <v>540</v>
      </c>
      <c r="G120" s="30">
        <v>113.4</v>
      </c>
      <c r="H120" s="30"/>
      <c r="I120" s="30">
        <f t="shared" ref="I120:I126" si="2">G120+H120</f>
        <v>113.4</v>
      </c>
      <c r="J120" s="31"/>
      <c r="K120" s="50">
        <f t="shared" ref="K120:K126" si="3">F120+I120-J120</f>
        <v>653.4</v>
      </c>
    </row>
    <row r="121" spans="1:12" x14ac:dyDescent="0.25">
      <c r="A121" s="184">
        <v>45476</v>
      </c>
      <c r="B121" s="36" t="s">
        <v>3713</v>
      </c>
      <c r="C121" s="161" t="s">
        <v>3710</v>
      </c>
      <c r="D121" s="14" t="s">
        <v>3712</v>
      </c>
      <c r="E121" s="183" t="s">
        <v>30</v>
      </c>
      <c r="F121" s="30">
        <v>380</v>
      </c>
      <c r="G121" s="30">
        <v>79.8</v>
      </c>
      <c r="H121" s="30"/>
      <c r="I121" s="30">
        <f t="shared" si="2"/>
        <v>79.8</v>
      </c>
      <c r="J121" s="31"/>
      <c r="K121" s="50">
        <f t="shared" si="3"/>
        <v>459.8</v>
      </c>
    </row>
    <row r="122" spans="1:12" x14ac:dyDescent="0.25">
      <c r="A122" s="184">
        <v>45476</v>
      </c>
      <c r="B122" s="51" t="s">
        <v>2511</v>
      </c>
      <c r="C122" s="14" t="s">
        <v>2448</v>
      </c>
      <c r="D122" s="14" t="s">
        <v>2449</v>
      </c>
      <c r="E122" s="14" t="s">
        <v>2450</v>
      </c>
      <c r="F122" s="60">
        <v>1400</v>
      </c>
      <c r="G122" s="30">
        <v>294</v>
      </c>
      <c r="H122" s="30"/>
      <c r="I122" s="30">
        <f>G122+H122</f>
        <v>294</v>
      </c>
      <c r="J122" s="31">
        <v>266</v>
      </c>
      <c r="K122" s="50">
        <f t="shared" si="3"/>
        <v>1428</v>
      </c>
    </row>
    <row r="123" spans="1:12" x14ac:dyDescent="0.25">
      <c r="A123" s="184">
        <v>45481</v>
      </c>
      <c r="B123" s="36" t="s">
        <v>3715</v>
      </c>
      <c r="C123" s="51" t="s">
        <v>3714</v>
      </c>
      <c r="D123" s="14" t="s">
        <v>2454</v>
      </c>
      <c r="E123" s="183" t="s">
        <v>30</v>
      </c>
      <c r="F123" s="30">
        <v>180</v>
      </c>
      <c r="G123" s="30">
        <v>37.799999999999997</v>
      </c>
      <c r="H123" s="30"/>
      <c r="I123" s="30">
        <f t="shared" si="2"/>
        <v>37.799999999999997</v>
      </c>
      <c r="J123" s="31"/>
      <c r="K123" s="50">
        <f t="shared" si="3"/>
        <v>217.8</v>
      </c>
    </row>
    <row r="124" spans="1:12" x14ac:dyDescent="0.25">
      <c r="A124" s="184">
        <v>45481</v>
      </c>
      <c r="B124" s="36" t="s">
        <v>3717</v>
      </c>
      <c r="C124" s="161" t="s">
        <v>3716</v>
      </c>
      <c r="D124" s="14" t="s">
        <v>2454</v>
      </c>
      <c r="E124" s="183" t="s">
        <v>30</v>
      </c>
      <c r="F124" s="30">
        <v>480</v>
      </c>
      <c r="G124" s="30">
        <v>100.8</v>
      </c>
      <c r="H124" s="30"/>
      <c r="I124" s="30">
        <f t="shared" si="2"/>
        <v>100.8</v>
      </c>
      <c r="J124" s="31"/>
      <c r="K124" s="50">
        <f t="shared" si="3"/>
        <v>580.79999999999995</v>
      </c>
    </row>
    <row r="125" spans="1:12" x14ac:dyDescent="0.25">
      <c r="A125" s="184">
        <v>45481</v>
      </c>
      <c r="B125" s="36" t="s">
        <v>3719</v>
      </c>
      <c r="C125" s="161" t="s">
        <v>3718</v>
      </c>
      <c r="D125" s="14" t="s">
        <v>3720</v>
      </c>
      <c r="E125" s="183" t="s">
        <v>30</v>
      </c>
      <c r="F125" s="30">
        <v>170</v>
      </c>
      <c r="G125" s="30">
        <v>35.700000000000003</v>
      </c>
      <c r="H125" s="30"/>
      <c r="I125" s="30">
        <f t="shared" si="2"/>
        <v>35.700000000000003</v>
      </c>
      <c r="J125" s="31"/>
      <c r="K125" s="50">
        <f t="shared" si="3"/>
        <v>205.7</v>
      </c>
    </row>
    <row r="126" spans="1:12" x14ac:dyDescent="0.25">
      <c r="A126" s="184">
        <v>45495</v>
      </c>
      <c r="B126" s="36" t="s">
        <v>3722</v>
      </c>
      <c r="C126" s="51" t="s">
        <v>3721</v>
      </c>
      <c r="D126" s="14" t="s">
        <v>3723</v>
      </c>
      <c r="E126" s="183" t="s">
        <v>30</v>
      </c>
      <c r="F126" s="30">
        <v>200</v>
      </c>
      <c r="G126" s="30">
        <v>42</v>
      </c>
      <c r="H126" s="30"/>
      <c r="I126" s="30">
        <f t="shared" si="2"/>
        <v>42</v>
      </c>
      <c r="J126" s="31"/>
      <c r="K126" s="50">
        <f t="shared" si="3"/>
        <v>242</v>
      </c>
    </row>
    <row r="127" spans="1:12" x14ac:dyDescent="0.25">
      <c r="A127" s="319" t="s">
        <v>11</v>
      </c>
      <c r="B127" s="319"/>
      <c r="C127" s="319"/>
      <c r="D127" s="321"/>
      <c r="E127" s="319"/>
      <c r="F127" s="40">
        <f>SUM(F120:F126)</f>
        <v>3350</v>
      </c>
      <c r="G127" s="41">
        <f>SUM(G120:G126)</f>
        <v>703.5</v>
      </c>
      <c r="H127" s="36"/>
      <c r="I127" s="40">
        <f>SUM(I120:I126)</f>
        <v>703.5</v>
      </c>
      <c r="J127" s="164">
        <f>SUM(J120:J126)</f>
        <v>266</v>
      </c>
      <c r="K127" s="160">
        <f>SUM(K120:K126)</f>
        <v>3787.5</v>
      </c>
    </row>
    <row r="130" spans="1:3" x14ac:dyDescent="0.25">
      <c r="A130" t="s">
        <v>3738</v>
      </c>
      <c r="B130" t="s">
        <v>3736</v>
      </c>
      <c r="C130" s="166">
        <v>703.5</v>
      </c>
    </row>
    <row r="131" spans="1:3" x14ac:dyDescent="0.25">
      <c r="B131" t="s">
        <v>3737</v>
      </c>
      <c r="C131" s="166">
        <f>2905+400</f>
        <v>3305</v>
      </c>
    </row>
    <row r="132" spans="1:3" x14ac:dyDescent="0.25">
      <c r="B132" t="s">
        <v>11</v>
      </c>
      <c r="C132" s="166">
        <f>C130+C131</f>
        <v>4008.5</v>
      </c>
    </row>
    <row r="133" spans="1:3" x14ac:dyDescent="0.25">
      <c r="A133" t="s">
        <v>3739</v>
      </c>
      <c r="C133" s="166">
        <f>I115</f>
        <v>4674.4217000000008</v>
      </c>
    </row>
    <row r="134" spans="1:3" x14ac:dyDescent="0.25">
      <c r="C134" s="166"/>
    </row>
    <row r="135" spans="1:3" x14ac:dyDescent="0.25">
      <c r="A135" t="s">
        <v>3740</v>
      </c>
      <c r="C135" s="265">
        <f>C133-C132</f>
        <v>665.92170000000078</v>
      </c>
    </row>
  </sheetData>
  <mergeCells count="59">
    <mergeCell ref="A91:A92"/>
    <mergeCell ref="A93:A94"/>
    <mergeCell ref="B93:B94"/>
    <mergeCell ref="B91:B92"/>
    <mergeCell ref="I95:I98"/>
    <mergeCell ref="D95:D98"/>
    <mergeCell ref="E95:E98"/>
    <mergeCell ref="K95:K98"/>
    <mergeCell ref="A87:A88"/>
    <mergeCell ref="B87:B88"/>
    <mergeCell ref="C87:C88"/>
    <mergeCell ref="D87:D88"/>
    <mergeCell ref="E87:E88"/>
    <mergeCell ref="K87:K88"/>
    <mergeCell ref="A89:A90"/>
    <mergeCell ref="B89:B90"/>
    <mergeCell ref="C89:C90"/>
    <mergeCell ref="D89:D90"/>
    <mergeCell ref="E89:E90"/>
    <mergeCell ref="K89:K90"/>
    <mergeCell ref="A95:A98"/>
    <mergeCell ref="B95:B98"/>
    <mergeCell ref="C95:C98"/>
    <mergeCell ref="K100:K101"/>
    <mergeCell ref="K102:K103"/>
    <mergeCell ref="K104:K105"/>
    <mergeCell ref="A106:A107"/>
    <mergeCell ref="B106:B107"/>
    <mergeCell ref="C106:C107"/>
    <mergeCell ref="D106:D107"/>
    <mergeCell ref="E106:E107"/>
    <mergeCell ref="K106:K107"/>
    <mergeCell ref="D100:D101"/>
    <mergeCell ref="D102:D103"/>
    <mergeCell ref="D104:D105"/>
    <mergeCell ref="E100:E101"/>
    <mergeCell ref="E102:E103"/>
    <mergeCell ref="E104:E105"/>
    <mergeCell ref="B102:B103"/>
    <mergeCell ref="B104:B105"/>
    <mergeCell ref="C100:C101"/>
    <mergeCell ref="C102:C103"/>
    <mergeCell ref="C104:C105"/>
    <mergeCell ref="A127:E127"/>
    <mergeCell ref="A100:A101"/>
    <mergeCell ref="A102:A103"/>
    <mergeCell ref="A104:A105"/>
    <mergeCell ref="B100:B101"/>
    <mergeCell ref="K12:K13"/>
    <mergeCell ref="A12:A13"/>
    <mergeCell ref="B12:B13"/>
    <mergeCell ref="C12:C13"/>
    <mergeCell ref="D12:D13"/>
    <mergeCell ref="E12:E13"/>
    <mergeCell ref="A75:A77"/>
    <mergeCell ref="B75:B77"/>
    <mergeCell ref="C75:C77"/>
    <mergeCell ref="D75:D77"/>
    <mergeCell ref="E75:E7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1AD0-D521-4784-8A54-710B62C9FA02}">
  <dimension ref="A1:O146"/>
  <sheetViews>
    <sheetView topLeftCell="A118" workbookViewId="0">
      <selection activeCell="F148" sqref="F148"/>
    </sheetView>
  </sheetViews>
  <sheetFormatPr baseColWidth="10" defaultRowHeight="15" x14ac:dyDescent="0.25"/>
  <cols>
    <col min="1" max="1" width="13.85546875" customWidth="1"/>
    <col min="2" max="2" width="21.85546875" customWidth="1"/>
    <col min="3" max="3" width="44.7109375" customWidth="1"/>
    <col min="4" max="4" width="14.7109375" customWidth="1"/>
    <col min="6" max="6" width="16.28515625" customWidth="1"/>
    <col min="8" max="8" width="17.85546875" customWidth="1"/>
    <col min="9" max="9" width="18.42578125" customWidth="1"/>
  </cols>
  <sheetData>
    <row r="1" spans="1:15" x14ac:dyDescent="0.25">
      <c r="A1" s="319" t="s">
        <v>1</v>
      </c>
      <c r="B1" s="319" t="s">
        <v>2</v>
      </c>
      <c r="C1" s="319" t="s">
        <v>32</v>
      </c>
      <c r="D1" s="319" t="s">
        <v>33</v>
      </c>
      <c r="E1" s="319" t="s">
        <v>408</v>
      </c>
      <c r="F1" s="319" t="s">
        <v>11</v>
      </c>
      <c r="G1" s="319" t="s">
        <v>34</v>
      </c>
      <c r="H1" s="319"/>
      <c r="I1" s="319" t="s">
        <v>35</v>
      </c>
      <c r="J1" s="319" t="s">
        <v>36</v>
      </c>
      <c r="K1" s="319" t="s">
        <v>37</v>
      </c>
      <c r="L1" s="319" t="s">
        <v>38</v>
      </c>
      <c r="M1" s="319" t="s">
        <v>37</v>
      </c>
      <c r="N1" s="320" t="s">
        <v>38</v>
      </c>
      <c r="O1" s="319" t="s">
        <v>40</v>
      </c>
    </row>
    <row r="2" spans="1:15" x14ac:dyDescent="0.25">
      <c r="A2" s="320"/>
      <c r="B2" s="320"/>
      <c r="C2" s="320"/>
      <c r="D2" s="320"/>
      <c r="E2" s="320"/>
      <c r="F2" s="320"/>
      <c r="G2" s="52" t="s">
        <v>41</v>
      </c>
      <c r="H2" s="53" t="s">
        <v>42</v>
      </c>
      <c r="I2" s="320"/>
      <c r="J2" s="320"/>
      <c r="K2" s="320"/>
      <c r="L2" s="320"/>
      <c r="M2" s="320"/>
      <c r="N2" s="323"/>
      <c r="O2" s="320"/>
    </row>
    <row r="3" spans="1:15" x14ac:dyDescent="0.25">
      <c r="A3" s="86">
        <v>45476</v>
      </c>
      <c r="B3" s="55" t="s">
        <v>2519</v>
      </c>
      <c r="C3" s="55" t="s">
        <v>43</v>
      </c>
      <c r="D3" s="75">
        <f>F3/1.1</f>
        <v>163.63636363636363</v>
      </c>
      <c r="E3" s="75">
        <f t="shared" ref="E3:E66" si="0">D3*10/100</f>
        <v>16.363636363636363</v>
      </c>
      <c r="F3" s="75">
        <v>180</v>
      </c>
      <c r="G3" s="75"/>
      <c r="H3" s="58">
        <f t="shared" ref="H3:H66" si="1">F3-G3</f>
        <v>180</v>
      </c>
      <c r="I3" s="14" t="s">
        <v>603</v>
      </c>
      <c r="J3" s="75">
        <v>180</v>
      </c>
      <c r="K3" s="75"/>
      <c r="L3" s="14"/>
      <c r="M3" s="14"/>
      <c r="N3" s="14"/>
      <c r="O3" s="14"/>
    </row>
    <row r="4" spans="1:15" x14ac:dyDescent="0.25">
      <c r="A4" s="86">
        <v>45476</v>
      </c>
      <c r="B4" s="55" t="s">
        <v>2520</v>
      </c>
      <c r="C4" s="55" t="s">
        <v>43</v>
      </c>
      <c r="D4" s="75">
        <f t="shared" ref="D4:D67" si="2">F4/1.1</f>
        <v>263.63636363636363</v>
      </c>
      <c r="E4" s="75">
        <f t="shared" si="0"/>
        <v>26.36363636363636</v>
      </c>
      <c r="F4" s="75">
        <v>290</v>
      </c>
      <c r="G4" s="75">
        <v>50</v>
      </c>
      <c r="H4" s="58">
        <f t="shared" si="1"/>
        <v>240</v>
      </c>
      <c r="I4" s="14" t="s">
        <v>2744</v>
      </c>
      <c r="J4" s="75">
        <v>270</v>
      </c>
      <c r="K4" s="75">
        <v>20</v>
      </c>
      <c r="L4" s="14" t="s">
        <v>252</v>
      </c>
      <c r="M4" s="75"/>
      <c r="N4" s="14"/>
      <c r="O4" s="14"/>
    </row>
    <row r="5" spans="1:15" x14ac:dyDescent="0.25">
      <c r="A5" s="86">
        <v>45476</v>
      </c>
      <c r="B5" s="55" t="s">
        <v>2521</v>
      </c>
      <c r="C5" s="55" t="s">
        <v>43</v>
      </c>
      <c r="D5" s="75">
        <f t="shared" si="2"/>
        <v>154.54545454545453</v>
      </c>
      <c r="E5" s="75">
        <f t="shared" si="0"/>
        <v>15.454545454545453</v>
      </c>
      <c r="F5" s="75">
        <v>170</v>
      </c>
      <c r="G5" s="75">
        <v>70</v>
      </c>
      <c r="H5" s="58">
        <f t="shared" si="1"/>
        <v>100</v>
      </c>
      <c r="I5" s="14" t="s">
        <v>2745</v>
      </c>
      <c r="J5" s="75">
        <v>170</v>
      </c>
      <c r="K5" s="75"/>
      <c r="L5" s="14"/>
      <c r="M5" s="75"/>
      <c r="N5" s="14"/>
      <c r="O5" s="14"/>
    </row>
    <row r="6" spans="1:15" x14ac:dyDescent="0.25">
      <c r="A6" s="86">
        <v>45476</v>
      </c>
      <c r="B6" s="55" t="s">
        <v>2522</v>
      </c>
      <c r="C6" s="55" t="s">
        <v>43</v>
      </c>
      <c r="D6" s="75">
        <f t="shared" si="2"/>
        <v>190.90909090909091</v>
      </c>
      <c r="E6" s="75">
        <f t="shared" si="0"/>
        <v>19.09090909090909</v>
      </c>
      <c r="F6" s="75">
        <v>210</v>
      </c>
      <c r="G6" s="75">
        <v>50</v>
      </c>
      <c r="H6" s="58">
        <f t="shared" si="1"/>
        <v>160</v>
      </c>
      <c r="I6" s="14" t="s">
        <v>2746</v>
      </c>
      <c r="J6" s="75">
        <v>170</v>
      </c>
      <c r="K6" s="75">
        <v>40</v>
      </c>
      <c r="L6" s="14" t="s">
        <v>252</v>
      </c>
      <c r="M6" s="75"/>
      <c r="N6" s="14"/>
      <c r="O6" s="14"/>
    </row>
    <row r="7" spans="1:15" x14ac:dyDescent="0.25">
      <c r="A7" s="86">
        <v>45476</v>
      </c>
      <c r="B7" s="55" t="s">
        <v>2523</v>
      </c>
      <c r="C7" s="55" t="s">
        <v>43</v>
      </c>
      <c r="D7" s="75">
        <f t="shared" si="2"/>
        <v>172.72727272727272</v>
      </c>
      <c r="E7" s="75">
        <f t="shared" si="0"/>
        <v>17.272727272727273</v>
      </c>
      <c r="F7" s="75">
        <v>190</v>
      </c>
      <c r="G7" s="75">
        <v>50</v>
      </c>
      <c r="H7" s="58">
        <f t="shared" si="1"/>
        <v>140</v>
      </c>
      <c r="I7" s="14" t="s">
        <v>2747</v>
      </c>
      <c r="J7" s="75">
        <v>170</v>
      </c>
      <c r="K7" s="75">
        <v>20</v>
      </c>
      <c r="L7" s="14" t="s">
        <v>252</v>
      </c>
      <c r="M7" s="75"/>
      <c r="N7" s="14"/>
      <c r="O7" s="14"/>
    </row>
    <row r="8" spans="1:15" x14ac:dyDescent="0.25">
      <c r="A8" s="86">
        <v>45476</v>
      </c>
      <c r="B8" s="55" t="s">
        <v>2524</v>
      </c>
      <c r="C8" s="55" t="s">
        <v>43</v>
      </c>
      <c r="D8" s="75">
        <f t="shared" si="2"/>
        <v>136.36363636363635</v>
      </c>
      <c r="E8" s="75">
        <f t="shared" si="0"/>
        <v>13.636363636363635</v>
      </c>
      <c r="F8" s="75">
        <v>150</v>
      </c>
      <c r="G8" s="75"/>
      <c r="H8" s="58">
        <f t="shared" si="1"/>
        <v>150</v>
      </c>
      <c r="I8" s="14" t="s">
        <v>1398</v>
      </c>
      <c r="J8" s="75">
        <v>150</v>
      </c>
      <c r="K8" s="75"/>
      <c r="L8" s="14"/>
      <c r="M8" s="75"/>
      <c r="N8" s="14"/>
      <c r="O8" s="14"/>
    </row>
    <row r="9" spans="1:15" x14ac:dyDescent="0.25">
      <c r="A9" s="86">
        <v>45477</v>
      </c>
      <c r="B9" s="55" t="s">
        <v>2525</v>
      </c>
      <c r="C9" s="55" t="s">
        <v>43</v>
      </c>
      <c r="D9" s="75">
        <f t="shared" si="2"/>
        <v>199.99999999999997</v>
      </c>
      <c r="E9" s="75">
        <f t="shared" si="0"/>
        <v>19.999999999999996</v>
      </c>
      <c r="F9" s="75">
        <v>220</v>
      </c>
      <c r="G9" s="75">
        <v>50</v>
      </c>
      <c r="H9" s="58">
        <f t="shared" si="1"/>
        <v>170</v>
      </c>
      <c r="I9" s="14" t="s">
        <v>2748</v>
      </c>
      <c r="J9" s="75">
        <v>220</v>
      </c>
      <c r="K9" s="75"/>
      <c r="L9" s="14"/>
      <c r="M9" s="75"/>
      <c r="N9" s="14"/>
      <c r="O9" s="14"/>
    </row>
    <row r="10" spans="1:15" x14ac:dyDescent="0.25">
      <c r="A10" s="86">
        <v>45477</v>
      </c>
      <c r="B10" s="55" t="s">
        <v>2526</v>
      </c>
      <c r="C10" s="55" t="s">
        <v>43</v>
      </c>
      <c r="D10" s="75">
        <f t="shared" si="2"/>
        <v>154.54545454545453</v>
      </c>
      <c r="E10" s="75">
        <f t="shared" si="0"/>
        <v>15.454545454545453</v>
      </c>
      <c r="F10" s="75">
        <v>170</v>
      </c>
      <c r="G10" s="75">
        <v>50</v>
      </c>
      <c r="H10" s="58">
        <f t="shared" si="1"/>
        <v>120</v>
      </c>
      <c r="I10" s="14" t="s">
        <v>2749</v>
      </c>
      <c r="J10" s="75">
        <v>170</v>
      </c>
      <c r="K10" s="75"/>
      <c r="L10" s="14"/>
      <c r="M10" s="75"/>
      <c r="N10" s="14"/>
      <c r="O10" s="14"/>
    </row>
    <row r="11" spans="1:15" x14ac:dyDescent="0.25">
      <c r="A11" s="86">
        <v>45478</v>
      </c>
      <c r="B11" s="55" t="s">
        <v>2527</v>
      </c>
      <c r="C11" s="55" t="s">
        <v>43</v>
      </c>
      <c r="D11" s="75">
        <f t="shared" si="2"/>
        <v>286.36363636363632</v>
      </c>
      <c r="E11" s="75">
        <f t="shared" si="0"/>
        <v>28.63636363636363</v>
      </c>
      <c r="F11" s="75">
        <v>315</v>
      </c>
      <c r="G11" s="75">
        <v>50</v>
      </c>
      <c r="H11" s="58">
        <f t="shared" si="1"/>
        <v>265</v>
      </c>
      <c r="I11" s="14" t="s">
        <v>2750</v>
      </c>
      <c r="J11" s="75">
        <v>270</v>
      </c>
      <c r="K11" s="75"/>
      <c r="L11" s="14"/>
      <c r="M11" s="75">
        <v>45</v>
      </c>
      <c r="N11" s="14" t="s">
        <v>45</v>
      </c>
      <c r="O11" s="14"/>
    </row>
    <row r="12" spans="1:15" x14ac:dyDescent="0.25">
      <c r="A12" s="86">
        <v>45478</v>
      </c>
      <c r="B12" s="55" t="s">
        <v>2528</v>
      </c>
      <c r="C12" s="55" t="s">
        <v>43</v>
      </c>
      <c r="D12" s="75">
        <f t="shared" si="2"/>
        <v>181.81818181818181</v>
      </c>
      <c r="E12" s="75">
        <f t="shared" si="0"/>
        <v>18.18181818181818</v>
      </c>
      <c r="F12" s="75">
        <v>200</v>
      </c>
      <c r="G12" s="75">
        <v>50</v>
      </c>
      <c r="H12" s="58">
        <f t="shared" si="1"/>
        <v>150</v>
      </c>
      <c r="I12" s="14" t="s">
        <v>2751</v>
      </c>
      <c r="J12" s="75">
        <v>220</v>
      </c>
      <c r="K12" s="75">
        <v>30</v>
      </c>
      <c r="L12" s="14" t="s">
        <v>252</v>
      </c>
      <c r="M12" s="75"/>
      <c r="N12" s="14"/>
      <c r="O12" s="14"/>
    </row>
    <row r="13" spans="1:15" x14ac:dyDescent="0.25">
      <c r="A13" s="86">
        <v>45478</v>
      </c>
      <c r="B13" s="55" t="s">
        <v>2529</v>
      </c>
      <c r="C13" s="55" t="s">
        <v>43</v>
      </c>
      <c r="D13" s="75">
        <f t="shared" si="2"/>
        <v>199.99999999999997</v>
      </c>
      <c r="E13" s="75">
        <f t="shared" si="0"/>
        <v>19.999999999999996</v>
      </c>
      <c r="F13" s="75">
        <v>220</v>
      </c>
      <c r="G13" s="75"/>
      <c r="H13" s="58">
        <f t="shared" si="1"/>
        <v>220</v>
      </c>
      <c r="I13" s="14" t="s">
        <v>603</v>
      </c>
      <c r="J13" s="75">
        <v>220</v>
      </c>
      <c r="K13" s="75"/>
      <c r="L13" s="14"/>
      <c r="M13" s="75"/>
      <c r="N13" s="14"/>
      <c r="O13" s="14"/>
    </row>
    <row r="14" spans="1:15" x14ac:dyDescent="0.25">
      <c r="A14" s="86">
        <v>45478</v>
      </c>
      <c r="B14" s="55" t="s">
        <v>2530</v>
      </c>
      <c r="C14" s="55" t="s">
        <v>43</v>
      </c>
      <c r="D14" s="75">
        <f t="shared" si="2"/>
        <v>199.99999999999997</v>
      </c>
      <c r="E14" s="75">
        <f t="shared" si="0"/>
        <v>19.999999999999996</v>
      </c>
      <c r="F14" s="75">
        <v>220</v>
      </c>
      <c r="G14" s="75">
        <v>50</v>
      </c>
      <c r="H14" s="58">
        <f t="shared" si="1"/>
        <v>170</v>
      </c>
      <c r="I14" s="14" t="s">
        <v>2752</v>
      </c>
      <c r="J14" s="75">
        <v>220</v>
      </c>
      <c r="K14" s="75"/>
      <c r="L14" s="14"/>
      <c r="M14" s="75"/>
      <c r="N14" s="14"/>
      <c r="O14" s="14"/>
    </row>
    <row r="15" spans="1:15" x14ac:dyDescent="0.25">
      <c r="A15" s="86">
        <v>45478</v>
      </c>
      <c r="B15" s="55" t="s">
        <v>2531</v>
      </c>
      <c r="C15" s="55" t="s">
        <v>43</v>
      </c>
      <c r="D15" s="75">
        <f t="shared" si="2"/>
        <v>154.54545454545453</v>
      </c>
      <c r="E15" s="75">
        <f t="shared" si="0"/>
        <v>15.454545454545453</v>
      </c>
      <c r="F15" s="75">
        <v>170</v>
      </c>
      <c r="G15" s="75">
        <v>50</v>
      </c>
      <c r="H15" s="58">
        <f t="shared" si="1"/>
        <v>120</v>
      </c>
      <c r="I15" s="14" t="s">
        <v>2753</v>
      </c>
      <c r="J15" s="75">
        <v>170</v>
      </c>
      <c r="K15" s="75"/>
      <c r="L15" s="14"/>
      <c r="M15" s="75"/>
      <c r="N15" s="14"/>
      <c r="O15" s="14"/>
    </row>
    <row r="16" spans="1:15" x14ac:dyDescent="0.25">
      <c r="A16" s="86">
        <v>45478</v>
      </c>
      <c r="B16" s="55" t="s">
        <v>2532</v>
      </c>
      <c r="C16" s="55" t="s">
        <v>43</v>
      </c>
      <c r="D16" s="75">
        <f t="shared" si="2"/>
        <v>136.36363636363635</v>
      </c>
      <c r="E16" s="75">
        <f t="shared" si="0"/>
        <v>13.636363636363635</v>
      </c>
      <c r="F16" s="75">
        <v>150</v>
      </c>
      <c r="G16" s="75"/>
      <c r="H16" s="58">
        <f t="shared" si="1"/>
        <v>150</v>
      </c>
      <c r="I16" s="14" t="s">
        <v>603</v>
      </c>
      <c r="J16" s="75">
        <v>150</v>
      </c>
      <c r="K16" s="75"/>
      <c r="L16" s="14"/>
      <c r="M16" s="75"/>
      <c r="N16" s="14"/>
      <c r="O16" s="14"/>
    </row>
    <row r="17" spans="1:15" x14ac:dyDescent="0.25">
      <c r="A17" s="86">
        <v>45478</v>
      </c>
      <c r="B17" s="55" t="s">
        <v>2533</v>
      </c>
      <c r="C17" s="55" t="s">
        <v>43</v>
      </c>
      <c r="D17" s="75">
        <f t="shared" si="2"/>
        <v>222.72727272727272</v>
      </c>
      <c r="E17" s="75">
        <f t="shared" si="0"/>
        <v>22.27272727272727</v>
      </c>
      <c r="F17" s="75">
        <v>245</v>
      </c>
      <c r="G17" s="75">
        <v>50</v>
      </c>
      <c r="H17" s="58">
        <f t="shared" si="1"/>
        <v>195</v>
      </c>
      <c r="I17" s="14" t="s">
        <v>2754</v>
      </c>
      <c r="J17" s="75">
        <v>170</v>
      </c>
      <c r="K17" s="75">
        <v>30</v>
      </c>
      <c r="L17" s="14" t="s">
        <v>252</v>
      </c>
      <c r="M17" s="75">
        <v>45</v>
      </c>
      <c r="N17" s="14" t="s">
        <v>45</v>
      </c>
      <c r="O17" s="14"/>
    </row>
    <row r="18" spans="1:15" x14ac:dyDescent="0.25">
      <c r="A18" s="86">
        <v>45479</v>
      </c>
      <c r="B18" s="55" t="s">
        <v>2534</v>
      </c>
      <c r="C18" s="55" t="s">
        <v>43</v>
      </c>
      <c r="D18" s="75">
        <f t="shared" si="2"/>
        <v>218.18181818181816</v>
      </c>
      <c r="E18" s="75">
        <f t="shared" si="0"/>
        <v>21.818181818181817</v>
      </c>
      <c r="F18" s="75">
        <v>240</v>
      </c>
      <c r="G18" s="75">
        <v>50</v>
      </c>
      <c r="H18" s="58">
        <f t="shared" si="1"/>
        <v>190</v>
      </c>
      <c r="I18" s="14" t="s">
        <v>2755</v>
      </c>
      <c r="J18" s="75">
        <v>170</v>
      </c>
      <c r="K18" s="75">
        <v>70</v>
      </c>
      <c r="L18" s="14" t="s">
        <v>252</v>
      </c>
      <c r="M18" s="75"/>
      <c r="N18" s="14"/>
      <c r="O18" s="14"/>
    </row>
    <row r="19" spans="1:15" x14ac:dyDescent="0.25">
      <c r="A19" s="86">
        <v>45479</v>
      </c>
      <c r="B19" s="55" t="s">
        <v>2535</v>
      </c>
      <c r="C19" s="55" t="s">
        <v>43</v>
      </c>
      <c r="D19" s="75">
        <f t="shared" si="2"/>
        <v>272.72727272727269</v>
      </c>
      <c r="E19" s="75">
        <f t="shared" si="0"/>
        <v>27.27272727272727</v>
      </c>
      <c r="F19" s="75">
        <v>300</v>
      </c>
      <c r="G19" s="75">
        <v>50</v>
      </c>
      <c r="H19" s="58">
        <f t="shared" si="1"/>
        <v>250</v>
      </c>
      <c r="I19" s="14" t="s">
        <v>2322</v>
      </c>
      <c r="J19" s="75">
        <v>270</v>
      </c>
      <c r="K19" s="75">
        <v>30</v>
      </c>
      <c r="L19" s="14" t="s">
        <v>252</v>
      </c>
      <c r="M19" s="75"/>
      <c r="N19" s="14"/>
      <c r="O19" s="14"/>
    </row>
    <row r="20" spans="1:15" x14ac:dyDescent="0.25">
      <c r="A20" s="86">
        <v>45479</v>
      </c>
      <c r="B20" s="55" t="s">
        <v>2536</v>
      </c>
      <c r="C20" s="55" t="s">
        <v>43</v>
      </c>
      <c r="D20" s="75">
        <f t="shared" si="2"/>
        <v>245.45454545454544</v>
      </c>
      <c r="E20" s="75">
        <f t="shared" si="0"/>
        <v>24.545454545454547</v>
      </c>
      <c r="F20" s="75">
        <v>270</v>
      </c>
      <c r="G20" s="75">
        <v>50</v>
      </c>
      <c r="H20" s="58">
        <f t="shared" si="1"/>
        <v>220</v>
      </c>
      <c r="I20" s="14" t="s">
        <v>2756</v>
      </c>
      <c r="J20" s="75">
        <v>270</v>
      </c>
      <c r="K20" s="75"/>
      <c r="L20" s="14"/>
      <c r="M20" s="75"/>
      <c r="N20" s="14"/>
      <c r="O20" s="14"/>
    </row>
    <row r="21" spans="1:15" x14ac:dyDescent="0.25">
      <c r="A21" s="86">
        <v>45479</v>
      </c>
      <c r="B21" s="55" t="s">
        <v>2537</v>
      </c>
      <c r="C21" s="55" t="s">
        <v>43</v>
      </c>
      <c r="D21" s="75">
        <f t="shared" si="2"/>
        <v>199.99999999999997</v>
      </c>
      <c r="E21" s="75">
        <f t="shared" si="0"/>
        <v>19.999999999999996</v>
      </c>
      <c r="F21" s="75">
        <v>220</v>
      </c>
      <c r="G21" s="75">
        <v>50</v>
      </c>
      <c r="H21" s="58">
        <f t="shared" si="1"/>
        <v>170</v>
      </c>
      <c r="I21" s="14" t="s">
        <v>2757</v>
      </c>
      <c r="J21" s="75">
        <v>220</v>
      </c>
      <c r="K21" s="75"/>
      <c r="L21" s="14"/>
      <c r="M21" s="75"/>
      <c r="N21" s="14"/>
      <c r="O21" s="14"/>
    </row>
    <row r="22" spans="1:15" x14ac:dyDescent="0.25">
      <c r="A22" s="86">
        <v>45479</v>
      </c>
      <c r="B22" s="55" t="s">
        <v>2538</v>
      </c>
      <c r="C22" s="55" t="s">
        <v>43</v>
      </c>
      <c r="D22" s="75">
        <f t="shared" si="2"/>
        <v>436.36363636363632</v>
      </c>
      <c r="E22" s="75">
        <f t="shared" si="0"/>
        <v>43.636363636363633</v>
      </c>
      <c r="F22" s="75">
        <v>480</v>
      </c>
      <c r="G22" s="75">
        <v>100</v>
      </c>
      <c r="H22" s="58">
        <f t="shared" si="1"/>
        <v>380</v>
      </c>
      <c r="I22" s="187" t="s">
        <v>2758</v>
      </c>
      <c r="J22" s="75">
        <v>480</v>
      </c>
      <c r="K22" s="75"/>
      <c r="L22" s="14"/>
      <c r="M22" s="75"/>
      <c r="N22" s="14"/>
      <c r="O22" s="14"/>
    </row>
    <row r="23" spans="1:15" x14ac:dyDescent="0.25">
      <c r="A23" s="86">
        <v>45479</v>
      </c>
      <c r="B23" s="55" t="s">
        <v>2539</v>
      </c>
      <c r="C23" s="55" t="s">
        <v>43</v>
      </c>
      <c r="D23" s="75">
        <f t="shared" si="2"/>
        <v>154.54545454545453</v>
      </c>
      <c r="E23" s="75">
        <f t="shared" si="0"/>
        <v>15.454545454545453</v>
      </c>
      <c r="F23" s="75">
        <v>170</v>
      </c>
      <c r="G23" s="75">
        <v>50</v>
      </c>
      <c r="H23" s="58">
        <f t="shared" si="1"/>
        <v>120</v>
      </c>
      <c r="I23" s="14" t="s">
        <v>2759</v>
      </c>
      <c r="J23" s="75">
        <v>170</v>
      </c>
      <c r="K23" s="75"/>
      <c r="L23" s="14"/>
      <c r="M23" s="75"/>
      <c r="N23" s="14"/>
      <c r="O23" s="14"/>
    </row>
    <row r="24" spans="1:15" x14ac:dyDescent="0.25">
      <c r="A24" s="86">
        <v>45479</v>
      </c>
      <c r="B24" s="55" t="s">
        <v>2540</v>
      </c>
      <c r="C24" s="55" t="s">
        <v>43</v>
      </c>
      <c r="D24" s="75">
        <f t="shared" si="2"/>
        <v>154.54545454545453</v>
      </c>
      <c r="E24" s="75">
        <f t="shared" si="0"/>
        <v>15.454545454545453</v>
      </c>
      <c r="F24" s="75">
        <v>170</v>
      </c>
      <c r="G24" s="75">
        <v>50</v>
      </c>
      <c r="H24" s="58">
        <f t="shared" si="1"/>
        <v>120</v>
      </c>
      <c r="I24" s="14" t="s">
        <v>2760</v>
      </c>
      <c r="J24" s="75">
        <v>170</v>
      </c>
      <c r="K24" s="75"/>
      <c r="L24" s="14"/>
      <c r="M24" s="75"/>
      <c r="N24" s="14"/>
      <c r="O24" s="14"/>
    </row>
    <row r="25" spans="1:15" x14ac:dyDescent="0.25">
      <c r="A25" s="86">
        <v>45479</v>
      </c>
      <c r="B25" s="55" t="s">
        <v>2541</v>
      </c>
      <c r="C25" s="55" t="s">
        <v>43</v>
      </c>
      <c r="D25" s="75">
        <f t="shared" si="2"/>
        <v>572.72727272727263</v>
      </c>
      <c r="E25" s="75">
        <f t="shared" si="0"/>
        <v>57.272727272727259</v>
      </c>
      <c r="F25" s="75">
        <v>630</v>
      </c>
      <c r="G25" s="75">
        <v>50</v>
      </c>
      <c r="H25" s="58">
        <f t="shared" si="1"/>
        <v>580</v>
      </c>
      <c r="I25" s="14" t="s">
        <v>2761</v>
      </c>
      <c r="J25" s="75">
        <v>590</v>
      </c>
      <c r="K25" s="75">
        <v>40</v>
      </c>
      <c r="L25" s="14" t="s">
        <v>252</v>
      </c>
      <c r="M25" s="75"/>
      <c r="N25" s="14"/>
      <c r="O25" s="14"/>
    </row>
    <row r="26" spans="1:15" x14ac:dyDescent="0.25">
      <c r="A26" s="86">
        <v>45479</v>
      </c>
      <c r="B26" s="55" t="s">
        <v>2542</v>
      </c>
      <c r="C26" s="55" t="s">
        <v>43</v>
      </c>
      <c r="D26" s="75">
        <f t="shared" si="2"/>
        <v>199.99999999999997</v>
      </c>
      <c r="E26" s="75">
        <f t="shared" si="0"/>
        <v>19.999999999999996</v>
      </c>
      <c r="F26" s="75">
        <v>220</v>
      </c>
      <c r="G26" s="75">
        <v>50</v>
      </c>
      <c r="H26" s="58">
        <f t="shared" si="1"/>
        <v>170</v>
      </c>
      <c r="I26" s="14" t="s">
        <v>2762</v>
      </c>
      <c r="J26" s="75">
        <v>220</v>
      </c>
      <c r="K26" s="75"/>
      <c r="L26" s="14"/>
      <c r="M26" s="75"/>
      <c r="N26" s="14"/>
      <c r="O26" s="14"/>
    </row>
    <row r="27" spans="1:15" x14ac:dyDescent="0.25">
      <c r="A27" s="86">
        <v>45479</v>
      </c>
      <c r="B27" s="55" t="s">
        <v>2543</v>
      </c>
      <c r="C27" s="55" t="s">
        <v>43</v>
      </c>
      <c r="D27" s="75">
        <f t="shared" si="2"/>
        <v>272.72727272727269</v>
      </c>
      <c r="E27" s="75">
        <f t="shared" si="0"/>
        <v>27.27272727272727</v>
      </c>
      <c r="F27" s="75">
        <v>300</v>
      </c>
      <c r="G27" s="75">
        <v>50</v>
      </c>
      <c r="H27" s="58">
        <f t="shared" si="1"/>
        <v>250</v>
      </c>
      <c r="I27" s="14" t="s">
        <v>2763</v>
      </c>
      <c r="J27" s="75">
        <v>270</v>
      </c>
      <c r="K27" s="75">
        <v>30</v>
      </c>
      <c r="L27" s="14" t="s">
        <v>252</v>
      </c>
      <c r="M27" s="75"/>
      <c r="N27" s="14"/>
      <c r="O27" s="14"/>
    </row>
    <row r="28" spans="1:15" x14ac:dyDescent="0.25">
      <c r="A28" s="86">
        <v>45480</v>
      </c>
      <c r="B28" s="55" t="s">
        <v>2544</v>
      </c>
      <c r="C28" s="55" t="s">
        <v>43</v>
      </c>
      <c r="D28" s="75">
        <f t="shared" si="2"/>
        <v>199.99999999999997</v>
      </c>
      <c r="E28" s="75">
        <f t="shared" si="0"/>
        <v>19.999999999999996</v>
      </c>
      <c r="F28" s="75">
        <v>220</v>
      </c>
      <c r="G28" s="75">
        <v>50</v>
      </c>
      <c r="H28" s="58">
        <f t="shared" si="1"/>
        <v>170</v>
      </c>
      <c r="I28" s="14" t="s">
        <v>2764</v>
      </c>
      <c r="J28" s="75">
        <v>220</v>
      </c>
      <c r="K28" s="75"/>
      <c r="L28" s="14"/>
      <c r="M28" s="75"/>
      <c r="N28" s="14"/>
      <c r="O28" s="14"/>
    </row>
    <row r="29" spans="1:15" x14ac:dyDescent="0.25">
      <c r="A29" s="86">
        <v>45480</v>
      </c>
      <c r="B29" s="55" t="s">
        <v>2545</v>
      </c>
      <c r="C29" s="55" t="s">
        <v>43</v>
      </c>
      <c r="D29" s="75">
        <f t="shared" si="2"/>
        <v>154.54545454545453</v>
      </c>
      <c r="E29" s="75">
        <f t="shared" si="0"/>
        <v>15.454545454545453</v>
      </c>
      <c r="F29" s="75">
        <v>170</v>
      </c>
      <c r="G29" s="75">
        <v>50</v>
      </c>
      <c r="H29" s="58">
        <f t="shared" si="1"/>
        <v>120</v>
      </c>
      <c r="I29" s="14" t="s">
        <v>2765</v>
      </c>
      <c r="J29" s="75">
        <v>170</v>
      </c>
      <c r="K29" s="75"/>
      <c r="L29" s="14"/>
      <c r="M29" s="75"/>
      <c r="N29" s="14"/>
      <c r="O29" s="14"/>
    </row>
    <row r="30" spans="1:15" x14ac:dyDescent="0.25">
      <c r="A30" s="86">
        <v>45481</v>
      </c>
      <c r="B30" s="55" t="s">
        <v>2546</v>
      </c>
      <c r="C30" s="55" t="s">
        <v>43</v>
      </c>
      <c r="D30" s="75">
        <f t="shared" si="2"/>
        <v>181.81818181818181</v>
      </c>
      <c r="E30" s="75">
        <f t="shared" si="0"/>
        <v>18.18181818181818</v>
      </c>
      <c r="F30" s="75">
        <v>200</v>
      </c>
      <c r="G30" s="75">
        <v>50</v>
      </c>
      <c r="H30" s="58">
        <f t="shared" si="1"/>
        <v>150</v>
      </c>
      <c r="I30" s="14" t="s">
        <v>2766</v>
      </c>
      <c r="J30" s="75">
        <v>170</v>
      </c>
      <c r="K30" s="75">
        <v>30</v>
      </c>
      <c r="L30" s="14" t="s">
        <v>252</v>
      </c>
      <c r="M30" s="75"/>
      <c r="N30" s="14"/>
      <c r="O30" s="14"/>
    </row>
    <row r="31" spans="1:15" x14ac:dyDescent="0.25">
      <c r="A31" s="86">
        <v>45481</v>
      </c>
      <c r="B31" s="55" t="s">
        <v>2547</v>
      </c>
      <c r="C31" s="55" t="s">
        <v>43</v>
      </c>
      <c r="D31" s="75">
        <f t="shared" si="2"/>
        <v>199.99999999999997</v>
      </c>
      <c r="E31" s="75">
        <f t="shared" si="0"/>
        <v>19.999999999999996</v>
      </c>
      <c r="F31" s="75">
        <v>220</v>
      </c>
      <c r="G31" s="75">
        <v>50</v>
      </c>
      <c r="H31" s="58">
        <f t="shared" si="1"/>
        <v>170</v>
      </c>
      <c r="I31" s="14" t="s">
        <v>2767</v>
      </c>
      <c r="J31" s="75">
        <v>220</v>
      </c>
      <c r="K31" s="75"/>
      <c r="L31" s="14"/>
      <c r="M31" s="75"/>
      <c r="N31" s="14"/>
      <c r="O31" s="14"/>
    </row>
    <row r="32" spans="1:15" x14ac:dyDescent="0.25">
      <c r="A32" s="86">
        <v>45482</v>
      </c>
      <c r="B32" s="55" t="s">
        <v>2548</v>
      </c>
      <c r="C32" s="55" t="s">
        <v>43</v>
      </c>
      <c r="D32" s="75">
        <f t="shared" si="2"/>
        <v>154.54545454545453</v>
      </c>
      <c r="E32" s="75">
        <f t="shared" si="0"/>
        <v>15.454545454545453</v>
      </c>
      <c r="F32" s="75">
        <v>170</v>
      </c>
      <c r="G32" s="75">
        <v>50</v>
      </c>
      <c r="H32" s="58">
        <f t="shared" si="1"/>
        <v>120</v>
      </c>
      <c r="I32" s="14" t="s">
        <v>2768</v>
      </c>
      <c r="J32" s="75">
        <v>170</v>
      </c>
      <c r="K32" s="75"/>
      <c r="L32" s="14"/>
      <c r="M32" s="75"/>
      <c r="N32" s="14"/>
      <c r="O32" s="14"/>
    </row>
    <row r="33" spans="1:15" x14ac:dyDescent="0.25">
      <c r="A33" s="86">
        <v>45483</v>
      </c>
      <c r="B33" s="55" t="s">
        <v>2549</v>
      </c>
      <c r="C33" s="55" t="s">
        <v>43</v>
      </c>
      <c r="D33" s="75">
        <f t="shared" si="2"/>
        <v>172.72727272727272</v>
      </c>
      <c r="E33" s="75">
        <f t="shared" si="0"/>
        <v>17.272727272727273</v>
      </c>
      <c r="F33" s="75">
        <v>190</v>
      </c>
      <c r="G33" s="75">
        <v>50</v>
      </c>
      <c r="H33" s="58">
        <f t="shared" si="1"/>
        <v>140</v>
      </c>
      <c r="I33" s="14" t="s">
        <v>2769</v>
      </c>
      <c r="J33" s="75">
        <v>170</v>
      </c>
      <c r="K33" s="75">
        <v>20</v>
      </c>
      <c r="L33" s="14" t="s">
        <v>252</v>
      </c>
      <c r="M33" s="75"/>
      <c r="N33" s="14"/>
      <c r="O33" s="14"/>
    </row>
    <row r="34" spans="1:15" x14ac:dyDescent="0.25">
      <c r="A34" s="86">
        <v>45483</v>
      </c>
      <c r="B34" s="55" t="s">
        <v>2550</v>
      </c>
      <c r="C34" s="55" t="s">
        <v>43</v>
      </c>
      <c r="D34" s="75">
        <f t="shared" si="2"/>
        <v>254.54545454545453</v>
      </c>
      <c r="E34" s="75">
        <f t="shared" si="0"/>
        <v>25.454545454545453</v>
      </c>
      <c r="F34" s="75">
        <v>280</v>
      </c>
      <c r="G34" s="75">
        <v>50</v>
      </c>
      <c r="H34" s="58">
        <f t="shared" si="1"/>
        <v>230</v>
      </c>
      <c r="I34" s="14" t="s">
        <v>2770</v>
      </c>
      <c r="J34" s="75">
        <v>280</v>
      </c>
      <c r="K34" s="75"/>
      <c r="L34" s="14"/>
      <c r="M34" s="75"/>
      <c r="N34" s="14"/>
      <c r="O34" s="14"/>
    </row>
    <row r="35" spans="1:15" x14ac:dyDescent="0.25">
      <c r="A35" s="86">
        <v>45484</v>
      </c>
      <c r="B35" s="55" t="s">
        <v>2551</v>
      </c>
      <c r="C35" s="55" t="s">
        <v>43</v>
      </c>
      <c r="D35" s="75">
        <f t="shared" si="2"/>
        <v>172.72727272727272</v>
      </c>
      <c r="E35" s="75">
        <f t="shared" si="0"/>
        <v>17.272727272727273</v>
      </c>
      <c r="F35" s="75">
        <v>190</v>
      </c>
      <c r="G35" s="75"/>
      <c r="H35" s="58">
        <f t="shared" si="1"/>
        <v>190</v>
      </c>
      <c r="I35" s="14" t="s">
        <v>1398</v>
      </c>
      <c r="J35" s="75">
        <v>190</v>
      </c>
      <c r="K35" s="75"/>
      <c r="L35" s="14"/>
      <c r="M35" s="75"/>
      <c r="N35" s="14"/>
      <c r="O35" s="14"/>
    </row>
    <row r="36" spans="1:15" x14ac:dyDescent="0.25">
      <c r="A36" s="86">
        <v>45484</v>
      </c>
      <c r="B36" s="55" t="s">
        <v>2552</v>
      </c>
      <c r="C36" s="55" t="s">
        <v>43</v>
      </c>
      <c r="D36" s="75">
        <f t="shared" si="2"/>
        <v>181.81818181818181</v>
      </c>
      <c r="E36" s="75">
        <f t="shared" si="0"/>
        <v>18.18181818181818</v>
      </c>
      <c r="F36" s="75">
        <v>200</v>
      </c>
      <c r="G36" s="75"/>
      <c r="H36" s="58">
        <f t="shared" si="1"/>
        <v>200</v>
      </c>
      <c r="I36" s="14" t="s">
        <v>603</v>
      </c>
      <c r="J36" s="75">
        <v>200</v>
      </c>
      <c r="K36" s="75"/>
      <c r="L36" s="14"/>
      <c r="M36" s="75"/>
      <c r="N36" s="14"/>
      <c r="O36" s="14"/>
    </row>
    <row r="37" spans="1:15" x14ac:dyDescent="0.25">
      <c r="A37" s="86">
        <v>45484</v>
      </c>
      <c r="B37" s="55" t="s">
        <v>2553</v>
      </c>
      <c r="C37" s="55" t="s">
        <v>43</v>
      </c>
      <c r="D37" s="75">
        <f t="shared" si="2"/>
        <v>163.63636363636363</v>
      </c>
      <c r="E37" s="75">
        <f t="shared" si="0"/>
        <v>16.363636363636363</v>
      </c>
      <c r="F37" s="75">
        <v>180</v>
      </c>
      <c r="G37" s="75"/>
      <c r="H37" s="58">
        <f t="shared" si="1"/>
        <v>180</v>
      </c>
      <c r="I37" s="14" t="s">
        <v>603</v>
      </c>
      <c r="J37" s="75">
        <v>180</v>
      </c>
      <c r="K37" s="75"/>
      <c r="L37" s="14"/>
      <c r="M37" s="75"/>
      <c r="N37" s="14"/>
      <c r="O37" s="14"/>
    </row>
    <row r="38" spans="1:15" x14ac:dyDescent="0.25">
      <c r="A38" s="86">
        <v>45484</v>
      </c>
      <c r="B38" s="55" t="s">
        <v>2554</v>
      </c>
      <c r="C38" s="55" t="s">
        <v>43</v>
      </c>
      <c r="D38" s="75">
        <f t="shared" si="2"/>
        <v>245.45454545454544</v>
      </c>
      <c r="E38" s="75">
        <f t="shared" si="0"/>
        <v>24.545454545454547</v>
      </c>
      <c r="F38" s="75">
        <v>270</v>
      </c>
      <c r="G38" s="75">
        <v>50</v>
      </c>
      <c r="H38" s="58">
        <f t="shared" si="1"/>
        <v>220</v>
      </c>
      <c r="I38" s="14" t="s">
        <v>2246</v>
      </c>
      <c r="J38" s="75">
        <v>270</v>
      </c>
      <c r="K38" s="75"/>
      <c r="L38" s="14"/>
      <c r="M38" s="75"/>
      <c r="N38" s="14"/>
      <c r="O38" s="14"/>
    </row>
    <row r="39" spans="1:15" x14ac:dyDescent="0.25">
      <c r="A39" s="86">
        <v>45485</v>
      </c>
      <c r="B39" s="55" t="s">
        <v>2555</v>
      </c>
      <c r="C39" s="55" t="s">
        <v>43</v>
      </c>
      <c r="D39" s="75">
        <f t="shared" si="2"/>
        <v>172.72727272727272</v>
      </c>
      <c r="E39" s="75">
        <f t="shared" si="0"/>
        <v>17.272727272727273</v>
      </c>
      <c r="F39" s="75">
        <v>190</v>
      </c>
      <c r="G39" s="75">
        <v>50</v>
      </c>
      <c r="H39" s="58">
        <f t="shared" si="1"/>
        <v>140</v>
      </c>
      <c r="I39" s="14" t="s">
        <v>2771</v>
      </c>
      <c r="J39" s="75">
        <v>170</v>
      </c>
      <c r="K39" s="75">
        <v>20</v>
      </c>
      <c r="L39" s="14" t="s">
        <v>252</v>
      </c>
      <c r="M39" s="75"/>
      <c r="N39" s="14"/>
      <c r="O39" s="14"/>
    </row>
    <row r="40" spans="1:15" x14ac:dyDescent="0.25">
      <c r="A40" s="86">
        <v>45485</v>
      </c>
      <c r="B40" s="55" t="s">
        <v>2556</v>
      </c>
      <c r="C40" s="55" t="s">
        <v>43</v>
      </c>
      <c r="D40" s="75">
        <f t="shared" si="2"/>
        <v>181.81818181818181</v>
      </c>
      <c r="E40" s="75">
        <f t="shared" si="0"/>
        <v>18.18181818181818</v>
      </c>
      <c r="F40" s="75">
        <v>200</v>
      </c>
      <c r="G40" s="75">
        <v>50</v>
      </c>
      <c r="H40" s="58">
        <f t="shared" si="1"/>
        <v>150</v>
      </c>
      <c r="I40" s="14" t="s">
        <v>2772</v>
      </c>
      <c r="J40" s="75">
        <v>170</v>
      </c>
      <c r="K40" s="75">
        <v>300</v>
      </c>
      <c r="L40" s="14"/>
      <c r="M40" s="75"/>
      <c r="N40" s="14"/>
      <c r="O40" s="14"/>
    </row>
    <row r="41" spans="1:15" x14ac:dyDescent="0.25">
      <c r="A41" s="86">
        <v>45485</v>
      </c>
      <c r="B41" s="55" t="s">
        <v>2557</v>
      </c>
      <c r="C41" s="55" t="s">
        <v>43</v>
      </c>
      <c r="D41" s="75">
        <f t="shared" si="2"/>
        <v>154.54545454545453</v>
      </c>
      <c r="E41" s="75">
        <f t="shared" si="0"/>
        <v>15.454545454545453</v>
      </c>
      <c r="F41" s="75">
        <v>170</v>
      </c>
      <c r="G41" s="75">
        <v>50</v>
      </c>
      <c r="H41" s="58">
        <f t="shared" si="1"/>
        <v>120</v>
      </c>
      <c r="I41" s="14" t="s">
        <v>2773</v>
      </c>
      <c r="J41" s="75">
        <v>170</v>
      </c>
      <c r="K41" s="75"/>
      <c r="L41" s="14"/>
      <c r="M41" s="75"/>
      <c r="N41" s="14"/>
      <c r="O41" s="14"/>
    </row>
    <row r="42" spans="1:15" x14ac:dyDescent="0.25">
      <c r="A42" s="86">
        <v>45485</v>
      </c>
      <c r="B42" s="55" t="s">
        <v>2558</v>
      </c>
      <c r="C42" s="55" t="s">
        <v>43</v>
      </c>
      <c r="D42" s="75">
        <f t="shared" si="2"/>
        <v>127.27272727272727</v>
      </c>
      <c r="E42" s="75">
        <f t="shared" si="0"/>
        <v>12.727272727272727</v>
      </c>
      <c r="F42" s="75">
        <v>140</v>
      </c>
      <c r="G42" s="75"/>
      <c r="H42" s="58">
        <f t="shared" si="1"/>
        <v>140</v>
      </c>
      <c r="I42" s="14" t="s">
        <v>603</v>
      </c>
      <c r="J42" s="75">
        <v>140</v>
      </c>
      <c r="K42" s="75"/>
      <c r="L42" s="14"/>
      <c r="M42" s="75"/>
      <c r="N42" s="14"/>
      <c r="O42" s="14"/>
    </row>
    <row r="43" spans="1:15" x14ac:dyDescent="0.25">
      <c r="A43" s="86">
        <v>45485</v>
      </c>
      <c r="B43" s="55" t="s">
        <v>2559</v>
      </c>
      <c r="C43" s="55" t="s">
        <v>43</v>
      </c>
      <c r="D43" s="75">
        <f t="shared" si="2"/>
        <v>245.45454545454544</v>
      </c>
      <c r="E43" s="75">
        <f t="shared" si="0"/>
        <v>24.545454545454547</v>
      </c>
      <c r="F43" s="75">
        <v>270</v>
      </c>
      <c r="G43" s="75">
        <v>50</v>
      </c>
      <c r="H43" s="58">
        <f t="shared" si="1"/>
        <v>220</v>
      </c>
      <c r="I43" s="14" t="s">
        <v>2774</v>
      </c>
      <c r="J43" s="75">
        <v>270</v>
      </c>
      <c r="K43" s="75"/>
      <c r="L43" s="14"/>
      <c r="M43" s="75"/>
      <c r="N43" s="14"/>
      <c r="O43" s="14"/>
    </row>
    <row r="44" spans="1:15" x14ac:dyDescent="0.25">
      <c r="A44" s="86">
        <v>45485</v>
      </c>
      <c r="B44" s="55" t="s">
        <v>2560</v>
      </c>
      <c r="C44" s="55" t="s">
        <v>43</v>
      </c>
      <c r="D44" s="75">
        <f t="shared" si="2"/>
        <v>163.63636363636363</v>
      </c>
      <c r="E44" s="75">
        <f t="shared" si="0"/>
        <v>16.363636363636363</v>
      </c>
      <c r="F44" s="75">
        <v>180</v>
      </c>
      <c r="G44" s="75">
        <v>50</v>
      </c>
      <c r="H44" s="58">
        <f t="shared" si="1"/>
        <v>130</v>
      </c>
      <c r="I44" s="14" t="s">
        <v>2752</v>
      </c>
      <c r="J44" s="75">
        <v>180</v>
      </c>
      <c r="K44" s="75"/>
      <c r="L44" s="14"/>
      <c r="M44" s="75"/>
      <c r="N44" s="14"/>
      <c r="O44" s="14"/>
    </row>
    <row r="45" spans="1:15" x14ac:dyDescent="0.25">
      <c r="A45" s="86">
        <v>45485</v>
      </c>
      <c r="B45" s="55" t="s">
        <v>2561</v>
      </c>
      <c r="C45" s="55" t="s">
        <v>43</v>
      </c>
      <c r="D45" s="75">
        <f t="shared" si="2"/>
        <v>245.45454545454544</v>
      </c>
      <c r="E45" s="75">
        <f t="shared" si="0"/>
        <v>24.545454545454547</v>
      </c>
      <c r="F45" s="75">
        <v>270</v>
      </c>
      <c r="G45" s="75">
        <v>50</v>
      </c>
      <c r="H45" s="58">
        <f t="shared" si="1"/>
        <v>220</v>
      </c>
      <c r="I45" s="14" t="s">
        <v>2775</v>
      </c>
      <c r="J45" s="75">
        <v>270</v>
      </c>
      <c r="K45" s="75"/>
      <c r="L45" s="14"/>
      <c r="M45" s="75"/>
      <c r="N45" s="14"/>
      <c r="O45" s="14"/>
    </row>
    <row r="46" spans="1:15" x14ac:dyDescent="0.25">
      <c r="A46" s="86">
        <v>45485</v>
      </c>
      <c r="B46" s="55" t="s">
        <v>2562</v>
      </c>
      <c r="C46" s="55" t="s">
        <v>43</v>
      </c>
      <c r="D46" s="75">
        <f t="shared" si="2"/>
        <v>245.45454545454544</v>
      </c>
      <c r="E46" s="75">
        <f t="shared" si="0"/>
        <v>24.545454545454547</v>
      </c>
      <c r="F46" s="75">
        <v>270</v>
      </c>
      <c r="G46" s="75">
        <v>50</v>
      </c>
      <c r="H46" s="58">
        <f t="shared" si="1"/>
        <v>220</v>
      </c>
      <c r="I46" s="14" t="s">
        <v>2773</v>
      </c>
      <c r="J46" s="75">
        <v>270</v>
      </c>
      <c r="K46" s="75"/>
      <c r="L46" s="14"/>
      <c r="M46" s="75"/>
      <c r="N46" s="14"/>
      <c r="O46" s="14"/>
    </row>
    <row r="47" spans="1:15" x14ac:dyDescent="0.25">
      <c r="A47" s="86">
        <v>46580</v>
      </c>
      <c r="B47" s="55" t="s">
        <v>2563</v>
      </c>
      <c r="C47" s="55" t="s">
        <v>43</v>
      </c>
      <c r="D47" s="75">
        <f t="shared" si="2"/>
        <v>199.99999999999997</v>
      </c>
      <c r="E47" s="75">
        <f t="shared" si="0"/>
        <v>19.999999999999996</v>
      </c>
      <c r="F47" s="75">
        <v>220</v>
      </c>
      <c r="G47" s="75">
        <v>50</v>
      </c>
      <c r="H47" s="58">
        <f t="shared" si="1"/>
        <v>170</v>
      </c>
      <c r="I47" s="14" t="s">
        <v>2752</v>
      </c>
      <c r="J47" s="75">
        <v>220</v>
      </c>
      <c r="K47" s="75"/>
      <c r="L47" s="14"/>
      <c r="M47" s="75"/>
      <c r="N47" s="14"/>
      <c r="O47" s="14"/>
    </row>
    <row r="48" spans="1:15" x14ac:dyDescent="0.25">
      <c r="A48" s="86">
        <v>45486</v>
      </c>
      <c r="B48" s="55" t="s">
        <v>2564</v>
      </c>
      <c r="C48" s="55" t="s">
        <v>43</v>
      </c>
      <c r="D48" s="75">
        <f t="shared" si="2"/>
        <v>172.72727272727272</v>
      </c>
      <c r="E48" s="75">
        <f t="shared" si="0"/>
        <v>17.272727272727273</v>
      </c>
      <c r="F48" s="75">
        <v>190</v>
      </c>
      <c r="G48" s="75">
        <v>50</v>
      </c>
      <c r="H48" s="58">
        <f t="shared" si="1"/>
        <v>140</v>
      </c>
      <c r="I48" s="14" t="s">
        <v>2776</v>
      </c>
      <c r="J48" s="75">
        <v>170</v>
      </c>
      <c r="K48" s="75">
        <v>20</v>
      </c>
      <c r="L48" s="14" t="s">
        <v>252</v>
      </c>
      <c r="M48" s="75"/>
      <c r="N48" s="14"/>
      <c r="O48" s="14"/>
    </row>
    <row r="49" spans="1:15" x14ac:dyDescent="0.25">
      <c r="A49" s="86">
        <v>45486</v>
      </c>
      <c r="B49" s="55" t="s">
        <v>2565</v>
      </c>
      <c r="C49" s="55" t="s">
        <v>43</v>
      </c>
      <c r="D49" s="75">
        <f t="shared" si="2"/>
        <v>181.81818181818181</v>
      </c>
      <c r="E49" s="75">
        <f t="shared" si="0"/>
        <v>18.18181818181818</v>
      </c>
      <c r="F49" s="75">
        <v>200</v>
      </c>
      <c r="G49" s="75">
        <v>50</v>
      </c>
      <c r="H49" s="58">
        <f t="shared" si="1"/>
        <v>150</v>
      </c>
      <c r="I49" s="14" t="s">
        <v>2777</v>
      </c>
      <c r="J49" s="75">
        <v>170</v>
      </c>
      <c r="K49" s="75">
        <v>30</v>
      </c>
      <c r="L49" s="14" t="s">
        <v>252</v>
      </c>
      <c r="M49" s="75"/>
      <c r="N49" s="14"/>
      <c r="O49" s="14"/>
    </row>
    <row r="50" spans="1:15" x14ac:dyDescent="0.25">
      <c r="A50" s="86">
        <v>45486</v>
      </c>
      <c r="B50" s="55" t="s">
        <v>2566</v>
      </c>
      <c r="C50" s="55" t="s">
        <v>43</v>
      </c>
      <c r="D50" s="75">
        <f t="shared" si="2"/>
        <v>190.90909090909091</v>
      </c>
      <c r="E50" s="75">
        <f t="shared" si="0"/>
        <v>19.09090909090909</v>
      </c>
      <c r="F50" s="75">
        <v>210</v>
      </c>
      <c r="G50" s="75">
        <v>50</v>
      </c>
      <c r="H50" s="58">
        <f t="shared" si="1"/>
        <v>160</v>
      </c>
      <c r="I50" s="14" t="s">
        <v>2752</v>
      </c>
      <c r="J50" s="75">
        <v>170</v>
      </c>
      <c r="K50" s="75">
        <v>40</v>
      </c>
      <c r="L50" s="14" t="s">
        <v>252</v>
      </c>
      <c r="M50" s="75"/>
      <c r="N50" s="14"/>
      <c r="O50" s="14"/>
    </row>
    <row r="51" spans="1:15" x14ac:dyDescent="0.25">
      <c r="A51" s="86">
        <v>45486</v>
      </c>
      <c r="B51" s="55" t="s">
        <v>2567</v>
      </c>
      <c r="C51" s="55" t="s">
        <v>43</v>
      </c>
      <c r="D51" s="75">
        <f t="shared" si="2"/>
        <v>127.27272727272727</v>
      </c>
      <c r="E51" s="75">
        <f t="shared" si="0"/>
        <v>12.727272727272727</v>
      </c>
      <c r="F51" s="75">
        <v>140</v>
      </c>
      <c r="G51" s="75"/>
      <c r="H51" s="58">
        <f t="shared" si="1"/>
        <v>140</v>
      </c>
      <c r="I51" s="14" t="s">
        <v>2778</v>
      </c>
      <c r="J51" s="75">
        <v>140</v>
      </c>
      <c r="K51" s="75"/>
      <c r="L51" s="14"/>
      <c r="M51" s="75"/>
      <c r="N51" s="14"/>
      <c r="O51" s="14"/>
    </row>
    <row r="52" spans="1:15" x14ac:dyDescent="0.25">
      <c r="A52" s="86">
        <v>45486</v>
      </c>
      <c r="B52" s="55" t="s">
        <v>2568</v>
      </c>
      <c r="C52" s="55" t="s">
        <v>43</v>
      </c>
      <c r="D52" s="75">
        <f t="shared" si="2"/>
        <v>145.45454545454544</v>
      </c>
      <c r="E52" s="75">
        <f t="shared" si="0"/>
        <v>14.545454545454545</v>
      </c>
      <c r="F52" s="75">
        <v>160</v>
      </c>
      <c r="G52" s="75"/>
      <c r="H52" s="58">
        <f t="shared" si="1"/>
        <v>160</v>
      </c>
      <c r="I52" s="14" t="s">
        <v>603</v>
      </c>
      <c r="J52" s="75">
        <v>160</v>
      </c>
      <c r="K52" s="75"/>
      <c r="L52" s="14"/>
      <c r="M52" s="75"/>
      <c r="N52" s="14"/>
      <c r="O52" s="14"/>
    </row>
    <row r="53" spans="1:15" x14ac:dyDescent="0.25">
      <c r="A53" s="86">
        <v>45486</v>
      </c>
      <c r="B53" s="55" t="s">
        <v>2569</v>
      </c>
      <c r="C53" s="55" t="s">
        <v>43</v>
      </c>
      <c r="D53" s="75">
        <f t="shared" si="2"/>
        <v>154.54545454545453</v>
      </c>
      <c r="E53" s="75">
        <f t="shared" si="0"/>
        <v>15.454545454545453</v>
      </c>
      <c r="F53" s="75">
        <v>170</v>
      </c>
      <c r="G53" s="75">
        <v>50</v>
      </c>
      <c r="H53" s="58">
        <f t="shared" si="1"/>
        <v>120</v>
      </c>
      <c r="I53" s="14" t="s">
        <v>2779</v>
      </c>
      <c r="J53" s="75">
        <v>170</v>
      </c>
      <c r="K53" s="75"/>
      <c r="L53" s="14"/>
      <c r="M53" s="75"/>
      <c r="N53" s="14"/>
      <c r="O53" s="14"/>
    </row>
    <row r="54" spans="1:15" x14ac:dyDescent="0.25">
      <c r="A54" s="86">
        <v>45486</v>
      </c>
      <c r="B54" s="55" t="s">
        <v>2570</v>
      </c>
      <c r="C54" s="55" t="s">
        <v>43</v>
      </c>
      <c r="D54" s="75">
        <f t="shared" si="2"/>
        <v>154.54545454545453</v>
      </c>
      <c r="E54" s="75">
        <f t="shared" si="0"/>
        <v>15.454545454545453</v>
      </c>
      <c r="F54" s="75">
        <v>170</v>
      </c>
      <c r="G54" s="75">
        <v>50</v>
      </c>
      <c r="H54" s="58">
        <f t="shared" si="1"/>
        <v>120</v>
      </c>
      <c r="I54" s="14" t="s">
        <v>2780</v>
      </c>
      <c r="J54" s="75">
        <v>170</v>
      </c>
      <c r="K54" s="75"/>
      <c r="L54" s="14"/>
      <c r="M54" s="75"/>
      <c r="N54" s="14"/>
      <c r="O54" s="14"/>
    </row>
    <row r="55" spans="1:15" x14ac:dyDescent="0.25">
      <c r="A55" s="86">
        <v>45486</v>
      </c>
      <c r="B55" s="55" t="s">
        <v>2571</v>
      </c>
      <c r="C55" s="55" t="s">
        <v>43</v>
      </c>
      <c r="D55" s="75">
        <f t="shared" si="2"/>
        <v>127.27272727272727</v>
      </c>
      <c r="E55" s="75">
        <f t="shared" si="0"/>
        <v>12.727272727272727</v>
      </c>
      <c r="F55" s="75">
        <v>140</v>
      </c>
      <c r="G55" s="75"/>
      <c r="H55" s="58">
        <f t="shared" si="1"/>
        <v>140</v>
      </c>
      <c r="I55" s="14" t="s">
        <v>1040</v>
      </c>
      <c r="J55" s="75">
        <v>140</v>
      </c>
      <c r="K55" s="75"/>
      <c r="L55" s="14"/>
      <c r="M55" s="75"/>
      <c r="N55" s="14"/>
      <c r="O55" s="14"/>
    </row>
    <row r="56" spans="1:15" x14ac:dyDescent="0.25">
      <c r="A56" s="86">
        <v>45486</v>
      </c>
      <c r="B56" s="55" t="s">
        <v>2572</v>
      </c>
      <c r="C56" s="55" t="s">
        <v>43</v>
      </c>
      <c r="D56" s="75">
        <f t="shared" si="2"/>
        <v>154.54545454545453</v>
      </c>
      <c r="E56" s="75">
        <f t="shared" si="0"/>
        <v>15.454545454545453</v>
      </c>
      <c r="F56" s="75">
        <v>170</v>
      </c>
      <c r="G56" s="75">
        <v>50</v>
      </c>
      <c r="H56" s="58">
        <f t="shared" si="1"/>
        <v>120</v>
      </c>
      <c r="I56" s="14" t="s">
        <v>2781</v>
      </c>
      <c r="J56" s="75">
        <v>170</v>
      </c>
      <c r="K56" s="75"/>
      <c r="L56" s="14"/>
      <c r="M56" s="75"/>
      <c r="N56" s="14"/>
      <c r="O56" s="14"/>
    </row>
    <row r="57" spans="1:15" x14ac:dyDescent="0.25">
      <c r="A57" s="86">
        <v>45486</v>
      </c>
      <c r="B57" s="55" t="s">
        <v>2573</v>
      </c>
      <c r="C57" s="55" t="s">
        <v>43</v>
      </c>
      <c r="D57" s="75">
        <f t="shared" si="2"/>
        <v>199.99999999999997</v>
      </c>
      <c r="E57" s="75">
        <f t="shared" si="0"/>
        <v>19.999999999999996</v>
      </c>
      <c r="F57" s="75">
        <v>220</v>
      </c>
      <c r="G57" s="75"/>
      <c r="H57" s="58">
        <f t="shared" si="1"/>
        <v>220</v>
      </c>
      <c r="I57" s="14" t="s">
        <v>603</v>
      </c>
      <c r="J57" s="75">
        <v>220</v>
      </c>
      <c r="K57" s="75"/>
      <c r="L57" s="14"/>
      <c r="M57" s="75"/>
      <c r="N57" s="14"/>
      <c r="O57" s="14"/>
    </row>
    <row r="58" spans="1:15" x14ac:dyDescent="0.25">
      <c r="A58" s="86">
        <v>45486</v>
      </c>
      <c r="B58" s="55" t="s">
        <v>2574</v>
      </c>
      <c r="C58" s="55" t="s">
        <v>43</v>
      </c>
      <c r="D58" s="75">
        <f t="shared" si="2"/>
        <v>163.63636363636363</v>
      </c>
      <c r="E58" s="75">
        <f t="shared" si="0"/>
        <v>16.363636363636363</v>
      </c>
      <c r="F58" s="75">
        <v>180</v>
      </c>
      <c r="G58" s="75"/>
      <c r="H58" s="58">
        <f t="shared" si="1"/>
        <v>180</v>
      </c>
      <c r="I58" s="14" t="s">
        <v>2782</v>
      </c>
      <c r="J58" s="75">
        <v>180</v>
      </c>
      <c r="K58" s="75"/>
      <c r="L58" s="14"/>
      <c r="M58" s="75"/>
      <c r="N58" s="14"/>
      <c r="O58" s="14"/>
    </row>
    <row r="59" spans="1:15" x14ac:dyDescent="0.25">
      <c r="A59" s="86">
        <v>45486</v>
      </c>
      <c r="B59" s="55" t="s">
        <v>2575</v>
      </c>
      <c r="C59" s="55" t="s">
        <v>43</v>
      </c>
      <c r="D59" s="75">
        <f t="shared" si="2"/>
        <v>245.45454545454544</v>
      </c>
      <c r="E59" s="75">
        <f t="shared" si="0"/>
        <v>24.545454545454547</v>
      </c>
      <c r="F59" s="75">
        <v>270</v>
      </c>
      <c r="G59" s="75">
        <v>50</v>
      </c>
      <c r="H59" s="58">
        <f t="shared" si="1"/>
        <v>220</v>
      </c>
      <c r="I59" s="14" t="s">
        <v>2783</v>
      </c>
      <c r="J59" s="75">
        <v>270</v>
      </c>
      <c r="K59" s="75"/>
      <c r="L59" s="14"/>
      <c r="M59" s="75"/>
      <c r="N59" s="14"/>
      <c r="O59" s="14"/>
    </row>
    <row r="60" spans="1:15" x14ac:dyDescent="0.25">
      <c r="A60" s="86">
        <v>45486</v>
      </c>
      <c r="B60" s="55" t="s">
        <v>2576</v>
      </c>
      <c r="C60" s="55" t="s">
        <v>43</v>
      </c>
      <c r="D60" s="75">
        <f t="shared" si="2"/>
        <v>245.45454545454544</v>
      </c>
      <c r="E60" s="75">
        <f t="shared" si="0"/>
        <v>24.545454545454547</v>
      </c>
      <c r="F60" s="75">
        <v>270</v>
      </c>
      <c r="G60" s="75">
        <v>50</v>
      </c>
      <c r="H60" s="58">
        <f t="shared" si="1"/>
        <v>220</v>
      </c>
      <c r="I60" s="14" t="s">
        <v>2784</v>
      </c>
      <c r="J60" s="75">
        <v>270</v>
      </c>
      <c r="K60" s="75"/>
      <c r="L60" s="14"/>
      <c r="M60" s="75"/>
      <c r="N60" s="14"/>
      <c r="O60" s="14"/>
    </row>
    <row r="61" spans="1:15" x14ac:dyDescent="0.25">
      <c r="A61" s="86">
        <v>45486</v>
      </c>
      <c r="B61" s="55" t="s">
        <v>2577</v>
      </c>
      <c r="C61" s="55" t="s">
        <v>43</v>
      </c>
      <c r="D61" s="75">
        <f t="shared" si="2"/>
        <v>372.72727272727269</v>
      </c>
      <c r="E61" s="75">
        <f t="shared" si="0"/>
        <v>37.272727272727273</v>
      </c>
      <c r="F61" s="75">
        <v>410</v>
      </c>
      <c r="G61" s="75">
        <v>50</v>
      </c>
      <c r="H61" s="58">
        <f t="shared" si="1"/>
        <v>360</v>
      </c>
      <c r="I61" s="14" t="s">
        <v>2785</v>
      </c>
      <c r="J61" s="75">
        <v>220</v>
      </c>
      <c r="K61" s="75"/>
      <c r="L61" s="14"/>
      <c r="M61" s="75">
        <v>190</v>
      </c>
      <c r="N61" s="14" t="s">
        <v>560</v>
      </c>
      <c r="O61" s="14"/>
    </row>
    <row r="62" spans="1:15" x14ac:dyDescent="0.25">
      <c r="A62" s="86">
        <v>45486</v>
      </c>
      <c r="B62" s="55" t="s">
        <v>2578</v>
      </c>
      <c r="C62" s="55" t="s">
        <v>43</v>
      </c>
      <c r="D62" s="75">
        <f t="shared" si="2"/>
        <v>313.63636363636363</v>
      </c>
      <c r="E62" s="75">
        <f t="shared" si="0"/>
        <v>31.36363636363636</v>
      </c>
      <c r="F62" s="75">
        <v>345</v>
      </c>
      <c r="G62" s="75">
        <v>50</v>
      </c>
      <c r="H62" s="58">
        <f t="shared" si="1"/>
        <v>295</v>
      </c>
      <c r="I62" s="14" t="s">
        <v>2786</v>
      </c>
      <c r="J62" s="75">
        <v>270</v>
      </c>
      <c r="K62" s="75">
        <v>30</v>
      </c>
      <c r="L62" s="14" t="s">
        <v>252</v>
      </c>
      <c r="M62" s="75">
        <v>45</v>
      </c>
      <c r="N62" s="14" t="s">
        <v>45</v>
      </c>
      <c r="O62" s="14"/>
    </row>
    <row r="63" spans="1:15" x14ac:dyDescent="0.25">
      <c r="A63" s="86">
        <v>45486</v>
      </c>
      <c r="B63" s="55" t="s">
        <v>2579</v>
      </c>
      <c r="C63" s="55" t="s">
        <v>43</v>
      </c>
      <c r="D63" s="75">
        <f t="shared" si="2"/>
        <v>259.09090909090907</v>
      </c>
      <c r="E63" s="75">
        <f t="shared" si="0"/>
        <v>25.909090909090907</v>
      </c>
      <c r="F63" s="75">
        <v>285</v>
      </c>
      <c r="G63" s="75">
        <v>50</v>
      </c>
      <c r="H63" s="58">
        <f t="shared" si="1"/>
        <v>235</v>
      </c>
      <c r="I63" s="14" t="s">
        <v>2787</v>
      </c>
      <c r="J63" s="75">
        <v>220</v>
      </c>
      <c r="K63" s="75">
        <v>20</v>
      </c>
      <c r="L63" s="14" t="s">
        <v>252</v>
      </c>
      <c r="M63" s="75">
        <v>45</v>
      </c>
      <c r="N63" s="14" t="s">
        <v>45</v>
      </c>
      <c r="O63" s="14"/>
    </row>
    <row r="64" spans="1:15" x14ac:dyDescent="0.25">
      <c r="A64" s="86">
        <v>45486</v>
      </c>
      <c r="B64" s="55" t="s">
        <v>2580</v>
      </c>
      <c r="C64" s="55" t="s">
        <v>43</v>
      </c>
      <c r="D64" s="75">
        <f t="shared" si="2"/>
        <v>218.18181818181816</v>
      </c>
      <c r="E64" s="75">
        <f t="shared" si="0"/>
        <v>21.818181818181817</v>
      </c>
      <c r="F64" s="75">
        <v>240</v>
      </c>
      <c r="G64" s="75"/>
      <c r="H64" s="58">
        <f t="shared" si="1"/>
        <v>240</v>
      </c>
      <c r="I64" s="14" t="s">
        <v>1398</v>
      </c>
      <c r="J64" s="75">
        <v>270</v>
      </c>
      <c r="K64" s="75"/>
      <c r="L64" s="14"/>
      <c r="M64" s="75"/>
      <c r="N64" s="14"/>
      <c r="O64" s="14"/>
    </row>
    <row r="65" spans="1:15" x14ac:dyDescent="0.25">
      <c r="A65" s="86">
        <v>45486</v>
      </c>
      <c r="B65" s="55" t="s">
        <v>2581</v>
      </c>
      <c r="C65" s="55" t="s">
        <v>43</v>
      </c>
      <c r="D65" s="75">
        <f t="shared" si="2"/>
        <v>199.99999999999997</v>
      </c>
      <c r="E65" s="75">
        <f t="shared" si="0"/>
        <v>19.999999999999996</v>
      </c>
      <c r="F65" s="75">
        <v>220</v>
      </c>
      <c r="G65" s="75">
        <v>50</v>
      </c>
      <c r="H65" s="58">
        <f t="shared" si="1"/>
        <v>170</v>
      </c>
      <c r="I65" s="14" t="s">
        <v>2788</v>
      </c>
      <c r="J65" s="75">
        <v>220</v>
      </c>
      <c r="K65" s="75"/>
      <c r="L65" s="14"/>
      <c r="M65" s="75"/>
      <c r="N65" s="14"/>
      <c r="O65" s="14"/>
    </row>
    <row r="66" spans="1:15" x14ac:dyDescent="0.25">
      <c r="A66" s="86">
        <v>45487</v>
      </c>
      <c r="B66" s="55" t="s">
        <v>2582</v>
      </c>
      <c r="C66" s="55" t="s">
        <v>43</v>
      </c>
      <c r="D66" s="75">
        <f t="shared" si="2"/>
        <v>172.72727272727272</v>
      </c>
      <c r="E66" s="75">
        <f t="shared" si="0"/>
        <v>17.272727272727273</v>
      </c>
      <c r="F66" s="75">
        <v>190</v>
      </c>
      <c r="G66" s="75">
        <v>50</v>
      </c>
      <c r="H66" s="58">
        <f t="shared" si="1"/>
        <v>140</v>
      </c>
      <c r="I66" s="14" t="s">
        <v>2752</v>
      </c>
      <c r="J66" s="75">
        <v>170</v>
      </c>
      <c r="K66" s="75">
        <v>20</v>
      </c>
      <c r="L66" s="14" t="s">
        <v>252</v>
      </c>
      <c r="M66" s="75"/>
      <c r="N66" s="14"/>
      <c r="O66" s="14"/>
    </row>
    <row r="67" spans="1:15" x14ac:dyDescent="0.25">
      <c r="A67" s="86">
        <v>45487</v>
      </c>
      <c r="B67" s="55" t="s">
        <v>2583</v>
      </c>
      <c r="C67" s="55" t="s">
        <v>43</v>
      </c>
      <c r="D67" s="75">
        <f t="shared" si="2"/>
        <v>245.45454545454544</v>
      </c>
      <c r="E67" s="75">
        <f t="shared" ref="E67:E130" si="3">D67*10/100</f>
        <v>24.545454545454547</v>
      </c>
      <c r="F67" s="75">
        <v>270</v>
      </c>
      <c r="G67" s="75"/>
      <c r="H67" s="58">
        <f t="shared" ref="H67:H130" si="4">F67-G67</f>
        <v>270</v>
      </c>
      <c r="I67" s="14" t="s">
        <v>1398</v>
      </c>
      <c r="J67" s="75">
        <v>270</v>
      </c>
      <c r="K67" s="75"/>
      <c r="L67" s="14"/>
      <c r="M67" s="75"/>
      <c r="N67" s="14"/>
      <c r="O67" s="14"/>
    </row>
    <row r="68" spans="1:15" x14ac:dyDescent="0.25">
      <c r="A68" s="86">
        <v>45489</v>
      </c>
      <c r="B68" s="55" t="s">
        <v>2584</v>
      </c>
      <c r="C68" s="55" t="s">
        <v>43</v>
      </c>
      <c r="D68" s="75">
        <f t="shared" ref="D68:D131" si="5">F68/1.1</f>
        <v>154.54545454545453</v>
      </c>
      <c r="E68" s="75">
        <f t="shared" si="3"/>
        <v>15.454545454545453</v>
      </c>
      <c r="F68" s="75">
        <v>170</v>
      </c>
      <c r="G68" s="75">
        <v>50</v>
      </c>
      <c r="H68" s="58">
        <f t="shared" si="4"/>
        <v>120</v>
      </c>
      <c r="I68" s="14" t="s">
        <v>2789</v>
      </c>
      <c r="J68" s="75">
        <v>170</v>
      </c>
      <c r="K68" s="75"/>
      <c r="L68" s="14"/>
      <c r="M68" s="75"/>
      <c r="N68" s="14"/>
      <c r="O68" s="14"/>
    </row>
    <row r="69" spans="1:15" x14ac:dyDescent="0.25">
      <c r="A69" s="86">
        <v>45489</v>
      </c>
      <c r="B69" s="55" t="s">
        <v>2585</v>
      </c>
      <c r="C69" s="55" t="s">
        <v>43</v>
      </c>
      <c r="D69" s="75">
        <f t="shared" si="5"/>
        <v>481.81818181818176</v>
      </c>
      <c r="E69" s="75">
        <f t="shared" si="3"/>
        <v>48.18181818181818</v>
      </c>
      <c r="F69" s="75">
        <v>530</v>
      </c>
      <c r="G69" s="75">
        <v>50</v>
      </c>
      <c r="H69" s="58">
        <f t="shared" si="4"/>
        <v>480</v>
      </c>
      <c r="I69" s="14" t="s">
        <v>2790</v>
      </c>
      <c r="J69" s="75">
        <v>530</v>
      </c>
      <c r="K69" s="75"/>
      <c r="L69" s="14"/>
      <c r="M69" s="75"/>
      <c r="N69" s="14"/>
      <c r="O69" s="14"/>
    </row>
    <row r="70" spans="1:15" x14ac:dyDescent="0.25">
      <c r="A70" s="86">
        <v>45490</v>
      </c>
      <c r="B70" s="55" t="s">
        <v>2586</v>
      </c>
      <c r="C70" s="55" t="s">
        <v>43</v>
      </c>
      <c r="D70" s="75">
        <f t="shared" si="5"/>
        <v>118.18181818181817</v>
      </c>
      <c r="E70" s="75">
        <f t="shared" si="3"/>
        <v>11.818181818181818</v>
      </c>
      <c r="F70" s="75">
        <v>130</v>
      </c>
      <c r="G70" s="75"/>
      <c r="H70" s="58">
        <f t="shared" si="4"/>
        <v>130</v>
      </c>
      <c r="I70" s="14" t="s">
        <v>604</v>
      </c>
      <c r="J70" s="75">
        <v>130</v>
      </c>
      <c r="K70" s="75"/>
      <c r="L70" s="14"/>
      <c r="M70" s="75"/>
      <c r="N70" s="14"/>
      <c r="O70" s="14"/>
    </row>
    <row r="71" spans="1:15" x14ac:dyDescent="0.25">
      <c r="A71" s="86">
        <v>46585</v>
      </c>
      <c r="B71" s="55" t="s">
        <v>2587</v>
      </c>
      <c r="C71" s="55" t="s">
        <v>43</v>
      </c>
      <c r="D71" s="75">
        <f t="shared" si="5"/>
        <v>218.18181818181816</v>
      </c>
      <c r="E71" s="75">
        <f t="shared" si="3"/>
        <v>21.818181818181817</v>
      </c>
      <c r="F71" s="75">
        <v>240</v>
      </c>
      <c r="G71" s="75">
        <v>50</v>
      </c>
      <c r="H71" s="58">
        <f t="shared" si="4"/>
        <v>190</v>
      </c>
      <c r="I71" s="14" t="s">
        <v>2811</v>
      </c>
      <c r="J71" s="75">
        <v>220</v>
      </c>
      <c r="K71" s="75">
        <v>20</v>
      </c>
      <c r="L71" s="14" t="s">
        <v>252</v>
      </c>
      <c r="M71" s="75"/>
      <c r="N71" s="14"/>
      <c r="O71" s="14"/>
    </row>
    <row r="72" spans="1:15" x14ac:dyDescent="0.25">
      <c r="A72" s="86">
        <v>45491</v>
      </c>
      <c r="B72" s="55" t="s">
        <v>2588</v>
      </c>
      <c r="C72" s="55" t="s">
        <v>43</v>
      </c>
      <c r="D72" s="75">
        <f t="shared" si="5"/>
        <v>236.36363636363635</v>
      </c>
      <c r="E72" s="75">
        <f t="shared" si="3"/>
        <v>23.636363636363637</v>
      </c>
      <c r="F72" s="75">
        <v>260</v>
      </c>
      <c r="G72" s="75">
        <v>50</v>
      </c>
      <c r="H72" s="58">
        <f t="shared" si="4"/>
        <v>210</v>
      </c>
      <c r="I72" s="14" t="s">
        <v>2818</v>
      </c>
      <c r="J72" s="75">
        <v>220</v>
      </c>
      <c r="K72" s="75">
        <v>40</v>
      </c>
      <c r="L72" s="14" t="s">
        <v>252</v>
      </c>
      <c r="M72" s="75"/>
      <c r="N72" s="14"/>
      <c r="O72" s="14"/>
    </row>
    <row r="73" spans="1:15" x14ac:dyDescent="0.25">
      <c r="A73" s="86">
        <v>45491</v>
      </c>
      <c r="B73" s="55" t="s">
        <v>2589</v>
      </c>
      <c r="C73" s="55" t="s">
        <v>43</v>
      </c>
      <c r="D73" s="75">
        <f t="shared" si="5"/>
        <v>236.36363636363635</v>
      </c>
      <c r="E73" s="75">
        <f t="shared" si="3"/>
        <v>23.636363636363637</v>
      </c>
      <c r="F73" s="75">
        <v>260</v>
      </c>
      <c r="G73" s="75">
        <v>50</v>
      </c>
      <c r="H73" s="58">
        <f t="shared" si="4"/>
        <v>210</v>
      </c>
      <c r="I73" s="14" t="s">
        <v>2819</v>
      </c>
      <c r="J73" s="75">
        <v>220</v>
      </c>
      <c r="K73" s="75">
        <v>40</v>
      </c>
      <c r="L73" s="14" t="s">
        <v>252</v>
      </c>
      <c r="M73" s="75"/>
      <c r="N73" s="14"/>
      <c r="O73" s="14"/>
    </row>
    <row r="74" spans="1:15" x14ac:dyDescent="0.25">
      <c r="A74" s="86">
        <v>45491</v>
      </c>
      <c r="B74" s="55" t="s">
        <v>2590</v>
      </c>
      <c r="C74" s="55" t="s">
        <v>43</v>
      </c>
      <c r="D74" s="75">
        <f t="shared" si="5"/>
        <v>199.99999999999997</v>
      </c>
      <c r="E74" s="75">
        <f t="shared" si="3"/>
        <v>19.999999999999996</v>
      </c>
      <c r="F74" s="75">
        <v>220</v>
      </c>
      <c r="G74" s="75">
        <v>50</v>
      </c>
      <c r="H74" s="58">
        <f t="shared" si="4"/>
        <v>170</v>
      </c>
      <c r="I74" s="14" t="s">
        <v>2820</v>
      </c>
      <c r="J74" s="75">
        <v>220</v>
      </c>
      <c r="K74" s="75"/>
      <c r="L74" s="14"/>
      <c r="M74" s="75"/>
      <c r="N74" s="14"/>
      <c r="O74" s="14"/>
    </row>
    <row r="75" spans="1:15" x14ac:dyDescent="0.25">
      <c r="A75" s="86">
        <v>45492</v>
      </c>
      <c r="B75" s="55" t="s">
        <v>2591</v>
      </c>
      <c r="C75" s="55" t="s">
        <v>43</v>
      </c>
      <c r="D75" s="75">
        <f t="shared" si="5"/>
        <v>190.90909090909091</v>
      </c>
      <c r="E75" s="75">
        <f t="shared" si="3"/>
        <v>19.09090909090909</v>
      </c>
      <c r="F75" s="75">
        <v>210</v>
      </c>
      <c r="G75" s="75">
        <v>50</v>
      </c>
      <c r="H75" s="58">
        <f t="shared" si="4"/>
        <v>160</v>
      </c>
      <c r="I75" s="14" t="s">
        <v>2826</v>
      </c>
      <c r="J75" s="75">
        <v>170</v>
      </c>
      <c r="K75" s="75">
        <v>40</v>
      </c>
      <c r="L75" s="14" t="s">
        <v>252</v>
      </c>
      <c r="M75" s="75"/>
      <c r="N75" s="14"/>
      <c r="O75" s="14"/>
    </row>
    <row r="76" spans="1:15" x14ac:dyDescent="0.25">
      <c r="A76" s="86">
        <v>45492</v>
      </c>
      <c r="B76" s="55" t="s">
        <v>2592</v>
      </c>
      <c r="C76" s="55" t="s">
        <v>43</v>
      </c>
      <c r="D76" s="75">
        <f t="shared" si="5"/>
        <v>190.90909090909091</v>
      </c>
      <c r="E76" s="75">
        <f t="shared" si="3"/>
        <v>19.09090909090909</v>
      </c>
      <c r="F76" s="75">
        <v>210</v>
      </c>
      <c r="G76" s="75">
        <v>50</v>
      </c>
      <c r="H76" s="58">
        <f t="shared" si="4"/>
        <v>160</v>
      </c>
      <c r="I76" s="14" t="s">
        <v>2827</v>
      </c>
      <c r="J76" s="75">
        <v>170</v>
      </c>
      <c r="K76" s="75">
        <v>40</v>
      </c>
      <c r="L76" s="14" t="s">
        <v>252</v>
      </c>
      <c r="M76" s="75"/>
      <c r="N76" s="14"/>
      <c r="O76" s="14"/>
    </row>
    <row r="77" spans="1:15" x14ac:dyDescent="0.25">
      <c r="A77" s="86">
        <v>45492</v>
      </c>
      <c r="B77" s="55" t="s">
        <v>2593</v>
      </c>
      <c r="C77" s="55" t="s">
        <v>43</v>
      </c>
      <c r="D77" s="75">
        <f t="shared" si="5"/>
        <v>218.18181818181816</v>
      </c>
      <c r="E77" s="75">
        <f t="shared" si="3"/>
        <v>21.818181818181817</v>
      </c>
      <c r="F77" s="75">
        <v>240</v>
      </c>
      <c r="G77" s="75">
        <v>50</v>
      </c>
      <c r="H77" s="58">
        <f t="shared" si="4"/>
        <v>190</v>
      </c>
      <c r="I77" s="14" t="s">
        <v>2828</v>
      </c>
      <c r="J77" s="75">
        <v>240</v>
      </c>
      <c r="K77" s="75"/>
      <c r="L77" s="14"/>
      <c r="M77" s="75"/>
      <c r="N77" s="14"/>
      <c r="O77" s="14"/>
    </row>
    <row r="78" spans="1:15" x14ac:dyDescent="0.25">
      <c r="A78" s="86">
        <v>45492</v>
      </c>
      <c r="B78" s="55" t="s">
        <v>2594</v>
      </c>
      <c r="C78" s="55" t="s">
        <v>43</v>
      </c>
      <c r="D78" s="75">
        <f t="shared" si="5"/>
        <v>181.81818181818181</v>
      </c>
      <c r="E78" s="75">
        <f t="shared" si="3"/>
        <v>18.18181818181818</v>
      </c>
      <c r="F78" s="75">
        <v>200</v>
      </c>
      <c r="G78" s="75">
        <v>50</v>
      </c>
      <c r="H78" s="58">
        <f t="shared" si="4"/>
        <v>150</v>
      </c>
      <c r="I78" s="14" t="s">
        <v>2829</v>
      </c>
      <c r="J78" s="75">
        <v>170</v>
      </c>
      <c r="K78" s="75">
        <v>30</v>
      </c>
      <c r="L78" s="14" t="s">
        <v>252</v>
      </c>
      <c r="M78" s="75"/>
      <c r="N78" s="14"/>
      <c r="O78" s="14"/>
    </row>
    <row r="79" spans="1:15" x14ac:dyDescent="0.25">
      <c r="A79" s="86">
        <v>45492</v>
      </c>
      <c r="B79" s="55" t="s">
        <v>2595</v>
      </c>
      <c r="C79" s="55" t="s">
        <v>43</v>
      </c>
      <c r="D79" s="75">
        <f t="shared" si="5"/>
        <v>154.54545454545453</v>
      </c>
      <c r="E79" s="75">
        <f t="shared" si="3"/>
        <v>15.454545454545453</v>
      </c>
      <c r="F79" s="75">
        <v>170</v>
      </c>
      <c r="G79" s="75"/>
      <c r="H79" s="58">
        <f t="shared" si="4"/>
        <v>170</v>
      </c>
      <c r="I79" s="14" t="s">
        <v>603</v>
      </c>
      <c r="J79" s="75">
        <v>170</v>
      </c>
      <c r="K79" s="75"/>
      <c r="L79" s="14"/>
      <c r="M79" s="75"/>
      <c r="N79" s="14"/>
      <c r="O79" s="14"/>
    </row>
    <row r="80" spans="1:15" x14ac:dyDescent="0.25">
      <c r="A80" s="86">
        <v>45492</v>
      </c>
      <c r="B80" s="55" t="s">
        <v>2596</v>
      </c>
      <c r="C80" s="55" t="s">
        <v>43</v>
      </c>
      <c r="D80" s="75">
        <f t="shared" si="5"/>
        <v>218.18181818181816</v>
      </c>
      <c r="E80" s="75">
        <f t="shared" si="3"/>
        <v>21.818181818181817</v>
      </c>
      <c r="F80" s="75">
        <v>240</v>
      </c>
      <c r="G80" s="75">
        <v>50</v>
      </c>
      <c r="H80" s="58">
        <f t="shared" si="4"/>
        <v>190</v>
      </c>
      <c r="I80" s="14" t="s">
        <v>2830</v>
      </c>
      <c r="J80" s="75">
        <v>220</v>
      </c>
      <c r="K80" s="75">
        <v>20</v>
      </c>
      <c r="L80" s="14" t="s">
        <v>252</v>
      </c>
      <c r="M80" s="75"/>
      <c r="N80" s="14"/>
      <c r="O80" s="14"/>
    </row>
    <row r="81" spans="1:15" x14ac:dyDescent="0.25">
      <c r="A81" s="86">
        <v>45493</v>
      </c>
      <c r="B81" s="55" t="s">
        <v>2597</v>
      </c>
      <c r="C81" s="55" t="s">
        <v>43</v>
      </c>
      <c r="D81" s="75">
        <f t="shared" si="5"/>
        <v>236.36363636363635</v>
      </c>
      <c r="E81" s="75">
        <f t="shared" si="3"/>
        <v>23.636363636363637</v>
      </c>
      <c r="F81" s="75">
        <v>260</v>
      </c>
      <c r="G81" s="75">
        <v>50</v>
      </c>
      <c r="H81" s="58">
        <f t="shared" si="4"/>
        <v>210</v>
      </c>
      <c r="I81" s="14" t="s">
        <v>2831</v>
      </c>
      <c r="J81" s="75">
        <v>220</v>
      </c>
      <c r="K81" s="75">
        <v>40</v>
      </c>
      <c r="L81" s="14"/>
      <c r="M81" s="75"/>
      <c r="N81" s="14"/>
      <c r="O81" s="14"/>
    </row>
    <row r="82" spans="1:15" x14ac:dyDescent="0.25">
      <c r="A82" s="86">
        <v>45493</v>
      </c>
      <c r="B82" s="55" t="s">
        <v>2598</v>
      </c>
      <c r="C82" s="55" t="s">
        <v>43</v>
      </c>
      <c r="D82" s="75">
        <f t="shared" si="5"/>
        <v>236.36363636363635</v>
      </c>
      <c r="E82" s="75">
        <f t="shared" si="3"/>
        <v>23.636363636363637</v>
      </c>
      <c r="F82" s="75">
        <v>260</v>
      </c>
      <c r="G82" s="75">
        <v>50</v>
      </c>
      <c r="H82" s="58">
        <f t="shared" si="4"/>
        <v>210</v>
      </c>
      <c r="I82" s="14" t="s">
        <v>2832</v>
      </c>
      <c r="J82" s="75">
        <v>220</v>
      </c>
      <c r="K82" s="75">
        <v>40</v>
      </c>
      <c r="L82" s="14"/>
      <c r="M82" s="75"/>
      <c r="N82" s="14"/>
      <c r="O82" s="14"/>
    </row>
    <row r="83" spans="1:15" x14ac:dyDescent="0.25">
      <c r="A83" s="86">
        <v>45493</v>
      </c>
      <c r="B83" s="55" t="s">
        <v>2599</v>
      </c>
      <c r="C83" s="55" t="s">
        <v>43</v>
      </c>
      <c r="D83" s="75">
        <f t="shared" si="5"/>
        <v>227.27272727272725</v>
      </c>
      <c r="E83" s="75">
        <f t="shared" si="3"/>
        <v>22.727272727272727</v>
      </c>
      <c r="F83" s="75">
        <v>250</v>
      </c>
      <c r="G83" s="75">
        <v>50</v>
      </c>
      <c r="H83" s="58">
        <f t="shared" si="4"/>
        <v>200</v>
      </c>
      <c r="I83" s="14" t="s">
        <v>2833</v>
      </c>
      <c r="J83" s="75">
        <v>220</v>
      </c>
      <c r="K83" s="75">
        <v>30</v>
      </c>
      <c r="L83" s="14"/>
      <c r="M83" s="75"/>
      <c r="N83" s="14"/>
      <c r="O83" s="14"/>
    </row>
    <row r="84" spans="1:15" x14ac:dyDescent="0.25">
      <c r="A84" s="86">
        <v>45493</v>
      </c>
      <c r="B84" s="55" t="s">
        <v>2600</v>
      </c>
      <c r="C84" s="55" t="s">
        <v>43</v>
      </c>
      <c r="D84" s="75">
        <f t="shared" si="5"/>
        <v>159.09090909090907</v>
      </c>
      <c r="E84" s="75">
        <f t="shared" si="3"/>
        <v>15.909090909090905</v>
      </c>
      <c r="F84" s="75">
        <v>175</v>
      </c>
      <c r="G84" s="75"/>
      <c r="H84" s="58">
        <f t="shared" si="4"/>
        <v>175</v>
      </c>
      <c r="I84" s="14" t="s">
        <v>604</v>
      </c>
      <c r="J84" s="75">
        <v>175</v>
      </c>
      <c r="K84" s="75"/>
      <c r="L84" s="14"/>
      <c r="M84" s="75"/>
      <c r="N84" s="14"/>
      <c r="O84" s="14"/>
    </row>
    <row r="85" spans="1:15" x14ac:dyDescent="0.25">
      <c r="A85" s="86">
        <v>45493</v>
      </c>
      <c r="B85" s="55" t="s">
        <v>2601</v>
      </c>
      <c r="C85" s="55" t="s">
        <v>43</v>
      </c>
      <c r="D85" s="75">
        <f t="shared" si="5"/>
        <v>163.63636363636363</v>
      </c>
      <c r="E85" s="75">
        <f t="shared" si="3"/>
        <v>16.363636363636363</v>
      </c>
      <c r="F85" s="75">
        <v>180</v>
      </c>
      <c r="G85" s="75"/>
      <c r="H85" s="58">
        <f t="shared" si="4"/>
        <v>180</v>
      </c>
      <c r="I85" s="14" t="s">
        <v>604</v>
      </c>
      <c r="J85" s="75">
        <v>180</v>
      </c>
      <c r="K85" s="75"/>
      <c r="L85" s="14"/>
      <c r="M85" s="75"/>
      <c r="N85" s="14"/>
      <c r="O85" s="14"/>
    </row>
    <row r="86" spans="1:15" x14ac:dyDescent="0.25">
      <c r="A86" s="86">
        <v>45493</v>
      </c>
      <c r="B86" s="55" t="s">
        <v>2602</v>
      </c>
      <c r="C86" s="55" t="s">
        <v>43</v>
      </c>
      <c r="D86" s="75">
        <f t="shared" si="5"/>
        <v>163.63636363636363</v>
      </c>
      <c r="E86" s="75">
        <f t="shared" si="3"/>
        <v>16.363636363636363</v>
      </c>
      <c r="F86" s="75">
        <v>180</v>
      </c>
      <c r="G86" s="75"/>
      <c r="H86" s="58">
        <f t="shared" si="4"/>
        <v>180</v>
      </c>
      <c r="I86" s="14" t="s">
        <v>604</v>
      </c>
      <c r="J86" s="75">
        <v>180</v>
      </c>
      <c r="K86" s="75"/>
      <c r="L86" s="14"/>
      <c r="M86" s="75"/>
      <c r="N86" s="14"/>
      <c r="O86" s="14"/>
    </row>
    <row r="87" spans="1:15" x14ac:dyDescent="0.25">
      <c r="A87" s="86">
        <v>45493</v>
      </c>
      <c r="B87" s="55" t="s">
        <v>2603</v>
      </c>
      <c r="C87" s="55" t="s">
        <v>43</v>
      </c>
      <c r="D87" s="75">
        <f t="shared" si="5"/>
        <v>245.45454545454544</v>
      </c>
      <c r="E87" s="75">
        <f t="shared" si="3"/>
        <v>24.545454545454547</v>
      </c>
      <c r="F87" s="75">
        <v>270</v>
      </c>
      <c r="G87" s="75">
        <v>50</v>
      </c>
      <c r="H87" s="58">
        <f t="shared" si="4"/>
        <v>220</v>
      </c>
      <c r="I87" s="14" t="s">
        <v>2834</v>
      </c>
      <c r="J87" s="75">
        <v>270</v>
      </c>
      <c r="K87" s="75"/>
      <c r="L87" s="14"/>
      <c r="M87" s="75"/>
      <c r="N87" s="14"/>
      <c r="O87" s="14"/>
    </row>
    <row r="88" spans="1:15" x14ac:dyDescent="0.25">
      <c r="A88" s="86">
        <v>45493</v>
      </c>
      <c r="B88" s="55" t="s">
        <v>2604</v>
      </c>
      <c r="C88" s="55" t="s">
        <v>43</v>
      </c>
      <c r="D88" s="75">
        <f t="shared" si="5"/>
        <v>245.45454545454544</v>
      </c>
      <c r="E88" s="75">
        <f t="shared" si="3"/>
        <v>24.545454545454547</v>
      </c>
      <c r="F88" s="75">
        <v>270</v>
      </c>
      <c r="G88" s="75">
        <v>50</v>
      </c>
      <c r="H88" s="58">
        <f t="shared" si="4"/>
        <v>220</v>
      </c>
      <c r="I88" s="14" t="s">
        <v>2835</v>
      </c>
      <c r="J88" s="75">
        <v>270</v>
      </c>
      <c r="K88" s="75"/>
      <c r="L88" s="14"/>
      <c r="M88" s="75"/>
      <c r="N88" s="14"/>
      <c r="O88" s="14"/>
    </row>
    <row r="89" spans="1:15" x14ac:dyDescent="0.25">
      <c r="A89" s="86">
        <v>45493</v>
      </c>
      <c r="B89" s="55" t="s">
        <v>2605</v>
      </c>
      <c r="C89" s="55" t="s">
        <v>43</v>
      </c>
      <c r="D89" s="75">
        <f t="shared" si="5"/>
        <v>199.99999999999997</v>
      </c>
      <c r="E89" s="75">
        <f t="shared" si="3"/>
        <v>19.999999999999996</v>
      </c>
      <c r="F89" s="75">
        <v>220</v>
      </c>
      <c r="G89" s="75">
        <v>50</v>
      </c>
      <c r="H89" s="58">
        <f t="shared" si="4"/>
        <v>170</v>
      </c>
      <c r="I89" s="14" t="s">
        <v>2836</v>
      </c>
      <c r="J89" s="75">
        <v>220</v>
      </c>
      <c r="K89" s="75"/>
      <c r="L89" s="14"/>
      <c r="M89" s="75"/>
      <c r="N89" s="14"/>
      <c r="O89" s="14"/>
    </row>
    <row r="90" spans="1:15" x14ac:dyDescent="0.25">
      <c r="A90" s="86">
        <v>45493</v>
      </c>
      <c r="B90" s="55" t="s">
        <v>2606</v>
      </c>
      <c r="C90" s="55" t="s">
        <v>43</v>
      </c>
      <c r="D90" s="75">
        <f t="shared" si="5"/>
        <v>481.81818181818176</v>
      </c>
      <c r="E90" s="75">
        <f t="shared" si="3"/>
        <v>48.18181818181818</v>
      </c>
      <c r="F90" s="75">
        <v>530</v>
      </c>
      <c r="G90" s="75">
        <v>200</v>
      </c>
      <c r="H90" s="58">
        <f t="shared" si="4"/>
        <v>330</v>
      </c>
      <c r="I90" s="14" t="s">
        <v>2837</v>
      </c>
      <c r="J90" s="75">
        <v>530</v>
      </c>
      <c r="K90" s="75"/>
      <c r="L90" s="14"/>
      <c r="M90" s="75"/>
      <c r="N90" s="14"/>
      <c r="O90" s="14"/>
    </row>
    <row r="91" spans="1:15" x14ac:dyDescent="0.25">
      <c r="A91" s="86">
        <v>45493</v>
      </c>
      <c r="B91" s="55" t="s">
        <v>2607</v>
      </c>
      <c r="C91" s="55" t="s">
        <v>43</v>
      </c>
      <c r="D91" s="75">
        <f t="shared" si="5"/>
        <v>199.99999999999997</v>
      </c>
      <c r="E91" s="75">
        <f t="shared" si="3"/>
        <v>19.999999999999996</v>
      </c>
      <c r="F91" s="75">
        <v>220</v>
      </c>
      <c r="G91" s="75">
        <v>50</v>
      </c>
      <c r="H91" s="58">
        <f t="shared" si="4"/>
        <v>170</v>
      </c>
      <c r="I91" s="14" t="s">
        <v>2838</v>
      </c>
      <c r="J91" s="75">
        <v>220</v>
      </c>
      <c r="K91" s="75"/>
      <c r="L91" s="14"/>
      <c r="M91" s="75"/>
      <c r="N91" s="14"/>
      <c r="O91" s="14"/>
    </row>
    <row r="92" spans="1:15" x14ac:dyDescent="0.25">
      <c r="A92" s="86">
        <v>45493</v>
      </c>
      <c r="B92" s="55" t="s">
        <v>2608</v>
      </c>
      <c r="C92" s="55" t="s">
        <v>43</v>
      </c>
      <c r="D92" s="75">
        <f t="shared" si="5"/>
        <v>127.27272727272727</v>
      </c>
      <c r="E92" s="75">
        <f t="shared" si="3"/>
        <v>12.727272727272727</v>
      </c>
      <c r="F92" s="75">
        <v>140</v>
      </c>
      <c r="G92" s="75"/>
      <c r="H92" s="58">
        <f t="shared" si="4"/>
        <v>140</v>
      </c>
      <c r="I92" s="14" t="s">
        <v>1314</v>
      </c>
      <c r="J92" s="75">
        <v>140</v>
      </c>
      <c r="K92" s="75"/>
      <c r="L92" s="14"/>
      <c r="M92" s="75"/>
      <c r="N92" s="14"/>
      <c r="O92" s="14"/>
    </row>
    <row r="93" spans="1:15" x14ac:dyDescent="0.25">
      <c r="A93" s="86">
        <v>45493</v>
      </c>
      <c r="B93" s="55" t="s">
        <v>2609</v>
      </c>
      <c r="C93" s="55" t="s">
        <v>43</v>
      </c>
      <c r="D93" s="75">
        <f t="shared" si="5"/>
        <v>118.18181818181817</v>
      </c>
      <c r="E93" s="75">
        <f t="shared" si="3"/>
        <v>11.818181818181818</v>
      </c>
      <c r="F93" s="75">
        <v>130</v>
      </c>
      <c r="G93" s="75"/>
      <c r="H93" s="58">
        <f t="shared" si="4"/>
        <v>130</v>
      </c>
      <c r="I93" s="14" t="s">
        <v>604</v>
      </c>
      <c r="J93" s="75">
        <v>130</v>
      </c>
      <c r="K93" s="75"/>
      <c r="L93" s="14"/>
      <c r="M93" s="75"/>
      <c r="N93" s="14"/>
      <c r="O93" s="14"/>
    </row>
    <row r="94" spans="1:15" x14ac:dyDescent="0.25">
      <c r="A94" s="86">
        <v>45493</v>
      </c>
      <c r="B94" s="55" t="s">
        <v>2610</v>
      </c>
      <c r="C94" s="55" t="s">
        <v>43</v>
      </c>
      <c r="D94" s="75">
        <f t="shared" si="5"/>
        <v>172.72727272727272</v>
      </c>
      <c r="E94" s="75">
        <f t="shared" si="3"/>
        <v>17.272727272727273</v>
      </c>
      <c r="F94" s="75">
        <v>190</v>
      </c>
      <c r="G94" s="75">
        <v>50</v>
      </c>
      <c r="H94" s="58">
        <f t="shared" si="4"/>
        <v>140</v>
      </c>
      <c r="I94" s="14" t="s">
        <v>2839</v>
      </c>
      <c r="J94" s="75">
        <v>170</v>
      </c>
      <c r="K94" s="75">
        <v>20</v>
      </c>
      <c r="L94" s="14" t="s">
        <v>252</v>
      </c>
      <c r="M94" s="75"/>
      <c r="N94" s="14"/>
      <c r="O94" s="14"/>
    </row>
    <row r="95" spans="1:15" x14ac:dyDescent="0.25">
      <c r="A95" s="86">
        <v>45493</v>
      </c>
      <c r="B95" s="55" t="s">
        <v>2611</v>
      </c>
      <c r="C95" s="55" t="s">
        <v>43</v>
      </c>
      <c r="D95" s="75">
        <f t="shared" si="5"/>
        <v>195.45454545454544</v>
      </c>
      <c r="E95" s="75">
        <f t="shared" si="3"/>
        <v>19.545454545454547</v>
      </c>
      <c r="F95" s="75">
        <v>215</v>
      </c>
      <c r="G95" s="75">
        <v>50</v>
      </c>
      <c r="H95" s="58">
        <f t="shared" si="4"/>
        <v>165</v>
      </c>
      <c r="I95" s="14" t="s">
        <v>2840</v>
      </c>
      <c r="J95" s="75">
        <v>170</v>
      </c>
      <c r="K95" s="75"/>
      <c r="L95" s="14"/>
      <c r="M95" s="75">
        <v>45</v>
      </c>
      <c r="N95" s="14" t="s">
        <v>45</v>
      </c>
      <c r="O95" s="14"/>
    </row>
    <row r="96" spans="1:15" x14ac:dyDescent="0.25">
      <c r="A96" s="86">
        <v>45493</v>
      </c>
      <c r="B96" s="55" t="s">
        <v>2612</v>
      </c>
      <c r="C96" s="55" t="s">
        <v>43</v>
      </c>
      <c r="D96" s="75">
        <f t="shared" si="5"/>
        <v>154.54545454545453</v>
      </c>
      <c r="E96" s="75">
        <f t="shared" si="3"/>
        <v>15.454545454545453</v>
      </c>
      <c r="F96" s="75">
        <v>170</v>
      </c>
      <c r="G96" s="75">
        <v>50</v>
      </c>
      <c r="H96" s="58">
        <f t="shared" si="4"/>
        <v>120</v>
      </c>
      <c r="I96" s="14" t="s">
        <v>2752</v>
      </c>
      <c r="J96" s="75">
        <v>170</v>
      </c>
      <c r="K96" s="75"/>
      <c r="L96" s="14"/>
      <c r="M96" s="75"/>
      <c r="N96" s="14"/>
      <c r="O96" s="14"/>
    </row>
    <row r="97" spans="1:15" x14ac:dyDescent="0.25">
      <c r="A97" s="86">
        <v>45493</v>
      </c>
      <c r="B97" s="55" t="s">
        <v>2613</v>
      </c>
      <c r="C97" s="55" t="s">
        <v>43</v>
      </c>
      <c r="D97" s="75">
        <f t="shared" si="5"/>
        <v>154.54545454545453</v>
      </c>
      <c r="E97" s="75">
        <f t="shared" si="3"/>
        <v>15.454545454545453</v>
      </c>
      <c r="F97" s="75">
        <v>170</v>
      </c>
      <c r="G97" s="75">
        <v>50</v>
      </c>
      <c r="H97" s="58">
        <f t="shared" si="4"/>
        <v>120</v>
      </c>
      <c r="I97" s="14" t="s">
        <v>2841</v>
      </c>
      <c r="J97" s="75">
        <v>170</v>
      </c>
      <c r="K97" s="75"/>
      <c r="L97" s="14"/>
      <c r="M97" s="75"/>
      <c r="N97" s="14"/>
      <c r="O97" s="14"/>
    </row>
    <row r="98" spans="1:15" x14ac:dyDescent="0.25">
      <c r="A98" s="86">
        <v>45493</v>
      </c>
      <c r="B98" s="55" t="s">
        <v>2614</v>
      </c>
      <c r="C98" s="55" t="s">
        <v>43</v>
      </c>
      <c r="D98" s="75">
        <f t="shared" si="5"/>
        <v>154.54545454545453</v>
      </c>
      <c r="E98" s="75">
        <f t="shared" si="3"/>
        <v>15.454545454545453</v>
      </c>
      <c r="F98" s="75">
        <v>170</v>
      </c>
      <c r="G98" s="75">
        <v>50</v>
      </c>
      <c r="H98" s="58">
        <f t="shared" si="4"/>
        <v>120</v>
      </c>
      <c r="I98" s="14" t="s">
        <v>2752</v>
      </c>
      <c r="J98" s="75">
        <v>170</v>
      </c>
      <c r="K98" s="75"/>
      <c r="L98" s="14"/>
      <c r="M98" s="75"/>
      <c r="N98" s="14"/>
      <c r="O98" s="14"/>
    </row>
    <row r="99" spans="1:15" x14ac:dyDescent="0.25">
      <c r="A99" s="86">
        <v>45494</v>
      </c>
      <c r="B99" s="55" t="s">
        <v>2615</v>
      </c>
      <c r="C99" s="55" t="s">
        <v>43</v>
      </c>
      <c r="D99" s="75">
        <f t="shared" si="5"/>
        <v>218.18181818181816</v>
      </c>
      <c r="E99" s="75">
        <f t="shared" si="3"/>
        <v>21.818181818181817</v>
      </c>
      <c r="F99" s="75">
        <v>240</v>
      </c>
      <c r="G99" s="75">
        <v>50</v>
      </c>
      <c r="H99" s="58">
        <f t="shared" si="4"/>
        <v>190</v>
      </c>
      <c r="I99" s="14" t="s">
        <v>1929</v>
      </c>
      <c r="J99" s="75">
        <v>220</v>
      </c>
      <c r="K99" s="75">
        <v>20</v>
      </c>
      <c r="L99" s="14" t="s">
        <v>252</v>
      </c>
      <c r="M99" s="75"/>
      <c r="N99" s="14"/>
      <c r="O99" s="14"/>
    </row>
    <row r="100" spans="1:15" x14ac:dyDescent="0.25">
      <c r="A100" s="86">
        <v>45494</v>
      </c>
      <c r="B100" s="55" t="s">
        <v>2616</v>
      </c>
      <c r="C100" s="55" t="s">
        <v>43</v>
      </c>
      <c r="D100" s="75">
        <f t="shared" si="5"/>
        <v>227.27272727272725</v>
      </c>
      <c r="E100" s="75">
        <f t="shared" si="3"/>
        <v>22.727272727272727</v>
      </c>
      <c r="F100" s="75">
        <v>250</v>
      </c>
      <c r="G100" s="75">
        <v>50</v>
      </c>
      <c r="H100" s="58">
        <f t="shared" si="4"/>
        <v>200</v>
      </c>
      <c r="I100" s="14" t="s">
        <v>2752</v>
      </c>
      <c r="J100" s="75">
        <v>250</v>
      </c>
      <c r="K100" s="75"/>
      <c r="L100" s="14"/>
      <c r="M100" s="75"/>
      <c r="N100" s="14"/>
      <c r="O100" s="14"/>
    </row>
    <row r="101" spans="1:15" x14ac:dyDescent="0.25">
      <c r="A101" s="86">
        <v>45494</v>
      </c>
      <c r="B101" s="55" t="s">
        <v>2617</v>
      </c>
      <c r="C101" s="55" t="s">
        <v>43</v>
      </c>
      <c r="D101" s="75">
        <f t="shared" si="5"/>
        <v>172.72727272727272</v>
      </c>
      <c r="E101" s="75">
        <f t="shared" si="3"/>
        <v>17.272727272727273</v>
      </c>
      <c r="F101" s="75">
        <v>190</v>
      </c>
      <c r="G101" s="75">
        <v>50</v>
      </c>
      <c r="H101" s="58">
        <f t="shared" si="4"/>
        <v>140</v>
      </c>
      <c r="I101" s="14" t="s">
        <v>2842</v>
      </c>
      <c r="J101" s="75">
        <v>170</v>
      </c>
      <c r="K101" s="75">
        <v>20</v>
      </c>
      <c r="L101" s="14" t="s">
        <v>252</v>
      </c>
      <c r="M101" s="75"/>
      <c r="N101" s="14"/>
      <c r="O101" s="14"/>
    </row>
    <row r="102" spans="1:15" x14ac:dyDescent="0.25">
      <c r="A102" s="86">
        <v>45496</v>
      </c>
      <c r="B102" s="55" t="s">
        <v>2618</v>
      </c>
      <c r="C102" s="55" t="s">
        <v>43</v>
      </c>
      <c r="D102" s="75">
        <f t="shared" si="5"/>
        <v>154.54545454545453</v>
      </c>
      <c r="E102" s="75">
        <f t="shared" si="3"/>
        <v>15.454545454545453</v>
      </c>
      <c r="F102" s="75">
        <v>170</v>
      </c>
      <c r="G102" s="75">
        <v>50</v>
      </c>
      <c r="H102" s="58">
        <f t="shared" si="4"/>
        <v>120</v>
      </c>
      <c r="I102" s="14" t="s">
        <v>2849</v>
      </c>
      <c r="J102" s="75">
        <v>170</v>
      </c>
      <c r="K102" s="75"/>
      <c r="L102" s="14"/>
      <c r="M102" s="75"/>
      <c r="N102" s="14"/>
      <c r="O102" s="14"/>
    </row>
    <row r="103" spans="1:15" x14ac:dyDescent="0.25">
      <c r="A103" s="86">
        <v>45496</v>
      </c>
      <c r="B103" s="55" t="s">
        <v>2619</v>
      </c>
      <c r="C103" s="55" t="s">
        <v>43</v>
      </c>
      <c r="D103" s="75">
        <f t="shared" si="5"/>
        <v>254.54545454545453</v>
      </c>
      <c r="E103" s="75">
        <f t="shared" si="3"/>
        <v>25.454545454545453</v>
      </c>
      <c r="F103" s="75">
        <v>280</v>
      </c>
      <c r="G103" s="75">
        <v>50</v>
      </c>
      <c r="H103" s="58">
        <f t="shared" si="4"/>
        <v>230</v>
      </c>
      <c r="I103" s="14" t="s">
        <v>2850</v>
      </c>
      <c r="J103" s="75">
        <v>280</v>
      </c>
      <c r="K103" s="75"/>
      <c r="L103" s="14"/>
      <c r="M103" s="75"/>
      <c r="N103" s="14"/>
      <c r="O103" s="14"/>
    </row>
    <row r="104" spans="1:15" x14ac:dyDescent="0.25">
      <c r="A104" s="86">
        <v>45497</v>
      </c>
      <c r="B104" s="55" t="s">
        <v>2620</v>
      </c>
      <c r="C104" s="55" t="s">
        <v>43</v>
      </c>
      <c r="D104" s="75">
        <f t="shared" si="5"/>
        <v>218.18181818181816</v>
      </c>
      <c r="E104" s="75">
        <f t="shared" si="3"/>
        <v>21.818181818181817</v>
      </c>
      <c r="F104" s="75">
        <v>240</v>
      </c>
      <c r="G104" s="75"/>
      <c r="H104" s="58">
        <f t="shared" si="4"/>
        <v>240</v>
      </c>
      <c r="I104" s="14" t="s">
        <v>2851</v>
      </c>
      <c r="J104" s="75">
        <v>240</v>
      </c>
      <c r="K104" s="75"/>
      <c r="L104" s="14"/>
      <c r="M104" s="75"/>
      <c r="N104" s="14"/>
      <c r="O104" s="14"/>
    </row>
    <row r="105" spans="1:15" x14ac:dyDescent="0.25">
      <c r="A105" s="86">
        <v>45497</v>
      </c>
      <c r="B105" s="55" t="s">
        <v>2621</v>
      </c>
      <c r="C105" s="55" t="s">
        <v>43</v>
      </c>
      <c r="D105" s="75">
        <f t="shared" si="5"/>
        <v>154.54545454545453</v>
      </c>
      <c r="E105" s="75">
        <f t="shared" si="3"/>
        <v>15.454545454545453</v>
      </c>
      <c r="F105" s="75">
        <v>170</v>
      </c>
      <c r="G105" s="75">
        <v>50</v>
      </c>
      <c r="H105" s="58">
        <f t="shared" si="4"/>
        <v>120</v>
      </c>
      <c r="I105" s="14" t="s">
        <v>2852</v>
      </c>
      <c r="J105" s="75">
        <v>170</v>
      </c>
      <c r="K105" s="75"/>
      <c r="L105" s="14"/>
      <c r="M105" s="75"/>
      <c r="N105" s="14"/>
      <c r="O105" s="14"/>
    </row>
    <row r="106" spans="1:15" x14ac:dyDescent="0.25">
      <c r="A106" s="86">
        <v>45497</v>
      </c>
      <c r="B106" s="55" t="s">
        <v>2622</v>
      </c>
      <c r="C106" s="55" t="s">
        <v>43</v>
      </c>
      <c r="D106" s="75">
        <f t="shared" si="5"/>
        <v>245.45454545454544</v>
      </c>
      <c r="E106" s="75">
        <f t="shared" si="3"/>
        <v>24.545454545454547</v>
      </c>
      <c r="F106" s="75">
        <v>270</v>
      </c>
      <c r="G106" s="75">
        <v>50</v>
      </c>
      <c r="H106" s="58">
        <f t="shared" si="4"/>
        <v>220</v>
      </c>
      <c r="I106" s="14" t="s">
        <v>2850</v>
      </c>
      <c r="J106" s="75">
        <v>270</v>
      </c>
      <c r="K106" s="75"/>
      <c r="L106" s="14"/>
      <c r="M106" s="75"/>
      <c r="N106" s="14"/>
      <c r="O106" s="14"/>
    </row>
    <row r="107" spans="1:15" x14ac:dyDescent="0.25">
      <c r="A107" s="86">
        <v>45497</v>
      </c>
      <c r="B107" s="55" t="s">
        <v>2623</v>
      </c>
      <c r="C107" s="55" t="s">
        <v>43</v>
      </c>
      <c r="D107" s="75">
        <f t="shared" si="5"/>
        <v>199.99999999999997</v>
      </c>
      <c r="E107" s="75">
        <f t="shared" si="3"/>
        <v>19.999999999999996</v>
      </c>
      <c r="F107" s="75">
        <v>220</v>
      </c>
      <c r="G107" s="75">
        <v>50</v>
      </c>
      <c r="H107" s="58">
        <f t="shared" si="4"/>
        <v>170</v>
      </c>
      <c r="I107" s="14" t="s">
        <v>2752</v>
      </c>
      <c r="J107" s="75">
        <v>220</v>
      </c>
      <c r="K107" s="75"/>
      <c r="L107" s="14"/>
      <c r="M107" s="75"/>
      <c r="N107" s="14"/>
      <c r="O107" s="14"/>
    </row>
    <row r="108" spans="1:15" x14ac:dyDescent="0.25">
      <c r="A108" s="86">
        <v>45497</v>
      </c>
      <c r="B108" s="55" t="s">
        <v>2624</v>
      </c>
      <c r="C108" s="55" t="s">
        <v>43</v>
      </c>
      <c r="D108" s="75">
        <f t="shared" si="5"/>
        <v>154.54545454545453</v>
      </c>
      <c r="E108" s="75">
        <f t="shared" si="3"/>
        <v>15.454545454545453</v>
      </c>
      <c r="F108" s="75">
        <v>170</v>
      </c>
      <c r="G108" s="75">
        <v>50</v>
      </c>
      <c r="H108" s="58">
        <f t="shared" si="4"/>
        <v>120</v>
      </c>
      <c r="I108" s="14" t="s">
        <v>2853</v>
      </c>
      <c r="J108" s="75">
        <v>170</v>
      </c>
      <c r="K108" s="75"/>
      <c r="L108" s="14"/>
      <c r="M108" s="75"/>
      <c r="N108" s="14"/>
      <c r="O108" s="14"/>
    </row>
    <row r="109" spans="1:15" x14ac:dyDescent="0.25">
      <c r="A109" s="86">
        <v>45497</v>
      </c>
      <c r="B109" s="55" t="s">
        <v>2625</v>
      </c>
      <c r="C109" s="55" t="s">
        <v>43</v>
      </c>
      <c r="D109" s="75">
        <f t="shared" si="5"/>
        <v>154.54545454545453</v>
      </c>
      <c r="E109" s="75">
        <f t="shared" si="3"/>
        <v>15.454545454545453</v>
      </c>
      <c r="F109" s="75">
        <v>170</v>
      </c>
      <c r="G109" s="75">
        <v>50</v>
      </c>
      <c r="H109" s="58">
        <f t="shared" si="4"/>
        <v>120</v>
      </c>
      <c r="I109" s="14" t="s">
        <v>2785</v>
      </c>
      <c r="J109" s="75">
        <v>170</v>
      </c>
      <c r="K109" s="75"/>
      <c r="L109" s="14"/>
      <c r="M109" s="75"/>
      <c r="N109" s="14"/>
      <c r="O109" s="14"/>
    </row>
    <row r="110" spans="1:15" x14ac:dyDescent="0.25">
      <c r="A110" s="86">
        <v>45498</v>
      </c>
      <c r="B110" s="55" t="s">
        <v>2626</v>
      </c>
      <c r="C110" s="55" t="s">
        <v>43</v>
      </c>
      <c r="D110" s="75">
        <f t="shared" si="5"/>
        <v>372.72727272727269</v>
      </c>
      <c r="E110" s="75">
        <f t="shared" si="3"/>
        <v>37.272727272727273</v>
      </c>
      <c r="F110" s="75">
        <v>410</v>
      </c>
      <c r="G110" s="75">
        <v>50</v>
      </c>
      <c r="H110" s="58">
        <f t="shared" si="4"/>
        <v>360</v>
      </c>
      <c r="I110" s="14" t="s">
        <v>2854</v>
      </c>
      <c r="J110" s="75">
        <v>460</v>
      </c>
      <c r="K110" s="75"/>
      <c r="L110" s="14"/>
      <c r="M110" s="75"/>
      <c r="N110" s="14"/>
      <c r="O110" s="14"/>
    </row>
    <row r="111" spans="1:15" x14ac:dyDescent="0.25">
      <c r="A111" s="86">
        <v>45498</v>
      </c>
      <c r="B111" s="55" t="s">
        <v>2627</v>
      </c>
      <c r="C111" s="55" t="s">
        <v>43</v>
      </c>
      <c r="D111" s="75">
        <f t="shared" si="5"/>
        <v>154.54545454545453</v>
      </c>
      <c r="E111" s="75">
        <f t="shared" si="3"/>
        <v>15.454545454545453</v>
      </c>
      <c r="F111" s="75">
        <v>170</v>
      </c>
      <c r="G111" s="75">
        <v>50</v>
      </c>
      <c r="H111" s="58">
        <f t="shared" si="4"/>
        <v>120</v>
      </c>
      <c r="I111" s="14" t="s">
        <v>2855</v>
      </c>
      <c r="J111" s="75">
        <v>170</v>
      </c>
      <c r="K111" s="75"/>
      <c r="L111" s="14"/>
      <c r="M111" s="75"/>
      <c r="N111" s="14"/>
      <c r="O111" s="14"/>
    </row>
    <row r="112" spans="1:15" x14ac:dyDescent="0.25">
      <c r="A112" s="86">
        <v>45498</v>
      </c>
      <c r="B112" s="55" t="s">
        <v>2628</v>
      </c>
      <c r="C112" s="55" t="s">
        <v>43</v>
      </c>
      <c r="D112" s="75">
        <f t="shared" si="5"/>
        <v>154.54545454545453</v>
      </c>
      <c r="E112" s="75">
        <f t="shared" si="3"/>
        <v>15.454545454545453</v>
      </c>
      <c r="F112" s="75">
        <v>170</v>
      </c>
      <c r="G112" s="75">
        <v>50</v>
      </c>
      <c r="H112" s="58">
        <f t="shared" si="4"/>
        <v>120</v>
      </c>
      <c r="I112" s="14" t="s">
        <v>2856</v>
      </c>
      <c r="J112" s="75">
        <v>170</v>
      </c>
      <c r="K112" s="75"/>
      <c r="L112" s="14"/>
      <c r="M112" s="75"/>
      <c r="N112" s="14"/>
      <c r="O112" s="14"/>
    </row>
    <row r="113" spans="1:15" x14ac:dyDescent="0.25">
      <c r="A113" s="86">
        <v>45499</v>
      </c>
      <c r="B113" s="55" t="s">
        <v>2629</v>
      </c>
      <c r="C113" s="55" t="s">
        <v>43</v>
      </c>
      <c r="D113" s="75">
        <f t="shared" si="5"/>
        <v>0</v>
      </c>
      <c r="E113" s="75">
        <f t="shared" si="3"/>
        <v>0</v>
      </c>
      <c r="F113" s="75"/>
      <c r="G113" s="75"/>
      <c r="H113" s="58">
        <f t="shared" si="4"/>
        <v>0</v>
      </c>
      <c r="I113" s="14"/>
      <c r="J113" s="75"/>
      <c r="K113" s="75"/>
      <c r="L113" s="14"/>
      <c r="M113" s="75"/>
      <c r="N113" s="14"/>
      <c r="O113" s="14"/>
    </row>
    <row r="114" spans="1:15" x14ac:dyDescent="0.25">
      <c r="A114" s="86">
        <v>46594</v>
      </c>
      <c r="B114" s="55" t="s">
        <v>2630</v>
      </c>
      <c r="C114" s="55" t="s">
        <v>43</v>
      </c>
      <c r="D114" s="75">
        <f t="shared" si="5"/>
        <v>0</v>
      </c>
      <c r="E114" s="75">
        <f t="shared" si="3"/>
        <v>0</v>
      </c>
      <c r="F114" s="75"/>
      <c r="G114" s="75"/>
      <c r="H114" s="58">
        <f t="shared" si="4"/>
        <v>0</v>
      </c>
      <c r="I114" s="14"/>
      <c r="J114" s="75"/>
      <c r="K114" s="75"/>
      <c r="L114" s="14"/>
      <c r="M114" s="75"/>
      <c r="N114" s="14"/>
      <c r="O114" s="14"/>
    </row>
    <row r="115" spans="1:15" x14ac:dyDescent="0.25">
      <c r="A115" s="86">
        <v>45500</v>
      </c>
      <c r="B115" s="55" t="s">
        <v>2631</v>
      </c>
      <c r="C115" s="55" t="s">
        <v>43</v>
      </c>
      <c r="D115" s="75">
        <f t="shared" si="5"/>
        <v>190.90909090909091</v>
      </c>
      <c r="E115" s="75">
        <f t="shared" si="3"/>
        <v>19.09090909090909</v>
      </c>
      <c r="F115" s="75">
        <v>210</v>
      </c>
      <c r="G115" s="75">
        <v>50</v>
      </c>
      <c r="H115" s="58">
        <f t="shared" si="4"/>
        <v>160</v>
      </c>
      <c r="I115" s="14" t="s">
        <v>2857</v>
      </c>
      <c r="J115" s="75">
        <v>170</v>
      </c>
      <c r="K115" s="75">
        <v>40</v>
      </c>
      <c r="L115" s="14" t="s">
        <v>252</v>
      </c>
      <c r="M115" s="75"/>
      <c r="N115" s="14"/>
      <c r="O115" s="14"/>
    </row>
    <row r="116" spans="1:15" x14ac:dyDescent="0.25">
      <c r="A116" s="86">
        <v>45500</v>
      </c>
      <c r="B116" s="55" t="s">
        <v>2632</v>
      </c>
      <c r="C116" s="55" t="s">
        <v>43</v>
      </c>
      <c r="D116" s="75">
        <f t="shared" si="5"/>
        <v>127.27272727272727</v>
      </c>
      <c r="E116" s="75">
        <f t="shared" si="3"/>
        <v>12.727272727272727</v>
      </c>
      <c r="F116" s="75">
        <v>140</v>
      </c>
      <c r="G116" s="75"/>
      <c r="H116" s="58">
        <f t="shared" si="4"/>
        <v>140</v>
      </c>
      <c r="I116" s="14" t="s">
        <v>1040</v>
      </c>
      <c r="J116" s="75">
        <v>140</v>
      </c>
      <c r="K116" s="75"/>
      <c r="L116" s="14"/>
      <c r="M116" s="75"/>
      <c r="N116" s="14"/>
      <c r="O116" s="14"/>
    </row>
    <row r="117" spans="1:15" x14ac:dyDescent="0.25">
      <c r="A117" s="86">
        <v>45500</v>
      </c>
      <c r="B117" s="55" t="s">
        <v>2633</v>
      </c>
      <c r="C117" s="55" t="s">
        <v>43</v>
      </c>
      <c r="D117" s="75">
        <f t="shared" si="5"/>
        <v>90.909090909090907</v>
      </c>
      <c r="E117" s="75">
        <f t="shared" si="3"/>
        <v>9.0909090909090899</v>
      </c>
      <c r="F117" s="75">
        <v>100</v>
      </c>
      <c r="G117" s="75"/>
      <c r="H117" s="58">
        <f t="shared" si="4"/>
        <v>100</v>
      </c>
      <c r="I117" s="14" t="s">
        <v>603</v>
      </c>
      <c r="J117" s="75">
        <v>100</v>
      </c>
      <c r="K117" s="75"/>
      <c r="L117" s="14"/>
      <c r="M117" s="75"/>
      <c r="N117" s="14"/>
      <c r="O117" s="14"/>
    </row>
    <row r="118" spans="1:15" x14ac:dyDescent="0.25">
      <c r="A118" s="86">
        <v>45500</v>
      </c>
      <c r="B118" s="55" t="s">
        <v>2634</v>
      </c>
      <c r="C118" s="55" t="s">
        <v>43</v>
      </c>
      <c r="D118" s="75">
        <f t="shared" si="5"/>
        <v>154.54545454545453</v>
      </c>
      <c r="E118" s="75">
        <f t="shared" si="3"/>
        <v>15.454545454545453</v>
      </c>
      <c r="F118" s="75">
        <v>170</v>
      </c>
      <c r="G118" s="75">
        <v>50</v>
      </c>
      <c r="H118" s="58">
        <f t="shared" si="4"/>
        <v>120</v>
      </c>
      <c r="I118" s="14" t="s">
        <v>2858</v>
      </c>
      <c r="J118" s="75">
        <v>170</v>
      </c>
      <c r="K118" s="75"/>
      <c r="L118" s="14"/>
      <c r="M118" s="75"/>
      <c r="N118" s="14"/>
      <c r="O118" s="14"/>
    </row>
    <row r="119" spans="1:15" x14ac:dyDescent="0.25">
      <c r="A119" s="86">
        <v>46595</v>
      </c>
      <c r="B119" s="55" t="s">
        <v>2635</v>
      </c>
      <c r="C119" s="55" t="s">
        <v>43</v>
      </c>
      <c r="D119" s="75">
        <f t="shared" si="5"/>
        <v>545.45454545454538</v>
      </c>
      <c r="E119" s="75">
        <f t="shared" si="3"/>
        <v>54.54545454545454</v>
      </c>
      <c r="F119" s="75">
        <v>600</v>
      </c>
      <c r="G119" s="75">
        <v>100</v>
      </c>
      <c r="H119" s="58">
        <f t="shared" si="4"/>
        <v>500</v>
      </c>
      <c r="I119" s="14" t="s">
        <v>2859</v>
      </c>
      <c r="J119" s="75">
        <v>550</v>
      </c>
      <c r="K119" s="75"/>
      <c r="L119" s="14"/>
      <c r="M119" s="75"/>
      <c r="N119" s="14"/>
      <c r="O119" s="14"/>
    </row>
    <row r="120" spans="1:15" x14ac:dyDescent="0.25">
      <c r="A120" s="86">
        <v>46595</v>
      </c>
      <c r="B120" s="55" t="s">
        <v>2636</v>
      </c>
      <c r="C120" s="55" t="s">
        <v>43</v>
      </c>
      <c r="D120" s="75">
        <f t="shared" si="5"/>
        <v>263.63636363636363</v>
      </c>
      <c r="E120" s="75">
        <f t="shared" si="3"/>
        <v>26.36363636363636</v>
      </c>
      <c r="F120" s="75">
        <v>290</v>
      </c>
      <c r="G120" s="75">
        <v>50</v>
      </c>
      <c r="H120" s="58">
        <f t="shared" si="4"/>
        <v>240</v>
      </c>
      <c r="I120" s="14" t="s">
        <v>2860</v>
      </c>
      <c r="J120" s="75">
        <v>270</v>
      </c>
      <c r="K120" s="75">
        <v>20</v>
      </c>
      <c r="L120" s="14" t="s">
        <v>252</v>
      </c>
      <c r="M120" s="75"/>
      <c r="N120" s="14"/>
      <c r="O120" s="14"/>
    </row>
    <row r="121" spans="1:15" x14ac:dyDescent="0.25">
      <c r="A121" s="86">
        <v>45500</v>
      </c>
      <c r="B121" s="55" t="s">
        <v>2637</v>
      </c>
      <c r="C121" s="55" t="s">
        <v>43</v>
      </c>
      <c r="D121" s="75">
        <f t="shared" si="5"/>
        <v>154.54545454545453</v>
      </c>
      <c r="E121" s="75">
        <f t="shared" si="3"/>
        <v>15.454545454545453</v>
      </c>
      <c r="F121" s="75">
        <v>170</v>
      </c>
      <c r="G121" s="75">
        <v>50</v>
      </c>
      <c r="H121" s="58">
        <f t="shared" si="4"/>
        <v>120</v>
      </c>
      <c r="I121" s="14" t="s">
        <v>2861</v>
      </c>
      <c r="J121" s="75">
        <v>170</v>
      </c>
      <c r="K121" s="75"/>
      <c r="L121" s="14"/>
      <c r="M121" s="75"/>
      <c r="N121" s="14"/>
      <c r="O121" s="14"/>
    </row>
    <row r="122" spans="1:15" x14ac:dyDescent="0.25">
      <c r="A122" s="86">
        <v>45500</v>
      </c>
      <c r="B122" s="55" t="s">
        <v>2638</v>
      </c>
      <c r="C122" s="55" t="s">
        <v>43</v>
      </c>
      <c r="D122" s="75">
        <f t="shared" si="5"/>
        <v>227.27272727272725</v>
      </c>
      <c r="E122" s="75">
        <f t="shared" si="3"/>
        <v>22.727272727272727</v>
      </c>
      <c r="F122" s="75">
        <v>250</v>
      </c>
      <c r="G122" s="75">
        <v>50</v>
      </c>
      <c r="H122" s="58">
        <f t="shared" si="4"/>
        <v>200</v>
      </c>
      <c r="I122" s="14" t="s">
        <v>2862</v>
      </c>
      <c r="J122" s="75">
        <v>220</v>
      </c>
      <c r="K122" s="75">
        <v>30</v>
      </c>
      <c r="L122" s="14" t="s">
        <v>252</v>
      </c>
      <c r="M122" s="75"/>
      <c r="N122" s="14"/>
      <c r="O122" s="14"/>
    </row>
    <row r="123" spans="1:15" x14ac:dyDescent="0.25">
      <c r="A123" s="86">
        <v>45500</v>
      </c>
      <c r="B123" s="55" t="s">
        <v>2639</v>
      </c>
      <c r="C123" s="55" t="s">
        <v>43</v>
      </c>
      <c r="D123" s="75">
        <f t="shared" si="5"/>
        <v>154.54545454545453</v>
      </c>
      <c r="E123" s="75">
        <f t="shared" si="3"/>
        <v>15.454545454545453</v>
      </c>
      <c r="F123" s="75">
        <v>170</v>
      </c>
      <c r="G123" s="75">
        <v>50</v>
      </c>
      <c r="H123" s="58">
        <f t="shared" si="4"/>
        <v>120</v>
      </c>
      <c r="I123" s="14" t="s">
        <v>2752</v>
      </c>
      <c r="J123" s="75">
        <v>170</v>
      </c>
      <c r="K123" s="75"/>
      <c r="L123" s="14"/>
      <c r="M123" s="75"/>
      <c r="N123" s="14"/>
      <c r="O123" s="14"/>
    </row>
    <row r="124" spans="1:15" x14ac:dyDescent="0.25">
      <c r="A124" s="86">
        <v>45500</v>
      </c>
      <c r="B124" s="55" t="s">
        <v>2640</v>
      </c>
      <c r="C124" s="55" t="s">
        <v>43</v>
      </c>
      <c r="D124" s="75">
        <f t="shared" si="5"/>
        <v>345.45454545454544</v>
      </c>
      <c r="E124" s="75">
        <f t="shared" si="3"/>
        <v>34.545454545454547</v>
      </c>
      <c r="F124" s="75">
        <v>380</v>
      </c>
      <c r="G124" s="75"/>
      <c r="H124" s="58">
        <f t="shared" si="4"/>
        <v>380</v>
      </c>
      <c r="I124" s="14" t="s">
        <v>603</v>
      </c>
      <c r="J124" s="75">
        <v>380</v>
      </c>
      <c r="K124" s="75"/>
      <c r="L124" s="14"/>
      <c r="M124" s="75"/>
      <c r="N124" s="14"/>
      <c r="O124" s="14"/>
    </row>
    <row r="125" spans="1:15" x14ac:dyDescent="0.25">
      <c r="A125" s="86">
        <v>46595</v>
      </c>
      <c r="B125" s="55" t="s">
        <v>2641</v>
      </c>
      <c r="C125" s="55" t="s">
        <v>43</v>
      </c>
      <c r="D125" s="75">
        <f t="shared" si="5"/>
        <v>263.63636363636363</v>
      </c>
      <c r="E125" s="75">
        <f t="shared" si="3"/>
        <v>26.36363636363636</v>
      </c>
      <c r="F125" s="75">
        <v>290</v>
      </c>
      <c r="G125" s="75">
        <v>50</v>
      </c>
      <c r="H125" s="58">
        <f t="shared" si="4"/>
        <v>240</v>
      </c>
      <c r="I125" s="14" t="s">
        <v>2863</v>
      </c>
      <c r="J125" s="75">
        <v>270</v>
      </c>
      <c r="K125" s="75">
        <v>20</v>
      </c>
      <c r="L125" s="14" t="s">
        <v>252</v>
      </c>
      <c r="M125" s="75"/>
      <c r="N125" s="14"/>
      <c r="O125" s="14"/>
    </row>
    <row r="126" spans="1:15" x14ac:dyDescent="0.25">
      <c r="A126" s="86">
        <v>46595</v>
      </c>
      <c r="B126" s="55" t="s">
        <v>2642</v>
      </c>
      <c r="C126" s="55" t="s">
        <v>43</v>
      </c>
      <c r="D126" s="75">
        <f t="shared" si="5"/>
        <v>309.09090909090907</v>
      </c>
      <c r="E126" s="75">
        <f t="shared" si="3"/>
        <v>30.909090909090907</v>
      </c>
      <c r="F126" s="75">
        <v>340</v>
      </c>
      <c r="G126" s="75">
        <v>50</v>
      </c>
      <c r="H126" s="58">
        <f t="shared" si="4"/>
        <v>290</v>
      </c>
      <c r="I126" s="187" t="s">
        <v>2864</v>
      </c>
      <c r="J126" s="75">
        <v>270</v>
      </c>
      <c r="K126" s="75">
        <v>70</v>
      </c>
      <c r="L126" s="14" t="s">
        <v>252</v>
      </c>
      <c r="M126" s="75"/>
      <c r="N126" s="14"/>
      <c r="O126" s="14"/>
    </row>
    <row r="127" spans="1:15" x14ac:dyDescent="0.25">
      <c r="A127" s="86">
        <v>45500</v>
      </c>
      <c r="B127" s="55" t="s">
        <v>2643</v>
      </c>
      <c r="C127" s="55" t="s">
        <v>43</v>
      </c>
      <c r="D127" s="75">
        <f t="shared" si="5"/>
        <v>136.36363636363635</v>
      </c>
      <c r="E127" s="75">
        <f t="shared" si="3"/>
        <v>13.636363636363635</v>
      </c>
      <c r="F127" s="75">
        <v>150</v>
      </c>
      <c r="G127" s="75">
        <v>50</v>
      </c>
      <c r="H127" s="58">
        <f t="shared" si="4"/>
        <v>100</v>
      </c>
      <c r="I127" s="14" t="s">
        <v>2865</v>
      </c>
      <c r="J127" s="75">
        <v>150</v>
      </c>
      <c r="K127" s="75"/>
      <c r="L127" s="14"/>
      <c r="M127" s="75"/>
      <c r="N127" s="14"/>
      <c r="O127" s="14"/>
    </row>
    <row r="128" spans="1:15" x14ac:dyDescent="0.25">
      <c r="A128" s="86">
        <v>45500</v>
      </c>
      <c r="B128" s="55" t="s">
        <v>2644</v>
      </c>
      <c r="C128" s="55" t="s">
        <v>43</v>
      </c>
      <c r="D128" s="75">
        <f t="shared" si="5"/>
        <v>199.99999999999997</v>
      </c>
      <c r="E128" s="75">
        <f t="shared" si="3"/>
        <v>19.999999999999996</v>
      </c>
      <c r="F128" s="75">
        <v>220</v>
      </c>
      <c r="G128" s="75">
        <v>50</v>
      </c>
      <c r="H128" s="58">
        <f t="shared" si="4"/>
        <v>170</v>
      </c>
      <c r="I128" s="14" t="s">
        <v>2866</v>
      </c>
      <c r="J128" s="75">
        <v>220</v>
      </c>
      <c r="K128" s="75"/>
      <c r="L128" s="14"/>
      <c r="M128" s="75"/>
      <c r="N128" s="14"/>
      <c r="O128" s="14"/>
    </row>
    <row r="129" spans="1:15" x14ac:dyDescent="0.25">
      <c r="A129" s="86">
        <v>46595</v>
      </c>
      <c r="B129" s="55" t="s">
        <v>2645</v>
      </c>
      <c r="C129" s="55" t="s">
        <v>43</v>
      </c>
      <c r="D129" s="75">
        <f t="shared" si="5"/>
        <v>263.63636363636363</v>
      </c>
      <c r="E129" s="75">
        <f t="shared" si="3"/>
        <v>26.36363636363636</v>
      </c>
      <c r="F129" s="75">
        <v>290</v>
      </c>
      <c r="G129" s="75">
        <v>50</v>
      </c>
      <c r="H129" s="58">
        <f t="shared" si="4"/>
        <v>240</v>
      </c>
      <c r="I129" s="14" t="s">
        <v>2867</v>
      </c>
      <c r="J129" s="75">
        <v>270</v>
      </c>
      <c r="K129" s="75">
        <v>20</v>
      </c>
      <c r="L129" s="14" t="s">
        <v>252</v>
      </c>
      <c r="M129" s="75"/>
      <c r="N129" s="14"/>
      <c r="O129" s="14"/>
    </row>
    <row r="130" spans="1:15" x14ac:dyDescent="0.25">
      <c r="A130" s="86">
        <v>46595</v>
      </c>
      <c r="B130" s="55" t="s">
        <v>2646</v>
      </c>
      <c r="C130" s="55" t="s">
        <v>43</v>
      </c>
      <c r="D130" s="75">
        <f t="shared" si="5"/>
        <v>104.54545454545453</v>
      </c>
      <c r="E130" s="75">
        <f t="shared" si="3"/>
        <v>10.454545454545453</v>
      </c>
      <c r="F130" s="75">
        <v>115</v>
      </c>
      <c r="G130" s="75"/>
      <c r="H130" s="58">
        <f t="shared" si="4"/>
        <v>115</v>
      </c>
      <c r="I130" s="14" t="s">
        <v>604</v>
      </c>
      <c r="J130" s="75">
        <v>115</v>
      </c>
      <c r="K130" s="75"/>
      <c r="L130" s="14"/>
      <c r="M130" s="75"/>
      <c r="N130" s="14"/>
      <c r="O130" s="14"/>
    </row>
    <row r="131" spans="1:15" x14ac:dyDescent="0.25">
      <c r="A131" s="86">
        <v>45500</v>
      </c>
      <c r="B131" s="55" t="s">
        <v>2647</v>
      </c>
      <c r="C131" s="55" t="s">
        <v>43</v>
      </c>
      <c r="D131" s="75">
        <f t="shared" si="5"/>
        <v>150</v>
      </c>
      <c r="E131" s="75">
        <f t="shared" ref="E131:E144" si="6">D131*10/100</f>
        <v>15</v>
      </c>
      <c r="F131" s="75">
        <v>165</v>
      </c>
      <c r="G131" s="75"/>
      <c r="H131" s="58">
        <f t="shared" ref="H131:H144" si="7">F131-G131</f>
        <v>165</v>
      </c>
      <c r="I131" s="14" t="s">
        <v>604</v>
      </c>
      <c r="J131" s="75">
        <v>165</v>
      </c>
      <c r="K131" s="75"/>
      <c r="L131" s="14"/>
      <c r="M131" s="75"/>
      <c r="N131" s="14"/>
      <c r="O131" s="14"/>
    </row>
    <row r="132" spans="1:15" x14ac:dyDescent="0.25">
      <c r="A132" s="86">
        <v>45500</v>
      </c>
      <c r="B132" s="55" t="s">
        <v>2648</v>
      </c>
      <c r="C132" s="55" t="s">
        <v>43</v>
      </c>
      <c r="D132" s="75">
        <f t="shared" ref="D132:D144" si="8">F132/1.1</f>
        <v>336.36363636363632</v>
      </c>
      <c r="E132" s="75">
        <f t="shared" si="6"/>
        <v>33.636363636363633</v>
      </c>
      <c r="F132" s="75">
        <v>370</v>
      </c>
      <c r="G132" s="75">
        <v>50</v>
      </c>
      <c r="H132" s="58">
        <f t="shared" si="7"/>
        <v>320</v>
      </c>
      <c r="I132" s="14" t="s">
        <v>2868</v>
      </c>
      <c r="J132" s="75">
        <v>370</v>
      </c>
      <c r="K132" s="75"/>
      <c r="L132" s="14"/>
      <c r="M132" s="75"/>
      <c r="N132" s="14"/>
      <c r="O132" s="14"/>
    </row>
    <row r="133" spans="1:15" x14ac:dyDescent="0.25">
      <c r="A133" s="86">
        <v>45501</v>
      </c>
      <c r="B133" s="55" t="s">
        <v>2649</v>
      </c>
      <c r="C133" s="55" t="s">
        <v>43</v>
      </c>
      <c r="D133" s="75">
        <f t="shared" si="8"/>
        <v>199.99999999999997</v>
      </c>
      <c r="E133" s="75">
        <f t="shared" si="6"/>
        <v>19.999999999999996</v>
      </c>
      <c r="F133" s="75">
        <v>220</v>
      </c>
      <c r="G133" s="75">
        <v>50</v>
      </c>
      <c r="H133" s="58">
        <f t="shared" si="7"/>
        <v>170</v>
      </c>
      <c r="I133" s="14" t="s">
        <v>2869</v>
      </c>
      <c r="J133" s="75">
        <v>220</v>
      </c>
      <c r="K133" s="75"/>
      <c r="L133" s="14"/>
      <c r="M133" s="75"/>
      <c r="N133" s="14"/>
      <c r="O133" s="14"/>
    </row>
    <row r="134" spans="1:15" x14ac:dyDescent="0.25">
      <c r="A134" s="86">
        <v>45501</v>
      </c>
      <c r="B134" s="55" t="s">
        <v>2650</v>
      </c>
      <c r="C134" s="55" t="s">
        <v>43</v>
      </c>
      <c r="D134" s="75">
        <f t="shared" si="8"/>
        <v>90.909090909090907</v>
      </c>
      <c r="E134" s="75">
        <f t="shared" si="6"/>
        <v>9.0909090909090899</v>
      </c>
      <c r="F134" s="75">
        <v>100</v>
      </c>
      <c r="G134" s="75">
        <v>50</v>
      </c>
      <c r="H134" s="58">
        <f t="shared" si="7"/>
        <v>50</v>
      </c>
      <c r="I134" s="14" t="s">
        <v>2870</v>
      </c>
      <c r="J134" s="75">
        <v>100</v>
      </c>
      <c r="K134" s="75"/>
      <c r="L134" s="14"/>
      <c r="M134" s="75"/>
      <c r="N134" s="14"/>
      <c r="O134" s="14"/>
    </row>
    <row r="135" spans="1:15" x14ac:dyDescent="0.25">
      <c r="A135" s="86">
        <v>45501</v>
      </c>
      <c r="B135" s="55" t="s">
        <v>2651</v>
      </c>
      <c r="C135" s="55" t="s">
        <v>43</v>
      </c>
      <c r="D135" s="75">
        <f t="shared" si="8"/>
        <v>199.99999999999997</v>
      </c>
      <c r="E135" s="75">
        <f t="shared" si="6"/>
        <v>19.999999999999996</v>
      </c>
      <c r="F135" s="75">
        <v>220</v>
      </c>
      <c r="G135" s="75">
        <v>50</v>
      </c>
      <c r="H135" s="58">
        <f t="shared" si="7"/>
        <v>170</v>
      </c>
      <c r="I135" s="14" t="s">
        <v>2827</v>
      </c>
      <c r="J135" s="75">
        <v>170</v>
      </c>
      <c r="K135" s="75">
        <v>50</v>
      </c>
      <c r="L135" s="14" t="s">
        <v>252</v>
      </c>
      <c r="M135" s="75"/>
      <c r="N135" s="14"/>
      <c r="O135" s="14"/>
    </row>
    <row r="136" spans="1:15" x14ac:dyDescent="0.25">
      <c r="A136" s="86">
        <v>45502</v>
      </c>
      <c r="B136" s="55" t="s">
        <v>2652</v>
      </c>
      <c r="C136" s="55" t="s">
        <v>43</v>
      </c>
      <c r="D136" s="75">
        <f t="shared" si="8"/>
        <v>172.72727272727272</v>
      </c>
      <c r="E136" s="75">
        <f t="shared" si="6"/>
        <v>17.272727272727273</v>
      </c>
      <c r="F136" s="75">
        <v>190</v>
      </c>
      <c r="G136" s="75"/>
      <c r="H136" s="58">
        <f t="shared" si="7"/>
        <v>190</v>
      </c>
      <c r="I136" s="14" t="s">
        <v>1398</v>
      </c>
      <c r="J136" s="75">
        <v>190</v>
      </c>
      <c r="K136" s="75"/>
      <c r="L136" s="14"/>
      <c r="M136" s="75"/>
      <c r="N136" s="14"/>
      <c r="O136" s="14"/>
    </row>
    <row r="137" spans="1:15" x14ac:dyDescent="0.25">
      <c r="A137" s="86">
        <v>45502</v>
      </c>
      <c r="B137" s="55" t="s">
        <v>2653</v>
      </c>
      <c r="C137" s="55" t="s">
        <v>43</v>
      </c>
      <c r="D137" s="75">
        <f t="shared" si="8"/>
        <v>245.45454545454544</v>
      </c>
      <c r="E137" s="75">
        <f t="shared" si="6"/>
        <v>24.545454545454547</v>
      </c>
      <c r="F137" s="75">
        <v>270</v>
      </c>
      <c r="G137" s="75">
        <v>50</v>
      </c>
      <c r="H137" s="58">
        <f t="shared" si="7"/>
        <v>220</v>
      </c>
      <c r="I137" s="14" t="s">
        <v>2871</v>
      </c>
      <c r="J137" s="75">
        <v>270</v>
      </c>
      <c r="K137" s="75"/>
      <c r="L137" s="14"/>
      <c r="M137" s="75"/>
      <c r="N137" s="14"/>
      <c r="O137" s="14"/>
    </row>
    <row r="138" spans="1:15" x14ac:dyDescent="0.25">
      <c r="A138" s="86">
        <v>45503</v>
      </c>
      <c r="B138" s="55" t="s">
        <v>2654</v>
      </c>
      <c r="C138" s="55" t="s">
        <v>43</v>
      </c>
      <c r="D138" s="75">
        <f t="shared" si="8"/>
        <v>154.54545454545453</v>
      </c>
      <c r="E138" s="75">
        <f t="shared" si="6"/>
        <v>15.454545454545453</v>
      </c>
      <c r="F138" s="75">
        <v>170</v>
      </c>
      <c r="G138" s="75">
        <v>50</v>
      </c>
      <c r="H138" s="58">
        <f t="shared" si="7"/>
        <v>120</v>
      </c>
      <c r="I138" s="14" t="s">
        <v>2872</v>
      </c>
      <c r="J138" s="75">
        <v>170</v>
      </c>
      <c r="K138" s="75"/>
      <c r="L138" s="14"/>
      <c r="M138" s="75"/>
      <c r="N138" s="14"/>
      <c r="O138" s="14"/>
    </row>
    <row r="139" spans="1:15" x14ac:dyDescent="0.25">
      <c r="A139" s="86">
        <v>45503</v>
      </c>
      <c r="B139" s="55" t="s">
        <v>2655</v>
      </c>
      <c r="C139" s="55" t="s">
        <v>43</v>
      </c>
      <c r="D139" s="75">
        <f t="shared" si="8"/>
        <v>154.54545454545453</v>
      </c>
      <c r="E139" s="75">
        <f t="shared" si="6"/>
        <v>15.454545454545453</v>
      </c>
      <c r="F139" s="75">
        <v>170</v>
      </c>
      <c r="G139" s="75">
        <v>50</v>
      </c>
      <c r="H139" s="58">
        <f t="shared" si="7"/>
        <v>120</v>
      </c>
      <c r="I139" s="14" t="s">
        <v>2873</v>
      </c>
      <c r="J139" s="75">
        <v>170</v>
      </c>
      <c r="K139" s="75"/>
      <c r="L139" s="14"/>
      <c r="M139" s="75"/>
      <c r="N139" s="14"/>
      <c r="O139" s="14"/>
    </row>
    <row r="140" spans="1:15" x14ac:dyDescent="0.25">
      <c r="A140" s="86">
        <v>45503</v>
      </c>
      <c r="B140" s="55" t="s">
        <v>2656</v>
      </c>
      <c r="C140" s="55" t="s">
        <v>43</v>
      </c>
      <c r="D140" s="75">
        <f t="shared" si="8"/>
        <v>245.45454545454544</v>
      </c>
      <c r="E140" s="75">
        <f t="shared" si="6"/>
        <v>24.545454545454547</v>
      </c>
      <c r="F140" s="75">
        <v>270</v>
      </c>
      <c r="G140" s="75">
        <v>50</v>
      </c>
      <c r="H140" s="58">
        <f t="shared" si="7"/>
        <v>220</v>
      </c>
      <c r="I140" s="14" t="s">
        <v>2874</v>
      </c>
      <c r="J140" s="75">
        <v>270</v>
      </c>
      <c r="K140" s="75"/>
      <c r="L140" s="14"/>
      <c r="M140" s="75"/>
      <c r="N140" s="14"/>
      <c r="O140" s="14"/>
    </row>
    <row r="141" spans="1:15" x14ac:dyDescent="0.25">
      <c r="A141" s="86">
        <v>45503</v>
      </c>
      <c r="B141" s="55" t="s">
        <v>2657</v>
      </c>
      <c r="C141" s="55" t="s">
        <v>43</v>
      </c>
      <c r="D141" s="75">
        <f t="shared" si="8"/>
        <v>268.18181818181819</v>
      </c>
      <c r="E141" s="75">
        <f t="shared" si="6"/>
        <v>26.81818181818182</v>
      </c>
      <c r="F141" s="75">
        <v>295</v>
      </c>
      <c r="G141" s="75">
        <v>50</v>
      </c>
      <c r="H141" s="58">
        <f t="shared" si="7"/>
        <v>245</v>
      </c>
      <c r="I141" s="14" t="s">
        <v>2875</v>
      </c>
      <c r="J141" s="75">
        <v>220</v>
      </c>
      <c r="K141" s="75">
        <v>30</v>
      </c>
      <c r="L141" s="14" t="s">
        <v>252</v>
      </c>
      <c r="M141" s="75">
        <v>45</v>
      </c>
      <c r="N141" s="14" t="s">
        <v>45</v>
      </c>
      <c r="O141" s="14"/>
    </row>
    <row r="142" spans="1:15" x14ac:dyDescent="0.25">
      <c r="A142" s="86">
        <v>45504</v>
      </c>
      <c r="B142" s="55" t="s">
        <v>2658</v>
      </c>
      <c r="C142" s="55" t="s">
        <v>43</v>
      </c>
      <c r="D142" s="75">
        <f t="shared" si="8"/>
        <v>281.81818181818181</v>
      </c>
      <c r="E142" s="75">
        <f t="shared" si="6"/>
        <v>28.18181818181818</v>
      </c>
      <c r="F142" s="75">
        <v>310</v>
      </c>
      <c r="G142" s="75">
        <v>50</v>
      </c>
      <c r="H142" s="58">
        <f t="shared" si="7"/>
        <v>260</v>
      </c>
      <c r="I142" s="14" t="s">
        <v>2903</v>
      </c>
      <c r="J142" s="75">
        <v>270</v>
      </c>
      <c r="K142" s="75">
        <v>40</v>
      </c>
      <c r="L142" s="14" t="s">
        <v>252</v>
      </c>
      <c r="M142" s="75"/>
      <c r="N142" s="14"/>
      <c r="O142" s="14"/>
    </row>
    <row r="143" spans="1:15" x14ac:dyDescent="0.25">
      <c r="A143" s="86">
        <v>45504</v>
      </c>
      <c r="B143" s="55" t="s">
        <v>2659</v>
      </c>
      <c r="C143" s="55" t="s">
        <v>43</v>
      </c>
      <c r="D143" s="75">
        <f t="shared" si="8"/>
        <v>172.72727272727272</v>
      </c>
      <c r="E143" s="75">
        <f t="shared" si="6"/>
        <v>17.272727272727273</v>
      </c>
      <c r="F143" s="75">
        <v>190</v>
      </c>
      <c r="G143" s="75">
        <v>50</v>
      </c>
      <c r="H143" s="58">
        <f t="shared" si="7"/>
        <v>140</v>
      </c>
      <c r="I143" s="14" t="s">
        <v>2904</v>
      </c>
      <c r="J143" s="75">
        <v>170</v>
      </c>
      <c r="K143" s="75">
        <v>20</v>
      </c>
      <c r="L143" s="14" t="s">
        <v>252</v>
      </c>
      <c r="M143" s="75"/>
      <c r="N143" s="14"/>
      <c r="O143" s="14"/>
    </row>
    <row r="144" spans="1:15" x14ac:dyDescent="0.25">
      <c r="A144" s="86">
        <v>45504</v>
      </c>
      <c r="B144" s="55" t="s">
        <v>2660</v>
      </c>
      <c r="C144" s="55" t="s">
        <v>43</v>
      </c>
      <c r="D144" s="75">
        <f t="shared" si="8"/>
        <v>163.63636363636363</v>
      </c>
      <c r="E144" s="75">
        <f t="shared" si="6"/>
        <v>16.363636363636363</v>
      </c>
      <c r="F144" s="75">
        <v>180</v>
      </c>
      <c r="G144" s="75"/>
      <c r="H144" s="58">
        <f t="shared" si="7"/>
        <v>180</v>
      </c>
      <c r="I144" s="14" t="s">
        <v>603</v>
      </c>
      <c r="J144" s="75">
        <v>180</v>
      </c>
      <c r="K144" s="75"/>
      <c r="L144" s="14"/>
      <c r="M144" s="75"/>
      <c r="N144" s="14"/>
      <c r="O144" s="14"/>
    </row>
    <row r="145" spans="1:8" x14ac:dyDescent="0.25">
      <c r="A145" s="322" t="s">
        <v>11</v>
      </c>
      <c r="B145" s="322"/>
      <c r="C145" s="322"/>
      <c r="D145" s="160">
        <f>SUM(D3:D144)</f>
        <v>29050.000000000018</v>
      </c>
      <c r="E145" s="75">
        <f>SUM(E3:E144)</f>
        <v>2905</v>
      </c>
      <c r="F145" s="75">
        <f>SUM(F3:F144)</f>
        <v>31955</v>
      </c>
      <c r="G145" s="75">
        <f>SUM(G3:G144)</f>
        <v>5770</v>
      </c>
      <c r="H145" s="75">
        <f>SUM(H3:H144)</f>
        <v>26185</v>
      </c>
    </row>
    <row r="146" spans="1:8" x14ac:dyDescent="0.25">
      <c r="D146" t="s">
        <v>2459</v>
      </c>
      <c r="E146" t="s">
        <v>408</v>
      </c>
      <c r="F146" t="s">
        <v>11</v>
      </c>
      <c r="G146" t="s">
        <v>2461</v>
      </c>
      <c r="H146" t="s">
        <v>42</v>
      </c>
    </row>
  </sheetData>
  <mergeCells count="15">
    <mergeCell ref="N1:N2"/>
    <mergeCell ref="O1:O2"/>
    <mergeCell ref="A145:C145"/>
    <mergeCell ref="G1:H1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FB07-A6DB-4D6D-BE58-913318F846EA}">
  <dimension ref="A1:M95"/>
  <sheetViews>
    <sheetView topLeftCell="A62" workbookViewId="0">
      <selection activeCell="B71" sqref="B71"/>
    </sheetView>
  </sheetViews>
  <sheetFormatPr baseColWidth="10" defaultRowHeight="15" x14ac:dyDescent="0.25"/>
  <cols>
    <col min="2" max="2" width="51" customWidth="1"/>
    <col min="3" max="3" width="50.85546875" customWidth="1"/>
    <col min="4" max="4" width="17" customWidth="1"/>
    <col min="5" max="5" width="40.85546875" customWidth="1"/>
  </cols>
  <sheetData>
    <row r="1" spans="1:12" x14ac:dyDescent="0.25">
      <c r="A1" t="s">
        <v>0</v>
      </c>
      <c r="B1" s="1">
        <v>45505</v>
      </c>
    </row>
    <row r="3" spans="1:12" ht="30" x14ac:dyDescent="0.2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2" x14ac:dyDescent="0.25">
      <c r="A4" s="11"/>
      <c r="B4" s="12"/>
      <c r="C4" s="13"/>
      <c r="D4" s="108"/>
      <c r="E4" s="15"/>
      <c r="F4" s="16"/>
      <c r="G4" s="16"/>
      <c r="H4" s="16"/>
      <c r="I4" s="9"/>
      <c r="J4" s="17"/>
      <c r="K4" s="9"/>
    </row>
    <row r="5" spans="1:12" x14ac:dyDescent="0.25">
      <c r="A5" s="11">
        <v>45505</v>
      </c>
      <c r="B5" s="12" t="s">
        <v>2922</v>
      </c>
      <c r="C5" s="13" t="s">
        <v>12</v>
      </c>
      <c r="D5" s="108" t="s">
        <v>13</v>
      </c>
      <c r="E5" s="15" t="s">
        <v>14</v>
      </c>
      <c r="F5" s="16">
        <v>1650</v>
      </c>
      <c r="G5" s="16"/>
      <c r="H5" s="16"/>
      <c r="I5" s="9">
        <f t="shared" ref="I5:I75" si="0">G5+H5</f>
        <v>0</v>
      </c>
      <c r="J5" s="17"/>
      <c r="K5" s="9">
        <f t="shared" ref="K5:K75" si="1">F5+I5-J5</f>
        <v>1650</v>
      </c>
      <c r="L5" t="s">
        <v>41</v>
      </c>
    </row>
    <row r="6" spans="1:12" x14ac:dyDescent="0.25">
      <c r="A6" s="5">
        <v>45506</v>
      </c>
      <c r="B6" s="199" t="s">
        <v>2924</v>
      </c>
      <c r="C6" s="28" t="s">
        <v>302</v>
      </c>
      <c r="D6" s="35" t="s">
        <v>386</v>
      </c>
      <c r="E6" s="14" t="s">
        <v>304</v>
      </c>
      <c r="F6" s="9">
        <v>25</v>
      </c>
      <c r="G6" s="9">
        <v>5.25</v>
      </c>
      <c r="H6" s="9"/>
      <c r="I6" s="9">
        <f t="shared" si="0"/>
        <v>5.25</v>
      </c>
      <c r="J6" s="23"/>
      <c r="K6" s="9">
        <f t="shared" si="1"/>
        <v>30.25</v>
      </c>
      <c r="L6" t="s">
        <v>295</v>
      </c>
    </row>
    <row r="7" spans="1:12" x14ac:dyDescent="0.25">
      <c r="A7" s="24">
        <v>45505</v>
      </c>
      <c r="B7" s="25" t="s">
        <v>2931</v>
      </c>
      <c r="C7" s="28" t="s">
        <v>1424</v>
      </c>
      <c r="D7" s="35" t="s">
        <v>712</v>
      </c>
      <c r="E7" s="14" t="s">
        <v>560</v>
      </c>
      <c r="F7" s="9">
        <v>37.26</v>
      </c>
      <c r="G7" s="9">
        <v>7.82</v>
      </c>
      <c r="H7" s="22"/>
      <c r="I7" s="9">
        <f t="shared" si="0"/>
        <v>7.82</v>
      </c>
      <c r="J7" s="23"/>
      <c r="K7" s="9">
        <f t="shared" si="1"/>
        <v>45.08</v>
      </c>
      <c r="L7" t="s">
        <v>41</v>
      </c>
    </row>
    <row r="8" spans="1:12" x14ac:dyDescent="0.25">
      <c r="A8" s="18">
        <v>45507</v>
      </c>
      <c r="B8" s="27" t="s">
        <v>3094</v>
      </c>
      <c r="C8" s="28" t="s">
        <v>17</v>
      </c>
      <c r="D8" s="152" t="s">
        <v>323</v>
      </c>
      <c r="E8" s="29" t="s">
        <v>17</v>
      </c>
      <c r="F8" s="22">
        <v>33.06</v>
      </c>
      <c r="G8" s="22">
        <v>6.94</v>
      </c>
      <c r="H8" s="22"/>
      <c r="I8" s="9">
        <f t="shared" si="0"/>
        <v>6.94</v>
      </c>
      <c r="J8" s="31"/>
      <c r="K8" s="9">
        <f t="shared" si="1"/>
        <v>40</v>
      </c>
      <c r="L8" t="s">
        <v>267</v>
      </c>
    </row>
    <row r="9" spans="1:12" ht="15" customHeight="1" x14ac:dyDescent="0.25">
      <c r="A9" s="18">
        <v>45508</v>
      </c>
      <c r="B9" s="27" t="s">
        <v>3095</v>
      </c>
      <c r="C9" s="28" t="s">
        <v>17</v>
      </c>
      <c r="D9" s="35" t="s">
        <v>3096</v>
      </c>
      <c r="E9" s="29" t="s">
        <v>17</v>
      </c>
      <c r="F9" s="22">
        <v>33.06</v>
      </c>
      <c r="G9" s="22">
        <v>6.94</v>
      </c>
      <c r="H9" s="22"/>
      <c r="I9" s="9">
        <f t="shared" si="0"/>
        <v>6.94</v>
      </c>
      <c r="J9" s="31"/>
      <c r="K9" s="9">
        <f t="shared" si="1"/>
        <v>40</v>
      </c>
      <c r="L9" t="s">
        <v>267</v>
      </c>
    </row>
    <row r="10" spans="1:12" x14ac:dyDescent="0.25">
      <c r="A10" s="18">
        <v>45513</v>
      </c>
      <c r="B10" s="27" t="s">
        <v>3099</v>
      </c>
      <c r="C10" s="28" t="s">
        <v>292</v>
      </c>
      <c r="D10" s="36" t="s">
        <v>293</v>
      </c>
      <c r="E10" s="14" t="s">
        <v>792</v>
      </c>
      <c r="F10" s="22">
        <v>181.48</v>
      </c>
      <c r="G10" s="22">
        <v>38.11</v>
      </c>
      <c r="H10" s="22"/>
      <c r="I10" s="9">
        <f t="shared" si="0"/>
        <v>38.11</v>
      </c>
      <c r="J10" s="31"/>
      <c r="K10" s="9">
        <f t="shared" si="1"/>
        <v>219.58999999999997</v>
      </c>
      <c r="L10" t="s">
        <v>295</v>
      </c>
    </row>
    <row r="11" spans="1:12" x14ac:dyDescent="0.25">
      <c r="A11" s="100">
        <v>45513</v>
      </c>
      <c r="B11" s="157" t="s">
        <v>3100</v>
      </c>
      <c r="C11" s="28" t="s">
        <v>292</v>
      </c>
      <c r="D11" s="36" t="s">
        <v>293</v>
      </c>
      <c r="E11" s="14" t="s">
        <v>792</v>
      </c>
      <c r="F11" s="22">
        <v>35.200000000000003</v>
      </c>
      <c r="G11" s="22">
        <v>4.3</v>
      </c>
      <c r="H11" s="22"/>
      <c r="I11" s="9">
        <f t="shared" si="0"/>
        <v>4.3</v>
      </c>
      <c r="J11" s="31"/>
      <c r="K11" s="9">
        <f t="shared" si="1"/>
        <v>39.5</v>
      </c>
      <c r="L11" t="s">
        <v>295</v>
      </c>
    </row>
    <row r="12" spans="1:12" x14ac:dyDescent="0.25">
      <c r="A12" s="86">
        <v>45510</v>
      </c>
      <c r="B12" s="14">
        <v>2024000124</v>
      </c>
      <c r="C12" s="14" t="s">
        <v>3115</v>
      </c>
      <c r="D12" s="14" t="s">
        <v>3116</v>
      </c>
      <c r="E12" s="14" t="s">
        <v>3117</v>
      </c>
      <c r="F12" s="138">
        <v>20.66</v>
      </c>
      <c r="G12" s="22">
        <v>4.34</v>
      </c>
      <c r="H12" s="22"/>
      <c r="I12" s="9">
        <f t="shared" si="0"/>
        <v>4.34</v>
      </c>
      <c r="J12" s="31"/>
      <c r="K12" s="200">
        <f>F12+F13+G12+H13</f>
        <v>58.59</v>
      </c>
      <c r="L12" t="s">
        <v>42</v>
      </c>
    </row>
    <row r="13" spans="1:12" x14ac:dyDescent="0.25">
      <c r="A13" s="86">
        <v>45510</v>
      </c>
      <c r="B13" s="14" t="s">
        <v>3118</v>
      </c>
      <c r="C13" s="14" t="s">
        <v>1576</v>
      </c>
      <c r="D13" s="14" t="s">
        <v>24</v>
      </c>
      <c r="E13" s="14" t="s">
        <v>25</v>
      </c>
      <c r="F13" s="138">
        <v>30.54</v>
      </c>
      <c r="G13" s="22"/>
      <c r="H13" s="22">
        <v>3.05</v>
      </c>
      <c r="I13" s="9">
        <f t="shared" si="0"/>
        <v>3.05</v>
      </c>
      <c r="J13" s="31"/>
      <c r="K13" s="200">
        <f>F13+I13</f>
        <v>33.589999999999996</v>
      </c>
      <c r="L13" t="s">
        <v>42</v>
      </c>
    </row>
    <row r="14" spans="1:12" x14ac:dyDescent="0.25">
      <c r="A14" s="198">
        <v>45510</v>
      </c>
      <c r="B14" s="112" t="s">
        <v>3119</v>
      </c>
      <c r="C14" s="106" t="s">
        <v>1424</v>
      </c>
      <c r="D14" s="105" t="s">
        <v>712</v>
      </c>
      <c r="E14" s="107" t="s">
        <v>560</v>
      </c>
      <c r="F14" s="22">
        <v>60.84</v>
      </c>
      <c r="G14" s="22">
        <v>12.78</v>
      </c>
      <c r="H14" s="22"/>
      <c r="I14" s="9">
        <f t="shared" si="0"/>
        <v>12.78</v>
      </c>
      <c r="J14" s="31"/>
      <c r="K14" s="200">
        <f>F14+F15+G14+H15</f>
        <v>172.62</v>
      </c>
      <c r="L14" t="s">
        <v>41</v>
      </c>
    </row>
    <row r="15" spans="1:12" x14ac:dyDescent="0.25">
      <c r="A15" s="86">
        <v>45505</v>
      </c>
      <c r="B15" s="86" t="s">
        <v>3120</v>
      </c>
      <c r="C15" s="28" t="s">
        <v>2455</v>
      </c>
      <c r="D15" s="35" t="s">
        <v>2457</v>
      </c>
      <c r="E15" s="29" t="s">
        <v>2458</v>
      </c>
      <c r="F15" s="138">
        <v>99</v>
      </c>
      <c r="G15" s="22">
        <v>20.82</v>
      </c>
      <c r="H15" s="22"/>
      <c r="I15" s="9">
        <f t="shared" si="0"/>
        <v>20.82</v>
      </c>
      <c r="J15" s="31"/>
      <c r="K15" s="9">
        <f t="shared" si="1"/>
        <v>119.82</v>
      </c>
      <c r="L15" t="s">
        <v>267</v>
      </c>
    </row>
    <row r="16" spans="1:12" x14ac:dyDescent="0.25">
      <c r="A16" s="86">
        <v>45513</v>
      </c>
      <c r="B16" s="108" t="s">
        <v>3121</v>
      </c>
      <c r="C16" s="156" t="s">
        <v>3122</v>
      </c>
      <c r="D16" s="35" t="s">
        <v>3123</v>
      </c>
      <c r="E16" s="14" t="s">
        <v>17</v>
      </c>
      <c r="F16" s="138">
        <v>84.21</v>
      </c>
      <c r="G16" s="22">
        <v>17.690000000000001</v>
      </c>
      <c r="H16" s="22"/>
      <c r="I16" s="9">
        <f t="shared" si="0"/>
        <v>17.690000000000001</v>
      </c>
      <c r="J16" s="31"/>
      <c r="K16" s="9">
        <f t="shared" si="1"/>
        <v>101.89999999999999</v>
      </c>
      <c r="L16" t="s">
        <v>267</v>
      </c>
    </row>
    <row r="17" spans="1:12" x14ac:dyDescent="0.25">
      <c r="A17" s="86">
        <v>45517</v>
      </c>
      <c r="B17" s="108" t="s">
        <v>3124</v>
      </c>
      <c r="C17" s="28" t="s">
        <v>1576</v>
      </c>
      <c r="D17" s="35" t="s">
        <v>24</v>
      </c>
      <c r="E17" s="14" t="s">
        <v>25</v>
      </c>
      <c r="F17" s="138">
        <v>34.36</v>
      </c>
      <c r="G17" s="22"/>
      <c r="H17" s="22">
        <v>3.44</v>
      </c>
      <c r="I17" s="9">
        <f t="shared" si="0"/>
        <v>3.44</v>
      </c>
      <c r="J17" s="31"/>
      <c r="K17" s="9">
        <f t="shared" si="1"/>
        <v>37.799999999999997</v>
      </c>
      <c r="L17" t="s">
        <v>42</v>
      </c>
    </row>
    <row r="18" spans="1:12" x14ac:dyDescent="0.25">
      <c r="A18" s="86">
        <v>45515</v>
      </c>
      <c r="B18" s="188">
        <v>202780138251</v>
      </c>
      <c r="C18" s="28" t="s">
        <v>302</v>
      </c>
      <c r="D18" s="35" t="s">
        <v>386</v>
      </c>
      <c r="E18" s="14" t="s">
        <v>304</v>
      </c>
      <c r="F18" s="138">
        <v>16</v>
      </c>
      <c r="G18" s="22">
        <v>3.36</v>
      </c>
      <c r="H18" s="22"/>
      <c r="I18" s="9">
        <f t="shared" si="0"/>
        <v>3.36</v>
      </c>
      <c r="J18" s="31"/>
      <c r="K18" s="9">
        <f t="shared" si="1"/>
        <v>19.36</v>
      </c>
      <c r="L18" t="s">
        <v>295</v>
      </c>
    </row>
    <row r="19" spans="1:12" x14ac:dyDescent="0.25">
      <c r="A19" s="86">
        <v>45516</v>
      </c>
      <c r="B19" s="111" t="s">
        <v>3127</v>
      </c>
      <c r="C19" s="28" t="s">
        <v>292</v>
      </c>
      <c r="D19" s="36" t="s">
        <v>293</v>
      </c>
      <c r="E19" s="14" t="s">
        <v>547</v>
      </c>
      <c r="F19" s="138">
        <v>106.71</v>
      </c>
      <c r="G19" s="22">
        <v>22.41</v>
      </c>
      <c r="H19" s="22"/>
      <c r="I19" s="9">
        <f t="shared" si="0"/>
        <v>22.41</v>
      </c>
      <c r="J19" s="31"/>
      <c r="K19" s="9">
        <f t="shared" si="1"/>
        <v>129.12</v>
      </c>
      <c r="L19" t="s">
        <v>295</v>
      </c>
    </row>
    <row r="20" spans="1:12" x14ac:dyDescent="0.25">
      <c r="A20" s="104">
        <v>45518</v>
      </c>
      <c r="B20" s="201">
        <v>512002381</v>
      </c>
      <c r="C20" s="109" t="s">
        <v>3130</v>
      </c>
      <c r="D20" s="108" t="s">
        <v>1870</v>
      </c>
      <c r="E20" s="110" t="s">
        <v>3131</v>
      </c>
      <c r="F20" s="22">
        <v>5.13</v>
      </c>
      <c r="G20" s="22">
        <v>1.08</v>
      </c>
      <c r="H20" s="22"/>
      <c r="I20" s="9">
        <f t="shared" si="0"/>
        <v>1.08</v>
      </c>
      <c r="J20" s="31"/>
      <c r="K20" s="9">
        <f t="shared" si="1"/>
        <v>6.21</v>
      </c>
      <c r="L20" t="s">
        <v>42</v>
      </c>
    </row>
    <row r="21" spans="1:12" x14ac:dyDescent="0.25">
      <c r="A21" s="33">
        <v>45518</v>
      </c>
      <c r="B21" s="34" t="s">
        <v>3129</v>
      </c>
      <c r="C21" s="28" t="s">
        <v>3130</v>
      </c>
      <c r="D21" s="35" t="s">
        <v>1870</v>
      </c>
      <c r="E21" s="29" t="s">
        <v>3131</v>
      </c>
      <c r="F21" s="22">
        <v>7.96</v>
      </c>
      <c r="G21" s="22">
        <v>1.67</v>
      </c>
      <c r="H21" s="22"/>
      <c r="I21" s="9">
        <f t="shared" si="0"/>
        <v>1.67</v>
      </c>
      <c r="J21" s="31"/>
      <c r="K21" s="9">
        <f t="shared" si="1"/>
        <v>9.629999999999999</v>
      </c>
      <c r="L21" t="s">
        <v>42</v>
      </c>
    </row>
    <row r="22" spans="1:12" x14ac:dyDescent="0.25">
      <c r="A22" s="33">
        <v>45518</v>
      </c>
      <c r="B22" s="34" t="s">
        <v>3132</v>
      </c>
      <c r="C22" s="28" t="s">
        <v>706</v>
      </c>
      <c r="D22" s="35" t="s">
        <v>401</v>
      </c>
      <c r="E22" s="29" t="s">
        <v>3131</v>
      </c>
      <c r="F22" s="22">
        <v>2</v>
      </c>
      <c r="G22" s="22">
        <v>0.42</v>
      </c>
      <c r="H22" s="22"/>
      <c r="I22" s="9">
        <f t="shared" si="0"/>
        <v>0.42</v>
      </c>
      <c r="J22" s="31"/>
      <c r="K22" s="9">
        <f t="shared" si="1"/>
        <v>2.42</v>
      </c>
      <c r="L22" t="s">
        <v>42</v>
      </c>
    </row>
    <row r="23" spans="1:12" x14ac:dyDescent="0.25">
      <c r="A23" s="33">
        <v>45516</v>
      </c>
      <c r="B23" s="35">
        <v>142107</v>
      </c>
      <c r="C23" s="28" t="s">
        <v>3134</v>
      </c>
      <c r="D23" s="35" t="s">
        <v>280</v>
      </c>
      <c r="E23" s="29" t="s">
        <v>281</v>
      </c>
      <c r="F23" s="22">
        <v>22.02</v>
      </c>
      <c r="G23" s="22">
        <v>4.63</v>
      </c>
      <c r="H23" s="22"/>
      <c r="I23" s="9">
        <f t="shared" si="0"/>
        <v>4.63</v>
      </c>
      <c r="J23" s="31"/>
      <c r="K23" s="9">
        <f t="shared" si="1"/>
        <v>26.65</v>
      </c>
      <c r="L23" t="s">
        <v>42</v>
      </c>
    </row>
    <row r="24" spans="1:12" x14ac:dyDescent="0.25">
      <c r="A24" s="33">
        <v>45517</v>
      </c>
      <c r="B24" s="34" t="s">
        <v>3133</v>
      </c>
      <c r="C24" s="28" t="s">
        <v>3134</v>
      </c>
      <c r="D24" s="35" t="s">
        <v>280</v>
      </c>
      <c r="E24" s="29" t="s">
        <v>281</v>
      </c>
      <c r="F24" s="22">
        <v>9.42</v>
      </c>
      <c r="G24" s="22">
        <v>1.98</v>
      </c>
      <c r="H24" s="22"/>
      <c r="I24" s="9">
        <f t="shared" si="0"/>
        <v>1.98</v>
      </c>
      <c r="J24" s="31"/>
      <c r="K24" s="9">
        <f t="shared" si="1"/>
        <v>11.4</v>
      </c>
      <c r="L24" t="s">
        <v>42</v>
      </c>
    </row>
    <row r="25" spans="1:12" x14ac:dyDescent="0.25">
      <c r="A25" s="33">
        <v>45518</v>
      </c>
      <c r="B25" s="35">
        <v>512.00239299999998</v>
      </c>
      <c r="C25" s="28" t="s">
        <v>3130</v>
      </c>
      <c r="D25" s="35" t="s">
        <v>1870</v>
      </c>
      <c r="E25" s="29" t="s">
        <v>3131</v>
      </c>
      <c r="F25" s="22">
        <v>7.5</v>
      </c>
      <c r="G25" s="22">
        <v>1.58</v>
      </c>
      <c r="H25" s="22"/>
      <c r="I25" s="9">
        <f t="shared" si="0"/>
        <v>1.58</v>
      </c>
      <c r="J25" s="31"/>
      <c r="K25" s="9">
        <f t="shared" si="1"/>
        <v>9.08</v>
      </c>
      <c r="L25" t="s">
        <v>42</v>
      </c>
    </row>
    <row r="26" spans="1:12" x14ac:dyDescent="0.25">
      <c r="A26" s="33">
        <v>45518</v>
      </c>
      <c r="B26" s="181">
        <v>512002395</v>
      </c>
      <c r="C26" s="28" t="s">
        <v>3130</v>
      </c>
      <c r="D26" s="35" t="s">
        <v>1870</v>
      </c>
      <c r="E26" s="29" t="s">
        <v>3131</v>
      </c>
      <c r="F26" s="22">
        <v>11.08</v>
      </c>
      <c r="G26" s="22">
        <v>2.33</v>
      </c>
      <c r="H26" s="22"/>
      <c r="I26" s="9">
        <f t="shared" si="0"/>
        <v>2.33</v>
      </c>
      <c r="J26" s="31"/>
      <c r="K26" s="9">
        <f t="shared" si="1"/>
        <v>13.41</v>
      </c>
      <c r="L26" t="s">
        <v>42</v>
      </c>
    </row>
    <row r="27" spans="1:12" x14ac:dyDescent="0.25">
      <c r="A27" s="33">
        <v>45520</v>
      </c>
      <c r="B27" s="35">
        <v>143346</v>
      </c>
      <c r="C27" s="28" t="s">
        <v>3134</v>
      </c>
      <c r="D27" s="35" t="s">
        <v>280</v>
      </c>
      <c r="E27" s="29" t="s">
        <v>281</v>
      </c>
      <c r="F27" s="22">
        <v>30.17</v>
      </c>
      <c r="G27" s="22">
        <v>6.33</v>
      </c>
      <c r="H27" s="22"/>
      <c r="I27" s="9">
        <f t="shared" si="0"/>
        <v>6.33</v>
      </c>
      <c r="J27" s="31"/>
      <c r="K27" s="9">
        <f t="shared" si="1"/>
        <v>36.5</v>
      </c>
      <c r="L27" t="s">
        <v>42</v>
      </c>
    </row>
    <row r="28" spans="1:12" x14ac:dyDescent="0.25">
      <c r="A28" s="33">
        <v>45520</v>
      </c>
      <c r="B28" s="34" t="s">
        <v>3140</v>
      </c>
      <c r="C28" s="28" t="s">
        <v>706</v>
      </c>
      <c r="D28" s="35" t="s">
        <v>401</v>
      </c>
      <c r="E28" s="29" t="s">
        <v>3131</v>
      </c>
      <c r="F28" s="22">
        <v>4.3</v>
      </c>
      <c r="G28" s="22">
        <v>0.9</v>
      </c>
      <c r="H28" s="22"/>
      <c r="I28" s="9">
        <f t="shared" si="0"/>
        <v>0.9</v>
      </c>
      <c r="J28" s="31"/>
      <c r="K28" s="9">
        <f t="shared" si="1"/>
        <v>5.2</v>
      </c>
      <c r="L28" t="s">
        <v>42</v>
      </c>
    </row>
    <row r="29" spans="1:12" x14ac:dyDescent="0.25">
      <c r="A29" s="33">
        <v>45523</v>
      </c>
      <c r="B29" s="181">
        <v>512002410</v>
      </c>
      <c r="C29" s="28" t="s">
        <v>3130</v>
      </c>
      <c r="D29" s="35" t="s">
        <v>1870</v>
      </c>
      <c r="E29" s="29" t="s">
        <v>3131</v>
      </c>
      <c r="F29" s="22">
        <v>6.62</v>
      </c>
      <c r="G29" s="22">
        <v>1.39</v>
      </c>
      <c r="H29" s="22"/>
      <c r="I29" s="9">
        <f t="shared" si="0"/>
        <v>1.39</v>
      </c>
      <c r="J29" s="31"/>
      <c r="K29" s="9">
        <f t="shared" si="1"/>
        <v>8.01</v>
      </c>
      <c r="L29" t="s">
        <v>267</v>
      </c>
    </row>
    <row r="30" spans="1:12" x14ac:dyDescent="0.25">
      <c r="A30" s="324">
        <v>45524</v>
      </c>
      <c r="B30" s="327" t="s">
        <v>3141</v>
      </c>
      <c r="C30" s="330" t="s">
        <v>1424</v>
      </c>
      <c r="D30" s="365" t="s">
        <v>712</v>
      </c>
      <c r="E30" s="371" t="s">
        <v>560</v>
      </c>
      <c r="F30" s="22">
        <v>43.56</v>
      </c>
      <c r="G30" s="22">
        <v>9.15</v>
      </c>
      <c r="H30" s="22"/>
      <c r="I30" s="369">
        <f>G30+H31</f>
        <v>10.81</v>
      </c>
      <c r="J30" s="31"/>
      <c r="K30" s="333">
        <f>F30+F31+I30</f>
        <v>70.930000000000007</v>
      </c>
    </row>
    <row r="31" spans="1:12" x14ac:dyDescent="0.25">
      <c r="A31" s="326"/>
      <c r="B31" s="329"/>
      <c r="C31" s="332"/>
      <c r="D31" s="366"/>
      <c r="E31" s="372"/>
      <c r="F31" s="22">
        <v>16.559999999999999</v>
      </c>
      <c r="G31" s="22"/>
      <c r="H31" s="22">
        <v>1.66</v>
      </c>
      <c r="I31" s="370"/>
      <c r="J31" s="31"/>
      <c r="K31" s="334"/>
      <c r="L31" t="s">
        <v>41</v>
      </c>
    </row>
    <row r="32" spans="1:12" x14ac:dyDescent="0.25">
      <c r="A32" s="33">
        <v>45524</v>
      </c>
      <c r="B32" s="34" t="s">
        <v>3142</v>
      </c>
      <c r="C32" s="28" t="s">
        <v>1576</v>
      </c>
      <c r="D32" s="35" t="s">
        <v>24</v>
      </c>
      <c r="E32" s="29" t="s">
        <v>25</v>
      </c>
      <c r="F32" s="22">
        <v>26.73</v>
      </c>
      <c r="G32" s="22"/>
      <c r="H32" s="22">
        <v>2.67</v>
      </c>
      <c r="I32" s="9">
        <f t="shared" si="0"/>
        <v>2.67</v>
      </c>
      <c r="J32" s="23"/>
      <c r="K32" s="9">
        <f>F32+I32+J32</f>
        <v>29.4</v>
      </c>
      <c r="L32" t="s">
        <v>42</v>
      </c>
    </row>
    <row r="33" spans="1:13" x14ac:dyDescent="0.25">
      <c r="A33" s="33">
        <v>45525</v>
      </c>
      <c r="B33" s="34" t="s">
        <v>3143</v>
      </c>
      <c r="C33" s="28" t="s">
        <v>3130</v>
      </c>
      <c r="D33" s="35" t="s">
        <v>1870</v>
      </c>
      <c r="E33" s="29" t="s">
        <v>3131</v>
      </c>
      <c r="F33" s="22">
        <v>6.05</v>
      </c>
      <c r="G33" s="22">
        <v>1.27</v>
      </c>
      <c r="H33" s="22"/>
      <c r="I33" s="9">
        <f t="shared" si="0"/>
        <v>1.27</v>
      </c>
      <c r="J33" s="31"/>
      <c r="K33" s="9">
        <f t="shared" si="1"/>
        <v>7.32</v>
      </c>
      <c r="L33" t="s">
        <v>42</v>
      </c>
    </row>
    <row r="34" spans="1:13" x14ac:dyDescent="0.25">
      <c r="A34" s="33">
        <v>45520</v>
      </c>
      <c r="B34" s="34" t="s">
        <v>3144</v>
      </c>
      <c r="C34" s="28" t="s">
        <v>302</v>
      </c>
      <c r="D34" s="35" t="s">
        <v>386</v>
      </c>
      <c r="E34" s="14" t="s">
        <v>304</v>
      </c>
      <c r="F34" s="22">
        <v>23.75</v>
      </c>
      <c r="G34" s="22">
        <v>4.99</v>
      </c>
      <c r="H34" s="22"/>
      <c r="I34" s="9">
        <f t="shared" si="0"/>
        <v>4.99</v>
      </c>
      <c r="J34" s="31"/>
      <c r="K34" s="9">
        <f t="shared" si="1"/>
        <v>28.740000000000002</v>
      </c>
      <c r="L34" t="s">
        <v>295</v>
      </c>
    </row>
    <row r="35" spans="1:13" x14ac:dyDescent="0.25">
      <c r="A35" s="33">
        <v>45523</v>
      </c>
      <c r="B35" s="34" t="s">
        <v>3145</v>
      </c>
      <c r="C35" s="28" t="s">
        <v>302</v>
      </c>
      <c r="D35" s="35" t="s">
        <v>386</v>
      </c>
      <c r="E35" s="14" t="s">
        <v>304</v>
      </c>
      <c r="F35" s="22">
        <v>29.99</v>
      </c>
      <c r="G35" s="22">
        <v>6.3</v>
      </c>
      <c r="H35" s="22"/>
      <c r="I35" s="9">
        <f t="shared" si="0"/>
        <v>6.3</v>
      </c>
      <c r="J35" s="31"/>
      <c r="K35" s="9">
        <f t="shared" si="1"/>
        <v>36.29</v>
      </c>
      <c r="L35" t="s">
        <v>295</v>
      </c>
    </row>
    <row r="36" spans="1:13" x14ac:dyDescent="0.25">
      <c r="A36" s="33">
        <v>45523</v>
      </c>
      <c r="B36" s="34" t="s">
        <v>3146</v>
      </c>
      <c r="C36" s="28" t="s">
        <v>302</v>
      </c>
      <c r="D36" s="35" t="s">
        <v>386</v>
      </c>
      <c r="E36" s="14" t="s">
        <v>304</v>
      </c>
      <c r="F36" s="22">
        <v>29.99</v>
      </c>
      <c r="G36" s="22">
        <v>6.3</v>
      </c>
      <c r="H36" s="22"/>
      <c r="I36" s="9">
        <f t="shared" si="0"/>
        <v>6.3</v>
      </c>
      <c r="J36" s="31"/>
      <c r="K36" s="9">
        <f t="shared" si="1"/>
        <v>36.29</v>
      </c>
      <c r="L36" t="s">
        <v>295</v>
      </c>
    </row>
    <row r="37" spans="1:13" x14ac:dyDescent="0.25">
      <c r="A37" s="33">
        <v>45526</v>
      </c>
      <c r="B37" s="34" t="s">
        <v>3147</v>
      </c>
      <c r="C37" s="28" t="s">
        <v>302</v>
      </c>
      <c r="D37" s="35" t="s">
        <v>386</v>
      </c>
      <c r="E37" s="14" t="s">
        <v>304</v>
      </c>
      <c r="F37" s="22">
        <v>29.99</v>
      </c>
      <c r="G37" s="22">
        <v>6.3</v>
      </c>
      <c r="H37" s="22"/>
      <c r="I37" s="9">
        <f t="shared" si="0"/>
        <v>6.3</v>
      </c>
      <c r="J37" s="31"/>
      <c r="K37" s="9">
        <f t="shared" si="1"/>
        <v>36.29</v>
      </c>
      <c r="L37" t="s">
        <v>295</v>
      </c>
    </row>
    <row r="38" spans="1:13" x14ac:dyDescent="0.25">
      <c r="A38" s="33">
        <v>45524</v>
      </c>
      <c r="B38" s="34" t="s">
        <v>3148</v>
      </c>
      <c r="C38" s="28" t="s">
        <v>815</v>
      </c>
      <c r="D38" s="35" t="s">
        <v>387</v>
      </c>
      <c r="E38" s="29" t="s">
        <v>389</v>
      </c>
      <c r="F38" s="22">
        <v>387.6</v>
      </c>
      <c r="G38" s="22">
        <v>81.400000000000006</v>
      </c>
      <c r="H38" s="22"/>
      <c r="I38" s="9">
        <f t="shared" si="0"/>
        <v>81.400000000000006</v>
      </c>
      <c r="J38" s="31"/>
      <c r="K38" s="9">
        <f t="shared" si="1"/>
        <v>469</v>
      </c>
      <c r="L38" t="s">
        <v>295</v>
      </c>
    </row>
    <row r="39" spans="1:13" x14ac:dyDescent="0.25">
      <c r="A39" s="33">
        <v>45524</v>
      </c>
      <c r="B39" s="34" t="s">
        <v>3149</v>
      </c>
      <c r="C39" s="28" t="s">
        <v>385</v>
      </c>
      <c r="D39" s="35" t="s">
        <v>388</v>
      </c>
      <c r="E39" s="29" t="s">
        <v>389</v>
      </c>
      <c r="F39" s="22">
        <v>4.95</v>
      </c>
      <c r="G39" s="22">
        <v>1.04</v>
      </c>
      <c r="H39" s="22"/>
      <c r="I39" s="9">
        <f t="shared" si="0"/>
        <v>1.04</v>
      </c>
      <c r="J39" s="31"/>
      <c r="K39" s="9">
        <f t="shared" si="1"/>
        <v>5.99</v>
      </c>
      <c r="L39" t="s">
        <v>295</v>
      </c>
    </row>
    <row r="40" spans="1:13" x14ac:dyDescent="0.25">
      <c r="A40" s="33">
        <v>45529</v>
      </c>
      <c r="B40" s="34" t="s">
        <v>3151</v>
      </c>
      <c r="C40" s="28" t="s">
        <v>3152</v>
      </c>
      <c r="D40" s="35" t="s">
        <v>271</v>
      </c>
      <c r="E40" s="14" t="s">
        <v>17</v>
      </c>
      <c r="F40" s="138">
        <v>33.06</v>
      </c>
      <c r="G40" s="22">
        <v>6.94</v>
      </c>
      <c r="H40" s="22"/>
      <c r="I40" s="9">
        <f t="shared" si="0"/>
        <v>6.94</v>
      </c>
      <c r="J40" s="31"/>
      <c r="K40" s="9">
        <f t="shared" si="1"/>
        <v>40</v>
      </c>
      <c r="L40" t="s">
        <v>267</v>
      </c>
    </row>
    <row r="41" spans="1:13" x14ac:dyDescent="0.25">
      <c r="A41" s="33">
        <v>45529</v>
      </c>
      <c r="B41" s="34" t="s">
        <v>3153</v>
      </c>
      <c r="C41" s="28" t="s">
        <v>698</v>
      </c>
      <c r="D41" s="35" t="s">
        <v>289</v>
      </c>
      <c r="E41" s="29" t="s">
        <v>699</v>
      </c>
      <c r="F41" s="138">
        <v>188</v>
      </c>
      <c r="G41" s="22">
        <v>38</v>
      </c>
      <c r="H41" s="22"/>
      <c r="I41" s="9">
        <f t="shared" si="0"/>
        <v>38</v>
      </c>
      <c r="J41" s="31"/>
      <c r="K41" s="9">
        <f t="shared" si="1"/>
        <v>226</v>
      </c>
      <c r="L41" t="s">
        <v>295</v>
      </c>
    </row>
    <row r="42" spans="1:13" ht="18" customHeight="1" x14ac:dyDescent="0.25">
      <c r="A42" s="33">
        <v>45529</v>
      </c>
      <c r="B42" s="34" t="s">
        <v>3154</v>
      </c>
      <c r="C42" s="28" t="s">
        <v>3155</v>
      </c>
      <c r="D42" s="35" t="s">
        <v>2384</v>
      </c>
      <c r="E42" s="29" t="s">
        <v>699</v>
      </c>
      <c r="F42" s="138">
        <v>64.739999999999995</v>
      </c>
      <c r="G42" s="22">
        <v>13.59</v>
      </c>
      <c r="H42" s="22"/>
      <c r="I42" s="9">
        <f t="shared" si="0"/>
        <v>13.59</v>
      </c>
      <c r="J42" s="31"/>
      <c r="K42" s="9">
        <f t="shared" si="1"/>
        <v>78.33</v>
      </c>
      <c r="L42" t="s">
        <v>295</v>
      </c>
    </row>
    <row r="43" spans="1:13" x14ac:dyDescent="0.25">
      <c r="A43" s="33">
        <v>45528</v>
      </c>
      <c r="B43" s="34" t="s">
        <v>3156</v>
      </c>
      <c r="C43" s="28" t="s">
        <v>3157</v>
      </c>
      <c r="D43" s="35" t="s">
        <v>20</v>
      </c>
      <c r="E43" s="29" t="s">
        <v>17</v>
      </c>
      <c r="F43" s="138">
        <v>62.81</v>
      </c>
      <c r="G43" s="22">
        <v>13.19</v>
      </c>
      <c r="H43" s="22"/>
      <c r="I43" s="9">
        <f t="shared" si="0"/>
        <v>13.19</v>
      </c>
      <c r="J43" s="31"/>
      <c r="K43" s="9">
        <f t="shared" si="1"/>
        <v>76</v>
      </c>
      <c r="L43" t="s">
        <v>42</v>
      </c>
    </row>
    <row r="44" spans="1:13" x14ac:dyDescent="0.25">
      <c r="A44" s="33">
        <v>45529</v>
      </c>
      <c r="B44" s="34" t="s">
        <v>3158</v>
      </c>
      <c r="C44" s="28" t="s">
        <v>3157</v>
      </c>
      <c r="D44" s="35" t="s">
        <v>20</v>
      </c>
      <c r="E44" s="29" t="s">
        <v>17</v>
      </c>
      <c r="F44" s="138">
        <v>28.93</v>
      </c>
      <c r="G44" s="22">
        <v>6.07</v>
      </c>
      <c r="H44" s="22"/>
      <c r="I44" s="9">
        <f t="shared" si="0"/>
        <v>6.07</v>
      </c>
      <c r="J44" s="31"/>
      <c r="K44" s="9">
        <f t="shared" si="1"/>
        <v>35</v>
      </c>
      <c r="L44" t="s">
        <v>42</v>
      </c>
    </row>
    <row r="45" spans="1:13" x14ac:dyDescent="0.25">
      <c r="A45" s="33">
        <v>45530</v>
      </c>
      <c r="B45" s="34" t="s">
        <v>3165</v>
      </c>
      <c r="C45" s="28" t="s">
        <v>2112</v>
      </c>
      <c r="D45" s="35" t="s">
        <v>2113</v>
      </c>
      <c r="E45" s="29" t="s">
        <v>2114</v>
      </c>
      <c r="F45" s="138">
        <v>39.479999999999997</v>
      </c>
      <c r="G45" s="22">
        <v>8.2899999999999991</v>
      </c>
      <c r="H45" s="172">
        <v>4.18</v>
      </c>
      <c r="I45" s="9">
        <f t="shared" si="0"/>
        <v>12.469999999999999</v>
      </c>
      <c r="J45" s="31"/>
      <c r="K45" s="9">
        <f t="shared" si="1"/>
        <v>51.949999999999996</v>
      </c>
      <c r="L45" t="s">
        <v>267</v>
      </c>
      <c r="M45" s="182" t="s">
        <v>3166</v>
      </c>
    </row>
    <row r="46" spans="1:13" x14ac:dyDescent="0.25">
      <c r="A46" s="33">
        <v>45531</v>
      </c>
      <c r="B46" s="34" t="s">
        <v>3167</v>
      </c>
      <c r="C46" s="28" t="s">
        <v>1576</v>
      </c>
      <c r="D46" s="195" t="s">
        <v>24</v>
      </c>
      <c r="E46" s="14" t="s">
        <v>25</v>
      </c>
      <c r="F46" s="138">
        <v>19.09</v>
      </c>
      <c r="G46" s="22"/>
      <c r="H46" s="22">
        <v>1.91</v>
      </c>
      <c r="I46" s="9">
        <f t="shared" si="0"/>
        <v>1.91</v>
      </c>
      <c r="J46" s="31"/>
      <c r="K46" s="9">
        <f t="shared" si="1"/>
        <v>21</v>
      </c>
      <c r="L46" t="s">
        <v>42</v>
      </c>
    </row>
    <row r="47" spans="1:13" x14ac:dyDescent="0.25">
      <c r="A47" s="33">
        <v>45530</v>
      </c>
      <c r="B47" s="34" t="s">
        <v>3169</v>
      </c>
      <c r="C47" s="28" t="s">
        <v>1424</v>
      </c>
      <c r="D47" s="195" t="s">
        <v>712</v>
      </c>
      <c r="E47" s="14" t="s">
        <v>560</v>
      </c>
      <c r="F47" s="138">
        <v>57.36</v>
      </c>
      <c r="G47" s="22">
        <v>12.05</v>
      </c>
      <c r="H47" s="22"/>
      <c r="I47" s="9">
        <f t="shared" si="0"/>
        <v>12.05</v>
      </c>
      <c r="J47" s="31"/>
      <c r="K47" s="9">
        <f t="shared" si="1"/>
        <v>69.41</v>
      </c>
      <c r="L47" t="s">
        <v>41</v>
      </c>
    </row>
    <row r="48" spans="1:13" x14ac:dyDescent="0.25">
      <c r="A48" s="33">
        <v>45500</v>
      </c>
      <c r="B48" s="34" t="s">
        <v>3170</v>
      </c>
      <c r="C48" s="28" t="s">
        <v>3171</v>
      </c>
      <c r="D48" s="195" t="s">
        <v>16</v>
      </c>
      <c r="E48" s="14" t="s">
        <v>17</v>
      </c>
      <c r="F48" s="138">
        <v>57.85</v>
      </c>
      <c r="G48" s="22">
        <v>12.15</v>
      </c>
      <c r="H48" s="22"/>
      <c r="I48" s="9">
        <f t="shared" si="0"/>
        <v>12.15</v>
      </c>
      <c r="J48" s="31"/>
      <c r="K48" s="9">
        <f t="shared" si="1"/>
        <v>70</v>
      </c>
      <c r="L48" t="s">
        <v>42</v>
      </c>
    </row>
    <row r="49" spans="1:13" x14ac:dyDescent="0.25">
      <c r="A49" s="33">
        <v>45500</v>
      </c>
      <c r="B49" s="34" t="s">
        <v>3172</v>
      </c>
      <c r="C49" s="28" t="s">
        <v>2112</v>
      </c>
      <c r="D49" s="195" t="s">
        <v>2113</v>
      </c>
      <c r="E49" s="14" t="s">
        <v>2114</v>
      </c>
      <c r="F49" s="148">
        <v>39.479999999999997</v>
      </c>
      <c r="G49" s="149">
        <v>8.2899999999999991</v>
      </c>
      <c r="H49" s="202">
        <v>4.18</v>
      </c>
      <c r="I49" s="9">
        <f t="shared" si="0"/>
        <v>12.469999999999999</v>
      </c>
      <c r="J49" s="31"/>
      <c r="K49" s="9">
        <f t="shared" si="1"/>
        <v>51.949999999999996</v>
      </c>
      <c r="L49" t="s">
        <v>42</v>
      </c>
      <c r="M49" s="182" t="s">
        <v>3173</v>
      </c>
    </row>
    <row r="50" spans="1:13" x14ac:dyDescent="0.25">
      <c r="A50" s="324">
        <v>45533</v>
      </c>
      <c r="B50" s="327" t="s">
        <v>3175</v>
      </c>
      <c r="C50" s="330" t="s">
        <v>3176</v>
      </c>
      <c r="D50" s="365" t="s">
        <v>23</v>
      </c>
      <c r="E50" s="378" t="s">
        <v>1813</v>
      </c>
      <c r="F50" s="151">
        <v>40.97</v>
      </c>
      <c r="G50" s="151">
        <v>8.6</v>
      </c>
      <c r="H50" s="151"/>
      <c r="I50" s="373">
        <f>G50+H51+H52</f>
        <v>21.819999999999997</v>
      </c>
      <c r="J50" s="31"/>
      <c r="K50" s="333">
        <f>F50+F51+F52+F53</f>
        <v>207.42000000000002</v>
      </c>
    </row>
    <row r="51" spans="1:13" x14ac:dyDescent="0.25">
      <c r="A51" s="325"/>
      <c r="B51" s="328"/>
      <c r="C51" s="331"/>
      <c r="D51" s="377"/>
      <c r="E51" s="379"/>
      <c r="F51" s="203">
        <v>131.65</v>
      </c>
      <c r="G51" s="203"/>
      <c r="H51" s="203">
        <v>13.16</v>
      </c>
      <c r="I51" s="374"/>
      <c r="J51" s="31"/>
      <c r="K51" s="376"/>
    </row>
    <row r="52" spans="1:13" x14ac:dyDescent="0.25">
      <c r="A52" s="325"/>
      <c r="B52" s="328"/>
      <c r="C52" s="331"/>
      <c r="D52" s="377"/>
      <c r="E52" s="379"/>
      <c r="F52" s="203">
        <v>1.18</v>
      </c>
      <c r="G52" s="203"/>
      <c r="H52" s="206">
        <v>0.06</v>
      </c>
      <c r="I52" s="374"/>
      <c r="J52" s="31"/>
      <c r="K52" s="376"/>
      <c r="M52" s="182" t="s">
        <v>3177</v>
      </c>
    </row>
    <row r="53" spans="1:13" x14ac:dyDescent="0.25">
      <c r="A53" s="326"/>
      <c r="B53" s="329"/>
      <c r="C53" s="332"/>
      <c r="D53" s="366"/>
      <c r="E53" s="380"/>
      <c r="F53" s="204">
        <v>33.619999999999997</v>
      </c>
      <c r="G53" s="205"/>
      <c r="H53" s="205"/>
      <c r="I53" s="375"/>
      <c r="J53" s="31"/>
      <c r="K53" s="334"/>
      <c r="L53" t="s">
        <v>267</v>
      </c>
      <c r="M53" s="182" t="s">
        <v>3178</v>
      </c>
    </row>
    <row r="54" spans="1:13" x14ac:dyDescent="0.25">
      <c r="A54" s="33">
        <v>45534</v>
      </c>
      <c r="B54" s="34" t="s">
        <v>3290</v>
      </c>
      <c r="C54" s="28" t="s">
        <v>397</v>
      </c>
      <c r="D54" s="35" t="s">
        <v>21</v>
      </c>
      <c r="E54" s="14" t="s">
        <v>266</v>
      </c>
      <c r="F54" s="16">
        <v>114.26</v>
      </c>
      <c r="G54" s="16">
        <v>23.99</v>
      </c>
      <c r="H54" s="16"/>
      <c r="I54" s="9">
        <f t="shared" si="0"/>
        <v>23.99</v>
      </c>
      <c r="J54" s="31"/>
      <c r="K54" s="9">
        <f t="shared" si="1"/>
        <v>138.25</v>
      </c>
      <c r="L54" t="s">
        <v>42</v>
      </c>
    </row>
    <row r="55" spans="1:13" x14ac:dyDescent="0.25">
      <c r="A55" s="33">
        <v>45534</v>
      </c>
      <c r="B55" s="34" t="s">
        <v>3291</v>
      </c>
      <c r="C55" s="28" t="s">
        <v>3292</v>
      </c>
      <c r="D55" s="35" t="s">
        <v>3293</v>
      </c>
      <c r="E55" s="14" t="s">
        <v>281</v>
      </c>
      <c r="F55" s="22">
        <v>164.76</v>
      </c>
      <c r="G55" s="22"/>
      <c r="H55" s="22">
        <v>16.48</v>
      </c>
      <c r="I55" s="9">
        <f t="shared" si="0"/>
        <v>16.48</v>
      </c>
      <c r="J55" s="31"/>
      <c r="K55" s="9">
        <f t="shared" si="1"/>
        <v>181.23999999999998</v>
      </c>
      <c r="L55" t="s">
        <v>267</v>
      </c>
    </row>
    <row r="56" spans="1:13" x14ac:dyDescent="0.25">
      <c r="A56" s="33">
        <v>45535</v>
      </c>
      <c r="B56" s="34" t="s">
        <v>3294</v>
      </c>
      <c r="C56" s="28" t="s">
        <v>3295</v>
      </c>
      <c r="D56" s="35" t="s">
        <v>545</v>
      </c>
      <c r="E56" s="29" t="s">
        <v>17</v>
      </c>
      <c r="F56" s="22">
        <v>74.760000000000005</v>
      </c>
      <c r="G56" s="22">
        <v>15.7</v>
      </c>
      <c r="H56" s="22"/>
      <c r="I56" s="9">
        <f t="shared" si="0"/>
        <v>15.7</v>
      </c>
      <c r="J56" s="31"/>
      <c r="K56" s="9">
        <f t="shared" si="1"/>
        <v>90.460000000000008</v>
      </c>
      <c r="L56" t="s">
        <v>42</v>
      </c>
    </row>
    <row r="57" spans="1:13" x14ac:dyDescent="0.25">
      <c r="A57" s="33">
        <v>45533</v>
      </c>
      <c r="B57" s="34" t="s">
        <v>3316</v>
      </c>
      <c r="C57" s="28" t="s">
        <v>2390</v>
      </c>
      <c r="D57" s="35" t="s">
        <v>2391</v>
      </c>
      <c r="E57" s="29" t="s">
        <v>2392</v>
      </c>
      <c r="F57" s="22">
        <v>337.61</v>
      </c>
      <c r="G57" s="22"/>
      <c r="H57" s="22">
        <v>33.76</v>
      </c>
      <c r="I57" s="9">
        <f t="shared" si="0"/>
        <v>33.76</v>
      </c>
      <c r="J57" s="31"/>
      <c r="K57" s="9">
        <f t="shared" si="1"/>
        <v>371.37</v>
      </c>
      <c r="L57" t="s">
        <v>295</v>
      </c>
    </row>
    <row r="58" spans="1:13" x14ac:dyDescent="0.25">
      <c r="A58" s="33">
        <v>45509</v>
      </c>
      <c r="B58" s="34" t="s">
        <v>3322</v>
      </c>
      <c r="C58" s="28" t="s">
        <v>706</v>
      </c>
      <c r="D58" s="35" t="s">
        <v>401</v>
      </c>
      <c r="E58" s="29" t="s">
        <v>3131</v>
      </c>
      <c r="F58" s="22">
        <v>54</v>
      </c>
      <c r="G58" s="22"/>
      <c r="H58" s="22">
        <v>11.34</v>
      </c>
      <c r="I58" s="9">
        <f t="shared" si="0"/>
        <v>11.34</v>
      </c>
      <c r="J58" s="31"/>
      <c r="K58" s="9">
        <f t="shared" si="1"/>
        <v>65.34</v>
      </c>
      <c r="L58" t="s">
        <v>267</v>
      </c>
    </row>
    <row r="59" spans="1:13" x14ac:dyDescent="0.25">
      <c r="A59" s="33">
        <v>45520</v>
      </c>
      <c r="B59" s="34" t="s">
        <v>3345</v>
      </c>
      <c r="C59" s="28" t="s">
        <v>3346</v>
      </c>
      <c r="D59" s="35" t="s">
        <v>3347</v>
      </c>
      <c r="E59" s="29" t="s">
        <v>17</v>
      </c>
      <c r="F59" s="22">
        <v>51.24</v>
      </c>
      <c r="G59" s="22">
        <v>10.76</v>
      </c>
      <c r="H59" s="22"/>
      <c r="I59" s="9">
        <f t="shared" si="0"/>
        <v>10.76</v>
      </c>
      <c r="J59" s="31"/>
      <c r="K59" s="9">
        <f t="shared" si="1"/>
        <v>62</v>
      </c>
      <c r="L59" t="s">
        <v>267</v>
      </c>
    </row>
    <row r="60" spans="1:13" x14ac:dyDescent="0.25">
      <c r="A60" s="33">
        <v>45519</v>
      </c>
      <c r="B60" s="34" t="s">
        <v>3348</v>
      </c>
      <c r="C60" s="28" t="s">
        <v>3349</v>
      </c>
      <c r="D60" s="35" t="s">
        <v>1807</v>
      </c>
      <c r="E60" s="29" t="s">
        <v>281</v>
      </c>
      <c r="F60" s="149">
        <v>18.149999999999999</v>
      </c>
      <c r="G60" s="149">
        <v>3.81</v>
      </c>
      <c r="H60" s="149"/>
      <c r="I60" s="9">
        <f t="shared" si="0"/>
        <v>3.81</v>
      </c>
      <c r="J60" s="31"/>
      <c r="K60" s="9">
        <f t="shared" si="1"/>
        <v>21.959999999999997</v>
      </c>
      <c r="L60" t="s">
        <v>267</v>
      </c>
    </row>
    <row r="61" spans="1:13" x14ac:dyDescent="0.25">
      <c r="A61" s="324">
        <v>45519</v>
      </c>
      <c r="B61" s="327" t="s">
        <v>3350</v>
      </c>
      <c r="C61" s="327" t="s">
        <v>731</v>
      </c>
      <c r="D61" s="330" t="s">
        <v>323</v>
      </c>
      <c r="E61" s="365" t="s">
        <v>17</v>
      </c>
      <c r="F61" s="228">
        <v>49.48</v>
      </c>
      <c r="G61" s="228">
        <v>10.39</v>
      </c>
      <c r="H61" s="151"/>
      <c r="I61" s="367">
        <f>G61+H62</f>
        <v>10.72</v>
      </c>
      <c r="J61" s="31"/>
      <c r="K61" s="333">
        <f>F61+F62+I61</f>
        <v>63.519999999999996</v>
      </c>
    </row>
    <row r="62" spans="1:13" x14ac:dyDescent="0.25">
      <c r="A62" s="326"/>
      <c r="B62" s="329"/>
      <c r="C62" s="329"/>
      <c r="D62" s="332"/>
      <c r="E62" s="366"/>
      <c r="F62" s="229">
        <v>3.32</v>
      </c>
      <c r="G62" s="229"/>
      <c r="H62" s="205">
        <v>0.33</v>
      </c>
      <c r="I62" s="368"/>
      <c r="J62" s="31"/>
      <c r="K62" s="334"/>
      <c r="L62" t="s">
        <v>267</v>
      </c>
    </row>
    <row r="63" spans="1:13" x14ac:dyDescent="0.25">
      <c r="A63" s="33">
        <v>45521</v>
      </c>
      <c r="B63" s="34" t="s">
        <v>3358</v>
      </c>
      <c r="C63" s="28" t="s">
        <v>3134</v>
      </c>
      <c r="D63" s="35" t="s">
        <v>280</v>
      </c>
      <c r="E63" s="29" t="s">
        <v>281</v>
      </c>
      <c r="F63" s="16">
        <v>3.51</v>
      </c>
      <c r="G63" s="16">
        <v>0.74</v>
      </c>
      <c r="H63" s="16"/>
      <c r="I63" s="9">
        <f t="shared" si="0"/>
        <v>0.74</v>
      </c>
      <c r="J63" s="31"/>
      <c r="K63" s="9">
        <f t="shared" si="1"/>
        <v>4.25</v>
      </c>
      <c r="L63" t="s">
        <v>42</v>
      </c>
    </row>
    <row r="64" spans="1:13" x14ac:dyDescent="0.25">
      <c r="A64" s="33">
        <v>45535</v>
      </c>
      <c r="B64" s="34" t="s">
        <v>3365</v>
      </c>
      <c r="C64" s="28" t="s">
        <v>3366</v>
      </c>
      <c r="D64" s="35" t="s">
        <v>542</v>
      </c>
      <c r="E64" s="103" t="s">
        <v>17</v>
      </c>
      <c r="F64" s="149">
        <v>1697.54</v>
      </c>
      <c r="G64" s="149">
        <v>356.48</v>
      </c>
      <c r="H64" s="149"/>
      <c r="I64" s="9">
        <f t="shared" si="0"/>
        <v>356.48</v>
      </c>
      <c r="J64" s="31"/>
      <c r="K64" s="9">
        <f t="shared" si="1"/>
        <v>2054.02</v>
      </c>
      <c r="L64" t="s">
        <v>42</v>
      </c>
    </row>
    <row r="65" spans="1:12" x14ac:dyDescent="0.25">
      <c r="A65" s="324">
        <v>45535</v>
      </c>
      <c r="B65" s="327" t="s">
        <v>3368</v>
      </c>
      <c r="C65" s="330" t="s">
        <v>3369</v>
      </c>
      <c r="D65" s="365" t="s">
        <v>3370</v>
      </c>
      <c r="E65" s="234" t="s">
        <v>17</v>
      </c>
      <c r="F65" s="228">
        <v>54.55</v>
      </c>
      <c r="G65" s="228">
        <v>11.45</v>
      </c>
      <c r="H65" s="151"/>
      <c r="I65" s="367">
        <f>G65+H66</f>
        <v>11.94</v>
      </c>
      <c r="J65" s="31"/>
      <c r="K65" s="333">
        <f>F65+F66+I65</f>
        <v>71.429999999999993</v>
      </c>
    </row>
    <row r="66" spans="1:12" x14ac:dyDescent="0.25">
      <c r="A66" s="326"/>
      <c r="B66" s="329"/>
      <c r="C66" s="332"/>
      <c r="D66" s="366"/>
      <c r="E66" s="235" t="s">
        <v>25</v>
      </c>
      <c r="F66" s="229">
        <v>4.9400000000000004</v>
      </c>
      <c r="G66" s="229"/>
      <c r="H66" s="205">
        <v>0.49</v>
      </c>
      <c r="I66" s="368"/>
      <c r="J66" s="31"/>
      <c r="K66" s="334"/>
      <c r="L66" t="s">
        <v>42</v>
      </c>
    </row>
    <row r="67" spans="1:12" x14ac:dyDescent="0.25">
      <c r="A67" s="33">
        <v>45514</v>
      </c>
      <c r="B67" s="34" t="s">
        <v>3371</v>
      </c>
      <c r="C67" s="28" t="s">
        <v>256</v>
      </c>
      <c r="D67" s="154" t="s">
        <v>16</v>
      </c>
      <c r="E67" s="107" t="s">
        <v>17</v>
      </c>
      <c r="F67" s="16">
        <v>78.569999999999993</v>
      </c>
      <c r="G67" s="16">
        <v>16.5</v>
      </c>
      <c r="H67" s="16"/>
      <c r="I67" s="9">
        <f t="shared" si="0"/>
        <v>16.5</v>
      </c>
      <c r="J67" s="31"/>
      <c r="K67" s="9">
        <f t="shared" si="1"/>
        <v>95.07</v>
      </c>
      <c r="L67" t="s">
        <v>42</v>
      </c>
    </row>
    <row r="68" spans="1:12" x14ac:dyDescent="0.25">
      <c r="A68" s="33">
        <v>45509</v>
      </c>
      <c r="B68" s="34" t="s">
        <v>3322</v>
      </c>
      <c r="C68" s="28" t="s">
        <v>706</v>
      </c>
      <c r="D68" s="35" t="s">
        <v>401</v>
      </c>
      <c r="E68" s="29" t="s">
        <v>3131</v>
      </c>
      <c r="F68" s="22">
        <v>54</v>
      </c>
      <c r="G68" s="22">
        <v>11.34</v>
      </c>
      <c r="H68" s="22"/>
      <c r="I68" s="9">
        <f t="shared" si="0"/>
        <v>11.34</v>
      </c>
      <c r="J68" s="31"/>
      <c r="K68" s="9">
        <f t="shared" si="1"/>
        <v>65.34</v>
      </c>
    </row>
    <row r="69" spans="1:12" x14ac:dyDescent="0.25">
      <c r="A69" s="33">
        <v>45533</v>
      </c>
      <c r="B69" s="34" t="s">
        <v>3316</v>
      </c>
      <c r="C69" s="28" t="s">
        <v>2390</v>
      </c>
      <c r="D69" s="35" t="s">
        <v>2391</v>
      </c>
      <c r="E69" s="29" t="s">
        <v>2392</v>
      </c>
      <c r="F69" s="22">
        <v>337.61</v>
      </c>
      <c r="G69" s="22">
        <v>33.76</v>
      </c>
      <c r="H69" s="22"/>
      <c r="I69" s="9">
        <f t="shared" si="0"/>
        <v>33.76</v>
      </c>
      <c r="J69" s="31"/>
      <c r="K69" s="9">
        <f t="shared" si="1"/>
        <v>371.37</v>
      </c>
      <c r="L69" t="s">
        <v>295</v>
      </c>
    </row>
    <row r="70" spans="1:12" x14ac:dyDescent="0.25">
      <c r="A70" s="33">
        <v>45534</v>
      </c>
      <c r="B70" s="185" t="s">
        <v>1076</v>
      </c>
      <c r="C70" s="28" t="s">
        <v>1412</v>
      </c>
      <c r="D70" s="36" t="s">
        <v>1414</v>
      </c>
      <c r="E70" s="29" t="s">
        <v>827</v>
      </c>
      <c r="F70" s="22">
        <v>326.45</v>
      </c>
      <c r="G70" s="22">
        <v>68.55</v>
      </c>
      <c r="H70" s="22"/>
      <c r="I70" s="9">
        <f t="shared" si="0"/>
        <v>68.55</v>
      </c>
      <c r="J70" s="31"/>
      <c r="K70" s="9">
        <f t="shared" si="1"/>
        <v>395</v>
      </c>
      <c r="L70" t="s">
        <v>41</v>
      </c>
    </row>
    <row r="71" spans="1:12" x14ac:dyDescent="0.25">
      <c r="A71" s="33">
        <v>45505</v>
      </c>
      <c r="B71" s="34" t="s">
        <v>1076</v>
      </c>
      <c r="C71" s="28" t="s">
        <v>1101</v>
      </c>
      <c r="D71" s="35" t="s">
        <v>1102</v>
      </c>
      <c r="E71" s="29" t="s">
        <v>1105</v>
      </c>
      <c r="F71" s="30">
        <v>900</v>
      </c>
      <c r="G71" s="30">
        <v>189</v>
      </c>
      <c r="H71" s="30"/>
      <c r="I71" s="9">
        <f t="shared" si="0"/>
        <v>189</v>
      </c>
      <c r="J71" s="31"/>
      <c r="K71" s="9">
        <f t="shared" si="1"/>
        <v>1089</v>
      </c>
    </row>
    <row r="72" spans="1:12" x14ac:dyDescent="0.25">
      <c r="A72" s="33">
        <v>45528</v>
      </c>
      <c r="B72" s="34" t="s">
        <v>3747</v>
      </c>
      <c r="C72" s="28" t="s">
        <v>3748</v>
      </c>
      <c r="D72" s="35" t="s">
        <v>3749</v>
      </c>
      <c r="E72" s="29" t="s">
        <v>281</v>
      </c>
      <c r="F72" s="22">
        <v>9.5</v>
      </c>
      <c r="G72" s="22">
        <v>1.99</v>
      </c>
      <c r="H72" s="22"/>
      <c r="I72" s="9">
        <f t="shared" si="0"/>
        <v>1.99</v>
      </c>
      <c r="J72" s="31"/>
      <c r="K72" s="9">
        <f t="shared" si="1"/>
        <v>11.49</v>
      </c>
      <c r="L72" t="s">
        <v>267</v>
      </c>
    </row>
    <row r="73" spans="1:12" x14ac:dyDescent="0.25">
      <c r="A73" s="33">
        <v>45529</v>
      </c>
      <c r="B73" s="34" t="s">
        <v>3750</v>
      </c>
      <c r="C73" s="28" t="s">
        <v>3748</v>
      </c>
      <c r="D73" s="35" t="s">
        <v>3749</v>
      </c>
      <c r="E73" s="29" t="s">
        <v>281</v>
      </c>
      <c r="F73" s="22">
        <v>33.049999999999997</v>
      </c>
      <c r="G73" s="22">
        <v>6.94</v>
      </c>
      <c r="H73" s="22"/>
      <c r="I73" s="9">
        <f t="shared" si="0"/>
        <v>6.94</v>
      </c>
      <c r="J73" s="23"/>
      <c r="K73" s="9">
        <f t="shared" si="1"/>
        <v>39.989999999999995</v>
      </c>
      <c r="L73" t="s">
        <v>267</v>
      </c>
    </row>
    <row r="74" spans="1:12" x14ac:dyDescent="0.25">
      <c r="A74" s="33">
        <v>45530</v>
      </c>
      <c r="B74" s="34" t="s">
        <v>3751</v>
      </c>
      <c r="C74" s="28" t="s">
        <v>3748</v>
      </c>
      <c r="D74" s="35" t="s">
        <v>3749</v>
      </c>
      <c r="E74" s="29" t="s">
        <v>281</v>
      </c>
      <c r="F74" s="22">
        <v>15.45</v>
      </c>
      <c r="G74" s="22">
        <v>3.24</v>
      </c>
      <c r="H74" s="22"/>
      <c r="I74" s="9">
        <f t="shared" si="0"/>
        <v>3.24</v>
      </c>
      <c r="J74" s="23"/>
      <c r="K74" s="9">
        <f t="shared" si="1"/>
        <v>18.689999999999998</v>
      </c>
      <c r="L74" t="s">
        <v>267</v>
      </c>
    </row>
    <row r="75" spans="1:12" x14ac:dyDescent="0.25">
      <c r="A75" s="33"/>
      <c r="B75" s="34"/>
      <c r="C75" s="28"/>
      <c r="D75" s="35"/>
      <c r="E75" s="29"/>
      <c r="F75" s="22">
        <f>SUM(F5:F74)</f>
        <v>8333.7199999999975</v>
      </c>
      <c r="G75" s="22">
        <f>SUM(G5:G74)</f>
        <v>1181.6300000000001</v>
      </c>
      <c r="H75" s="30">
        <f>SUM(H5:H73)</f>
        <v>96.710000000000008</v>
      </c>
      <c r="I75" s="9">
        <f t="shared" si="0"/>
        <v>1278.3400000000001</v>
      </c>
      <c r="J75" s="31"/>
      <c r="K75" s="9">
        <f t="shared" si="1"/>
        <v>9612.0599999999977</v>
      </c>
    </row>
    <row r="78" spans="1:12" ht="15.75" thickBot="1" x14ac:dyDescent="0.3"/>
    <row r="79" spans="1:12" ht="30" x14ac:dyDescent="0.25">
      <c r="A79" s="44" t="s">
        <v>1</v>
      </c>
      <c r="B79" s="45" t="s">
        <v>2</v>
      </c>
      <c r="C79" s="46" t="s">
        <v>26</v>
      </c>
      <c r="D79" s="46" t="s">
        <v>4</v>
      </c>
      <c r="E79" s="46" t="s">
        <v>5</v>
      </c>
      <c r="F79" s="46" t="s">
        <v>6</v>
      </c>
      <c r="G79" s="46" t="s">
        <v>7</v>
      </c>
      <c r="H79" s="46" t="s">
        <v>8</v>
      </c>
      <c r="I79" s="46" t="s">
        <v>9</v>
      </c>
      <c r="J79" s="47" t="s">
        <v>10</v>
      </c>
      <c r="K79" s="2" t="s">
        <v>11</v>
      </c>
    </row>
    <row r="80" spans="1:12" x14ac:dyDescent="0.25">
      <c r="A80" s="184">
        <v>45505</v>
      </c>
      <c r="B80" s="51" t="s">
        <v>3724</v>
      </c>
      <c r="C80" s="14" t="s">
        <v>2448</v>
      </c>
      <c r="D80" s="14" t="s">
        <v>2449</v>
      </c>
      <c r="E80" s="14" t="s">
        <v>2450</v>
      </c>
      <c r="F80" s="60">
        <v>1400</v>
      </c>
      <c r="G80" s="30">
        <v>294</v>
      </c>
      <c r="H80" s="30"/>
      <c r="I80" s="30">
        <f t="shared" ref="I80:I85" si="2">G80+H80</f>
        <v>294</v>
      </c>
      <c r="J80" s="31">
        <v>266</v>
      </c>
      <c r="K80" s="50">
        <f t="shared" ref="K80:K85" si="3">F80+I80-J80</f>
        <v>1428</v>
      </c>
    </row>
    <row r="81" spans="1:11" x14ac:dyDescent="0.25">
      <c r="A81" s="184">
        <v>45506</v>
      </c>
      <c r="B81" s="51" t="s">
        <v>3726</v>
      </c>
      <c r="C81" s="161" t="s">
        <v>3725</v>
      </c>
      <c r="D81" s="14" t="s">
        <v>3727</v>
      </c>
      <c r="E81" s="183" t="s">
        <v>30</v>
      </c>
      <c r="F81" s="60">
        <v>170</v>
      </c>
      <c r="G81" s="30">
        <v>35.700000000000003</v>
      </c>
      <c r="H81" s="30"/>
      <c r="I81" s="30">
        <f t="shared" si="2"/>
        <v>35.700000000000003</v>
      </c>
      <c r="J81" s="31"/>
      <c r="K81" s="50">
        <f t="shared" si="3"/>
        <v>205.7</v>
      </c>
    </row>
    <row r="82" spans="1:11" x14ac:dyDescent="0.25">
      <c r="A82" s="184">
        <v>45523</v>
      </c>
      <c r="B82" s="36" t="s">
        <v>3729</v>
      </c>
      <c r="C82" s="161" t="s">
        <v>3728</v>
      </c>
      <c r="D82" s="14" t="s">
        <v>3730</v>
      </c>
      <c r="E82" s="183" t="s">
        <v>30</v>
      </c>
      <c r="F82" s="30">
        <v>800</v>
      </c>
      <c r="G82" s="30">
        <v>168</v>
      </c>
      <c r="H82" s="30"/>
      <c r="I82" s="30">
        <f t="shared" si="2"/>
        <v>168</v>
      </c>
      <c r="J82" s="31"/>
      <c r="K82" s="50">
        <f t="shared" si="3"/>
        <v>968</v>
      </c>
    </row>
    <row r="83" spans="1:11" x14ac:dyDescent="0.25">
      <c r="A83" s="184">
        <v>45526</v>
      </c>
      <c r="B83" s="36" t="s">
        <v>3731</v>
      </c>
      <c r="C83" s="51" t="s">
        <v>3728</v>
      </c>
      <c r="D83" s="14" t="s">
        <v>3730</v>
      </c>
      <c r="E83" s="183" t="s">
        <v>30</v>
      </c>
      <c r="F83" s="30">
        <v>170</v>
      </c>
      <c r="G83" s="30">
        <v>35.700000000000003</v>
      </c>
      <c r="H83" s="30"/>
      <c r="I83" s="30">
        <f t="shared" si="2"/>
        <v>35.700000000000003</v>
      </c>
      <c r="J83" s="31"/>
      <c r="K83" s="50">
        <f t="shared" si="3"/>
        <v>205.7</v>
      </c>
    </row>
    <row r="84" spans="1:11" x14ac:dyDescent="0.25">
      <c r="A84" s="184">
        <v>45534</v>
      </c>
      <c r="B84" s="36" t="s">
        <v>3733</v>
      </c>
      <c r="C84" s="51" t="s">
        <v>3732</v>
      </c>
      <c r="D84" s="14" t="s">
        <v>3734</v>
      </c>
      <c r="E84" s="49" t="s">
        <v>30</v>
      </c>
      <c r="F84" s="30">
        <v>250</v>
      </c>
      <c r="G84" s="30">
        <v>52.5</v>
      </c>
      <c r="H84" s="30"/>
      <c r="I84" s="30">
        <f t="shared" si="2"/>
        <v>52.5</v>
      </c>
      <c r="J84" s="31"/>
      <c r="K84" s="50">
        <f t="shared" si="3"/>
        <v>302.5</v>
      </c>
    </row>
    <row r="85" spans="1:11" x14ac:dyDescent="0.25">
      <c r="A85" s="184"/>
      <c r="B85" s="36"/>
      <c r="C85" s="161"/>
      <c r="D85" s="14"/>
      <c r="E85" s="183"/>
      <c r="F85" s="30"/>
      <c r="G85" s="30"/>
      <c r="H85" s="30"/>
      <c r="I85" s="30">
        <f t="shared" si="2"/>
        <v>0</v>
      </c>
      <c r="J85" s="31"/>
      <c r="K85" s="50">
        <f t="shared" si="3"/>
        <v>0</v>
      </c>
    </row>
    <row r="86" spans="1:11" x14ac:dyDescent="0.25">
      <c r="A86" s="184"/>
      <c r="B86" s="36"/>
      <c r="C86" s="161"/>
      <c r="D86" s="14"/>
      <c r="E86" s="183" t="s">
        <v>30</v>
      </c>
      <c r="F86" s="30"/>
      <c r="G86" s="30"/>
      <c r="H86" s="30"/>
      <c r="I86" s="30"/>
      <c r="J86" s="31"/>
      <c r="K86" s="50"/>
    </row>
    <row r="87" spans="1:11" x14ac:dyDescent="0.25">
      <c r="A87" s="319" t="s">
        <v>11</v>
      </c>
      <c r="B87" s="319"/>
      <c r="C87" s="319"/>
      <c r="D87" s="321"/>
      <c r="E87" s="319"/>
      <c r="F87" s="40">
        <f>SUM(F80:F86)</f>
        <v>2790</v>
      </c>
      <c r="G87" s="41">
        <f>SUM(G80:G86)</f>
        <v>585.9</v>
      </c>
      <c r="H87" s="36"/>
      <c r="I87" s="40">
        <f>SUM(I80:I86)</f>
        <v>585.9</v>
      </c>
      <c r="J87" s="164">
        <f>SUM(J80:J86)</f>
        <v>266</v>
      </c>
      <c r="K87" s="160">
        <f>SUM(K80:K86)</f>
        <v>3109.8999999999996</v>
      </c>
    </row>
    <row r="90" spans="1:11" x14ac:dyDescent="0.25">
      <c r="A90" t="s">
        <v>3738</v>
      </c>
      <c r="B90" t="s">
        <v>3736</v>
      </c>
      <c r="C90" s="166">
        <v>585.9</v>
      </c>
    </row>
    <row r="91" spans="1:11" x14ac:dyDescent="0.25">
      <c r="B91" t="s">
        <v>3737</v>
      </c>
      <c r="C91" s="166">
        <v>2015</v>
      </c>
    </row>
    <row r="92" spans="1:11" x14ac:dyDescent="0.25">
      <c r="B92" t="s">
        <v>11</v>
      </c>
      <c r="C92" s="166">
        <f>C90+C91</f>
        <v>2600.9</v>
      </c>
    </row>
    <row r="93" spans="1:11" x14ac:dyDescent="0.25">
      <c r="A93" t="s">
        <v>3739</v>
      </c>
      <c r="C93" s="166">
        <f>I75</f>
        <v>1278.3400000000001</v>
      </c>
    </row>
    <row r="94" spans="1:11" x14ac:dyDescent="0.25">
      <c r="C94" s="166"/>
    </row>
    <row r="95" spans="1:11" x14ac:dyDescent="0.25">
      <c r="A95" t="s">
        <v>3740</v>
      </c>
      <c r="C95" s="260">
        <f>C93-C92</f>
        <v>-1322.56</v>
      </c>
    </row>
  </sheetData>
  <mergeCells count="28">
    <mergeCell ref="K61:K62"/>
    <mergeCell ref="B61:B62"/>
    <mergeCell ref="C61:C62"/>
    <mergeCell ref="D61:D62"/>
    <mergeCell ref="E61:E62"/>
    <mergeCell ref="I61:I62"/>
    <mergeCell ref="I30:I31"/>
    <mergeCell ref="K30:K31"/>
    <mergeCell ref="A87:E87"/>
    <mergeCell ref="A30:A31"/>
    <mergeCell ref="B30:B31"/>
    <mergeCell ref="C30:C31"/>
    <mergeCell ref="D30:D31"/>
    <mergeCell ref="E30:E31"/>
    <mergeCell ref="I50:I53"/>
    <mergeCell ref="K50:K53"/>
    <mergeCell ref="A50:A53"/>
    <mergeCell ref="B50:B53"/>
    <mergeCell ref="C50:C53"/>
    <mergeCell ref="D50:D53"/>
    <mergeCell ref="E50:E53"/>
    <mergeCell ref="A61:A62"/>
    <mergeCell ref="K65:K66"/>
    <mergeCell ref="A65:A66"/>
    <mergeCell ref="B65:B66"/>
    <mergeCell ref="C65:C66"/>
    <mergeCell ref="D65:D66"/>
    <mergeCell ref="I65:I6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C9CE-78BE-487C-A360-F2E3BE3BF1E3}">
  <dimension ref="A1:P98"/>
  <sheetViews>
    <sheetView topLeftCell="A61" workbookViewId="0">
      <selection activeCell="E98" sqref="E98"/>
    </sheetView>
  </sheetViews>
  <sheetFormatPr baseColWidth="10" defaultRowHeight="15" x14ac:dyDescent="0.25"/>
  <cols>
    <col min="1" max="1" width="14" customWidth="1"/>
    <col min="2" max="2" width="19.140625" customWidth="1"/>
    <col min="3" max="3" width="39.140625" customWidth="1"/>
    <col min="4" max="4" width="15.28515625" customWidth="1"/>
    <col min="5" max="5" width="15.5703125" customWidth="1"/>
    <col min="6" max="6" width="15.28515625" customWidth="1"/>
    <col min="7" max="7" width="16" customWidth="1"/>
    <col min="8" max="8" width="15" customWidth="1"/>
    <col min="9" max="9" width="24" customWidth="1"/>
    <col min="12" max="12" width="16.85546875" customWidth="1"/>
    <col min="14" max="14" width="17.5703125" customWidth="1"/>
  </cols>
  <sheetData>
    <row r="1" spans="1:16" x14ac:dyDescent="0.25">
      <c r="A1" s="319" t="s">
        <v>1</v>
      </c>
      <c r="B1" s="319" t="s">
        <v>2</v>
      </c>
      <c r="C1" s="319" t="s">
        <v>32</v>
      </c>
      <c r="D1" s="319" t="s">
        <v>33</v>
      </c>
      <c r="E1" s="319" t="s">
        <v>408</v>
      </c>
      <c r="F1" s="319" t="s">
        <v>11</v>
      </c>
      <c r="G1" s="319" t="s">
        <v>34</v>
      </c>
      <c r="H1" s="319"/>
      <c r="I1" s="319" t="s">
        <v>35</v>
      </c>
      <c r="J1" s="319" t="s">
        <v>36</v>
      </c>
      <c r="K1" s="319" t="s">
        <v>37</v>
      </c>
      <c r="L1" s="319" t="s">
        <v>38</v>
      </c>
      <c r="M1" s="319" t="s">
        <v>37</v>
      </c>
      <c r="N1" s="320" t="s">
        <v>38</v>
      </c>
      <c r="O1" s="319" t="s">
        <v>40</v>
      </c>
    </row>
    <row r="2" spans="1:16" x14ac:dyDescent="0.25">
      <c r="A2" s="320"/>
      <c r="B2" s="320"/>
      <c r="C2" s="320"/>
      <c r="D2" s="320"/>
      <c r="E2" s="320"/>
      <c r="F2" s="320"/>
      <c r="G2" s="52" t="s">
        <v>41</v>
      </c>
      <c r="H2" s="53" t="s">
        <v>42</v>
      </c>
      <c r="I2" s="320"/>
      <c r="J2" s="320"/>
      <c r="K2" s="320"/>
      <c r="L2" s="320"/>
      <c r="M2" s="320"/>
      <c r="N2" s="323"/>
      <c r="O2" s="320"/>
    </row>
    <row r="3" spans="1:16" x14ac:dyDescent="0.25">
      <c r="A3" s="86">
        <v>45505</v>
      </c>
      <c r="B3" s="55" t="s">
        <v>2661</v>
      </c>
      <c r="C3" s="55" t="s">
        <v>43</v>
      </c>
      <c r="D3" s="75">
        <f>F3/1.1</f>
        <v>127.27272727272727</v>
      </c>
      <c r="E3" s="75">
        <f t="shared" ref="E3:E66" si="0">D3*10/100</f>
        <v>12.727272727272727</v>
      </c>
      <c r="F3" s="75">
        <v>140</v>
      </c>
      <c r="G3" s="75"/>
      <c r="H3" s="58">
        <f t="shared" ref="H3:H66" si="1">F3-G3</f>
        <v>140</v>
      </c>
      <c r="I3" s="14" t="s">
        <v>603</v>
      </c>
      <c r="J3" s="75">
        <v>140</v>
      </c>
      <c r="K3" s="75"/>
      <c r="L3" s="14"/>
      <c r="M3" s="14"/>
      <c r="N3" s="14"/>
      <c r="O3" s="14"/>
    </row>
    <row r="4" spans="1:16" x14ac:dyDescent="0.25">
      <c r="A4" s="86">
        <v>45505</v>
      </c>
      <c r="B4" s="55" t="s">
        <v>2662</v>
      </c>
      <c r="C4" s="55" t="s">
        <v>43</v>
      </c>
      <c r="D4" s="75">
        <f t="shared" ref="D4:D67" si="2">F4/1.1</f>
        <v>236.36363636363635</v>
      </c>
      <c r="E4" s="75">
        <f t="shared" si="0"/>
        <v>23.636363636363637</v>
      </c>
      <c r="F4" s="75">
        <v>260</v>
      </c>
      <c r="G4" s="75">
        <v>50</v>
      </c>
      <c r="H4" s="58">
        <f t="shared" si="1"/>
        <v>210</v>
      </c>
      <c r="I4" s="14" t="s">
        <v>3076</v>
      </c>
      <c r="J4" s="75">
        <v>220</v>
      </c>
      <c r="K4" s="75">
        <v>40</v>
      </c>
      <c r="L4" s="14" t="s">
        <v>252</v>
      </c>
      <c r="M4" s="75"/>
      <c r="N4" s="14"/>
      <c r="O4" s="14"/>
    </row>
    <row r="5" spans="1:16" x14ac:dyDescent="0.25">
      <c r="A5" s="86">
        <v>45506</v>
      </c>
      <c r="B5" s="55" t="s">
        <v>2663</v>
      </c>
      <c r="C5" s="55" t="s">
        <v>43</v>
      </c>
      <c r="D5" s="75">
        <f t="shared" si="2"/>
        <v>154.54545454545453</v>
      </c>
      <c r="E5" s="75">
        <f t="shared" si="0"/>
        <v>15.454545454545453</v>
      </c>
      <c r="F5" s="75">
        <v>170</v>
      </c>
      <c r="G5" s="75">
        <v>50</v>
      </c>
      <c r="H5" s="58">
        <f t="shared" si="1"/>
        <v>120</v>
      </c>
      <c r="I5" s="14" t="s">
        <v>3077</v>
      </c>
      <c r="J5" s="75">
        <v>170</v>
      </c>
      <c r="K5" s="75"/>
      <c r="L5" s="14"/>
      <c r="M5" s="75"/>
      <c r="N5" s="14"/>
      <c r="O5" s="14"/>
    </row>
    <row r="6" spans="1:16" x14ac:dyDescent="0.25">
      <c r="A6" s="86">
        <v>45506</v>
      </c>
      <c r="B6" s="55" t="s">
        <v>2664</v>
      </c>
      <c r="C6" s="55" t="s">
        <v>43</v>
      </c>
      <c r="D6" s="75">
        <f t="shared" si="2"/>
        <v>163.63636363636363</v>
      </c>
      <c r="E6" s="75">
        <f t="shared" si="0"/>
        <v>16.363636363636363</v>
      </c>
      <c r="F6" s="75">
        <v>180</v>
      </c>
      <c r="G6" s="75"/>
      <c r="H6" s="58">
        <f t="shared" si="1"/>
        <v>180</v>
      </c>
      <c r="I6" s="14" t="s">
        <v>603</v>
      </c>
      <c r="J6" s="75">
        <v>180</v>
      </c>
      <c r="K6" s="75"/>
      <c r="L6" s="14"/>
      <c r="M6" s="75"/>
      <c r="N6" s="14"/>
      <c r="O6" s="14"/>
    </row>
    <row r="7" spans="1:16" x14ac:dyDescent="0.25">
      <c r="A7" s="86">
        <v>45506</v>
      </c>
      <c r="B7" s="55" t="s">
        <v>2665</v>
      </c>
      <c r="C7" s="55" t="s">
        <v>43</v>
      </c>
      <c r="D7" s="75">
        <f t="shared" si="2"/>
        <v>181.81818181818181</v>
      </c>
      <c r="E7" s="75">
        <f t="shared" si="0"/>
        <v>18.18181818181818</v>
      </c>
      <c r="F7" s="75">
        <v>200</v>
      </c>
      <c r="G7" s="75">
        <v>200</v>
      </c>
      <c r="H7" s="58">
        <f t="shared" si="1"/>
        <v>0</v>
      </c>
      <c r="I7" s="14" t="s">
        <v>3078</v>
      </c>
      <c r="J7" s="75">
        <v>170</v>
      </c>
      <c r="K7" s="75">
        <v>30</v>
      </c>
      <c r="L7" s="14" t="s">
        <v>252</v>
      </c>
      <c r="M7" s="75"/>
      <c r="N7" s="14"/>
      <c r="O7" s="14"/>
    </row>
    <row r="8" spans="1:16" x14ac:dyDescent="0.25">
      <c r="A8" s="86">
        <v>45506</v>
      </c>
      <c r="B8" s="55" t="s">
        <v>2666</v>
      </c>
      <c r="C8" s="55" t="s">
        <v>43</v>
      </c>
      <c r="D8" s="75">
        <f t="shared" si="2"/>
        <v>245.45454545454544</v>
      </c>
      <c r="E8" s="75">
        <f t="shared" si="0"/>
        <v>24.545454545454547</v>
      </c>
      <c r="F8" s="75">
        <v>270</v>
      </c>
      <c r="G8" s="75">
        <v>50</v>
      </c>
      <c r="H8" s="58">
        <f t="shared" si="1"/>
        <v>220</v>
      </c>
      <c r="I8" s="14" t="s">
        <v>3079</v>
      </c>
      <c r="J8" s="75">
        <v>270</v>
      </c>
      <c r="K8" s="75"/>
      <c r="L8" s="14"/>
      <c r="M8" s="75"/>
      <c r="N8" s="14"/>
      <c r="O8" s="14"/>
    </row>
    <row r="9" spans="1:16" x14ac:dyDescent="0.25">
      <c r="A9" s="86">
        <v>45507</v>
      </c>
      <c r="B9" s="55" t="s">
        <v>2667</v>
      </c>
      <c r="C9" s="55" t="s">
        <v>43</v>
      </c>
      <c r="D9" s="75">
        <f t="shared" si="2"/>
        <v>627.27272727272725</v>
      </c>
      <c r="E9" s="75">
        <f t="shared" si="0"/>
        <v>62.72727272727272</v>
      </c>
      <c r="F9" s="75">
        <v>690</v>
      </c>
      <c r="G9" s="75">
        <v>690</v>
      </c>
      <c r="H9" s="58">
        <f t="shared" si="1"/>
        <v>0</v>
      </c>
      <c r="I9" s="14" t="s">
        <v>3081</v>
      </c>
      <c r="J9" s="75">
        <v>690</v>
      </c>
      <c r="K9" s="75"/>
      <c r="L9" s="14"/>
      <c r="M9" s="75"/>
      <c r="N9" s="14"/>
      <c r="O9" s="14"/>
      <c r="P9" t="s">
        <v>3080</v>
      </c>
    </row>
    <row r="10" spans="1:16" x14ac:dyDescent="0.25">
      <c r="A10" s="86">
        <v>45507</v>
      </c>
      <c r="B10" s="55" t="s">
        <v>2668</v>
      </c>
      <c r="C10" s="55" t="s">
        <v>43</v>
      </c>
      <c r="D10" s="75">
        <f t="shared" si="2"/>
        <v>245.45454545454544</v>
      </c>
      <c r="E10" s="75">
        <f t="shared" si="0"/>
        <v>24.545454545454547</v>
      </c>
      <c r="F10" s="75">
        <v>270</v>
      </c>
      <c r="G10" s="75">
        <v>50</v>
      </c>
      <c r="H10" s="58">
        <f t="shared" si="1"/>
        <v>220</v>
      </c>
      <c r="I10" s="14" t="s">
        <v>3082</v>
      </c>
      <c r="J10" s="75">
        <v>270</v>
      </c>
      <c r="K10" s="75"/>
      <c r="L10" s="14"/>
      <c r="M10" s="75"/>
      <c r="N10" s="14"/>
      <c r="O10" s="14"/>
    </row>
    <row r="11" spans="1:16" x14ac:dyDescent="0.25">
      <c r="A11" s="86">
        <v>45507</v>
      </c>
      <c r="B11" s="55" t="s">
        <v>2669</v>
      </c>
      <c r="C11" s="55" t="s">
        <v>43</v>
      </c>
      <c r="D11" s="75">
        <f t="shared" si="2"/>
        <v>181.81818181818181</v>
      </c>
      <c r="E11" s="75">
        <f t="shared" si="0"/>
        <v>18.18181818181818</v>
      </c>
      <c r="F11" s="75">
        <v>200</v>
      </c>
      <c r="G11" s="75">
        <v>50</v>
      </c>
      <c r="H11" s="58">
        <f t="shared" si="1"/>
        <v>150</v>
      </c>
      <c r="I11" s="14" t="s">
        <v>3083</v>
      </c>
      <c r="J11" s="75">
        <v>170</v>
      </c>
      <c r="K11" s="75">
        <v>30</v>
      </c>
      <c r="L11" s="14" t="s">
        <v>252</v>
      </c>
      <c r="M11" s="75"/>
      <c r="N11" s="14"/>
      <c r="O11" s="14"/>
    </row>
    <row r="12" spans="1:16" x14ac:dyDescent="0.25">
      <c r="A12" s="86">
        <v>45507</v>
      </c>
      <c r="B12" s="55" t="s">
        <v>2670</v>
      </c>
      <c r="C12" s="55" t="s">
        <v>43</v>
      </c>
      <c r="D12" s="75">
        <f t="shared" si="2"/>
        <v>118.18181818181817</v>
      </c>
      <c r="E12" s="75">
        <f t="shared" si="0"/>
        <v>11.818181818181818</v>
      </c>
      <c r="F12" s="75">
        <v>130</v>
      </c>
      <c r="G12" s="75"/>
      <c r="H12" s="58">
        <f t="shared" si="1"/>
        <v>130</v>
      </c>
      <c r="I12" s="14" t="s">
        <v>604</v>
      </c>
      <c r="J12" s="75">
        <v>130</v>
      </c>
      <c r="K12" s="75"/>
      <c r="L12" s="14"/>
      <c r="M12" s="75"/>
      <c r="N12" s="14"/>
      <c r="O12" s="14"/>
    </row>
    <row r="13" spans="1:16" x14ac:dyDescent="0.25">
      <c r="A13" s="86">
        <v>45507</v>
      </c>
      <c r="B13" s="55" t="s">
        <v>2671</v>
      </c>
      <c r="C13" s="55" t="s">
        <v>43</v>
      </c>
      <c r="D13" s="75">
        <f t="shared" si="2"/>
        <v>190.90909090909091</v>
      </c>
      <c r="E13" s="75">
        <f t="shared" si="0"/>
        <v>19.09090909090909</v>
      </c>
      <c r="F13" s="75">
        <v>210</v>
      </c>
      <c r="G13" s="75">
        <v>50</v>
      </c>
      <c r="H13" s="58">
        <f t="shared" si="1"/>
        <v>160</v>
      </c>
      <c r="I13" s="14" t="s">
        <v>3084</v>
      </c>
      <c r="J13" s="75">
        <v>170</v>
      </c>
      <c r="K13" s="75">
        <v>40</v>
      </c>
      <c r="L13" s="14" t="s">
        <v>252</v>
      </c>
      <c r="M13" s="75"/>
      <c r="N13" s="14"/>
      <c r="O13" s="14"/>
    </row>
    <row r="14" spans="1:16" x14ac:dyDescent="0.25">
      <c r="A14" s="86">
        <v>45507</v>
      </c>
      <c r="B14" s="55" t="s">
        <v>2672</v>
      </c>
      <c r="C14" s="55" t="s">
        <v>43</v>
      </c>
      <c r="D14" s="75">
        <f t="shared" si="2"/>
        <v>136.36363636363635</v>
      </c>
      <c r="E14" s="75">
        <f t="shared" si="0"/>
        <v>13.636363636363635</v>
      </c>
      <c r="F14" s="75">
        <v>150</v>
      </c>
      <c r="G14" s="75">
        <v>150</v>
      </c>
      <c r="H14" s="58">
        <f t="shared" si="1"/>
        <v>0</v>
      </c>
      <c r="I14" s="14" t="s">
        <v>3085</v>
      </c>
      <c r="J14" s="75">
        <v>150</v>
      </c>
      <c r="K14" s="75"/>
      <c r="L14" s="14"/>
      <c r="M14" s="75"/>
      <c r="N14" s="14"/>
      <c r="O14" s="14"/>
    </row>
    <row r="15" spans="1:16" x14ac:dyDescent="0.25">
      <c r="A15" s="86">
        <v>45507</v>
      </c>
      <c r="B15" s="55" t="s">
        <v>2673</v>
      </c>
      <c r="C15" s="55" t="s">
        <v>43</v>
      </c>
      <c r="D15" s="75">
        <f t="shared" si="2"/>
        <v>300</v>
      </c>
      <c r="E15" s="75">
        <f t="shared" si="0"/>
        <v>30</v>
      </c>
      <c r="F15" s="75">
        <v>330</v>
      </c>
      <c r="G15" s="75">
        <v>100</v>
      </c>
      <c r="H15" s="58">
        <f t="shared" si="1"/>
        <v>230</v>
      </c>
      <c r="I15" s="14" t="s">
        <v>3086</v>
      </c>
      <c r="J15" s="75">
        <v>170</v>
      </c>
      <c r="K15" s="75"/>
      <c r="L15" s="14"/>
      <c r="M15" s="75">
        <v>160</v>
      </c>
      <c r="N15" s="14" t="s">
        <v>3087</v>
      </c>
      <c r="O15" s="75">
        <v>100</v>
      </c>
    </row>
    <row r="16" spans="1:16" x14ac:dyDescent="0.25">
      <c r="A16" s="86">
        <v>45507</v>
      </c>
      <c r="B16" s="55" t="s">
        <v>2674</v>
      </c>
      <c r="C16" s="55" t="s">
        <v>43</v>
      </c>
      <c r="D16" s="75">
        <f t="shared" si="2"/>
        <v>127.27272727272727</v>
      </c>
      <c r="E16" s="75">
        <f t="shared" si="0"/>
        <v>12.727272727272727</v>
      </c>
      <c r="F16" s="75">
        <v>140</v>
      </c>
      <c r="G16" s="75"/>
      <c r="H16" s="58">
        <f t="shared" si="1"/>
        <v>140</v>
      </c>
      <c r="I16" s="14" t="s">
        <v>603</v>
      </c>
      <c r="J16" s="75">
        <v>140</v>
      </c>
      <c r="K16" s="75"/>
      <c r="L16" s="14"/>
      <c r="M16" s="75"/>
      <c r="N16" s="14"/>
      <c r="O16" s="75"/>
    </row>
    <row r="17" spans="1:15" x14ac:dyDescent="0.25">
      <c r="A17" s="86">
        <v>45507</v>
      </c>
      <c r="B17" s="55" t="s">
        <v>2675</v>
      </c>
      <c r="C17" s="55" t="s">
        <v>43</v>
      </c>
      <c r="D17" s="75">
        <f t="shared" si="2"/>
        <v>218.18181818181816</v>
      </c>
      <c r="E17" s="75">
        <f t="shared" si="0"/>
        <v>21.818181818181817</v>
      </c>
      <c r="F17" s="75">
        <v>240</v>
      </c>
      <c r="G17" s="75">
        <v>50</v>
      </c>
      <c r="H17" s="58">
        <f t="shared" si="1"/>
        <v>190</v>
      </c>
      <c r="I17" s="14" t="s">
        <v>3088</v>
      </c>
      <c r="J17" s="75">
        <v>220</v>
      </c>
      <c r="K17" s="75">
        <v>20</v>
      </c>
      <c r="L17" s="14" t="s">
        <v>252</v>
      </c>
      <c r="M17" s="75"/>
      <c r="N17" s="14"/>
      <c r="O17" s="75"/>
    </row>
    <row r="18" spans="1:15" x14ac:dyDescent="0.25">
      <c r="A18" s="86">
        <v>45507</v>
      </c>
      <c r="B18" s="55" t="s">
        <v>2676</v>
      </c>
      <c r="C18" s="55" t="s">
        <v>43</v>
      </c>
      <c r="D18" s="75">
        <f t="shared" si="2"/>
        <v>199.99999999999997</v>
      </c>
      <c r="E18" s="75">
        <f t="shared" si="0"/>
        <v>19.999999999999996</v>
      </c>
      <c r="F18" s="75">
        <v>220</v>
      </c>
      <c r="G18" s="75"/>
      <c r="H18" s="58">
        <f t="shared" si="1"/>
        <v>220</v>
      </c>
      <c r="I18" s="14" t="s">
        <v>603</v>
      </c>
      <c r="J18" s="75">
        <v>220</v>
      </c>
      <c r="K18" s="75"/>
      <c r="L18" s="14"/>
      <c r="M18" s="75"/>
      <c r="N18" s="14"/>
      <c r="O18" s="75"/>
    </row>
    <row r="19" spans="1:15" x14ac:dyDescent="0.25">
      <c r="A19" s="86">
        <v>45507</v>
      </c>
      <c r="B19" s="55" t="s">
        <v>2677</v>
      </c>
      <c r="C19" s="55" t="s">
        <v>43</v>
      </c>
      <c r="D19" s="75">
        <f t="shared" si="2"/>
        <v>345.45454545454544</v>
      </c>
      <c r="E19" s="75">
        <f t="shared" si="0"/>
        <v>34.545454545454547</v>
      </c>
      <c r="F19" s="75">
        <v>380</v>
      </c>
      <c r="G19" s="75">
        <v>100</v>
      </c>
      <c r="H19" s="58">
        <f t="shared" si="1"/>
        <v>280</v>
      </c>
      <c r="I19" s="14" t="s">
        <v>3089</v>
      </c>
      <c r="J19" s="75">
        <v>220</v>
      </c>
      <c r="K19" s="75"/>
      <c r="L19" s="14"/>
      <c r="M19" s="75">
        <v>160</v>
      </c>
      <c r="N19" s="14" t="s">
        <v>3087</v>
      </c>
      <c r="O19" s="75">
        <v>100</v>
      </c>
    </row>
    <row r="20" spans="1:15" x14ac:dyDescent="0.25">
      <c r="A20" s="86">
        <v>45507</v>
      </c>
      <c r="B20" s="55" t="s">
        <v>2678</v>
      </c>
      <c r="C20" s="55" t="s">
        <v>43</v>
      </c>
      <c r="D20" s="75">
        <f t="shared" si="2"/>
        <v>218.18181818181816</v>
      </c>
      <c r="E20" s="75">
        <f t="shared" si="0"/>
        <v>21.818181818181817</v>
      </c>
      <c r="F20" s="75">
        <v>240</v>
      </c>
      <c r="G20" s="75">
        <v>50</v>
      </c>
      <c r="H20" s="58">
        <f t="shared" si="1"/>
        <v>190</v>
      </c>
      <c r="I20" s="14" t="s">
        <v>3090</v>
      </c>
      <c r="J20" s="75">
        <v>220</v>
      </c>
      <c r="K20" s="75">
        <v>20</v>
      </c>
      <c r="L20" s="14" t="s">
        <v>252</v>
      </c>
      <c r="M20" s="75"/>
      <c r="N20" s="14"/>
      <c r="O20" s="75"/>
    </row>
    <row r="21" spans="1:15" x14ac:dyDescent="0.25">
      <c r="A21" s="86">
        <v>45507</v>
      </c>
      <c r="B21" s="55" t="s">
        <v>2679</v>
      </c>
      <c r="C21" s="55" t="s">
        <v>43</v>
      </c>
      <c r="D21" s="75">
        <f t="shared" si="2"/>
        <v>199.99999999999997</v>
      </c>
      <c r="E21" s="75">
        <f t="shared" si="0"/>
        <v>19.999999999999996</v>
      </c>
      <c r="F21" s="75">
        <v>220</v>
      </c>
      <c r="G21" s="75">
        <v>50</v>
      </c>
      <c r="H21" s="58">
        <f t="shared" si="1"/>
        <v>170</v>
      </c>
      <c r="I21" s="14" t="s">
        <v>3101</v>
      </c>
      <c r="J21" s="75">
        <v>170</v>
      </c>
      <c r="K21" s="75">
        <v>50</v>
      </c>
      <c r="L21" s="14" t="s">
        <v>252</v>
      </c>
      <c r="M21" s="75"/>
      <c r="N21" s="14"/>
      <c r="O21" s="75"/>
    </row>
    <row r="22" spans="1:15" x14ac:dyDescent="0.25">
      <c r="A22" s="86">
        <v>45510</v>
      </c>
      <c r="B22" s="55" t="s">
        <v>2680</v>
      </c>
      <c r="C22" s="55" t="s">
        <v>43</v>
      </c>
      <c r="D22" s="75">
        <f t="shared" si="2"/>
        <v>354.5454545454545</v>
      </c>
      <c r="E22" s="75">
        <f t="shared" si="0"/>
        <v>35.454545454545453</v>
      </c>
      <c r="F22" s="75">
        <v>390</v>
      </c>
      <c r="G22" s="75"/>
      <c r="H22" s="58">
        <f t="shared" si="1"/>
        <v>390</v>
      </c>
      <c r="I22" s="187" t="s">
        <v>604</v>
      </c>
      <c r="J22" s="75">
        <v>390</v>
      </c>
      <c r="K22" s="75"/>
      <c r="L22" s="14"/>
      <c r="M22" s="75"/>
      <c r="N22" s="14"/>
      <c r="O22" s="14"/>
    </row>
    <row r="23" spans="1:15" x14ac:dyDescent="0.25">
      <c r="A23" s="86">
        <v>45510</v>
      </c>
      <c r="B23" s="55" t="s">
        <v>2681</v>
      </c>
      <c r="C23" s="55" t="s">
        <v>43</v>
      </c>
      <c r="D23" s="75">
        <f t="shared" si="2"/>
        <v>218.18181818181816</v>
      </c>
      <c r="E23" s="75">
        <f t="shared" si="0"/>
        <v>21.818181818181817</v>
      </c>
      <c r="F23" s="75">
        <v>240</v>
      </c>
      <c r="G23" s="75">
        <v>50</v>
      </c>
      <c r="H23" s="58">
        <f t="shared" si="1"/>
        <v>190</v>
      </c>
      <c r="I23" s="14" t="s">
        <v>2752</v>
      </c>
      <c r="J23" s="75">
        <v>220</v>
      </c>
      <c r="K23" s="75">
        <v>20</v>
      </c>
      <c r="L23" s="14" t="s">
        <v>252</v>
      </c>
      <c r="M23" s="75"/>
      <c r="N23" s="14"/>
      <c r="O23" s="14"/>
    </row>
    <row r="24" spans="1:15" x14ac:dyDescent="0.25">
      <c r="A24" s="86">
        <v>45513</v>
      </c>
      <c r="B24" s="55" t="s">
        <v>2682</v>
      </c>
      <c r="C24" s="55" t="s">
        <v>43</v>
      </c>
      <c r="D24" s="75">
        <f t="shared" si="2"/>
        <v>245.45454545454544</v>
      </c>
      <c r="E24" s="75">
        <f t="shared" si="0"/>
        <v>24.545454545454547</v>
      </c>
      <c r="F24" s="75">
        <v>270</v>
      </c>
      <c r="G24" s="75">
        <v>50</v>
      </c>
      <c r="H24" s="58">
        <f t="shared" si="1"/>
        <v>220</v>
      </c>
      <c r="I24" s="14" t="s">
        <v>3102</v>
      </c>
      <c r="J24" s="75">
        <v>270</v>
      </c>
      <c r="K24" s="75"/>
      <c r="L24" s="14"/>
      <c r="M24" s="75"/>
      <c r="N24" s="14"/>
      <c r="O24" s="14"/>
    </row>
    <row r="25" spans="1:15" x14ac:dyDescent="0.25">
      <c r="A25" s="86">
        <v>45513</v>
      </c>
      <c r="B25" s="55" t="s">
        <v>2683</v>
      </c>
      <c r="C25" s="55" t="s">
        <v>43</v>
      </c>
      <c r="D25" s="75">
        <f t="shared" si="2"/>
        <v>272.72727272727269</v>
      </c>
      <c r="E25" s="75">
        <f t="shared" si="0"/>
        <v>27.27272727272727</v>
      </c>
      <c r="F25" s="75">
        <v>300</v>
      </c>
      <c r="G25" s="75">
        <v>50</v>
      </c>
      <c r="H25" s="58">
        <f t="shared" si="1"/>
        <v>250</v>
      </c>
      <c r="I25" s="14" t="s">
        <v>3103</v>
      </c>
      <c r="J25" s="75">
        <v>270</v>
      </c>
      <c r="K25" s="75">
        <v>30</v>
      </c>
      <c r="L25" s="14" t="s">
        <v>252</v>
      </c>
      <c r="M25" s="75"/>
      <c r="N25" s="14"/>
      <c r="O25" s="14"/>
    </row>
    <row r="26" spans="1:15" x14ac:dyDescent="0.25">
      <c r="A26" s="86">
        <v>45513</v>
      </c>
      <c r="B26" s="55" t="s">
        <v>2684</v>
      </c>
      <c r="C26" s="55" t="s">
        <v>43</v>
      </c>
      <c r="D26" s="75">
        <f t="shared" si="2"/>
        <v>272.72727272727269</v>
      </c>
      <c r="E26" s="75">
        <f t="shared" si="0"/>
        <v>27.27272727272727</v>
      </c>
      <c r="F26" s="75">
        <v>300</v>
      </c>
      <c r="G26" s="75">
        <v>50</v>
      </c>
      <c r="H26" s="58">
        <f t="shared" si="1"/>
        <v>250</v>
      </c>
      <c r="I26" s="14" t="s">
        <v>3104</v>
      </c>
      <c r="J26" s="75">
        <v>270</v>
      </c>
      <c r="K26" s="75">
        <v>30</v>
      </c>
      <c r="L26" s="14" t="s">
        <v>252</v>
      </c>
      <c r="M26" s="75"/>
      <c r="N26" s="14"/>
      <c r="O26" s="14"/>
    </row>
    <row r="27" spans="1:15" x14ac:dyDescent="0.25">
      <c r="A27" s="86">
        <v>45513</v>
      </c>
      <c r="B27" s="55" t="s">
        <v>2685</v>
      </c>
      <c r="C27" s="55" t="s">
        <v>43</v>
      </c>
      <c r="D27" s="75">
        <f t="shared" si="2"/>
        <v>227.27272727272725</v>
      </c>
      <c r="E27" s="75">
        <f t="shared" si="0"/>
        <v>22.727272727272727</v>
      </c>
      <c r="F27" s="75">
        <v>250</v>
      </c>
      <c r="G27" s="75">
        <v>50</v>
      </c>
      <c r="H27" s="58">
        <f t="shared" si="1"/>
        <v>200</v>
      </c>
      <c r="I27" s="14" t="s">
        <v>3105</v>
      </c>
      <c r="J27" s="75">
        <v>220</v>
      </c>
      <c r="K27" s="75">
        <v>30</v>
      </c>
      <c r="L27" s="14" t="s">
        <v>252</v>
      </c>
      <c r="M27" s="75"/>
      <c r="N27" s="14"/>
      <c r="O27" s="14"/>
    </row>
    <row r="28" spans="1:15" x14ac:dyDescent="0.25">
      <c r="A28" s="86">
        <v>45513</v>
      </c>
      <c r="B28" s="55" t="s">
        <v>2686</v>
      </c>
      <c r="C28" s="55" t="s">
        <v>43</v>
      </c>
      <c r="D28" s="75">
        <f t="shared" si="2"/>
        <v>163.63636363636363</v>
      </c>
      <c r="E28" s="75">
        <f t="shared" si="0"/>
        <v>16.363636363636363</v>
      </c>
      <c r="F28" s="75">
        <v>180</v>
      </c>
      <c r="G28" s="75"/>
      <c r="H28" s="58">
        <f t="shared" si="1"/>
        <v>180</v>
      </c>
      <c r="I28" s="14" t="s">
        <v>603</v>
      </c>
      <c r="J28" s="75">
        <v>180</v>
      </c>
      <c r="K28" s="75"/>
      <c r="L28" s="14"/>
      <c r="M28" s="75"/>
      <c r="N28" s="14"/>
      <c r="O28" s="14"/>
    </row>
    <row r="29" spans="1:15" x14ac:dyDescent="0.25">
      <c r="A29" s="86">
        <v>45513</v>
      </c>
      <c r="B29" s="55" t="s">
        <v>2687</v>
      </c>
      <c r="C29" s="55" t="s">
        <v>43</v>
      </c>
      <c r="D29" s="75">
        <f t="shared" si="2"/>
        <v>154.54545454545453</v>
      </c>
      <c r="E29" s="75">
        <f t="shared" si="0"/>
        <v>15.454545454545453</v>
      </c>
      <c r="F29" s="75">
        <v>170</v>
      </c>
      <c r="G29" s="75">
        <v>50</v>
      </c>
      <c r="H29" s="58">
        <f t="shared" si="1"/>
        <v>120</v>
      </c>
      <c r="I29" s="14" t="s">
        <v>3106</v>
      </c>
      <c r="J29" s="75">
        <v>170</v>
      </c>
      <c r="K29" s="75"/>
      <c r="L29" s="14"/>
      <c r="M29" s="75"/>
      <c r="N29" s="14"/>
      <c r="O29" s="14"/>
    </row>
    <row r="30" spans="1:15" x14ac:dyDescent="0.25">
      <c r="A30" s="86">
        <v>45513</v>
      </c>
      <c r="B30" s="55" t="s">
        <v>2688</v>
      </c>
      <c r="C30" s="55" t="s">
        <v>43</v>
      </c>
      <c r="D30" s="75">
        <f t="shared" si="2"/>
        <v>163.63636363636363</v>
      </c>
      <c r="E30" s="75">
        <f t="shared" si="0"/>
        <v>16.363636363636363</v>
      </c>
      <c r="F30" s="75">
        <v>180</v>
      </c>
      <c r="G30" s="75"/>
      <c r="H30" s="58">
        <f t="shared" si="1"/>
        <v>180</v>
      </c>
      <c r="I30" s="14" t="s">
        <v>603</v>
      </c>
      <c r="J30" s="75">
        <v>180</v>
      </c>
      <c r="K30" s="75"/>
      <c r="L30" s="14"/>
      <c r="M30" s="75"/>
      <c r="N30" s="14"/>
      <c r="O30" s="14"/>
    </row>
    <row r="31" spans="1:15" x14ac:dyDescent="0.25">
      <c r="A31" s="86">
        <v>45513</v>
      </c>
      <c r="B31" s="55" t="s">
        <v>2689</v>
      </c>
      <c r="C31" s="55" t="s">
        <v>43</v>
      </c>
      <c r="D31" s="75">
        <f t="shared" si="2"/>
        <v>190.90909090909091</v>
      </c>
      <c r="E31" s="75">
        <f t="shared" si="0"/>
        <v>19.09090909090909</v>
      </c>
      <c r="F31" s="75">
        <v>210</v>
      </c>
      <c r="G31" s="75">
        <v>50</v>
      </c>
      <c r="H31" s="58">
        <f t="shared" si="1"/>
        <v>160</v>
      </c>
      <c r="I31" s="14" t="s">
        <v>3106</v>
      </c>
      <c r="J31" s="75">
        <v>170</v>
      </c>
      <c r="K31" s="75">
        <v>40</v>
      </c>
      <c r="L31" s="14" t="s">
        <v>252</v>
      </c>
      <c r="M31" s="75"/>
      <c r="N31" s="14"/>
      <c r="O31" s="14"/>
    </row>
    <row r="32" spans="1:15" x14ac:dyDescent="0.25">
      <c r="A32" s="86">
        <v>45513</v>
      </c>
      <c r="B32" s="55" t="s">
        <v>2690</v>
      </c>
      <c r="C32" s="55" t="s">
        <v>43</v>
      </c>
      <c r="D32" s="75">
        <f t="shared" si="2"/>
        <v>127.27272727272727</v>
      </c>
      <c r="E32" s="75">
        <f t="shared" si="0"/>
        <v>12.727272727272727</v>
      </c>
      <c r="F32" s="75">
        <v>140</v>
      </c>
      <c r="G32" s="75"/>
      <c r="H32" s="58">
        <f t="shared" si="1"/>
        <v>140</v>
      </c>
      <c r="I32" s="14" t="s">
        <v>603</v>
      </c>
      <c r="J32" s="75">
        <v>140</v>
      </c>
      <c r="K32" s="75"/>
      <c r="L32" s="14"/>
      <c r="M32" s="75"/>
      <c r="N32" s="14"/>
      <c r="O32" s="14"/>
    </row>
    <row r="33" spans="1:15" x14ac:dyDescent="0.25">
      <c r="A33" s="86">
        <v>45514</v>
      </c>
      <c r="B33" s="55" t="s">
        <v>2691</v>
      </c>
      <c r="C33" s="55" t="s">
        <v>43</v>
      </c>
      <c r="D33" s="75">
        <f t="shared" si="2"/>
        <v>199.99999999999997</v>
      </c>
      <c r="E33" s="75">
        <f t="shared" si="0"/>
        <v>19.999999999999996</v>
      </c>
      <c r="F33" s="75">
        <v>220</v>
      </c>
      <c r="G33" s="75">
        <v>50</v>
      </c>
      <c r="H33" s="58">
        <f t="shared" si="1"/>
        <v>170</v>
      </c>
      <c r="I33" s="14" t="s">
        <v>3107</v>
      </c>
      <c r="J33" s="75">
        <v>220</v>
      </c>
      <c r="K33" s="75"/>
      <c r="L33" s="14"/>
      <c r="M33" s="75"/>
      <c r="N33" s="14"/>
      <c r="O33" s="14"/>
    </row>
    <row r="34" spans="1:15" x14ac:dyDescent="0.25">
      <c r="A34" s="86">
        <v>45514</v>
      </c>
      <c r="B34" s="55" t="s">
        <v>2692</v>
      </c>
      <c r="C34" s="55" t="s">
        <v>43</v>
      </c>
      <c r="D34" s="75">
        <f t="shared" si="2"/>
        <v>272.72727272727269</v>
      </c>
      <c r="E34" s="75">
        <f t="shared" si="0"/>
        <v>27.27272727272727</v>
      </c>
      <c r="F34" s="75">
        <v>300</v>
      </c>
      <c r="G34" s="75">
        <v>50</v>
      </c>
      <c r="H34" s="58">
        <f t="shared" si="1"/>
        <v>250</v>
      </c>
      <c r="I34" s="14" t="s">
        <v>3108</v>
      </c>
      <c r="J34" s="75">
        <v>270</v>
      </c>
      <c r="K34" s="75">
        <v>30</v>
      </c>
      <c r="L34" s="14" t="s">
        <v>252</v>
      </c>
      <c r="M34" s="75"/>
      <c r="N34" s="14"/>
      <c r="O34" s="14"/>
    </row>
    <row r="35" spans="1:15" x14ac:dyDescent="0.25">
      <c r="A35" s="86">
        <v>45514</v>
      </c>
      <c r="B35" s="55" t="s">
        <v>2693</v>
      </c>
      <c r="C35" s="55" t="s">
        <v>43</v>
      </c>
      <c r="D35" s="75">
        <f t="shared" si="2"/>
        <v>290.90909090909088</v>
      </c>
      <c r="E35" s="75">
        <f t="shared" si="0"/>
        <v>29.09090909090909</v>
      </c>
      <c r="F35" s="75">
        <v>320</v>
      </c>
      <c r="G35" s="75">
        <v>50</v>
      </c>
      <c r="H35" s="58">
        <f t="shared" si="1"/>
        <v>270</v>
      </c>
      <c r="I35" s="14" t="s">
        <v>3109</v>
      </c>
      <c r="J35" s="75">
        <v>270</v>
      </c>
      <c r="K35" s="75">
        <v>50</v>
      </c>
      <c r="L35" s="14" t="s">
        <v>252</v>
      </c>
      <c r="M35" s="75"/>
      <c r="N35" s="14"/>
      <c r="O35" s="14"/>
    </row>
    <row r="36" spans="1:15" x14ac:dyDescent="0.25">
      <c r="A36" s="86">
        <v>45514</v>
      </c>
      <c r="B36" s="55" t="s">
        <v>2694</v>
      </c>
      <c r="C36" s="55" t="s">
        <v>43</v>
      </c>
      <c r="D36" s="75">
        <f t="shared" si="2"/>
        <v>245.45454545454544</v>
      </c>
      <c r="E36" s="75">
        <f t="shared" si="0"/>
        <v>24.545454545454547</v>
      </c>
      <c r="F36" s="75">
        <v>270</v>
      </c>
      <c r="G36" s="75">
        <v>50</v>
      </c>
      <c r="H36" s="58">
        <f t="shared" si="1"/>
        <v>220</v>
      </c>
      <c r="I36" s="14" t="s">
        <v>3110</v>
      </c>
      <c r="J36" s="75">
        <v>270</v>
      </c>
      <c r="K36" s="75"/>
      <c r="L36" s="14"/>
      <c r="M36" s="75"/>
      <c r="N36" s="14"/>
      <c r="O36" s="14"/>
    </row>
    <row r="37" spans="1:15" x14ac:dyDescent="0.25">
      <c r="A37" s="86">
        <v>45514</v>
      </c>
      <c r="B37" s="55" t="s">
        <v>2695</v>
      </c>
      <c r="C37" s="55" t="s">
        <v>43</v>
      </c>
      <c r="D37" s="75">
        <f t="shared" si="2"/>
        <v>199.99999999999997</v>
      </c>
      <c r="E37" s="75">
        <f t="shared" si="0"/>
        <v>19.999999999999996</v>
      </c>
      <c r="F37" s="75">
        <v>220</v>
      </c>
      <c r="G37" s="75">
        <v>50</v>
      </c>
      <c r="H37" s="58">
        <f t="shared" si="1"/>
        <v>170</v>
      </c>
      <c r="I37" s="14" t="s">
        <v>3111</v>
      </c>
      <c r="J37" s="75">
        <v>220</v>
      </c>
      <c r="K37" s="75"/>
      <c r="L37" s="14"/>
      <c r="M37" s="75"/>
      <c r="N37" s="14"/>
      <c r="O37" s="14"/>
    </row>
    <row r="38" spans="1:15" x14ac:dyDescent="0.25">
      <c r="A38" s="86">
        <v>45514</v>
      </c>
      <c r="B38" s="55" t="s">
        <v>2696</v>
      </c>
      <c r="C38" s="55" t="s">
        <v>43</v>
      </c>
      <c r="D38" s="75">
        <f t="shared" si="2"/>
        <v>227.27272727272725</v>
      </c>
      <c r="E38" s="75">
        <f t="shared" si="0"/>
        <v>22.727272727272727</v>
      </c>
      <c r="F38" s="75">
        <v>250</v>
      </c>
      <c r="G38" s="75">
        <v>50</v>
      </c>
      <c r="H38" s="58">
        <f t="shared" si="1"/>
        <v>200</v>
      </c>
      <c r="I38" s="14" t="s">
        <v>3112</v>
      </c>
      <c r="J38" s="75">
        <v>220</v>
      </c>
      <c r="K38" s="75">
        <v>30</v>
      </c>
      <c r="L38" s="14" t="s">
        <v>252</v>
      </c>
      <c r="M38" s="75"/>
      <c r="N38" s="14"/>
      <c r="O38" s="14"/>
    </row>
    <row r="39" spans="1:15" x14ac:dyDescent="0.25">
      <c r="A39" s="86">
        <v>45514</v>
      </c>
      <c r="B39" s="55" t="s">
        <v>2697</v>
      </c>
      <c r="C39" s="55" t="s">
        <v>43</v>
      </c>
      <c r="D39" s="75">
        <f t="shared" si="2"/>
        <v>436.36363636363632</v>
      </c>
      <c r="E39" s="75">
        <f t="shared" si="0"/>
        <v>43.636363636363633</v>
      </c>
      <c r="F39" s="75">
        <v>480</v>
      </c>
      <c r="G39" s="75">
        <v>50</v>
      </c>
      <c r="H39" s="58">
        <f t="shared" si="1"/>
        <v>430</v>
      </c>
      <c r="I39" s="14" t="s">
        <v>3113</v>
      </c>
      <c r="J39" s="75">
        <v>480</v>
      </c>
      <c r="K39" s="75"/>
      <c r="L39" s="14"/>
      <c r="M39" s="75"/>
      <c r="N39" s="14"/>
      <c r="O39" s="14"/>
    </row>
    <row r="40" spans="1:15" x14ac:dyDescent="0.25">
      <c r="A40" s="86">
        <v>45514</v>
      </c>
      <c r="B40" s="55" t="s">
        <v>2698</v>
      </c>
      <c r="C40" s="55" t="s">
        <v>43</v>
      </c>
      <c r="D40" s="75">
        <f t="shared" si="2"/>
        <v>118.18181818181817</v>
      </c>
      <c r="E40" s="75">
        <f t="shared" si="0"/>
        <v>11.818181818181818</v>
      </c>
      <c r="F40" s="75">
        <v>130</v>
      </c>
      <c r="G40" s="75"/>
      <c r="H40" s="58">
        <f t="shared" si="1"/>
        <v>130</v>
      </c>
      <c r="I40" s="14" t="s">
        <v>604</v>
      </c>
      <c r="J40" s="75">
        <v>130</v>
      </c>
      <c r="K40" s="75"/>
      <c r="L40" s="14"/>
      <c r="M40" s="75"/>
      <c r="N40" s="14"/>
      <c r="O40" s="14"/>
    </row>
    <row r="41" spans="1:15" x14ac:dyDescent="0.25">
      <c r="A41" s="86">
        <v>45514</v>
      </c>
      <c r="B41" s="55" t="s">
        <v>2699</v>
      </c>
      <c r="C41" s="55" t="s">
        <v>43</v>
      </c>
      <c r="D41" s="75">
        <f t="shared" si="2"/>
        <v>145.45454545454544</v>
      </c>
      <c r="E41" s="75">
        <f t="shared" si="0"/>
        <v>14.545454545454545</v>
      </c>
      <c r="F41" s="75">
        <v>160</v>
      </c>
      <c r="G41" s="75">
        <v>60</v>
      </c>
      <c r="H41" s="58">
        <f t="shared" si="1"/>
        <v>100</v>
      </c>
      <c r="I41" s="14" t="s">
        <v>1329</v>
      </c>
      <c r="J41" s="75">
        <v>160</v>
      </c>
      <c r="K41" s="75"/>
      <c r="L41" s="14"/>
      <c r="M41" s="75"/>
      <c r="N41" s="14"/>
      <c r="O41" s="14"/>
    </row>
    <row r="42" spans="1:15" x14ac:dyDescent="0.25">
      <c r="A42" s="86">
        <v>45514</v>
      </c>
      <c r="B42" s="55" t="s">
        <v>2700</v>
      </c>
      <c r="C42" s="55" t="s">
        <v>43</v>
      </c>
      <c r="D42" s="75">
        <f t="shared" si="2"/>
        <v>190.90909090909091</v>
      </c>
      <c r="E42" s="75">
        <f t="shared" si="0"/>
        <v>19.09090909090909</v>
      </c>
      <c r="F42" s="75">
        <v>210</v>
      </c>
      <c r="G42" s="75">
        <v>50</v>
      </c>
      <c r="H42" s="58">
        <f t="shared" si="1"/>
        <v>160</v>
      </c>
      <c r="I42" s="14" t="s">
        <v>3114</v>
      </c>
      <c r="J42" s="75">
        <v>170</v>
      </c>
      <c r="K42" s="75">
        <v>30</v>
      </c>
      <c r="L42" s="14" t="s">
        <v>252</v>
      </c>
      <c r="M42" s="75"/>
      <c r="N42" s="14"/>
      <c r="O42" s="14"/>
    </row>
    <row r="43" spans="1:15" x14ac:dyDescent="0.25">
      <c r="A43" s="86">
        <v>45517</v>
      </c>
      <c r="B43" s="55" t="s">
        <v>2701</v>
      </c>
      <c r="C43" s="55" t="s">
        <v>43</v>
      </c>
      <c r="D43" s="75">
        <f t="shared" si="2"/>
        <v>154.54545454545453</v>
      </c>
      <c r="E43" s="75">
        <f t="shared" si="0"/>
        <v>15.454545454545453</v>
      </c>
      <c r="F43" s="75">
        <v>170</v>
      </c>
      <c r="G43" s="75">
        <v>50</v>
      </c>
      <c r="H43" s="58">
        <f t="shared" si="1"/>
        <v>120</v>
      </c>
      <c r="I43" s="14" t="s">
        <v>3128</v>
      </c>
      <c r="J43" s="75">
        <v>170</v>
      </c>
      <c r="K43" s="75"/>
      <c r="L43" s="14"/>
      <c r="M43" s="75"/>
      <c r="N43" s="14"/>
      <c r="O43" s="14"/>
    </row>
    <row r="44" spans="1:15" x14ac:dyDescent="0.25">
      <c r="A44" s="86">
        <v>45518</v>
      </c>
      <c r="B44" s="55" t="s">
        <v>2702</v>
      </c>
      <c r="C44" s="55" t="s">
        <v>43</v>
      </c>
      <c r="D44" s="75">
        <f t="shared" si="2"/>
        <v>199.99999999999997</v>
      </c>
      <c r="E44" s="75">
        <f t="shared" si="0"/>
        <v>19.999999999999996</v>
      </c>
      <c r="F44" s="75">
        <v>220</v>
      </c>
      <c r="G44" s="75">
        <v>220</v>
      </c>
      <c r="H44" s="58">
        <f t="shared" si="1"/>
        <v>0</v>
      </c>
      <c r="I44" s="14" t="s">
        <v>3135</v>
      </c>
      <c r="J44" s="75">
        <v>220</v>
      </c>
      <c r="K44" s="75"/>
      <c r="L44" s="14"/>
      <c r="M44" s="75"/>
      <c r="N44" s="14"/>
      <c r="O44" s="14"/>
    </row>
    <row r="45" spans="1:15" x14ac:dyDescent="0.25">
      <c r="A45" s="86">
        <v>45518</v>
      </c>
      <c r="B45" s="55" t="s">
        <v>2703</v>
      </c>
      <c r="C45" s="55" t="s">
        <v>43</v>
      </c>
      <c r="D45" s="75">
        <f t="shared" si="2"/>
        <v>240.90909090909088</v>
      </c>
      <c r="E45" s="75">
        <f t="shared" si="0"/>
        <v>24.09090909090909</v>
      </c>
      <c r="F45" s="75">
        <v>265</v>
      </c>
      <c r="G45" s="75">
        <v>50</v>
      </c>
      <c r="H45" s="58">
        <f t="shared" si="1"/>
        <v>215</v>
      </c>
      <c r="I45" s="14" t="s">
        <v>3136</v>
      </c>
      <c r="J45" s="75">
        <v>220</v>
      </c>
      <c r="K45" s="75"/>
      <c r="L45" s="14"/>
      <c r="M45" s="75">
        <v>45</v>
      </c>
      <c r="N45" s="14" t="s">
        <v>45</v>
      </c>
      <c r="O45" s="14"/>
    </row>
    <row r="46" spans="1:15" x14ac:dyDescent="0.25">
      <c r="A46" s="86">
        <v>45518</v>
      </c>
      <c r="B46" s="55" t="s">
        <v>2704</v>
      </c>
      <c r="C46" s="55" t="s">
        <v>43</v>
      </c>
      <c r="D46" s="75">
        <f t="shared" si="2"/>
        <v>190.90909090909091</v>
      </c>
      <c r="E46" s="75">
        <f t="shared" si="0"/>
        <v>19.09090909090909</v>
      </c>
      <c r="F46" s="75">
        <v>210</v>
      </c>
      <c r="G46" s="75">
        <v>50</v>
      </c>
      <c r="H46" s="58">
        <f t="shared" si="1"/>
        <v>160</v>
      </c>
      <c r="I46" s="14" t="s">
        <v>2752</v>
      </c>
      <c r="J46" s="75">
        <v>170</v>
      </c>
      <c r="K46" s="75">
        <v>40</v>
      </c>
      <c r="L46" s="14" t="s">
        <v>252</v>
      </c>
      <c r="M46" s="75"/>
      <c r="N46" s="14"/>
      <c r="O46" s="14"/>
    </row>
    <row r="47" spans="1:15" x14ac:dyDescent="0.25">
      <c r="A47" s="86">
        <v>45520</v>
      </c>
      <c r="B47" s="55" t="s">
        <v>2705</v>
      </c>
      <c r="C47" s="55" t="s">
        <v>43</v>
      </c>
      <c r="D47" s="75">
        <f t="shared" si="2"/>
        <v>90.909090909090907</v>
      </c>
      <c r="E47" s="75">
        <f t="shared" si="0"/>
        <v>9.0909090909090899</v>
      </c>
      <c r="F47" s="75">
        <v>100</v>
      </c>
      <c r="G47" s="75"/>
      <c r="H47" s="58">
        <f t="shared" si="1"/>
        <v>100</v>
      </c>
      <c r="I47" s="14" t="s">
        <v>603</v>
      </c>
      <c r="J47" s="75">
        <v>100</v>
      </c>
      <c r="K47" s="75"/>
      <c r="L47" s="14"/>
      <c r="M47" s="75"/>
      <c r="N47" s="14"/>
      <c r="O47" s="14"/>
    </row>
    <row r="48" spans="1:15" x14ac:dyDescent="0.25">
      <c r="A48" s="86">
        <v>45521</v>
      </c>
      <c r="B48" s="55" t="s">
        <v>2706</v>
      </c>
      <c r="C48" s="55" t="s">
        <v>43</v>
      </c>
      <c r="D48" s="75">
        <f t="shared" si="2"/>
        <v>172.72727272727272</v>
      </c>
      <c r="E48" s="75">
        <f t="shared" si="0"/>
        <v>17.272727272727273</v>
      </c>
      <c r="F48" s="75">
        <v>190</v>
      </c>
      <c r="G48" s="75">
        <v>50</v>
      </c>
      <c r="H48" s="58">
        <f t="shared" si="1"/>
        <v>140</v>
      </c>
      <c r="I48" s="14" t="s">
        <v>1880</v>
      </c>
      <c r="J48" s="75">
        <v>170</v>
      </c>
      <c r="K48" s="75">
        <v>20</v>
      </c>
      <c r="L48" s="14" t="s">
        <v>252</v>
      </c>
      <c r="M48" s="75"/>
      <c r="N48" s="14"/>
      <c r="O48" s="14"/>
    </row>
    <row r="49" spans="1:15" x14ac:dyDescent="0.25">
      <c r="A49" s="86">
        <v>45521</v>
      </c>
      <c r="B49" s="55" t="s">
        <v>2707</v>
      </c>
      <c r="C49" s="55" t="s">
        <v>43</v>
      </c>
      <c r="D49" s="75">
        <f t="shared" si="2"/>
        <v>154.54545454545453</v>
      </c>
      <c r="E49" s="75">
        <f t="shared" si="0"/>
        <v>15.454545454545453</v>
      </c>
      <c r="F49" s="75">
        <v>170</v>
      </c>
      <c r="G49" s="75">
        <v>50</v>
      </c>
      <c r="H49" s="58">
        <f t="shared" si="1"/>
        <v>120</v>
      </c>
      <c r="I49" s="14" t="s">
        <v>2752</v>
      </c>
      <c r="J49" s="75">
        <v>170</v>
      </c>
      <c r="K49" s="75"/>
      <c r="L49" s="14"/>
      <c r="M49" s="75"/>
      <c r="N49" s="14"/>
      <c r="O49" s="14"/>
    </row>
    <row r="50" spans="1:15" x14ac:dyDescent="0.25">
      <c r="A50" s="86">
        <v>45521</v>
      </c>
      <c r="B50" s="55" t="s">
        <v>2708</v>
      </c>
      <c r="C50" s="55" t="s">
        <v>43</v>
      </c>
      <c r="D50" s="75">
        <f t="shared" si="2"/>
        <v>199.99999999999997</v>
      </c>
      <c r="E50" s="75">
        <f t="shared" si="0"/>
        <v>19.999999999999996</v>
      </c>
      <c r="F50" s="75">
        <v>220</v>
      </c>
      <c r="G50" s="75">
        <v>220</v>
      </c>
      <c r="H50" s="58">
        <f t="shared" si="1"/>
        <v>0</v>
      </c>
      <c r="I50" s="14" t="s">
        <v>2870</v>
      </c>
      <c r="J50" s="75">
        <v>170</v>
      </c>
      <c r="K50" s="75">
        <v>50</v>
      </c>
      <c r="L50" s="14" t="s">
        <v>252</v>
      </c>
      <c r="M50" s="75"/>
      <c r="N50" s="14"/>
      <c r="O50" s="14"/>
    </row>
    <row r="51" spans="1:15" x14ac:dyDescent="0.25">
      <c r="A51" s="86">
        <v>45521</v>
      </c>
      <c r="B51" s="55" t="s">
        <v>2709</v>
      </c>
      <c r="C51" s="55" t="s">
        <v>43</v>
      </c>
      <c r="D51" s="75">
        <f t="shared" si="2"/>
        <v>127.27272727272727</v>
      </c>
      <c r="E51" s="75">
        <f t="shared" si="0"/>
        <v>12.727272727272727</v>
      </c>
      <c r="F51" s="75">
        <v>140</v>
      </c>
      <c r="G51" s="75"/>
      <c r="H51" s="58">
        <f t="shared" si="1"/>
        <v>140</v>
      </c>
      <c r="I51" s="14" t="s">
        <v>603</v>
      </c>
      <c r="J51" s="75">
        <v>140</v>
      </c>
      <c r="K51" s="75"/>
      <c r="L51" s="14"/>
      <c r="M51" s="75"/>
      <c r="N51" s="14"/>
      <c r="O51" s="14"/>
    </row>
    <row r="52" spans="1:15" x14ac:dyDescent="0.25">
      <c r="A52" s="86">
        <v>45521</v>
      </c>
      <c r="B52" s="55" t="s">
        <v>2710</v>
      </c>
      <c r="C52" s="55" t="s">
        <v>43</v>
      </c>
      <c r="D52" s="75">
        <f t="shared" si="2"/>
        <v>127.27272727272727</v>
      </c>
      <c r="E52" s="75">
        <f t="shared" si="0"/>
        <v>12.727272727272727</v>
      </c>
      <c r="F52" s="75">
        <v>140</v>
      </c>
      <c r="G52" s="75"/>
      <c r="H52" s="58">
        <f t="shared" si="1"/>
        <v>140</v>
      </c>
      <c r="I52" s="14" t="s">
        <v>603</v>
      </c>
      <c r="J52" s="75">
        <v>140</v>
      </c>
      <c r="K52" s="75"/>
      <c r="L52" s="14"/>
      <c r="M52" s="75"/>
      <c r="N52" s="14"/>
      <c r="O52" s="14"/>
    </row>
    <row r="53" spans="1:15" x14ac:dyDescent="0.25">
      <c r="A53" s="86">
        <v>45521</v>
      </c>
      <c r="B53" s="55" t="s">
        <v>2711</v>
      </c>
      <c r="C53" s="55" t="s">
        <v>43</v>
      </c>
      <c r="D53" s="75">
        <f t="shared" si="2"/>
        <v>300</v>
      </c>
      <c r="E53" s="75">
        <f t="shared" si="0"/>
        <v>30</v>
      </c>
      <c r="F53" s="75">
        <v>330</v>
      </c>
      <c r="G53" s="75">
        <v>50</v>
      </c>
      <c r="H53" s="58">
        <f t="shared" si="1"/>
        <v>280</v>
      </c>
      <c r="I53" s="14" t="s">
        <v>3137</v>
      </c>
      <c r="J53" s="75">
        <v>270</v>
      </c>
      <c r="K53" s="75">
        <v>60</v>
      </c>
      <c r="L53" s="14" t="s">
        <v>252</v>
      </c>
      <c r="M53" s="75"/>
      <c r="N53" s="14"/>
      <c r="O53" s="14"/>
    </row>
    <row r="54" spans="1:15" x14ac:dyDescent="0.25">
      <c r="A54" s="86">
        <v>45521</v>
      </c>
      <c r="B54" s="55" t="s">
        <v>2712</v>
      </c>
      <c r="C54" s="55" t="s">
        <v>43</v>
      </c>
      <c r="D54" s="75">
        <f t="shared" si="2"/>
        <v>199.99999999999997</v>
      </c>
      <c r="E54" s="75">
        <f t="shared" si="0"/>
        <v>19.999999999999996</v>
      </c>
      <c r="F54" s="75">
        <v>220</v>
      </c>
      <c r="G54" s="75">
        <v>50</v>
      </c>
      <c r="H54" s="58">
        <f t="shared" si="1"/>
        <v>170</v>
      </c>
      <c r="I54" s="14" t="s">
        <v>2752</v>
      </c>
      <c r="J54" s="75">
        <v>220</v>
      </c>
      <c r="K54" s="75"/>
      <c r="L54" s="14"/>
      <c r="M54" s="75"/>
      <c r="N54" s="14"/>
      <c r="O54" s="14"/>
    </row>
    <row r="55" spans="1:15" x14ac:dyDescent="0.25">
      <c r="A55" s="86">
        <v>45521</v>
      </c>
      <c r="B55" s="55" t="s">
        <v>2713</v>
      </c>
      <c r="C55" s="55" t="s">
        <v>43</v>
      </c>
      <c r="D55" s="75">
        <f t="shared" si="2"/>
        <v>309.09090909090907</v>
      </c>
      <c r="E55" s="75">
        <f t="shared" si="0"/>
        <v>30.909090909090907</v>
      </c>
      <c r="F55" s="75">
        <v>340</v>
      </c>
      <c r="G55" s="75">
        <v>50</v>
      </c>
      <c r="H55" s="58">
        <f t="shared" si="1"/>
        <v>290</v>
      </c>
      <c r="I55" s="14" t="s">
        <v>3138</v>
      </c>
      <c r="J55" s="75">
        <v>270</v>
      </c>
      <c r="K55" s="75">
        <v>70</v>
      </c>
      <c r="L55" s="14" t="s">
        <v>252</v>
      </c>
      <c r="M55" s="75"/>
      <c r="N55" s="14"/>
      <c r="O55" s="14"/>
    </row>
    <row r="56" spans="1:15" x14ac:dyDescent="0.25">
      <c r="A56" s="86">
        <v>45521</v>
      </c>
      <c r="B56" s="55" t="s">
        <v>2714</v>
      </c>
      <c r="C56" s="55" t="s">
        <v>43</v>
      </c>
      <c r="D56" s="75">
        <f t="shared" si="2"/>
        <v>231.81818181818181</v>
      </c>
      <c r="E56" s="75">
        <f t="shared" si="0"/>
        <v>23.18181818181818</v>
      </c>
      <c r="F56" s="75">
        <v>255</v>
      </c>
      <c r="G56" s="75">
        <v>50</v>
      </c>
      <c r="H56" s="58">
        <f t="shared" si="1"/>
        <v>205</v>
      </c>
      <c r="I56" s="14" t="s">
        <v>2752</v>
      </c>
      <c r="J56" s="75">
        <v>170</v>
      </c>
      <c r="K56" s="75"/>
      <c r="L56" s="14"/>
      <c r="M56" s="75">
        <v>45</v>
      </c>
      <c r="N56" s="14" t="s">
        <v>45</v>
      </c>
      <c r="O56" s="14"/>
    </row>
    <row r="57" spans="1:15" x14ac:dyDescent="0.25">
      <c r="A57" s="86">
        <v>45522</v>
      </c>
      <c r="B57" s="55" t="s">
        <v>2715</v>
      </c>
      <c r="C57" s="55" t="s">
        <v>43</v>
      </c>
      <c r="D57" s="75">
        <f t="shared" si="2"/>
        <v>190.90909090909091</v>
      </c>
      <c r="E57" s="75">
        <f t="shared" si="0"/>
        <v>19.09090909090909</v>
      </c>
      <c r="F57" s="75">
        <v>210</v>
      </c>
      <c r="G57" s="75">
        <v>50</v>
      </c>
      <c r="H57" s="58">
        <f t="shared" si="1"/>
        <v>160</v>
      </c>
      <c r="I57" s="14" t="s">
        <v>3139</v>
      </c>
      <c r="J57" s="75">
        <v>170</v>
      </c>
      <c r="K57" s="75">
        <v>40</v>
      </c>
      <c r="L57" s="14" t="s">
        <v>252</v>
      </c>
      <c r="M57" s="75"/>
      <c r="N57" s="14"/>
      <c r="O57" s="14"/>
    </row>
    <row r="58" spans="1:15" x14ac:dyDescent="0.25">
      <c r="A58" s="86">
        <v>45523</v>
      </c>
      <c r="B58" s="55" t="s">
        <v>2716</v>
      </c>
      <c r="C58" s="55" t="s">
        <v>43</v>
      </c>
      <c r="D58" s="75">
        <f t="shared" si="2"/>
        <v>245.45454545454544</v>
      </c>
      <c r="E58" s="75">
        <f t="shared" si="0"/>
        <v>24.545454545454547</v>
      </c>
      <c r="F58" s="75">
        <v>270</v>
      </c>
      <c r="G58" s="75">
        <v>50</v>
      </c>
      <c r="H58" s="58">
        <f t="shared" si="1"/>
        <v>220</v>
      </c>
      <c r="I58" s="14" t="s">
        <v>3150</v>
      </c>
      <c r="J58" s="75">
        <v>270</v>
      </c>
      <c r="K58" s="75"/>
      <c r="L58" s="14"/>
      <c r="M58" s="75"/>
      <c r="N58" s="14"/>
      <c r="O58" s="14"/>
    </row>
    <row r="59" spans="1:15" x14ac:dyDescent="0.25">
      <c r="A59" s="86">
        <v>45524</v>
      </c>
      <c r="B59" s="55" t="s">
        <v>2717</v>
      </c>
      <c r="C59" s="55" t="s">
        <v>43</v>
      </c>
      <c r="D59" s="75">
        <f t="shared" si="2"/>
        <v>163.63636363636363</v>
      </c>
      <c r="E59" s="75">
        <f t="shared" si="0"/>
        <v>16.363636363636363</v>
      </c>
      <c r="F59" s="75">
        <v>180</v>
      </c>
      <c r="G59" s="75"/>
      <c r="H59" s="58">
        <f t="shared" si="1"/>
        <v>180</v>
      </c>
      <c r="I59" s="14" t="s">
        <v>603</v>
      </c>
      <c r="J59" s="75">
        <v>180</v>
      </c>
      <c r="K59" s="75"/>
      <c r="L59" s="14"/>
      <c r="M59" s="75"/>
      <c r="N59" s="14"/>
      <c r="O59" s="14"/>
    </row>
    <row r="60" spans="1:15" x14ac:dyDescent="0.25">
      <c r="A60" s="86">
        <v>45373</v>
      </c>
      <c r="B60" s="55" t="s">
        <v>2718</v>
      </c>
      <c r="C60" s="55" t="s">
        <v>43</v>
      </c>
      <c r="D60" s="75">
        <f t="shared" si="2"/>
        <v>300</v>
      </c>
      <c r="E60" s="75">
        <f t="shared" si="0"/>
        <v>30</v>
      </c>
      <c r="F60" s="75">
        <v>330</v>
      </c>
      <c r="G60" s="75"/>
      <c r="H60" s="58">
        <f t="shared" si="1"/>
        <v>330</v>
      </c>
      <c r="I60" s="14" t="s">
        <v>603</v>
      </c>
      <c r="J60" s="75">
        <v>330</v>
      </c>
      <c r="K60" s="75"/>
      <c r="L60" s="14"/>
      <c r="M60" s="75"/>
      <c r="N60" s="14"/>
      <c r="O60" s="14"/>
    </row>
    <row r="61" spans="1:15" x14ac:dyDescent="0.25">
      <c r="A61" s="86">
        <v>45527</v>
      </c>
      <c r="B61" s="55" t="s">
        <v>2719</v>
      </c>
      <c r="C61" s="55" t="s">
        <v>43</v>
      </c>
      <c r="D61" s="75">
        <f t="shared" si="2"/>
        <v>227.27272727272725</v>
      </c>
      <c r="E61" s="75">
        <f t="shared" si="0"/>
        <v>22.727272727272727</v>
      </c>
      <c r="F61" s="75">
        <v>250</v>
      </c>
      <c r="G61" s="75">
        <v>50</v>
      </c>
      <c r="H61" s="58">
        <f t="shared" si="1"/>
        <v>200</v>
      </c>
      <c r="I61" s="14" t="s">
        <v>3159</v>
      </c>
      <c r="J61" s="75">
        <v>220</v>
      </c>
      <c r="K61" s="75">
        <v>30</v>
      </c>
      <c r="L61" s="14" t="s">
        <v>252</v>
      </c>
      <c r="M61" s="75"/>
      <c r="N61" s="14"/>
      <c r="O61" s="14"/>
    </row>
    <row r="62" spans="1:15" x14ac:dyDescent="0.25">
      <c r="A62" s="86">
        <v>45528</v>
      </c>
      <c r="B62" s="55" t="s">
        <v>2720</v>
      </c>
      <c r="C62" s="55" t="s">
        <v>43</v>
      </c>
      <c r="D62" s="75">
        <f t="shared" si="2"/>
        <v>245.45454545454544</v>
      </c>
      <c r="E62" s="75">
        <f t="shared" si="0"/>
        <v>24.545454545454547</v>
      </c>
      <c r="F62" s="75">
        <v>270</v>
      </c>
      <c r="G62" s="75">
        <v>50</v>
      </c>
      <c r="H62" s="58">
        <f t="shared" si="1"/>
        <v>220</v>
      </c>
      <c r="I62" s="14" t="s">
        <v>3101</v>
      </c>
      <c r="J62" s="75">
        <v>270</v>
      </c>
      <c r="K62" s="75"/>
      <c r="L62" s="14"/>
      <c r="M62" s="75"/>
      <c r="N62" s="14"/>
      <c r="O62" s="14"/>
    </row>
    <row r="63" spans="1:15" x14ac:dyDescent="0.25">
      <c r="A63" s="86">
        <v>45528</v>
      </c>
      <c r="B63" s="55" t="s">
        <v>2721</v>
      </c>
      <c r="C63" s="55" t="s">
        <v>43</v>
      </c>
      <c r="D63" s="75">
        <f t="shared" si="2"/>
        <v>190.90909090909091</v>
      </c>
      <c r="E63" s="75">
        <f t="shared" si="0"/>
        <v>19.09090909090909</v>
      </c>
      <c r="F63" s="75">
        <v>210</v>
      </c>
      <c r="G63" s="75">
        <v>50</v>
      </c>
      <c r="H63" s="58">
        <f t="shared" si="1"/>
        <v>160</v>
      </c>
      <c r="I63" s="14" t="s">
        <v>3160</v>
      </c>
      <c r="J63" s="75">
        <v>170</v>
      </c>
      <c r="K63" s="75">
        <v>40</v>
      </c>
      <c r="L63" s="14" t="s">
        <v>252</v>
      </c>
      <c r="M63" s="75"/>
      <c r="N63" s="14"/>
      <c r="O63" s="14"/>
    </row>
    <row r="64" spans="1:15" x14ac:dyDescent="0.25">
      <c r="A64" s="86">
        <v>45528</v>
      </c>
      <c r="B64" s="55" t="s">
        <v>2722</v>
      </c>
      <c r="C64" s="55" t="s">
        <v>43</v>
      </c>
      <c r="D64" s="75">
        <f t="shared" si="2"/>
        <v>154.54545454545453</v>
      </c>
      <c r="E64" s="75">
        <f t="shared" si="0"/>
        <v>15.454545454545453</v>
      </c>
      <c r="F64" s="75">
        <v>170</v>
      </c>
      <c r="G64" s="75">
        <v>50</v>
      </c>
      <c r="H64" s="58">
        <f t="shared" si="1"/>
        <v>120</v>
      </c>
      <c r="I64" s="14" t="s">
        <v>3161</v>
      </c>
      <c r="J64" s="75">
        <v>170</v>
      </c>
      <c r="K64" s="75"/>
      <c r="L64" s="14"/>
      <c r="M64" s="75"/>
      <c r="N64" s="14"/>
      <c r="O64" s="14"/>
    </row>
    <row r="65" spans="1:15" x14ac:dyDescent="0.25">
      <c r="A65" s="86">
        <v>45528</v>
      </c>
      <c r="B65" s="55" t="s">
        <v>2723</v>
      </c>
      <c r="C65" s="55" t="s">
        <v>43</v>
      </c>
      <c r="D65" s="75">
        <f t="shared" si="2"/>
        <v>227.27272727272725</v>
      </c>
      <c r="E65" s="75">
        <f t="shared" si="0"/>
        <v>22.727272727272727</v>
      </c>
      <c r="F65" s="75">
        <v>250</v>
      </c>
      <c r="G65" s="75">
        <v>100</v>
      </c>
      <c r="H65" s="58">
        <f t="shared" si="1"/>
        <v>150</v>
      </c>
      <c r="I65" s="14" t="s">
        <v>3162</v>
      </c>
      <c r="J65" s="75">
        <v>220</v>
      </c>
      <c r="K65" s="75">
        <v>30</v>
      </c>
      <c r="L65" s="14" t="s">
        <v>252</v>
      </c>
      <c r="M65" s="75"/>
      <c r="N65" s="14"/>
      <c r="O65" s="14"/>
    </row>
    <row r="66" spans="1:15" x14ac:dyDescent="0.25">
      <c r="A66" s="86">
        <v>45528</v>
      </c>
      <c r="B66" s="55" t="s">
        <v>2724</v>
      </c>
      <c r="C66" s="55" t="s">
        <v>43</v>
      </c>
      <c r="D66" s="75">
        <f t="shared" si="2"/>
        <v>490.90909090909088</v>
      </c>
      <c r="E66" s="75">
        <f t="shared" si="0"/>
        <v>49.090909090909093</v>
      </c>
      <c r="F66" s="75">
        <v>540</v>
      </c>
      <c r="G66" s="75">
        <v>50</v>
      </c>
      <c r="H66" s="58">
        <f t="shared" si="1"/>
        <v>490</v>
      </c>
      <c r="I66" s="14" t="s">
        <v>3077</v>
      </c>
      <c r="J66" s="75">
        <v>490</v>
      </c>
      <c r="K66" s="75"/>
      <c r="L66" s="14"/>
      <c r="M66" s="75"/>
      <c r="N66" s="14"/>
      <c r="O66" s="14"/>
    </row>
    <row r="67" spans="1:15" x14ac:dyDescent="0.25">
      <c r="A67" s="86">
        <v>45528</v>
      </c>
      <c r="B67" s="55" t="s">
        <v>2725</v>
      </c>
      <c r="C67" s="55" t="s">
        <v>43</v>
      </c>
      <c r="D67" s="75">
        <f t="shared" si="2"/>
        <v>309.09090909090907</v>
      </c>
      <c r="E67" s="75">
        <f t="shared" ref="E67:E95" si="3">D67*10/100</f>
        <v>30.909090909090907</v>
      </c>
      <c r="F67" s="75">
        <v>340</v>
      </c>
      <c r="G67" s="75">
        <v>50</v>
      </c>
      <c r="H67" s="58">
        <f t="shared" ref="H67:H95" si="4">F67-G67</f>
        <v>290</v>
      </c>
      <c r="I67" s="14" t="s">
        <v>3163</v>
      </c>
      <c r="J67" s="75">
        <v>340</v>
      </c>
      <c r="K67" s="75"/>
      <c r="L67" s="14"/>
      <c r="M67" s="75"/>
      <c r="N67" s="14"/>
      <c r="O67" s="14"/>
    </row>
    <row r="68" spans="1:15" x14ac:dyDescent="0.25">
      <c r="A68" s="86">
        <v>45529</v>
      </c>
      <c r="B68" s="55" t="s">
        <v>2726</v>
      </c>
      <c r="C68" s="55" t="s">
        <v>43</v>
      </c>
      <c r="D68" s="75">
        <f t="shared" ref="D68:D95" si="5">F68/1.1</f>
        <v>268.18181818181819</v>
      </c>
      <c r="E68" s="75">
        <f t="shared" si="3"/>
        <v>26.81818181818182</v>
      </c>
      <c r="F68" s="75">
        <v>295</v>
      </c>
      <c r="G68" s="75">
        <v>50</v>
      </c>
      <c r="H68" s="58">
        <f t="shared" si="4"/>
        <v>245</v>
      </c>
      <c r="I68" s="14" t="s">
        <v>3164</v>
      </c>
      <c r="J68" s="75">
        <v>220</v>
      </c>
      <c r="K68" s="75">
        <v>30</v>
      </c>
      <c r="L68" s="14" t="s">
        <v>252</v>
      </c>
      <c r="M68" s="75">
        <v>45</v>
      </c>
      <c r="N68" s="14" t="s">
        <v>45</v>
      </c>
      <c r="O68" s="14"/>
    </row>
    <row r="69" spans="1:15" x14ac:dyDescent="0.25">
      <c r="A69" s="86">
        <v>45529</v>
      </c>
      <c r="B69" s="55" t="s">
        <v>2727</v>
      </c>
      <c r="C69" s="55" t="s">
        <v>43</v>
      </c>
      <c r="D69" s="75">
        <f t="shared" si="5"/>
        <v>127.27272727272727</v>
      </c>
      <c r="E69" s="75">
        <f t="shared" si="3"/>
        <v>12.727272727272727</v>
      </c>
      <c r="F69" s="75">
        <v>140</v>
      </c>
      <c r="G69" s="75"/>
      <c r="H69" s="58">
        <f t="shared" si="4"/>
        <v>140</v>
      </c>
      <c r="I69" s="14" t="s">
        <v>603</v>
      </c>
      <c r="J69" s="75">
        <v>140</v>
      </c>
      <c r="K69" s="75"/>
      <c r="L69" s="14"/>
      <c r="M69" s="75"/>
      <c r="N69" s="14"/>
      <c r="O69" s="14"/>
    </row>
    <row r="70" spans="1:15" x14ac:dyDescent="0.25">
      <c r="A70" s="86">
        <v>45531</v>
      </c>
      <c r="B70" s="55" t="s">
        <v>2728</v>
      </c>
      <c r="C70" s="55" t="s">
        <v>43</v>
      </c>
      <c r="D70" s="75">
        <f t="shared" si="5"/>
        <v>245.45454545454544</v>
      </c>
      <c r="E70" s="75">
        <f t="shared" si="3"/>
        <v>24.545454545454547</v>
      </c>
      <c r="F70" s="75">
        <v>270</v>
      </c>
      <c r="G70" s="75">
        <v>50</v>
      </c>
      <c r="H70" s="58">
        <f t="shared" si="4"/>
        <v>220</v>
      </c>
      <c r="I70" s="14" t="s">
        <v>3168</v>
      </c>
      <c r="J70" s="75">
        <v>270</v>
      </c>
      <c r="K70" s="75"/>
      <c r="L70" s="14"/>
      <c r="M70" s="75"/>
      <c r="N70" s="14"/>
      <c r="O70" s="14"/>
    </row>
    <row r="71" spans="1:15" x14ac:dyDescent="0.25">
      <c r="A71" s="86">
        <v>45532</v>
      </c>
      <c r="B71" s="55" t="s">
        <v>2729</v>
      </c>
      <c r="C71" s="55" t="s">
        <v>43</v>
      </c>
      <c r="D71" s="75">
        <f t="shared" si="5"/>
        <v>199.99999999999997</v>
      </c>
      <c r="E71" s="75">
        <f t="shared" si="3"/>
        <v>19.999999999999996</v>
      </c>
      <c r="F71" s="75">
        <v>220</v>
      </c>
      <c r="G71" s="75">
        <v>50</v>
      </c>
      <c r="H71" s="58">
        <f t="shared" si="4"/>
        <v>170</v>
      </c>
      <c r="I71" s="14" t="s">
        <v>3174</v>
      </c>
      <c r="J71" s="75">
        <v>220</v>
      </c>
      <c r="K71" s="75"/>
      <c r="L71" s="14"/>
      <c r="M71" s="75"/>
      <c r="N71" s="14"/>
      <c r="O71" s="14"/>
    </row>
    <row r="72" spans="1:15" x14ac:dyDescent="0.25">
      <c r="A72" s="86">
        <v>45533</v>
      </c>
      <c r="B72" s="55" t="s">
        <v>2730</v>
      </c>
      <c r="C72" s="55" t="s">
        <v>43</v>
      </c>
      <c r="D72" s="75">
        <f t="shared" si="5"/>
        <v>145.45454545454544</v>
      </c>
      <c r="E72" s="75">
        <f t="shared" si="3"/>
        <v>14.545454545454545</v>
      </c>
      <c r="F72" s="75">
        <v>160</v>
      </c>
      <c r="G72" s="75"/>
      <c r="H72" s="58">
        <f t="shared" si="4"/>
        <v>160</v>
      </c>
      <c r="I72" s="14" t="s">
        <v>603</v>
      </c>
      <c r="J72" s="75">
        <v>160</v>
      </c>
      <c r="K72" s="75"/>
      <c r="L72" s="14"/>
      <c r="M72" s="75"/>
      <c r="N72" s="14"/>
      <c r="O72" s="14"/>
    </row>
    <row r="73" spans="1:15" x14ac:dyDescent="0.25">
      <c r="A73" s="86">
        <v>45534</v>
      </c>
      <c r="B73" s="55" t="s">
        <v>2731</v>
      </c>
      <c r="C73" s="55" t="s">
        <v>43</v>
      </c>
      <c r="D73" s="75">
        <f t="shared" si="5"/>
        <v>154.54545454545453</v>
      </c>
      <c r="E73" s="75">
        <f t="shared" si="3"/>
        <v>15.454545454545453</v>
      </c>
      <c r="F73" s="75">
        <v>170</v>
      </c>
      <c r="G73" s="75">
        <v>50</v>
      </c>
      <c r="H73" s="58">
        <f t="shared" si="4"/>
        <v>120</v>
      </c>
      <c r="I73" s="14" t="s">
        <v>3179</v>
      </c>
      <c r="J73" s="75">
        <v>170</v>
      </c>
      <c r="K73" s="75"/>
      <c r="L73" s="14"/>
      <c r="M73" s="75"/>
      <c r="N73" s="14"/>
      <c r="O73" s="14"/>
    </row>
    <row r="74" spans="1:15" x14ac:dyDescent="0.25">
      <c r="A74" s="86">
        <v>45534</v>
      </c>
      <c r="B74" s="55" t="s">
        <v>2732</v>
      </c>
      <c r="C74" s="55" t="s">
        <v>43</v>
      </c>
      <c r="D74" s="75">
        <f t="shared" si="5"/>
        <v>272.72727272727269</v>
      </c>
      <c r="E74" s="75">
        <f t="shared" si="3"/>
        <v>27.27272727272727</v>
      </c>
      <c r="F74" s="75">
        <v>300</v>
      </c>
      <c r="G74" s="75">
        <v>50</v>
      </c>
      <c r="H74" s="58">
        <f t="shared" si="4"/>
        <v>250</v>
      </c>
      <c r="I74" s="14" t="s">
        <v>3180</v>
      </c>
      <c r="J74" s="75">
        <v>270</v>
      </c>
      <c r="K74" s="75">
        <v>30</v>
      </c>
      <c r="L74" s="14" t="s">
        <v>252</v>
      </c>
      <c r="M74" s="75"/>
      <c r="N74" s="14"/>
      <c r="O74" s="14"/>
    </row>
    <row r="75" spans="1:15" x14ac:dyDescent="0.25">
      <c r="A75" s="86">
        <v>45534</v>
      </c>
      <c r="B75" s="55" t="s">
        <v>2733</v>
      </c>
      <c r="C75" s="55" t="s">
        <v>43</v>
      </c>
      <c r="D75" s="75">
        <f t="shared" si="5"/>
        <v>227.27272727272725</v>
      </c>
      <c r="E75" s="75">
        <f t="shared" si="3"/>
        <v>22.727272727272727</v>
      </c>
      <c r="F75" s="75">
        <v>250</v>
      </c>
      <c r="G75" s="75">
        <v>50</v>
      </c>
      <c r="H75" s="58">
        <f t="shared" si="4"/>
        <v>200</v>
      </c>
      <c r="I75" s="14" t="s">
        <v>3181</v>
      </c>
      <c r="J75" s="75">
        <v>220</v>
      </c>
      <c r="K75" s="75">
        <v>30</v>
      </c>
      <c r="L75" s="14" t="s">
        <v>252</v>
      </c>
      <c r="M75" s="75"/>
      <c r="N75" s="14"/>
      <c r="O75" s="14"/>
    </row>
    <row r="76" spans="1:15" x14ac:dyDescent="0.25">
      <c r="A76" s="86">
        <v>45534</v>
      </c>
      <c r="B76" s="55" t="s">
        <v>2734</v>
      </c>
      <c r="C76" s="55" t="s">
        <v>43</v>
      </c>
      <c r="D76" s="75">
        <f t="shared" si="5"/>
        <v>263.63636363636363</v>
      </c>
      <c r="E76" s="75">
        <f t="shared" si="3"/>
        <v>26.36363636363636</v>
      </c>
      <c r="F76" s="75">
        <v>290</v>
      </c>
      <c r="G76" s="75">
        <v>50</v>
      </c>
      <c r="H76" s="58">
        <f t="shared" si="4"/>
        <v>240</v>
      </c>
      <c r="I76" s="14" t="s">
        <v>3182</v>
      </c>
      <c r="J76" s="75">
        <v>270</v>
      </c>
      <c r="K76" s="75">
        <v>20</v>
      </c>
      <c r="L76" s="14" t="s">
        <v>252</v>
      </c>
      <c r="M76" s="75"/>
      <c r="N76" s="14"/>
      <c r="O76" s="14"/>
    </row>
    <row r="77" spans="1:15" x14ac:dyDescent="0.25">
      <c r="A77" s="86">
        <v>45535</v>
      </c>
      <c r="B77" s="55" t="s">
        <v>2735</v>
      </c>
      <c r="C77" s="55" t="s">
        <v>43</v>
      </c>
      <c r="D77" s="75">
        <f t="shared" si="5"/>
        <v>318.18181818181813</v>
      </c>
      <c r="E77" s="75">
        <f t="shared" si="3"/>
        <v>31.818181818181809</v>
      </c>
      <c r="F77" s="75">
        <v>350</v>
      </c>
      <c r="G77" s="75">
        <v>50</v>
      </c>
      <c r="H77" s="58">
        <f t="shared" si="4"/>
        <v>300</v>
      </c>
      <c r="I77" s="14" t="s">
        <v>3183</v>
      </c>
      <c r="J77" s="75">
        <v>350</v>
      </c>
      <c r="K77" s="75"/>
      <c r="L77" s="14"/>
      <c r="M77" s="75"/>
      <c r="N77" s="14"/>
      <c r="O77" s="14"/>
    </row>
    <row r="78" spans="1:15" x14ac:dyDescent="0.25">
      <c r="A78" s="86">
        <v>45535</v>
      </c>
      <c r="B78" s="55" t="s">
        <v>2736</v>
      </c>
      <c r="C78" s="55" t="s">
        <v>43</v>
      </c>
      <c r="D78" s="75">
        <f t="shared" si="5"/>
        <v>218.18181818181816</v>
      </c>
      <c r="E78" s="75">
        <f t="shared" si="3"/>
        <v>21.818181818181817</v>
      </c>
      <c r="F78" s="75">
        <v>240</v>
      </c>
      <c r="G78" s="75">
        <v>50</v>
      </c>
      <c r="H78" s="58">
        <f t="shared" si="4"/>
        <v>190</v>
      </c>
      <c r="I78" s="14" t="s">
        <v>3184</v>
      </c>
      <c r="J78" s="75">
        <v>220</v>
      </c>
      <c r="K78" s="75">
        <v>20</v>
      </c>
      <c r="L78" s="14" t="s">
        <v>252</v>
      </c>
      <c r="M78" s="75"/>
      <c r="N78" s="14"/>
      <c r="O78" s="14"/>
    </row>
    <row r="79" spans="1:15" x14ac:dyDescent="0.25">
      <c r="A79" s="86">
        <v>45535</v>
      </c>
      <c r="B79" s="55" t="s">
        <v>2737</v>
      </c>
      <c r="C79" s="55" t="s">
        <v>43</v>
      </c>
      <c r="D79" s="75">
        <f t="shared" si="5"/>
        <v>218.18181818181816</v>
      </c>
      <c r="E79" s="75">
        <f t="shared" si="3"/>
        <v>21.818181818181817</v>
      </c>
      <c r="F79" s="75">
        <v>240</v>
      </c>
      <c r="G79" s="75"/>
      <c r="H79" s="58">
        <f t="shared" si="4"/>
        <v>240</v>
      </c>
      <c r="I79" s="14" t="s">
        <v>1983</v>
      </c>
      <c r="J79" s="75">
        <v>240</v>
      </c>
      <c r="K79" s="75"/>
      <c r="L79" s="14"/>
      <c r="M79" s="75"/>
      <c r="N79" s="14"/>
      <c r="O79" s="14"/>
    </row>
    <row r="80" spans="1:15" x14ac:dyDescent="0.25">
      <c r="A80" s="86">
        <v>45535</v>
      </c>
      <c r="B80" s="55" t="s">
        <v>2738</v>
      </c>
      <c r="C80" s="55" t="s">
        <v>43</v>
      </c>
      <c r="D80" s="75">
        <f t="shared" si="5"/>
        <v>181.81818181818181</v>
      </c>
      <c r="E80" s="75">
        <f t="shared" si="3"/>
        <v>18.18181818181818</v>
      </c>
      <c r="F80" s="75">
        <v>200</v>
      </c>
      <c r="G80" s="75">
        <v>50</v>
      </c>
      <c r="H80" s="58">
        <f t="shared" si="4"/>
        <v>150</v>
      </c>
      <c r="I80" s="14" t="s">
        <v>3185</v>
      </c>
      <c r="J80" s="75">
        <v>220</v>
      </c>
      <c r="K80" s="75">
        <v>30</v>
      </c>
      <c r="L80" s="14" t="s">
        <v>252</v>
      </c>
      <c r="M80" s="75"/>
      <c r="N80" s="14"/>
      <c r="O80" s="14"/>
    </row>
    <row r="81" spans="1:15" x14ac:dyDescent="0.25">
      <c r="A81" s="86">
        <v>45535</v>
      </c>
      <c r="B81" s="55" t="s">
        <v>2739</v>
      </c>
      <c r="C81" s="55" t="s">
        <v>43</v>
      </c>
      <c r="D81" s="75">
        <f t="shared" si="5"/>
        <v>272.72727272727269</v>
      </c>
      <c r="E81" s="75">
        <f t="shared" si="3"/>
        <v>27.27272727272727</v>
      </c>
      <c r="F81" s="75">
        <v>300</v>
      </c>
      <c r="G81" s="75">
        <v>50</v>
      </c>
      <c r="H81" s="58">
        <f t="shared" si="4"/>
        <v>250</v>
      </c>
      <c r="I81" s="14" t="s">
        <v>3186</v>
      </c>
      <c r="J81" s="75">
        <v>270</v>
      </c>
      <c r="K81" s="75">
        <v>30</v>
      </c>
      <c r="L81" s="14" t="s">
        <v>252</v>
      </c>
      <c r="M81" s="75"/>
      <c r="N81" s="14"/>
      <c r="O81" s="14"/>
    </row>
    <row r="82" spans="1:15" x14ac:dyDescent="0.25">
      <c r="A82" s="86">
        <v>45535</v>
      </c>
      <c r="B82" s="55" t="s">
        <v>2740</v>
      </c>
      <c r="C82" s="55" t="s">
        <v>43</v>
      </c>
      <c r="D82" s="75">
        <f t="shared" si="5"/>
        <v>227.27272727272725</v>
      </c>
      <c r="E82" s="75">
        <f t="shared" si="3"/>
        <v>22.727272727272727</v>
      </c>
      <c r="F82" s="75">
        <v>250</v>
      </c>
      <c r="G82" s="75">
        <v>50</v>
      </c>
      <c r="H82" s="58">
        <f t="shared" si="4"/>
        <v>200</v>
      </c>
      <c r="I82" s="14" t="s">
        <v>3187</v>
      </c>
      <c r="J82" s="75">
        <v>220</v>
      </c>
      <c r="K82" s="75">
        <v>30</v>
      </c>
      <c r="L82" s="14" t="s">
        <v>252</v>
      </c>
      <c r="M82" s="75"/>
      <c r="N82" s="14"/>
      <c r="O82" s="14"/>
    </row>
    <row r="83" spans="1:15" x14ac:dyDescent="0.25">
      <c r="A83" s="86">
        <v>45535</v>
      </c>
      <c r="B83" s="55" t="s">
        <v>2741</v>
      </c>
      <c r="C83" s="55" t="s">
        <v>43</v>
      </c>
      <c r="D83" s="75">
        <f t="shared" si="5"/>
        <v>499.99999999999994</v>
      </c>
      <c r="E83" s="75">
        <f t="shared" si="3"/>
        <v>49.999999999999993</v>
      </c>
      <c r="F83" s="75">
        <v>550</v>
      </c>
      <c r="G83" s="75"/>
      <c r="H83" s="58">
        <f t="shared" si="4"/>
        <v>550</v>
      </c>
      <c r="I83" s="14" t="s">
        <v>1398</v>
      </c>
      <c r="J83" s="75">
        <v>550</v>
      </c>
      <c r="K83" s="75"/>
      <c r="L83" s="14"/>
      <c r="M83" s="75"/>
      <c r="N83" s="14"/>
      <c r="O83" s="14"/>
    </row>
    <row r="84" spans="1:15" x14ac:dyDescent="0.25">
      <c r="A84" s="86">
        <v>45535</v>
      </c>
      <c r="B84" s="55" t="s">
        <v>2742</v>
      </c>
      <c r="C84" s="55" t="s">
        <v>43</v>
      </c>
      <c r="D84" s="75">
        <f t="shared" si="5"/>
        <v>154.54545454545453</v>
      </c>
      <c r="E84" s="75">
        <f t="shared" si="3"/>
        <v>15.454545454545453</v>
      </c>
      <c r="F84" s="75">
        <v>170</v>
      </c>
      <c r="G84" s="75">
        <v>50</v>
      </c>
      <c r="H84" s="58">
        <f t="shared" si="4"/>
        <v>120</v>
      </c>
      <c r="I84" s="14" t="s">
        <v>2870</v>
      </c>
      <c r="J84" s="75">
        <v>170</v>
      </c>
      <c r="K84" s="75"/>
      <c r="L84" s="14"/>
      <c r="M84" s="75"/>
      <c r="N84" s="14"/>
      <c r="O84" s="14"/>
    </row>
    <row r="85" spans="1:15" x14ac:dyDescent="0.25">
      <c r="A85" s="86">
        <v>45535</v>
      </c>
      <c r="B85" s="55" t="s">
        <v>2743</v>
      </c>
      <c r="C85" s="55" t="s">
        <v>43</v>
      </c>
      <c r="D85" s="75">
        <f t="shared" si="5"/>
        <v>154.54545454545453</v>
      </c>
      <c r="E85" s="75">
        <f t="shared" si="3"/>
        <v>15.454545454545453</v>
      </c>
      <c r="F85" s="75">
        <v>170</v>
      </c>
      <c r="G85" s="75"/>
      <c r="H85" s="58">
        <f t="shared" si="4"/>
        <v>170</v>
      </c>
      <c r="I85" s="14" t="s">
        <v>1329</v>
      </c>
      <c r="J85" s="75">
        <v>170</v>
      </c>
      <c r="K85" s="75"/>
      <c r="L85" s="14"/>
      <c r="M85" s="75"/>
      <c r="N85" s="14"/>
      <c r="O85" s="14"/>
    </row>
    <row r="86" spans="1:15" x14ac:dyDescent="0.25">
      <c r="A86" s="86">
        <v>45535</v>
      </c>
      <c r="B86" s="55" t="s">
        <v>2816</v>
      </c>
      <c r="C86" s="55" t="s">
        <v>43</v>
      </c>
      <c r="D86" s="75">
        <f t="shared" si="5"/>
        <v>145.45454545454544</v>
      </c>
      <c r="E86" s="75">
        <f t="shared" si="3"/>
        <v>14.545454545454545</v>
      </c>
      <c r="F86" s="75">
        <v>160</v>
      </c>
      <c r="G86" s="75"/>
      <c r="H86" s="58">
        <f t="shared" si="4"/>
        <v>160</v>
      </c>
      <c r="I86" s="14" t="s">
        <v>1329</v>
      </c>
      <c r="J86" s="75">
        <v>160</v>
      </c>
      <c r="K86" s="75"/>
      <c r="L86" s="14"/>
      <c r="M86" s="75"/>
      <c r="N86" s="14"/>
      <c r="O86" s="14"/>
    </row>
    <row r="87" spans="1:15" x14ac:dyDescent="0.25">
      <c r="A87" s="86">
        <v>45535</v>
      </c>
      <c r="B87" s="55" t="s">
        <v>2817</v>
      </c>
      <c r="C87" s="55" t="s">
        <v>43</v>
      </c>
      <c r="D87" s="75">
        <f t="shared" si="5"/>
        <v>136.36363636363635</v>
      </c>
      <c r="E87" s="75">
        <f t="shared" si="3"/>
        <v>13.636363636363635</v>
      </c>
      <c r="F87" s="75">
        <v>150</v>
      </c>
      <c r="G87" s="75"/>
      <c r="H87" s="58">
        <f t="shared" si="4"/>
        <v>150</v>
      </c>
      <c r="I87" s="14" t="s">
        <v>514</v>
      </c>
      <c r="J87" s="75">
        <v>150</v>
      </c>
      <c r="K87" s="75"/>
      <c r="L87" s="14"/>
      <c r="M87" s="75"/>
      <c r="N87" s="14"/>
      <c r="O87" s="14"/>
    </row>
    <row r="88" spans="1:15" x14ac:dyDescent="0.25">
      <c r="A88" s="86">
        <v>45535</v>
      </c>
      <c r="B88" s="55" t="s">
        <v>2934</v>
      </c>
      <c r="C88" s="55" t="s">
        <v>43</v>
      </c>
      <c r="D88" s="75">
        <f t="shared" si="5"/>
        <v>281.81818181818181</v>
      </c>
      <c r="E88" s="75">
        <f t="shared" si="3"/>
        <v>28.18181818181818</v>
      </c>
      <c r="F88" s="75">
        <v>310</v>
      </c>
      <c r="G88" s="75">
        <v>50</v>
      </c>
      <c r="H88" s="58">
        <f t="shared" si="4"/>
        <v>260</v>
      </c>
      <c r="I88" s="14" t="s">
        <v>3188</v>
      </c>
      <c r="J88" s="75">
        <v>270</v>
      </c>
      <c r="K88" s="75">
        <v>40</v>
      </c>
      <c r="L88" s="14" t="s">
        <v>252</v>
      </c>
      <c r="M88" s="75"/>
      <c r="N88" s="14"/>
      <c r="O88" s="14"/>
    </row>
    <row r="89" spans="1:15" x14ac:dyDescent="0.25">
      <c r="A89" s="86">
        <v>45535</v>
      </c>
      <c r="B89" s="55" t="s">
        <v>2935</v>
      </c>
      <c r="C89" s="55" t="s">
        <v>43</v>
      </c>
      <c r="D89" s="75">
        <f t="shared" si="5"/>
        <v>127.27272727272727</v>
      </c>
      <c r="E89" s="75">
        <f t="shared" si="3"/>
        <v>12.727272727272727</v>
      </c>
      <c r="F89" s="75">
        <v>140</v>
      </c>
      <c r="G89" s="75"/>
      <c r="H89" s="58">
        <f t="shared" si="4"/>
        <v>140</v>
      </c>
      <c r="I89" s="14" t="s">
        <v>603</v>
      </c>
      <c r="J89" s="75">
        <v>140</v>
      </c>
      <c r="K89" s="75"/>
      <c r="L89" s="14"/>
      <c r="M89" s="75"/>
      <c r="N89" s="14"/>
      <c r="O89" s="14"/>
    </row>
    <row r="90" spans="1:15" x14ac:dyDescent="0.25">
      <c r="A90" s="86">
        <v>45535</v>
      </c>
      <c r="B90" s="55" t="s">
        <v>2936</v>
      </c>
      <c r="C90" s="55" t="s">
        <v>43</v>
      </c>
      <c r="D90" s="75">
        <f t="shared" si="5"/>
        <v>190.90909090909091</v>
      </c>
      <c r="E90" s="75">
        <f t="shared" si="3"/>
        <v>19.09090909090909</v>
      </c>
      <c r="F90" s="75">
        <v>210</v>
      </c>
      <c r="G90" s="75">
        <v>50</v>
      </c>
      <c r="H90" s="58">
        <f t="shared" si="4"/>
        <v>160</v>
      </c>
      <c r="I90" s="14" t="s">
        <v>3189</v>
      </c>
      <c r="J90" s="75">
        <v>170</v>
      </c>
      <c r="K90" s="75">
        <v>40</v>
      </c>
      <c r="L90" s="14" t="s">
        <v>252</v>
      </c>
      <c r="M90" s="75"/>
      <c r="N90" s="14"/>
      <c r="O90" s="14"/>
    </row>
    <row r="91" spans="1:15" x14ac:dyDescent="0.25">
      <c r="A91" s="86">
        <v>45535</v>
      </c>
      <c r="B91" s="55" t="s">
        <v>2937</v>
      </c>
      <c r="C91" s="55" t="s">
        <v>43</v>
      </c>
      <c r="D91" s="75">
        <f t="shared" si="5"/>
        <v>154.54545454545453</v>
      </c>
      <c r="E91" s="75">
        <f t="shared" si="3"/>
        <v>15.454545454545453</v>
      </c>
      <c r="F91" s="75">
        <v>170</v>
      </c>
      <c r="G91" s="75">
        <v>50</v>
      </c>
      <c r="H91" s="58">
        <f t="shared" si="4"/>
        <v>120</v>
      </c>
      <c r="I91" s="14" t="s">
        <v>3190</v>
      </c>
      <c r="J91" s="75">
        <v>170</v>
      </c>
      <c r="K91" s="75"/>
      <c r="L91" s="14"/>
      <c r="M91" s="75"/>
      <c r="N91" s="14"/>
      <c r="O91" s="14"/>
    </row>
    <row r="92" spans="1:15" x14ac:dyDescent="0.25">
      <c r="A92" s="86">
        <v>45535</v>
      </c>
      <c r="B92" s="55" t="s">
        <v>2938</v>
      </c>
      <c r="C92" s="55" t="s">
        <v>43</v>
      </c>
      <c r="D92" s="75">
        <f t="shared" si="5"/>
        <v>127.27272727272727</v>
      </c>
      <c r="E92" s="75">
        <f t="shared" si="3"/>
        <v>12.727272727272727</v>
      </c>
      <c r="F92" s="75">
        <v>140</v>
      </c>
      <c r="G92" s="75"/>
      <c r="H92" s="58">
        <f t="shared" si="4"/>
        <v>140</v>
      </c>
      <c r="I92" s="14" t="s">
        <v>3191</v>
      </c>
      <c r="J92" s="75">
        <v>140</v>
      </c>
      <c r="K92" s="75"/>
      <c r="L92" s="14"/>
      <c r="M92" s="75"/>
      <c r="N92" s="14"/>
      <c r="O92" s="14"/>
    </row>
    <row r="93" spans="1:15" x14ac:dyDescent="0.25">
      <c r="A93" s="86">
        <v>45535</v>
      </c>
      <c r="B93" s="55" t="s">
        <v>2939</v>
      </c>
      <c r="C93" s="55" t="s">
        <v>43</v>
      </c>
      <c r="D93" s="75">
        <f t="shared" si="5"/>
        <v>145.45454545454544</v>
      </c>
      <c r="E93" s="75">
        <f t="shared" si="3"/>
        <v>14.545454545454545</v>
      </c>
      <c r="F93" s="75">
        <v>160</v>
      </c>
      <c r="G93" s="75"/>
      <c r="H93" s="58">
        <f t="shared" si="4"/>
        <v>160</v>
      </c>
      <c r="I93" s="14" t="s">
        <v>603</v>
      </c>
      <c r="J93" s="75">
        <v>160</v>
      </c>
      <c r="K93" s="75"/>
      <c r="L93" s="14"/>
      <c r="M93" s="75"/>
      <c r="N93" s="14"/>
      <c r="O93" s="14"/>
    </row>
    <row r="94" spans="1:15" x14ac:dyDescent="0.25">
      <c r="A94" s="86">
        <v>45535</v>
      </c>
      <c r="B94" s="55" t="s">
        <v>2940</v>
      </c>
      <c r="C94" s="55" t="s">
        <v>43</v>
      </c>
      <c r="D94" s="75">
        <f t="shared" si="5"/>
        <v>154.54545454545453</v>
      </c>
      <c r="E94" s="75">
        <f t="shared" si="3"/>
        <v>15.454545454545453</v>
      </c>
      <c r="F94" s="75">
        <v>170</v>
      </c>
      <c r="G94" s="75">
        <v>50</v>
      </c>
      <c r="H94" s="58">
        <f t="shared" si="4"/>
        <v>120</v>
      </c>
      <c r="I94" s="14" t="s">
        <v>3192</v>
      </c>
      <c r="J94" s="75">
        <v>170</v>
      </c>
      <c r="K94" s="75"/>
      <c r="L94" s="14"/>
      <c r="M94" s="75"/>
      <c r="N94" s="14"/>
      <c r="O94" s="14"/>
    </row>
    <row r="95" spans="1:15" x14ac:dyDescent="0.25">
      <c r="A95" s="86">
        <v>45535</v>
      </c>
      <c r="B95" s="55" t="s">
        <v>2941</v>
      </c>
      <c r="C95" s="55" t="s">
        <v>43</v>
      </c>
      <c r="D95" s="75">
        <f t="shared" si="5"/>
        <v>154.54545454545453</v>
      </c>
      <c r="E95" s="75">
        <f t="shared" si="3"/>
        <v>15.454545454545453</v>
      </c>
      <c r="F95" s="75">
        <v>170</v>
      </c>
      <c r="G95" s="75">
        <v>50</v>
      </c>
      <c r="H95" s="58">
        <f t="shared" si="4"/>
        <v>120</v>
      </c>
      <c r="I95" s="14" t="s">
        <v>3193</v>
      </c>
      <c r="J95" s="75">
        <v>170</v>
      </c>
      <c r="K95" s="75"/>
      <c r="L95" s="14"/>
      <c r="M95" s="75"/>
      <c r="N95" s="14"/>
      <c r="O95" s="14"/>
    </row>
    <row r="96" spans="1:15" x14ac:dyDescent="0.25">
      <c r="A96" s="86"/>
      <c r="B96" s="55" t="s">
        <v>3075</v>
      </c>
      <c r="C96" s="55" t="s">
        <v>43</v>
      </c>
      <c r="D96" s="75">
        <f>F96/1.1</f>
        <v>0</v>
      </c>
      <c r="E96" s="75">
        <f>D96*10/100</f>
        <v>0</v>
      </c>
      <c r="F96" s="75"/>
      <c r="G96" s="75"/>
      <c r="H96" s="75">
        <f>F96-G96</f>
        <v>0</v>
      </c>
      <c r="I96" s="14"/>
      <c r="J96" s="75"/>
      <c r="K96" s="75"/>
      <c r="L96" s="14"/>
      <c r="M96" s="14"/>
      <c r="N96" s="14"/>
      <c r="O96" s="14"/>
    </row>
    <row r="97" spans="1:8" x14ac:dyDescent="0.25">
      <c r="A97" s="322" t="s">
        <v>11</v>
      </c>
      <c r="B97" s="322"/>
      <c r="C97" s="322"/>
      <c r="D97" s="160">
        <f>SUM(D3:D96)</f>
        <v>20150.000000000007</v>
      </c>
      <c r="E97" s="75">
        <f>SUM(E3:E96)</f>
        <v>2015.0000000000002</v>
      </c>
      <c r="F97" s="75">
        <f>SUM(F3:F96)</f>
        <v>22165</v>
      </c>
      <c r="G97" s="75">
        <f>SUM(G3:G96)</f>
        <v>4790</v>
      </c>
      <c r="H97" s="75">
        <f>SUM(H3:H96)</f>
        <v>17375</v>
      </c>
    </row>
    <row r="98" spans="1:8" x14ac:dyDescent="0.25">
      <c r="D98" t="s">
        <v>2459</v>
      </c>
      <c r="E98" t="s">
        <v>408</v>
      </c>
      <c r="F98" t="s">
        <v>11</v>
      </c>
      <c r="G98" t="s">
        <v>2461</v>
      </c>
      <c r="H98" t="s">
        <v>42</v>
      </c>
    </row>
  </sheetData>
  <mergeCells count="15">
    <mergeCell ref="N1:N2"/>
    <mergeCell ref="O1:O2"/>
    <mergeCell ref="A97:C97"/>
    <mergeCell ref="G1:H1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6F50-9165-48A6-BEA2-E746DAAC6187}">
  <dimension ref="A1:M120"/>
  <sheetViews>
    <sheetView topLeftCell="A82" workbookViewId="0">
      <selection activeCell="L90" sqref="L90"/>
    </sheetView>
  </sheetViews>
  <sheetFormatPr baseColWidth="10" defaultRowHeight="15" x14ac:dyDescent="0.25"/>
  <cols>
    <col min="1" max="1" width="16.5703125" customWidth="1"/>
    <col min="2" max="2" width="45" customWidth="1"/>
    <col min="3" max="3" width="49.28515625" customWidth="1"/>
    <col min="5" max="5" width="35.42578125" customWidth="1"/>
    <col min="6" max="6" width="14.42578125" customWidth="1"/>
    <col min="7" max="7" width="15.28515625" customWidth="1"/>
  </cols>
  <sheetData>
    <row r="1" spans="1:12" x14ac:dyDescent="0.25">
      <c r="A1" t="s">
        <v>0</v>
      </c>
      <c r="B1" s="1">
        <v>45536</v>
      </c>
    </row>
    <row r="3" spans="1:12" ht="30" x14ac:dyDescent="0.2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2" x14ac:dyDescent="0.25">
      <c r="A4" s="11"/>
      <c r="B4" s="12"/>
      <c r="C4" s="13"/>
      <c r="D4" s="108"/>
      <c r="E4" s="15"/>
      <c r="F4" s="16"/>
      <c r="G4" s="16"/>
      <c r="H4" s="16"/>
      <c r="I4" s="9"/>
      <c r="J4" s="17"/>
      <c r="K4" s="9"/>
    </row>
    <row r="5" spans="1:12" x14ac:dyDescent="0.25">
      <c r="A5" s="208">
        <v>45536</v>
      </c>
      <c r="B5" s="209" t="s">
        <v>3296</v>
      </c>
      <c r="C5" s="230" t="s">
        <v>12</v>
      </c>
      <c r="D5" s="210" t="s">
        <v>13</v>
      </c>
      <c r="E5" s="211" t="s">
        <v>14</v>
      </c>
      <c r="F5" s="212">
        <v>1650</v>
      </c>
      <c r="G5" s="212"/>
      <c r="H5" s="212"/>
      <c r="I5" s="9">
        <f>G5+H5</f>
        <v>0</v>
      </c>
      <c r="J5" s="17"/>
      <c r="K5" s="9">
        <f t="shared" ref="K5:K95" si="0">F5+I5-J5</f>
        <v>1650</v>
      </c>
      <c r="L5" t="s">
        <v>41</v>
      </c>
    </row>
    <row r="6" spans="1:12" x14ac:dyDescent="0.25">
      <c r="A6" s="214">
        <v>45537</v>
      </c>
      <c r="B6" s="216" t="s">
        <v>3297</v>
      </c>
      <c r="C6" s="29" t="s">
        <v>302</v>
      </c>
      <c r="D6" s="35" t="s">
        <v>386</v>
      </c>
      <c r="E6" s="14" t="s">
        <v>304</v>
      </c>
      <c r="F6" s="217">
        <v>16</v>
      </c>
      <c r="G6" s="217">
        <v>3.36</v>
      </c>
      <c r="H6" s="214"/>
      <c r="I6" s="207">
        <f>G6+H6</f>
        <v>3.36</v>
      </c>
      <c r="J6" s="23"/>
      <c r="K6" s="9">
        <f t="shared" si="0"/>
        <v>19.36</v>
      </c>
      <c r="L6" t="s">
        <v>3300</v>
      </c>
    </row>
    <row r="7" spans="1:12" x14ac:dyDescent="0.25">
      <c r="A7" s="214">
        <v>45537</v>
      </c>
      <c r="B7" s="214" t="s">
        <v>360</v>
      </c>
      <c r="C7" s="231" t="s">
        <v>826</v>
      </c>
      <c r="D7" s="214" t="s">
        <v>693</v>
      </c>
      <c r="E7" s="214" t="s">
        <v>3298</v>
      </c>
      <c r="F7" s="217">
        <v>12396.69</v>
      </c>
      <c r="G7" s="217">
        <v>2603.3000000000002</v>
      </c>
      <c r="H7" s="214"/>
      <c r="I7" s="207">
        <f t="shared" ref="I7:I70" si="1">G7+H7</f>
        <v>2603.3000000000002</v>
      </c>
      <c r="J7" s="23"/>
      <c r="K7" s="9">
        <f t="shared" si="0"/>
        <v>14999.990000000002</v>
      </c>
      <c r="L7" t="s">
        <v>41</v>
      </c>
    </row>
    <row r="8" spans="1:12" x14ac:dyDescent="0.25">
      <c r="A8" s="214">
        <v>45538</v>
      </c>
      <c r="B8" s="214" t="s">
        <v>3299</v>
      </c>
      <c r="C8" s="231" t="s">
        <v>721</v>
      </c>
      <c r="D8" s="214" t="s">
        <v>24</v>
      </c>
      <c r="E8" s="214" t="s">
        <v>25</v>
      </c>
      <c r="F8" s="217">
        <v>26.73</v>
      </c>
      <c r="G8" s="219"/>
      <c r="H8" s="219">
        <v>2.67</v>
      </c>
      <c r="I8" s="207">
        <f t="shared" si="1"/>
        <v>2.67</v>
      </c>
      <c r="J8" s="31"/>
      <c r="K8" s="9">
        <f t="shared" si="0"/>
        <v>29.4</v>
      </c>
      <c r="L8" t="s">
        <v>42</v>
      </c>
    </row>
    <row r="9" spans="1:12" x14ac:dyDescent="0.25">
      <c r="A9" s="381">
        <v>45537</v>
      </c>
      <c r="B9" s="381" t="s">
        <v>3301</v>
      </c>
      <c r="C9" s="384" t="s">
        <v>711</v>
      </c>
      <c r="D9" s="381" t="s">
        <v>712</v>
      </c>
      <c r="E9" s="381" t="s">
        <v>3302</v>
      </c>
      <c r="F9" s="218">
        <v>74.64</v>
      </c>
      <c r="G9" s="219">
        <v>15.67</v>
      </c>
      <c r="H9" s="222"/>
      <c r="I9" s="373">
        <f>G9+H10</f>
        <v>17.98</v>
      </c>
      <c r="J9" s="31"/>
      <c r="K9" s="333">
        <f>F9+F10+I9</f>
        <v>115.72000000000001</v>
      </c>
    </row>
    <row r="10" spans="1:12" x14ac:dyDescent="0.25">
      <c r="A10" s="383"/>
      <c r="B10" s="383"/>
      <c r="C10" s="385"/>
      <c r="D10" s="383"/>
      <c r="E10" s="383"/>
      <c r="F10" s="218">
        <v>23.1</v>
      </c>
      <c r="G10" s="220"/>
      <c r="H10" s="223">
        <v>2.31</v>
      </c>
      <c r="I10" s="375"/>
      <c r="J10" s="31"/>
      <c r="K10" s="334"/>
      <c r="L10" t="s">
        <v>41</v>
      </c>
    </row>
    <row r="11" spans="1:12" x14ac:dyDescent="0.25">
      <c r="A11" s="214">
        <v>45538</v>
      </c>
      <c r="B11" s="214">
        <v>72925</v>
      </c>
      <c r="C11" s="231" t="s">
        <v>3303</v>
      </c>
      <c r="D11" s="214" t="s">
        <v>401</v>
      </c>
      <c r="E11" s="214" t="s">
        <v>3304</v>
      </c>
      <c r="F11" s="217">
        <v>33.700000000000003</v>
      </c>
      <c r="G11" s="220">
        <v>7.08</v>
      </c>
      <c r="H11" s="221"/>
      <c r="I11" s="207">
        <f t="shared" si="1"/>
        <v>7.08</v>
      </c>
      <c r="J11" s="31"/>
      <c r="K11" s="9">
        <f t="shared" si="0"/>
        <v>40.78</v>
      </c>
      <c r="L11" t="s">
        <v>42</v>
      </c>
    </row>
    <row r="12" spans="1:12" x14ac:dyDescent="0.25">
      <c r="A12" s="214">
        <v>45538</v>
      </c>
      <c r="B12" s="214" t="s">
        <v>3305</v>
      </c>
      <c r="C12" s="231" t="s">
        <v>3306</v>
      </c>
      <c r="D12" s="214" t="s">
        <v>581</v>
      </c>
      <c r="E12" s="214" t="s">
        <v>3307</v>
      </c>
      <c r="F12" s="217">
        <v>57.81</v>
      </c>
      <c r="G12" s="217">
        <v>12.14</v>
      </c>
      <c r="H12" s="214"/>
      <c r="I12" s="207">
        <f t="shared" si="1"/>
        <v>12.14</v>
      </c>
      <c r="J12" s="31"/>
      <c r="K12" s="9">
        <f t="shared" si="0"/>
        <v>69.95</v>
      </c>
      <c r="L12" t="s">
        <v>42</v>
      </c>
    </row>
    <row r="13" spans="1:12" x14ac:dyDescent="0.25">
      <c r="A13" s="214">
        <v>45538</v>
      </c>
      <c r="B13" s="214" t="s">
        <v>3308</v>
      </c>
      <c r="C13" s="231" t="s">
        <v>3309</v>
      </c>
      <c r="D13" s="214" t="s">
        <v>3310</v>
      </c>
      <c r="E13" s="214" t="s">
        <v>281</v>
      </c>
      <c r="F13" s="217">
        <v>179.43</v>
      </c>
      <c r="G13" s="217">
        <v>37.68</v>
      </c>
      <c r="H13" s="214"/>
      <c r="I13" s="207">
        <f t="shared" si="1"/>
        <v>37.68</v>
      </c>
      <c r="J13" s="31"/>
      <c r="K13" s="9">
        <f t="shared" si="0"/>
        <v>217.11</v>
      </c>
      <c r="L13" t="s">
        <v>41</v>
      </c>
    </row>
    <row r="14" spans="1:12" x14ac:dyDescent="0.25">
      <c r="A14" s="214">
        <v>45542</v>
      </c>
      <c r="B14" s="216">
        <v>24011325</v>
      </c>
      <c r="C14" s="231" t="s">
        <v>3157</v>
      </c>
      <c r="D14" s="214" t="s">
        <v>20</v>
      </c>
      <c r="E14" s="214" t="s">
        <v>17</v>
      </c>
      <c r="F14" s="217">
        <v>77.52</v>
      </c>
      <c r="G14" s="217">
        <v>16.28</v>
      </c>
      <c r="H14" s="214"/>
      <c r="I14" s="207">
        <f t="shared" si="1"/>
        <v>16.28</v>
      </c>
      <c r="J14" s="31"/>
      <c r="K14" s="9">
        <f t="shared" si="0"/>
        <v>93.8</v>
      </c>
    </row>
    <row r="15" spans="1:12" x14ac:dyDescent="0.25">
      <c r="A15" s="214">
        <v>45542</v>
      </c>
      <c r="B15" s="216">
        <v>24011313</v>
      </c>
      <c r="C15" s="231" t="s">
        <v>3157</v>
      </c>
      <c r="D15" s="214" t="s">
        <v>20</v>
      </c>
      <c r="E15" s="214" t="s">
        <v>17</v>
      </c>
      <c r="F15" s="219">
        <v>82.64</v>
      </c>
      <c r="G15" s="219">
        <v>17.36</v>
      </c>
      <c r="H15" s="222"/>
      <c r="I15" s="207">
        <f t="shared" si="1"/>
        <v>17.36</v>
      </c>
      <c r="J15" s="31"/>
      <c r="K15" s="9">
        <f t="shared" si="0"/>
        <v>100</v>
      </c>
    </row>
    <row r="16" spans="1:12" x14ac:dyDescent="0.25">
      <c r="A16" s="381">
        <v>45544</v>
      </c>
      <c r="B16" s="381" t="s">
        <v>3317</v>
      </c>
      <c r="C16" s="384" t="s">
        <v>3318</v>
      </c>
      <c r="D16" s="381" t="s">
        <v>3319</v>
      </c>
      <c r="E16" s="386" t="s">
        <v>281</v>
      </c>
      <c r="F16" s="225">
        <v>25.12</v>
      </c>
      <c r="G16" s="225">
        <v>5.27</v>
      </c>
      <c r="H16" s="222"/>
      <c r="I16" s="367">
        <f>G16+H17+H18</f>
        <v>18.22</v>
      </c>
      <c r="J16" s="31"/>
      <c r="K16" s="333">
        <f>F16+F17+F18+F19+I16</f>
        <v>216.48000000000002</v>
      </c>
      <c r="L16" s="389" t="s">
        <v>267</v>
      </c>
    </row>
    <row r="17" spans="1:13" x14ac:dyDescent="0.25">
      <c r="A17" s="382"/>
      <c r="B17" s="382"/>
      <c r="C17" s="388"/>
      <c r="D17" s="382"/>
      <c r="E17" s="390"/>
      <c r="F17" s="226">
        <v>125.04</v>
      </c>
      <c r="G17" s="226"/>
      <c r="H17" s="224">
        <v>12.5</v>
      </c>
      <c r="I17" s="391"/>
      <c r="J17" s="31"/>
      <c r="K17" s="376"/>
      <c r="L17" s="389"/>
    </row>
    <row r="18" spans="1:13" x14ac:dyDescent="0.25">
      <c r="A18" s="382"/>
      <c r="B18" s="382"/>
      <c r="C18" s="388"/>
      <c r="D18" s="382"/>
      <c r="E18" s="390"/>
      <c r="F18" s="226">
        <v>9.08</v>
      </c>
      <c r="G18" s="226"/>
      <c r="H18" s="227">
        <v>0.45</v>
      </c>
      <c r="I18" s="391"/>
      <c r="J18" s="31"/>
      <c r="K18" s="376"/>
      <c r="L18" s="389"/>
      <c r="M18" t="s">
        <v>3177</v>
      </c>
    </row>
    <row r="19" spans="1:13" x14ac:dyDescent="0.25">
      <c r="A19" s="383"/>
      <c r="B19" s="383"/>
      <c r="C19" s="385"/>
      <c r="D19" s="383"/>
      <c r="E19" s="387"/>
      <c r="F19" s="226">
        <v>39.020000000000003</v>
      </c>
      <c r="G19" s="226"/>
      <c r="H19" s="227"/>
      <c r="I19" s="368"/>
      <c r="J19" s="31"/>
      <c r="K19" s="334"/>
      <c r="L19" s="389"/>
      <c r="M19" t="s">
        <v>3320</v>
      </c>
    </row>
    <row r="20" spans="1:13" x14ac:dyDescent="0.25">
      <c r="A20" s="381">
        <v>45544</v>
      </c>
      <c r="B20" s="381" t="s">
        <v>3321</v>
      </c>
      <c r="C20" s="384" t="s">
        <v>310</v>
      </c>
      <c r="D20" s="381" t="s">
        <v>311</v>
      </c>
      <c r="E20" s="386" t="s">
        <v>281</v>
      </c>
      <c r="F20" s="219">
        <v>1.53</v>
      </c>
      <c r="G20" s="219">
        <v>0.32</v>
      </c>
      <c r="H20" s="219"/>
      <c r="I20" s="373">
        <f>G20+H21</f>
        <v>3.7399999999999998</v>
      </c>
      <c r="J20" s="31"/>
      <c r="K20" s="333">
        <f>F20+F21+I20</f>
        <v>39.5</v>
      </c>
      <c r="L20" s="389" t="s">
        <v>267</v>
      </c>
    </row>
    <row r="21" spans="1:13" x14ac:dyDescent="0.25">
      <c r="A21" s="383"/>
      <c r="B21" s="383"/>
      <c r="C21" s="385"/>
      <c r="D21" s="383"/>
      <c r="E21" s="387"/>
      <c r="F21" s="220">
        <v>34.229999999999997</v>
      </c>
      <c r="G21" s="220"/>
      <c r="H21" s="220">
        <v>3.42</v>
      </c>
      <c r="I21" s="375"/>
      <c r="J21" s="31"/>
      <c r="K21" s="334"/>
      <c r="L21" s="389"/>
    </row>
    <row r="22" spans="1:13" x14ac:dyDescent="0.25">
      <c r="A22" s="214">
        <v>45545</v>
      </c>
      <c r="B22" s="216" t="s">
        <v>3352</v>
      </c>
      <c r="C22" s="231" t="s">
        <v>3351</v>
      </c>
      <c r="D22" s="214" t="s">
        <v>2134</v>
      </c>
      <c r="E22" s="214" t="s">
        <v>2135</v>
      </c>
      <c r="F22" s="220">
        <v>80</v>
      </c>
      <c r="G22" s="220">
        <v>16.8</v>
      </c>
      <c r="H22" s="220"/>
      <c r="I22" s="207">
        <f t="shared" si="1"/>
        <v>16.8</v>
      </c>
      <c r="J22" s="31"/>
      <c r="K22" s="9">
        <f t="shared" si="0"/>
        <v>96.8</v>
      </c>
      <c r="L22" t="s">
        <v>267</v>
      </c>
    </row>
    <row r="23" spans="1:13" x14ac:dyDescent="0.25">
      <c r="A23" s="214">
        <v>45545</v>
      </c>
      <c r="B23" s="216" t="s">
        <v>3353</v>
      </c>
      <c r="C23" s="231" t="s">
        <v>536</v>
      </c>
      <c r="D23" s="214" t="s">
        <v>24</v>
      </c>
      <c r="E23" s="214" t="s">
        <v>25</v>
      </c>
      <c r="F23" s="217">
        <v>38.18</v>
      </c>
      <c r="G23" s="217"/>
      <c r="H23" s="217">
        <v>3.82</v>
      </c>
      <c r="I23" s="207">
        <f t="shared" si="1"/>
        <v>3.82</v>
      </c>
      <c r="J23" s="31"/>
      <c r="K23" s="9">
        <f t="shared" si="0"/>
        <v>42</v>
      </c>
      <c r="L23" t="s">
        <v>42</v>
      </c>
    </row>
    <row r="24" spans="1:13" x14ac:dyDescent="0.25">
      <c r="A24" s="214">
        <v>45545</v>
      </c>
      <c r="B24" s="216" t="s">
        <v>3354</v>
      </c>
      <c r="C24" s="231" t="s">
        <v>818</v>
      </c>
      <c r="D24" s="214" t="s">
        <v>3355</v>
      </c>
      <c r="E24" s="214" t="s">
        <v>281</v>
      </c>
      <c r="F24" s="217">
        <v>37.44</v>
      </c>
      <c r="G24" s="217">
        <v>7.86</v>
      </c>
      <c r="H24" s="217"/>
      <c r="I24" s="207">
        <f t="shared" si="1"/>
        <v>7.86</v>
      </c>
      <c r="J24" s="31"/>
      <c r="K24" s="9">
        <f t="shared" si="0"/>
        <v>45.3</v>
      </c>
      <c r="L24" t="s">
        <v>267</v>
      </c>
    </row>
    <row r="25" spans="1:13" x14ac:dyDescent="0.25">
      <c r="A25" s="214">
        <v>45540</v>
      </c>
      <c r="B25" s="214" t="s">
        <v>3356</v>
      </c>
      <c r="C25" s="29" t="s">
        <v>292</v>
      </c>
      <c r="D25" s="36" t="s">
        <v>293</v>
      </c>
      <c r="E25" s="14" t="s">
        <v>792</v>
      </c>
      <c r="F25" s="217">
        <v>208.92</v>
      </c>
      <c r="G25" s="217">
        <v>43.87</v>
      </c>
      <c r="H25" s="217"/>
      <c r="I25" s="207">
        <f t="shared" si="1"/>
        <v>43.87</v>
      </c>
      <c r="J25" s="31"/>
      <c r="K25" s="9">
        <f t="shared" si="0"/>
        <v>252.79</v>
      </c>
      <c r="L25" t="s">
        <v>3300</v>
      </c>
    </row>
    <row r="26" spans="1:13" x14ac:dyDescent="0.25">
      <c r="A26" s="214">
        <v>45546</v>
      </c>
      <c r="B26" s="216" t="s">
        <v>3357</v>
      </c>
      <c r="C26" s="29" t="s">
        <v>302</v>
      </c>
      <c r="D26" s="35" t="s">
        <v>386</v>
      </c>
      <c r="E26" s="14" t="s">
        <v>304</v>
      </c>
      <c r="F26" s="217">
        <v>16</v>
      </c>
      <c r="G26" s="217">
        <v>3.36</v>
      </c>
      <c r="H26" s="217"/>
      <c r="I26" s="207">
        <f t="shared" si="1"/>
        <v>3.36</v>
      </c>
      <c r="J26" s="31"/>
      <c r="K26" s="9">
        <f t="shared" si="0"/>
        <v>19.36</v>
      </c>
      <c r="L26" t="s">
        <v>3300</v>
      </c>
    </row>
    <row r="27" spans="1:13" x14ac:dyDescent="0.25">
      <c r="A27" s="214">
        <v>45540</v>
      </c>
      <c r="B27" s="216">
        <v>149455</v>
      </c>
      <c r="C27" s="28" t="s">
        <v>3134</v>
      </c>
      <c r="D27" s="35" t="s">
        <v>280</v>
      </c>
      <c r="E27" s="29" t="s">
        <v>281</v>
      </c>
      <c r="F27" s="217">
        <v>22.19</v>
      </c>
      <c r="G27" s="217">
        <v>4.66</v>
      </c>
      <c r="H27" s="217"/>
      <c r="I27" s="207">
        <f t="shared" si="1"/>
        <v>4.66</v>
      </c>
      <c r="J27" s="31"/>
      <c r="K27" s="9">
        <f t="shared" si="0"/>
        <v>26.85</v>
      </c>
      <c r="L27" t="s">
        <v>42</v>
      </c>
    </row>
    <row r="28" spans="1:13" x14ac:dyDescent="0.25">
      <c r="A28" s="214">
        <v>45543</v>
      </c>
      <c r="B28" s="216">
        <v>150701</v>
      </c>
      <c r="C28" s="28" t="s">
        <v>3134</v>
      </c>
      <c r="D28" s="35" t="s">
        <v>280</v>
      </c>
      <c r="E28" s="29" t="s">
        <v>281</v>
      </c>
      <c r="F28" s="217">
        <v>5.29</v>
      </c>
      <c r="G28" s="217">
        <v>1.1100000000000001</v>
      </c>
      <c r="H28" s="217"/>
      <c r="I28" s="207">
        <f t="shared" si="1"/>
        <v>1.1100000000000001</v>
      </c>
      <c r="J28" s="31"/>
      <c r="K28" s="9">
        <f t="shared" si="0"/>
        <v>6.4</v>
      </c>
      <c r="L28" t="s">
        <v>42</v>
      </c>
    </row>
    <row r="29" spans="1:13" x14ac:dyDescent="0.25">
      <c r="A29" s="214">
        <v>45545</v>
      </c>
      <c r="B29" s="216" t="s">
        <v>3359</v>
      </c>
      <c r="C29" s="231" t="s">
        <v>3360</v>
      </c>
      <c r="D29" s="214" t="s">
        <v>3361</v>
      </c>
      <c r="E29" s="214" t="s">
        <v>281</v>
      </c>
      <c r="F29" s="217">
        <v>46.28</v>
      </c>
      <c r="G29" s="217">
        <v>9.7200000000000006</v>
      </c>
      <c r="H29" s="217"/>
      <c r="I29" s="207">
        <f t="shared" si="1"/>
        <v>9.7200000000000006</v>
      </c>
      <c r="J29" s="31"/>
      <c r="K29" s="9">
        <f t="shared" si="0"/>
        <v>56</v>
      </c>
      <c r="L29" t="s">
        <v>267</v>
      </c>
    </row>
    <row r="30" spans="1:13" x14ac:dyDescent="0.25">
      <c r="A30" s="214">
        <v>45546</v>
      </c>
      <c r="B30" s="216" t="s">
        <v>3362</v>
      </c>
      <c r="C30" s="106" t="s">
        <v>1424</v>
      </c>
      <c r="D30" s="105" t="s">
        <v>712</v>
      </c>
      <c r="E30" s="107" t="s">
        <v>560</v>
      </c>
      <c r="F30" s="217">
        <v>59.76</v>
      </c>
      <c r="G30" s="217">
        <v>12.55</v>
      </c>
      <c r="H30" s="217"/>
      <c r="I30" s="207">
        <f t="shared" si="1"/>
        <v>12.55</v>
      </c>
      <c r="J30" s="215"/>
      <c r="K30" s="9">
        <f t="shared" si="0"/>
        <v>72.31</v>
      </c>
      <c r="L30" t="s">
        <v>41</v>
      </c>
    </row>
    <row r="31" spans="1:13" x14ac:dyDescent="0.25">
      <c r="A31" s="214">
        <v>45536</v>
      </c>
      <c r="B31" s="216" t="s">
        <v>3363</v>
      </c>
      <c r="C31" s="231" t="s">
        <v>2455</v>
      </c>
      <c r="D31" s="214" t="s">
        <v>2457</v>
      </c>
      <c r="E31" s="214" t="s">
        <v>3364</v>
      </c>
      <c r="F31" s="217">
        <v>99</v>
      </c>
      <c r="G31" s="217">
        <v>20.82</v>
      </c>
      <c r="H31" s="217"/>
      <c r="I31" s="207">
        <f t="shared" si="1"/>
        <v>20.82</v>
      </c>
      <c r="J31" s="215"/>
      <c r="K31" s="9">
        <f t="shared" si="0"/>
        <v>119.82</v>
      </c>
      <c r="L31" t="s">
        <v>267</v>
      </c>
    </row>
    <row r="32" spans="1:13" x14ac:dyDescent="0.25">
      <c r="A32" s="214">
        <v>45546</v>
      </c>
      <c r="B32" s="216" t="s">
        <v>3367</v>
      </c>
      <c r="C32" s="231" t="s">
        <v>3134</v>
      </c>
      <c r="D32" s="214" t="s">
        <v>280</v>
      </c>
      <c r="E32" s="214" t="s">
        <v>281</v>
      </c>
      <c r="F32" s="217">
        <v>2.98</v>
      </c>
      <c r="G32" s="217">
        <v>0.62</v>
      </c>
      <c r="H32" s="217"/>
      <c r="I32" s="207">
        <f t="shared" si="1"/>
        <v>0.62</v>
      </c>
      <c r="J32" s="23"/>
      <c r="K32" s="9">
        <f t="shared" si="0"/>
        <v>3.6</v>
      </c>
      <c r="L32" t="s">
        <v>42</v>
      </c>
    </row>
    <row r="33" spans="1:13" x14ac:dyDescent="0.25">
      <c r="A33" s="214">
        <v>45546</v>
      </c>
      <c r="B33" s="216" t="s">
        <v>3413</v>
      </c>
      <c r="C33" s="231" t="s">
        <v>1424</v>
      </c>
      <c r="D33" s="214" t="s">
        <v>712</v>
      </c>
      <c r="E33" s="214" t="s">
        <v>560</v>
      </c>
      <c r="F33" s="217">
        <v>14.88</v>
      </c>
      <c r="G33" s="217">
        <v>3.12</v>
      </c>
      <c r="H33" s="217"/>
      <c r="I33" s="207">
        <f t="shared" si="1"/>
        <v>3.12</v>
      </c>
      <c r="J33" s="31"/>
      <c r="K33" s="9">
        <f t="shared" si="0"/>
        <v>18</v>
      </c>
      <c r="L33" t="s">
        <v>41</v>
      </c>
    </row>
    <row r="34" spans="1:13" x14ac:dyDescent="0.25">
      <c r="A34" s="214">
        <v>45547</v>
      </c>
      <c r="B34" s="216" t="s">
        <v>3414</v>
      </c>
      <c r="C34" s="231" t="s">
        <v>3134</v>
      </c>
      <c r="D34" s="214" t="s">
        <v>280</v>
      </c>
      <c r="E34" s="214" t="s">
        <v>281</v>
      </c>
      <c r="F34" s="217">
        <v>17.690000000000001</v>
      </c>
      <c r="G34" s="217">
        <v>3.71</v>
      </c>
      <c r="H34" s="217"/>
      <c r="I34" s="207">
        <f t="shared" si="1"/>
        <v>3.71</v>
      </c>
      <c r="J34" s="31"/>
      <c r="K34" s="9">
        <f t="shared" si="0"/>
        <v>21.400000000000002</v>
      </c>
      <c r="L34" t="s">
        <v>42</v>
      </c>
    </row>
    <row r="35" spans="1:13" x14ac:dyDescent="0.25">
      <c r="A35" s="214">
        <v>45548</v>
      </c>
      <c r="B35" s="216" t="s">
        <v>3415</v>
      </c>
      <c r="C35" s="231" t="s">
        <v>397</v>
      </c>
      <c r="D35" s="214" t="s">
        <v>21</v>
      </c>
      <c r="E35" s="214" t="s">
        <v>266</v>
      </c>
      <c r="F35" s="217">
        <v>133.26</v>
      </c>
      <c r="G35" s="217">
        <v>27.98</v>
      </c>
      <c r="H35" s="217"/>
      <c r="I35" s="207">
        <f t="shared" si="1"/>
        <v>27.98</v>
      </c>
      <c r="J35" s="31"/>
      <c r="K35" s="9">
        <f t="shared" si="0"/>
        <v>161.23999999999998</v>
      </c>
      <c r="L35" t="s">
        <v>267</v>
      </c>
    </row>
    <row r="36" spans="1:13" x14ac:dyDescent="0.25">
      <c r="A36" s="214">
        <v>45548</v>
      </c>
      <c r="B36" s="216" t="s">
        <v>3416</v>
      </c>
      <c r="C36" s="231" t="s">
        <v>3417</v>
      </c>
      <c r="D36" s="214" t="s">
        <v>16</v>
      </c>
      <c r="E36" s="214" t="s">
        <v>17</v>
      </c>
      <c r="F36" s="217">
        <v>24.79</v>
      </c>
      <c r="G36" s="217">
        <v>5.21</v>
      </c>
      <c r="H36" s="217"/>
      <c r="I36" s="207">
        <f t="shared" si="1"/>
        <v>5.21</v>
      </c>
      <c r="J36" s="31"/>
      <c r="K36" s="9">
        <f t="shared" si="0"/>
        <v>30</v>
      </c>
      <c r="L36" t="s">
        <v>267</v>
      </c>
    </row>
    <row r="37" spans="1:13" x14ac:dyDescent="0.25">
      <c r="A37" s="214">
        <v>45549</v>
      </c>
      <c r="B37" s="216" t="s">
        <v>3420</v>
      </c>
      <c r="C37" s="231" t="s">
        <v>3421</v>
      </c>
      <c r="D37" s="214" t="s">
        <v>275</v>
      </c>
      <c r="E37" s="214" t="s">
        <v>1476</v>
      </c>
      <c r="F37" s="217">
        <v>185.45</v>
      </c>
      <c r="G37" s="217"/>
      <c r="H37" s="217">
        <v>18.55</v>
      </c>
      <c r="I37" s="207">
        <f t="shared" si="1"/>
        <v>18.55</v>
      </c>
      <c r="J37" s="31"/>
      <c r="K37" s="9">
        <f t="shared" si="0"/>
        <v>204</v>
      </c>
      <c r="L37" t="s">
        <v>42</v>
      </c>
    </row>
    <row r="38" spans="1:13" ht="15" customHeight="1" x14ac:dyDescent="0.25">
      <c r="A38" s="214">
        <v>45550</v>
      </c>
      <c r="B38" s="214" t="s">
        <v>3418</v>
      </c>
      <c r="C38" s="231" t="s">
        <v>3419</v>
      </c>
      <c r="D38" s="214" t="s">
        <v>3096</v>
      </c>
      <c r="E38" s="214" t="s">
        <v>17</v>
      </c>
      <c r="F38" s="217">
        <v>19.100000000000001</v>
      </c>
      <c r="G38" s="217">
        <v>4.01</v>
      </c>
      <c r="H38" s="217"/>
      <c r="I38" s="207">
        <f t="shared" si="1"/>
        <v>4.01</v>
      </c>
      <c r="J38" s="31"/>
      <c r="K38" s="9">
        <f t="shared" si="0"/>
        <v>23.11</v>
      </c>
      <c r="L38" t="s">
        <v>42</v>
      </c>
    </row>
    <row r="39" spans="1:13" x14ac:dyDescent="0.25">
      <c r="A39" s="214">
        <v>45550</v>
      </c>
      <c r="B39" s="214" t="s">
        <v>3422</v>
      </c>
      <c r="C39" s="231" t="s">
        <v>3419</v>
      </c>
      <c r="D39" s="214" t="s">
        <v>3096</v>
      </c>
      <c r="E39" s="214" t="s">
        <v>17</v>
      </c>
      <c r="F39" s="217">
        <v>82.64</v>
      </c>
      <c r="G39" s="217">
        <v>17.36</v>
      </c>
      <c r="H39" s="217"/>
      <c r="I39" s="207">
        <f t="shared" si="1"/>
        <v>17.36</v>
      </c>
      <c r="J39" s="31"/>
      <c r="K39" s="9">
        <f t="shared" si="0"/>
        <v>100</v>
      </c>
      <c r="L39" t="s">
        <v>42</v>
      </c>
    </row>
    <row r="40" spans="1:13" x14ac:dyDescent="0.25">
      <c r="A40" s="214">
        <v>45551</v>
      </c>
      <c r="B40" s="214" t="s">
        <v>3423</v>
      </c>
      <c r="C40" s="231" t="s">
        <v>3417</v>
      </c>
      <c r="D40" s="214" t="s">
        <v>16</v>
      </c>
      <c r="E40" s="214" t="s">
        <v>17</v>
      </c>
      <c r="F40" s="219">
        <v>24.79</v>
      </c>
      <c r="G40" s="219">
        <v>5.21</v>
      </c>
      <c r="H40" s="219"/>
      <c r="I40" s="207">
        <f t="shared" si="1"/>
        <v>5.21</v>
      </c>
      <c r="J40" s="31"/>
      <c r="K40" s="9">
        <f t="shared" si="0"/>
        <v>30</v>
      </c>
      <c r="L40" t="s">
        <v>42</v>
      </c>
    </row>
    <row r="41" spans="1:13" x14ac:dyDescent="0.25">
      <c r="A41" s="381">
        <v>45552</v>
      </c>
      <c r="B41" s="392">
        <v>20600005034</v>
      </c>
      <c r="C41" s="381" t="s">
        <v>3424</v>
      </c>
      <c r="D41" s="381" t="s">
        <v>3425</v>
      </c>
      <c r="E41" s="386" t="s">
        <v>17</v>
      </c>
      <c r="F41" s="225">
        <v>37.67</v>
      </c>
      <c r="G41" s="225">
        <v>7.91</v>
      </c>
      <c r="H41" s="219"/>
      <c r="I41" s="373">
        <f>G41+H42</f>
        <v>8.26</v>
      </c>
      <c r="J41" s="31"/>
      <c r="K41" s="333">
        <f>F41+F42+I41</f>
        <v>49.38</v>
      </c>
    </row>
    <row r="42" spans="1:13" x14ac:dyDescent="0.25">
      <c r="A42" s="383"/>
      <c r="B42" s="393"/>
      <c r="C42" s="383"/>
      <c r="D42" s="383"/>
      <c r="E42" s="387"/>
      <c r="F42" s="249">
        <v>3.45</v>
      </c>
      <c r="G42" s="249"/>
      <c r="H42" s="220">
        <v>0.35</v>
      </c>
      <c r="I42" s="375"/>
      <c r="J42" s="31"/>
      <c r="K42" s="334"/>
      <c r="L42" t="s">
        <v>42</v>
      </c>
    </row>
    <row r="43" spans="1:13" x14ac:dyDescent="0.25">
      <c r="A43" s="214">
        <v>45552</v>
      </c>
      <c r="B43" s="214" t="s">
        <v>3426</v>
      </c>
      <c r="C43" s="231" t="s">
        <v>3427</v>
      </c>
      <c r="D43" s="214" t="s">
        <v>24</v>
      </c>
      <c r="E43" s="214" t="s">
        <v>25</v>
      </c>
      <c r="F43" s="220">
        <v>26.73</v>
      </c>
      <c r="G43" s="220"/>
      <c r="H43" s="220">
        <v>2.67</v>
      </c>
      <c r="I43" s="207">
        <f t="shared" si="1"/>
        <v>2.67</v>
      </c>
      <c r="J43" s="31"/>
      <c r="K43" s="9">
        <f t="shared" si="0"/>
        <v>29.4</v>
      </c>
      <c r="L43" t="s">
        <v>42</v>
      </c>
    </row>
    <row r="44" spans="1:13" x14ac:dyDescent="0.25">
      <c r="A44" s="214">
        <v>45553</v>
      </c>
      <c r="B44" s="214" t="s">
        <v>3428</v>
      </c>
      <c r="C44" s="231" t="s">
        <v>1424</v>
      </c>
      <c r="D44" s="214" t="s">
        <v>712</v>
      </c>
      <c r="E44" s="214" t="s">
        <v>560</v>
      </c>
      <c r="F44" s="217">
        <v>60.84</v>
      </c>
      <c r="G44" s="217">
        <v>12.78</v>
      </c>
      <c r="H44" s="217"/>
      <c r="I44" s="207">
        <f t="shared" si="1"/>
        <v>12.78</v>
      </c>
      <c r="J44" s="31"/>
      <c r="K44" s="9">
        <f t="shared" si="0"/>
        <v>73.62</v>
      </c>
      <c r="L44" t="s">
        <v>41</v>
      </c>
    </row>
    <row r="45" spans="1:13" x14ac:dyDescent="0.25">
      <c r="A45" s="214">
        <v>45553</v>
      </c>
      <c r="B45" s="214" t="s">
        <v>3429</v>
      </c>
      <c r="C45" s="231" t="s">
        <v>3430</v>
      </c>
      <c r="D45" s="214" t="s">
        <v>3347</v>
      </c>
      <c r="E45" s="214" t="s">
        <v>17</v>
      </c>
      <c r="F45" s="217">
        <v>54.02</v>
      </c>
      <c r="G45" s="217">
        <v>9.3800000000000008</v>
      </c>
      <c r="H45" s="217"/>
      <c r="I45" s="207">
        <f t="shared" si="1"/>
        <v>9.3800000000000008</v>
      </c>
      <c r="J45" s="31"/>
      <c r="K45" s="9">
        <f t="shared" si="0"/>
        <v>63.400000000000006</v>
      </c>
      <c r="L45" t="s">
        <v>267</v>
      </c>
    </row>
    <row r="46" spans="1:13" x14ac:dyDescent="0.25">
      <c r="A46" s="214">
        <v>45554</v>
      </c>
      <c r="B46" s="216" t="s">
        <v>3431</v>
      </c>
      <c r="C46" s="28" t="s">
        <v>2112</v>
      </c>
      <c r="D46" s="195" t="s">
        <v>2113</v>
      </c>
      <c r="E46" s="14" t="s">
        <v>2114</v>
      </c>
      <c r="F46" s="217">
        <v>29.56</v>
      </c>
      <c r="G46" s="217">
        <v>6.21</v>
      </c>
      <c r="H46" s="250">
        <v>4.18</v>
      </c>
      <c r="I46" s="207">
        <f t="shared" si="1"/>
        <v>10.39</v>
      </c>
      <c r="J46" s="31"/>
      <c r="K46" s="9">
        <f t="shared" si="0"/>
        <v>39.950000000000003</v>
      </c>
      <c r="L46" t="s">
        <v>42</v>
      </c>
      <c r="M46" t="s">
        <v>2329</v>
      </c>
    </row>
    <row r="47" spans="1:13" x14ac:dyDescent="0.25">
      <c r="A47" s="214">
        <v>45554</v>
      </c>
      <c r="B47" s="216" t="s">
        <v>3432</v>
      </c>
      <c r="C47" s="28" t="s">
        <v>2112</v>
      </c>
      <c r="D47" s="195" t="s">
        <v>2113</v>
      </c>
      <c r="E47" s="14" t="s">
        <v>2114</v>
      </c>
      <c r="F47" s="217">
        <v>29.56</v>
      </c>
      <c r="G47" s="217">
        <v>6.21</v>
      </c>
      <c r="H47" s="250">
        <v>4.18</v>
      </c>
      <c r="I47" s="207">
        <f t="shared" si="1"/>
        <v>10.39</v>
      </c>
      <c r="J47" s="31"/>
      <c r="K47" s="9">
        <f t="shared" si="0"/>
        <v>39.950000000000003</v>
      </c>
      <c r="L47" t="s">
        <v>42</v>
      </c>
      <c r="M47" t="s">
        <v>2329</v>
      </c>
    </row>
    <row r="48" spans="1:13" x14ac:dyDescent="0.25">
      <c r="A48" s="214">
        <v>45555</v>
      </c>
      <c r="B48" s="216" t="s">
        <v>3433</v>
      </c>
      <c r="C48" s="231" t="s">
        <v>3434</v>
      </c>
      <c r="D48" s="214" t="s">
        <v>3435</v>
      </c>
      <c r="E48" s="214" t="s">
        <v>17</v>
      </c>
      <c r="F48" s="217">
        <v>46.29</v>
      </c>
      <c r="G48" s="217">
        <v>9.7200000000000006</v>
      </c>
      <c r="H48" s="217"/>
      <c r="I48" s="207">
        <f t="shared" si="1"/>
        <v>9.7200000000000006</v>
      </c>
      <c r="J48" s="31"/>
      <c r="K48" s="9">
        <f t="shared" si="0"/>
        <v>56.01</v>
      </c>
      <c r="L48" t="s">
        <v>267</v>
      </c>
    </row>
    <row r="49" spans="1:12" x14ac:dyDescent="0.25">
      <c r="A49" s="214">
        <v>45555</v>
      </c>
      <c r="B49" s="216" t="s">
        <v>3436</v>
      </c>
      <c r="C49" s="231" t="s">
        <v>3157</v>
      </c>
      <c r="D49" s="214" t="s">
        <v>20</v>
      </c>
      <c r="E49" s="214" t="s">
        <v>17</v>
      </c>
      <c r="F49" s="217">
        <v>24.79</v>
      </c>
      <c r="G49" s="217">
        <v>5.21</v>
      </c>
      <c r="H49" s="217"/>
      <c r="I49" s="207">
        <f t="shared" si="1"/>
        <v>5.21</v>
      </c>
      <c r="J49" s="31"/>
      <c r="K49" s="9">
        <f t="shared" si="0"/>
        <v>30</v>
      </c>
      <c r="L49" t="s">
        <v>42</v>
      </c>
    </row>
    <row r="50" spans="1:12" x14ac:dyDescent="0.25">
      <c r="A50" s="214">
        <v>45555</v>
      </c>
      <c r="B50" s="216" t="s">
        <v>3437</v>
      </c>
      <c r="C50" s="231" t="s">
        <v>3438</v>
      </c>
      <c r="D50" s="214" t="s">
        <v>3439</v>
      </c>
      <c r="E50" s="214" t="s">
        <v>281</v>
      </c>
      <c r="F50" s="217">
        <v>30.19</v>
      </c>
      <c r="G50" s="217">
        <v>6.34</v>
      </c>
      <c r="H50" s="217"/>
      <c r="I50" s="207">
        <f t="shared" si="1"/>
        <v>6.34</v>
      </c>
      <c r="J50" s="215"/>
      <c r="K50" s="9">
        <f t="shared" si="0"/>
        <v>36.53</v>
      </c>
      <c r="L50" t="s">
        <v>267</v>
      </c>
    </row>
    <row r="51" spans="1:12" x14ac:dyDescent="0.25">
      <c r="A51" s="214">
        <v>45555</v>
      </c>
      <c r="B51" s="216" t="s">
        <v>3440</v>
      </c>
      <c r="C51" s="231" t="s">
        <v>397</v>
      </c>
      <c r="D51" s="214" t="s">
        <v>21</v>
      </c>
      <c r="E51" s="214" t="s">
        <v>266</v>
      </c>
      <c r="F51" s="217">
        <v>99.34</v>
      </c>
      <c r="G51" s="217">
        <v>20.86</v>
      </c>
      <c r="H51" s="217"/>
      <c r="I51" s="207">
        <f t="shared" si="1"/>
        <v>20.86</v>
      </c>
      <c r="J51" s="215"/>
      <c r="K51" s="9">
        <f t="shared" si="0"/>
        <v>120.2</v>
      </c>
      <c r="L51" t="s">
        <v>267</v>
      </c>
    </row>
    <row r="52" spans="1:12" x14ac:dyDescent="0.25">
      <c r="A52" s="214">
        <v>45556</v>
      </c>
      <c r="B52" s="216" t="s">
        <v>3441</v>
      </c>
      <c r="C52" s="231" t="s">
        <v>3417</v>
      </c>
      <c r="D52" s="214" t="s">
        <v>16</v>
      </c>
      <c r="E52" s="214" t="s">
        <v>17</v>
      </c>
      <c r="F52" s="219">
        <v>46.71</v>
      </c>
      <c r="G52" s="219">
        <v>9.81</v>
      </c>
      <c r="H52" s="219"/>
      <c r="I52" s="207">
        <f t="shared" si="1"/>
        <v>9.81</v>
      </c>
      <c r="J52" s="215"/>
      <c r="K52" s="9">
        <f t="shared" si="0"/>
        <v>56.52</v>
      </c>
      <c r="L52" t="s">
        <v>42</v>
      </c>
    </row>
    <row r="53" spans="1:12" x14ac:dyDescent="0.25">
      <c r="A53" s="381">
        <v>45556</v>
      </c>
      <c r="B53" s="392" t="s">
        <v>3442</v>
      </c>
      <c r="C53" s="381" t="s">
        <v>3443</v>
      </c>
      <c r="D53" s="381" t="s">
        <v>3444</v>
      </c>
      <c r="E53" s="386" t="s">
        <v>17</v>
      </c>
      <c r="F53" s="225">
        <v>42.14</v>
      </c>
      <c r="G53" s="225">
        <v>8.85</v>
      </c>
      <c r="H53" s="219"/>
      <c r="I53" s="394">
        <f>G53+H54</f>
        <v>9.23</v>
      </c>
      <c r="J53" s="215"/>
      <c r="K53" s="333">
        <f>F53+F54+I53</f>
        <v>55.180000000000007</v>
      </c>
    </row>
    <row r="54" spans="1:12" x14ac:dyDescent="0.25">
      <c r="A54" s="383"/>
      <c r="B54" s="393"/>
      <c r="C54" s="383"/>
      <c r="D54" s="383"/>
      <c r="E54" s="387"/>
      <c r="F54" s="249">
        <v>3.81</v>
      </c>
      <c r="G54" s="249"/>
      <c r="H54" s="220">
        <v>0.38</v>
      </c>
      <c r="I54" s="395"/>
      <c r="J54" s="31"/>
      <c r="K54" s="334"/>
      <c r="L54" t="s">
        <v>267</v>
      </c>
    </row>
    <row r="55" spans="1:12" x14ac:dyDescent="0.25">
      <c r="A55" s="214">
        <v>45557</v>
      </c>
      <c r="B55" s="216" t="s">
        <v>3445</v>
      </c>
      <c r="C55" s="231" t="s">
        <v>3417</v>
      </c>
      <c r="D55" s="214" t="s">
        <v>16</v>
      </c>
      <c r="E55" s="214" t="s">
        <v>17</v>
      </c>
      <c r="F55" s="220">
        <v>83.1</v>
      </c>
      <c r="G55" s="220">
        <v>17.45</v>
      </c>
      <c r="H55" s="220"/>
      <c r="I55" s="207">
        <f t="shared" si="1"/>
        <v>17.45</v>
      </c>
      <c r="J55" s="31"/>
      <c r="K55" s="9">
        <f t="shared" si="0"/>
        <v>100.55</v>
      </c>
      <c r="L55" t="s">
        <v>42</v>
      </c>
    </row>
    <row r="56" spans="1:12" x14ac:dyDescent="0.25">
      <c r="A56" s="214">
        <v>45557</v>
      </c>
      <c r="B56" s="216" t="s">
        <v>3446</v>
      </c>
      <c r="C56" s="231" t="s">
        <v>3417</v>
      </c>
      <c r="D56" s="214" t="s">
        <v>16</v>
      </c>
      <c r="E56" s="214" t="s">
        <v>17</v>
      </c>
      <c r="F56" s="219">
        <v>83.1</v>
      </c>
      <c r="G56" s="219">
        <v>17.45</v>
      </c>
      <c r="H56" s="219"/>
      <c r="I56" s="207">
        <f t="shared" si="1"/>
        <v>17.45</v>
      </c>
      <c r="J56" s="31"/>
      <c r="K56" s="9">
        <f t="shared" si="0"/>
        <v>100.55</v>
      </c>
      <c r="L56" t="s">
        <v>42</v>
      </c>
    </row>
    <row r="57" spans="1:12" x14ac:dyDescent="0.25">
      <c r="A57" s="381">
        <v>45557</v>
      </c>
      <c r="B57" s="392" t="s">
        <v>3447</v>
      </c>
      <c r="C57" s="381" t="s">
        <v>322</v>
      </c>
      <c r="D57" s="381" t="s">
        <v>323</v>
      </c>
      <c r="E57" s="386" t="s">
        <v>17</v>
      </c>
      <c r="F57" s="225">
        <v>33.229999999999997</v>
      </c>
      <c r="G57" s="225">
        <v>6.98</v>
      </c>
      <c r="H57" s="219"/>
      <c r="I57" s="367">
        <f>G57+H58</f>
        <v>7.0900000000000007</v>
      </c>
      <c r="J57" s="31"/>
      <c r="K57" s="333">
        <f>F57+F58+I57</f>
        <v>41.410000000000004</v>
      </c>
    </row>
    <row r="58" spans="1:12" x14ac:dyDescent="0.25">
      <c r="A58" s="383"/>
      <c r="B58" s="393"/>
      <c r="C58" s="383"/>
      <c r="D58" s="383"/>
      <c r="E58" s="387"/>
      <c r="F58" s="249">
        <v>1.0900000000000001</v>
      </c>
      <c r="G58" s="249"/>
      <c r="H58" s="220">
        <v>0.11</v>
      </c>
      <c r="I58" s="368"/>
      <c r="J58" s="31"/>
      <c r="K58" s="334"/>
      <c r="L58" t="s">
        <v>267</v>
      </c>
    </row>
    <row r="59" spans="1:12" x14ac:dyDescent="0.25">
      <c r="A59" s="214">
        <v>45558</v>
      </c>
      <c r="B59" s="216" t="s">
        <v>3471</v>
      </c>
      <c r="C59" s="231" t="s">
        <v>3417</v>
      </c>
      <c r="D59" s="214" t="s">
        <v>3472</v>
      </c>
      <c r="E59" s="214" t="s">
        <v>17</v>
      </c>
      <c r="F59" s="220">
        <v>42.34</v>
      </c>
      <c r="G59" s="220">
        <v>8.89</v>
      </c>
      <c r="H59" s="220"/>
      <c r="I59" s="207">
        <f t="shared" si="1"/>
        <v>8.89</v>
      </c>
      <c r="J59" s="31"/>
      <c r="K59" s="9">
        <f t="shared" si="0"/>
        <v>51.230000000000004</v>
      </c>
      <c r="L59" t="s">
        <v>42</v>
      </c>
    </row>
    <row r="60" spans="1:12" x14ac:dyDescent="0.25">
      <c r="A60" s="214">
        <v>45559</v>
      </c>
      <c r="B60" s="216" t="s">
        <v>3473</v>
      </c>
      <c r="C60" s="231" t="s">
        <v>3157</v>
      </c>
      <c r="D60" s="214" t="s">
        <v>20</v>
      </c>
      <c r="E60" s="214" t="s">
        <v>17</v>
      </c>
      <c r="F60" s="217">
        <v>39.71</v>
      </c>
      <c r="G60" s="217">
        <v>8.34</v>
      </c>
      <c r="H60" s="217"/>
      <c r="I60" s="207">
        <f t="shared" si="1"/>
        <v>8.34</v>
      </c>
      <c r="J60" s="31"/>
      <c r="K60" s="9">
        <f t="shared" si="0"/>
        <v>48.05</v>
      </c>
      <c r="L60" t="s">
        <v>42</v>
      </c>
    </row>
    <row r="61" spans="1:12" x14ac:dyDescent="0.25">
      <c r="A61" s="214">
        <v>45560</v>
      </c>
      <c r="B61" s="216" t="s">
        <v>3476</v>
      </c>
      <c r="C61" s="231" t="s">
        <v>3303</v>
      </c>
      <c r="D61" s="214" t="s">
        <v>401</v>
      </c>
      <c r="E61" s="214" t="s">
        <v>578</v>
      </c>
      <c r="F61" s="217">
        <v>96.95</v>
      </c>
      <c r="G61" s="217">
        <v>20.36</v>
      </c>
      <c r="H61" s="217"/>
      <c r="I61" s="207">
        <f t="shared" si="1"/>
        <v>20.36</v>
      </c>
      <c r="J61" s="31"/>
      <c r="K61" s="9">
        <f t="shared" si="0"/>
        <v>117.31</v>
      </c>
      <c r="L61" t="s">
        <v>267</v>
      </c>
    </row>
    <row r="62" spans="1:12" x14ac:dyDescent="0.25">
      <c r="A62" s="214">
        <v>45561</v>
      </c>
      <c r="B62" s="216" t="s">
        <v>3477</v>
      </c>
      <c r="C62" s="231" t="s">
        <v>322</v>
      </c>
      <c r="D62" s="214" t="s">
        <v>736</v>
      </c>
      <c r="E62" s="214" t="s">
        <v>17</v>
      </c>
      <c r="F62" s="217">
        <v>8.7899999999999991</v>
      </c>
      <c r="G62" s="217">
        <v>1.85</v>
      </c>
      <c r="H62" s="217"/>
      <c r="I62" s="207">
        <f t="shared" si="1"/>
        <v>1.85</v>
      </c>
      <c r="J62" s="31"/>
      <c r="K62" s="9">
        <f t="shared" si="0"/>
        <v>10.639999999999999</v>
      </c>
      <c r="L62" t="s">
        <v>267</v>
      </c>
    </row>
    <row r="63" spans="1:12" x14ac:dyDescent="0.25">
      <c r="A63" s="214">
        <v>45561</v>
      </c>
      <c r="B63" s="216" t="s">
        <v>3478</v>
      </c>
      <c r="C63" s="231" t="s">
        <v>322</v>
      </c>
      <c r="D63" s="214" t="s">
        <v>736</v>
      </c>
      <c r="E63" s="214" t="s">
        <v>17</v>
      </c>
      <c r="F63" s="217">
        <v>51.5</v>
      </c>
      <c r="G63" s="217">
        <v>10.81</v>
      </c>
      <c r="H63" s="217"/>
      <c r="I63" s="207">
        <f t="shared" si="1"/>
        <v>10.81</v>
      </c>
      <c r="J63" s="31"/>
      <c r="K63" s="9">
        <f t="shared" si="0"/>
        <v>62.31</v>
      </c>
      <c r="L63" t="s">
        <v>267</v>
      </c>
    </row>
    <row r="64" spans="1:12" x14ac:dyDescent="0.25">
      <c r="A64" s="214">
        <v>45563</v>
      </c>
      <c r="B64" s="216" t="s">
        <v>3510</v>
      </c>
      <c r="C64" s="231" t="s">
        <v>3511</v>
      </c>
      <c r="D64" s="214" t="s">
        <v>3512</v>
      </c>
      <c r="E64" s="214" t="s">
        <v>578</v>
      </c>
      <c r="F64" s="217">
        <v>45.87</v>
      </c>
      <c r="G64" s="217">
        <v>9.6300000000000008</v>
      </c>
      <c r="H64" s="217"/>
      <c r="I64" s="207">
        <f t="shared" si="1"/>
        <v>9.6300000000000008</v>
      </c>
      <c r="J64" s="31"/>
      <c r="K64" s="9">
        <f t="shared" si="0"/>
        <v>55.5</v>
      </c>
      <c r="L64" t="s">
        <v>267</v>
      </c>
    </row>
    <row r="65" spans="1:13" x14ac:dyDescent="0.25">
      <c r="A65" s="104">
        <v>45563</v>
      </c>
      <c r="B65" s="213" t="s">
        <v>3513</v>
      </c>
      <c r="C65" s="107" t="s">
        <v>3134</v>
      </c>
      <c r="D65" s="154" t="s">
        <v>280</v>
      </c>
      <c r="E65" s="107" t="s">
        <v>281</v>
      </c>
      <c r="F65" s="16">
        <v>19.05</v>
      </c>
      <c r="G65" s="16">
        <v>4</v>
      </c>
      <c r="H65" s="16"/>
      <c r="I65" s="207">
        <f t="shared" si="1"/>
        <v>4</v>
      </c>
      <c r="J65" s="31"/>
      <c r="K65" s="9">
        <f t="shared" si="0"/>
        <v>23.05</v>
      </c>
      <c r="L65" t="s">
        <v>42</v>
      </c>
    </row>
    <row r="66" spans="1:13" x14ac:dyDescent="0.25">
      <c r="A66" s="33">
        <v>45563</v>
      </c>
      <c r="B66" s="34" t="s">
        <v>3514</v>
      </c>
      <c r="C66" s="29" t="s">
        <v>3417</v>
      </c>
      <c r="D66" s="35" t="s">
        <v>16</v>
      </c>
      <c r="E66" s="29" t="s">
        <v>17</v>
      </c>
      <c r="F66" s="22" t="s">
        <v>3515</v>
      </c>
      <c r="G66" s="22">
        <v>5.21</v>
      </c>
      <c r="H66" s="22"/>
      <c r="I66" s="207">
        <f t="shared" si="1"/>
        <v>5.21</v>
      </c>
      <c r="J66" s="31"/>
      <c r="K66" s="9">
        <v>30</v>
      </c>
      <c r="L66" t="s">
        <v>42</v>
      </c>
    </row>
    <row r="67" spans="1:13" x14ac:dyDescent="0.25">
      <c r="A67" s="33">
        <v>45564</v>
      </c>
      <c r="B67" s="34" t="s">
        <v>3516</v>
      </c>
      <c r="C67" s="29" t="s">
        <v>3417</v>
      </c>
      <c r="D67" s="154" t="s">
        <v>16</v>
      </c>
      <c r="E67" s="29" t="s">
        <v>17</v>
      </c>
      <c r="F67" s="22">
        <v>20.21</v>
      </c>
      <c r="G67" s="22">
        <v>4.25</v>
      </c>
      <c r="H67" s="22"/>
      <c r="I67" s="207">
        <f t="shared" si="1"/>
        <v>4.25</v>
      </c>
      <c r="J67" s="31"/>
      <c r="K67" s="9">
        <f t="shared" si="0"/>
        <v>24.46</v>
      </c>
      <c r="L67" t="s">
        <v>42</v>
      </c>
    </row>
    <row r="68" spans="1:13" x14ac:dyDescent="0.25">
      <c r="A68" s="33">
        <v>45549</v>
      </c>
      <c r="B68" s="34" t="s">
        <v>3672</v>
      </c>
      <c r="C68" s="29" t="s">
        <v>551</v>
      </c>
      <c r="D68" s="35" t="s">
        <v>545</v>
      </c>
      <c r="E68" s="29" t="s">
        <v>17</v>
      </c>
      <c r="F68" s="22">
        <v>41.32</v>
      </c>
      <c r="G68" s="22">
        <v>8.68</v>
      </c>
      <c r="H68" s="22"/>
      <c r="I68" s="207">
        <f t="shared" si="1"/>
        <v>8.68</v>
      </c>
      <c r="J68" s="31"/>
      <c r="K68" s="9">
        <f t="shared" si="0"/>
        <v>50</v>
      </c>
      <c r="L68" t="s">
        <v>42</v>
      </c>
    </row>
    <row r="69" spans="1:13" x14ac:dyDescent="0.25">
      <c r="A69" s="33">
        <v>45559</v>
      </c>
      <c r="B69" s="34" t="s">
        <v>3673</v>
      </c>
      <c r="C69" s="231" t="s">
        <v>3427</v>
      </c>
      <c r="D69" s="214" t="s">
        <v>24</v>
      </c>
      <c r="E69" s="214" t="s">
        <v>25</v>
      </c>
      <c r="F69" s="22">
        <v>30.54</v>
      </c>
      <c r="G69" s="22">
        <v>3.05</v>
      </c>
      <c r="H69" s="22"/>
      <c r="I69" s="207">
        <f t="shared" si="1"/>
        <v>3.05</v>
      </c>
      <c r="J69" s="31"/>
      <c r="K69" s="9">
        <f t="shared" si="0"/>
        <v>33.589999999999996</v>
      </c>
      <c r="L69" t="s">
        <v>42</v>
      </c>
    </row>
    <row r="70" spans="1:13" x14ac:dyDescent="0.25">
      <c r="A70" s="33">
        <v>45555</v>
      </c>
      <c r="B70" s="34" t="s">
        <v>3674</v>
      </c>
      <c r="C70" s="29" t="s">
        <v>3134</v>
      </c>
      <c r="D70" s="35" t="s">
        <v>280</v>
      </c>
      <c r="E70" s="29" t="s">
        <v>281</v>
      </c>
      <c r="F70" s="22">
        <v>7.19</v>
      </c>
      <c r="G70" s="22">
        <v>1.1499999999999999</v>
      </c>
      <c r="H70" s="22"/>
      <c r="I70" s="207">
        <f t="shared" si="1"/>
        <v>1.1499999999999999</v>
      </c>
      <c r="J70" s="31"/>
      <c r="K70" s="9">
        <f t="shared" si="0"/>
        <v>8.34</v>
      </c>
      <c r="L70" t="s">
        <v>42</v>
      </c>
    </row>
    <row r="71" spans="1:13" x14ac:dyDescent="0.25">
      <c r="A71" s="33">
        <v>45562</v>
      </c>
      <c r="B71" s="34" t="s">
        <v>3675</v>
      </c>
      <c r="C71" s="29" t="s">
        <v>3676</v>
      </c>
      <c r="D71" s="35" t="s">
        <v>712</v>
      </c>
      <c r="E71" s="29" t="s">
        <v>560</v>
      </c>
      <c r="F71" s="22">
        <v>14.1</v>
      </c>
      <c r="G71" s="22">
        <v>2.96</v>
      </c>
      <c r="H71" s="22"/>
      <c r="I71" s="207">
        <f t="shared" ref="I71:I95" si="2">G71+H71</f>
        <v>2.96</v>
      </c>
      <c r="J71" s="31"/>
      <c r="K71" s="9">
        <f t="shared" si="0"/>
        <v>17.059999999999999</v>
      </c>
      <c r="L71" t="s">
        <v>41</v>
      </c>
    </row>
    <row r="72" spans="1:13" x14ac:dyDescent="0.25">
      <c r="A72" s="33">
        <v>45559</v>
      </c>
      <c r="B72" s="34" t="s">
        <v>3677</v>
      </c>
      <c r="C72" s="29" t="s">
        <v>1424</v>
      </c>
      <c r="D72" s="35" t="s">
        <v>712</v>
      </c>
      <c r="E72" s="29" t="s">
        <v>560</v>
      </c>
      <c r="F72" s="22">
        <v>84.96</v>
      </c>
      <c r="G72" s="22">
        <v>17.84</v>
      </c>
      <c r="H72" s="22"/>
      <c r="I72" s="207">
        <f t="shared" si="2"/>
        <v>17.84</v>
      </c>
      <c r="J72" s="31"/>
      <c r="K72" s="9">
        <f t="shared" si="0"/>
        <v>102.8</v>
      </c>
      <c r="L72" t="s">
        <v>41</v>
      </c>
    </row>
    <row r="73" spans="1:13" x14ac:dyDescent="0.25">
      <c r="A73" s="33">
        <v>45551</v>
      </c>
      <c r="B73" s="34" t="s">
        <v>3679</v>
      </c>
      <c r="C73" s="29" t="s">
        <v>302</v>
      </c>
      <c r="D73" s="35" t="s">
        <v>386</v>
      </c>
      <c r="E73" s="14" t="s">
        <v>304</v>
      </c>
      <c r="F73" s="22">
        <v>23.75</v>
      </c>
      <c r="G73" s="22">
        <v>4.99</v>
      </c>
      <c r="H73" s="22"/>
      <c r="I73" s="207">
        <f t="shared" si="2"/>
        <v>4.99</v>
      </c>
      <c r="J73" s="31"/>
      <c r="K73" s="9">
        <f t="shared" si="0"/>
        <v>28.740000000000002</v>
      </c>
    </row>
    <row r="74" spans="1:13" x14ac:dyDescent="0.25">
      <c r="A74" s="33">
        <v>45554</v>
      </c>
      <c r="B74" s="34" t="s">
        <v>3680</v>
      </c>
      <c r="C74" s="29" t="s">
        <v>302</v>
      </c>
      <c r="D74" s="35" t="s">
        <v>386</v>
      </c>
      <c r="E74" s="14" t="s">
        <v>304</v>
      </c>
      <c r="F74" s="22">
        <v>29.99</v>
      </c>
      <c r="G74" s="22">
        <v>6.3</v>
      </c>
      <c r="H74" s="22"/>
      <c r="I74" s="207">
        <f t="shared" si="2"/>
        <v>6.3</v>
      </c>
      <c r="J74" s="31"/>
      <c r="K74" s="9">
        <f t="shared" si="0"/>
        <v>36.29</v>
      </c>
    </row>
    <row r="75" spans="1:13" x14ac:dyDescent="0.25">
      <c r="A75" s="33" t="s">
        <v>3678</v>
      </c>
      <c r="B75" s="34" t="s">
        <v>3681</v>
      </c>
      <c r="C75" s="29" t="s">
        <v>302</v>
      </c>
      <c r="D75" s="35" t="s">
        <v>386</v>
      </c>
      <c r="E75" s="14" t="s">
        <v>304</v>
      </c>
      <c r="F75" s="22">
        <v>29.99</v>
      </c>
      <c r="G75" s="22">
        <v>6.3</v>
      </c>
      <c r="H75" s="22"/>
      <c r="I75" s="207">
        <f t="shared" si="2"/>
        <v>6.3</v>
      </c>
      <c r="J75" s="31"/>
      <c r="K75" s="9">
        <f t="shared" si="0"/>
        <v>36.29</v>
      </c>
    </row>
    <row r="76" spans="1:13" x14ac:dyDescent="0.25">
      <c r="A76" s="33">
        <v>45557</v>
      </c>
      <c r="B76" s="34" t="s">
        <v>3682</v>
      </c>
      <c r="C76" s="29" t="s">
        <v>302</v>
      </c>
      <c r="D76" s="35" t="s">
        <v>386</v>
      </c>
      <c r="E76" s="14" t="s">
        <v>304</v>
      </c>
      <c r="F76" s="22">
        <v>29.99</v>
      </c>
      <c r="G76" s="22">
        <v>6.3</v>
      </c>
      <c r="H76" s="22"/>
      <c r="I76" s="207">
        <f t="shared" si="2"/>
        <v>6.3</v>
      </c>
      <c r="J76" s="31"/>
      <c r="K76" s="9">
        <f t="shared" si="0"/>
        <v>36.29</v>
      </c>
    </row>
    <row r="77" spans="1:13" x14ac:dyDescent="0.25">
      <c r="A77" s="33">
        <v>45552</v>
      </c>
      <c r="B77" s="34" t="s">
        <v>3688</v>
      </c>
      <c r="C77" s="29" t="s">
        <v>3690</v>
      </c>
      <c r="D77" s="35" t="s">
        <v>3691</v>
      </c>
      <c r="E77" s="29" t="s">
        <v>281</v>
      </c>
      <c r="F77" s="22">
        <v>274.52999999999997</v>
      </c>
      <c r="G77" s="22">
        <v>56.2</v>
      </c>
      <c r="H77" s="172">
        <v>0.31</v>
      </c>
      <c r="I77" s="207">
        <f t="shared" si="2"/>
        <v>56.510000000000005</v>
      </c>
      <c r="J77" s="31"/>
      <c r="K77" s="9">
        <f t="shared" si="0"/>
        <v>331.03999999999996</v>
      </c>
      <c r="L77" t="s">
        <v>267</v>
      </c>
      <c r="M77" s="257">
        <v>4.4999999999999998E-2</v>
      </c>
    </row>
    <row r="78" spans="1:13" x14ac:dyDescent="0.25">
      <c r="A78" s="33">
        <v>45560</v>
      </c>
      <c r="B78" s="34" t="s">
        <v>3689</v>
      </c>
      <c r="C78" s="29" t="s">
        <v>3690</v>
      </c>
      <c r="D78" s="35" t="s">
        <v>3691</v>
      </c>
      <c r="E78" s="29" t="s">
        <v>281</v>
      </c>
      <c r="F78" s="22">
        <v>20.77</v>
      </c>
      <c r="G78" s="22">
        <v>2.5</v>
      </c>
      <c r="H78" s="22"/>
      <c r="I78" s="207">
        <f t="shared" si="2"/>
        <v>2.5</v>
      </c>
      <c r="J78" s="31"/>
      <c r="K78" s="9">
        <f t="shared" si="0"/>
        <v>23.27</v>
      </c>
    </row>
    <row r="79" spans="1:13" x14ac:dyDescent="0.25">
      <c r="A79" s="33">
        <v>45560</v>
      </c>
      <c r="B79" s="34" t="s">
        <v>3692</v>
      </c>
      <c r="C79" s="28" t="s">
        <v>698</v>
      </c>
      <c r="D79" s="35" t="s">
        <v>289</v>
      </c>
      <c r="E79" s="29" t="s">
        <v>699</v>
      </c>
      <c r="F79" s="22">
        <v>166.35</v>
      </c>
      <c r="G79" s="22">
        <v>34.93</v>
      </c>
      <c r="H79" s="22"/>
      <c r="I79" s="207">
        <f t="shared" si="2"/>
        <v>34.93</v>
      </c>
      <c r="J79" s="31"/>
      <c r="K79" s="9">
        <f t="shared" si="0"/>
        <v>201.28</v>
      </c>
      <c r="L79" t="s">
        <v>3300</v>
      </c>
    </row>
    <row r="80" spans="1:13" x14ac:dyDescent="0.25">
      <c r="A80" s="33">
        <v>45560</v>
      </c>
      <c r="B80" s="34" t="s">
        <v>3693</v>
      </c>
      <c r="C80" s="28" t="s">
        <v>3155</v>
      </c>
      <c r="D80" s="35" t="s">
        <v>2384</v>
      </c>
      <c r="E80" s="29" t="s">
        <v>699</v>
      </c>
      <c r="F80" s="22">
        <v>64.47</v>
      </c>
      <c r="G80" s="22">
        <v>13.53</v>
      </c>
      <c r="H80" s="22"/>
      <c r="I80" s="207">
        <f t="shared" si="2"/>
        <v>13.53</v>
      </c>
      <c r="J80" s="31"/>
      <c r="K80" s="9">
        <f t="shared" si="0"/>
        <v>78</v>
      </c>
      <c r="L80" t="s">
        <v>3300</v>
      </c>
    </row>
    <row r="81" spans="1:12" x14ac:dyDescent="0.25">
      <c r="A81" s="33">
        <v>45555</v>
      </c>
      <c r="B81" s="34" t="s">
        <v>3694</v>
      </c>
      <c r="C81" s="28" t="s">
        <v>815</v>
      </c>
      <c r="D81" s="35" t="s">
        <v>387</v>
      </c>
      <c r="E81" s="29" t="s">
        <v>389</v>
      </c>
      <c r="F81" s="22">
        <v>387.6</v>
      </c>
      <c r="G81" s="22">
        <v>81.400000000000006</v>
      </c>
      <c r="H81" s="22"/>
      <c r="I81" s="207">
        <f t="shared" si="2"/>
        <v>81.400000000000006</v>
      </c>
      <c r="J81" s="31"/>
      <c r="K81" s="9">
        <f t="shared" si="0"/>
        <v>469</v>
      </c>
      <c r="L81" t="s">
        <v>3300</v>
      </c>
    </row>
    <row r="82" spans="1:12" x14ac:dyDescent="0.25">
      <c r="A82" s="33">
        <v>45555</v>
      </c>
      <c r="B82" s="34" t="s">
        <v>3695</v>
      </c>
      <c r="C82" s="28" t="s">
        <v>385</v>
      </c>
      <c r="D82" s="35" t="s">
        <v>388</v>
      </c>
      <c r="E82" s="29" t="s">
        <v>389</v>
      </c>
      <c r="F82" s="22">
        <v>4.95</v>
      </c>
      <c r="G82" s="22">
        <v>1.04</v>
      </c>
      <c r="H82" s="22"/>
      <c r="I82" s="207">
        <f t="shared" si="2"/>
        <v>1.04</v>
      </c>
      <c r="J82" s="31"/>
      <c r="K82" s="9">
        <f t="shared" si="0"/>
        <v>5.99</v>
      </c>
      <c r="L82" t="s">
        <v>3300</v>
      </c>
    </row>
    <row r="83" spans="1:12" x14ac:dyDescent="0.25">
      <c r="A83" s="33">
        <v>45550</v>
      </c>
      <c r="B83" s="34" t="s">
        <v>3697</v>
      </c>
      <c r="C83" s="29" t="s">
        <v>3699</v>
      </c>
      <c r="D83" s="35" t="s">
        <v>3698</v>
      </c>
      <c r="E83" s="29" t="s">
        <v>281</v>
      </c>
      <c r="F83" s="22">
        <v>66.91</v>
      </c>
      <c r="G83" s="22"/>
      <c r="H83" s="22">
        <v>6.7</v>
      </c>
      <c r="I83" s="207">
        <f t="shared" si="2"/>
        <v>6.7</v>
      </c>
      <c r="J83" s="31"/>
      <c r="K83" s="9">
        <f t="shared" si="0"/>
        <v>73.61</v>
      </c>
      <c r="L83" t="s">
        <v>267</v>
      </c>
    </row>
    <row r="84" spans="1:12" x14ac:dyDescent="0.25">
      <c r="A84" s="33">
        <v>45548</v>
      </c>
      <c r="B84" s="34" t="s">
        <v>3700</v>
      </c>
      <c r="C84" s="28" t="s">
        <v>706</v>
      </c>
      <c r="D84" s="35" t="s">
        <v>401</v>
      </c>
      <c r="E84" s="29" t="s">
        <v>3131</v>
      </c>
      <c r="F84" s="22">
        <v>44.44</v>
      </c>
      <c r="G84" s="22">
        <v>9.33</v>
      </c>
      <c r="H84" s="22"/>
      <c r="I84" s="207">
        <f t="shared" si="2"/>
        <v>9.33</v>
      </c>
      <c r="J84" s="31"/>
      <c r="K84" s="9">
        <f t="shared" si="0"/>
        <v>53.769999999999996</v>
      </c>
    </row>
    <row r="85" spans="1:12" x14ac:dyDescent="0.25">
      <c r="A85" s="33">
        <v>45551</v>
      </c>
      <c r="B85" s="34" t="s">
        <v>3701</v>
      </c>
      <c r="C85" s="28" t="s">
        <v>829</v>
      </c>
      <c r="D85" s="35" t="s">
        <v>830</v>
      </c>
      <c r="E85" s="29" t="s">
        <v>797</v>
      </c>
      <c r="F85" s="22">
        <v>614.39</v>
      </c>
      <c r="G85" s="22">
        <v>129.02000000000001</v>
      </c>
      <c r="H85" s="22"/>
      <c r="I85" s="207">
        <f t="shared" si="2"/>
        <v>129.02000000000001</v>
      </c>
      <c r="J85" s="31"/>
      <c r="K85" s="9">
        <f t="shared" si="0"/>
        <v>743.41</v>
      </c>
      <c r="L85" t="s">
        <v>267</v>
      </c>
    </row>
    <row r="86" spans="1:12" x14ac:dyDescent="0.25">
      <c r="A86" s="33">
        <v>45560</v>
      </c>
      <c r="B86" s="34" t="s">
        <v>3356</v>
      </c>
      <c r="C86" s="28" t="s">
        <v>292</v>
      </c>
      <c r="D86" s="36" t="s">
        <v>293</v>
      </c>
      <c r="E86" s="14" t="s">
        <v>792</v>
      </c>
      <c r="F86" s="22">
        <v>208.92</v>
      </c>
      <c r="G86" s="22">
        <v>43.87</v>
      </c>
      <c r="H86" s="22"/>
      <c r="I86" s="207">
        <f t="shared" si="2"/>
        <v>43.87</v>
      </c>
      <c r="J86" s="31"/>
      <c r="K86" s="9">
        <f t="shared" si="0"/>
        <v>252.79</v>
      </c>
      <c r="L86" t="s">
        <v>3300</v>
      </c>
    </row>
    <row r="87" spans="1:12" x14ac:dyDescent="0.25">
      <c r="A87" s="33">
        <v>45560</v>
      </c>
      <c r="B87" s="34" t="s">
        <v>3702</v>
      </c>
      <c r="C87" s="28" t="s">
        <v>292</v>
      </c>
      <c r="D87" s="36" t="s">
        <v>293</v>
      </c>
      <c r="E87" s="14" t="s">
        <v>792</v>
      </c>
      <c r="F87" s="22">
        <v>25.93</v>
      </c>
      <c r="G87" s="22">
        <v>3.4</v>
      </c>
      <c r="H87" s="22"/>
      <c r="I87" s="207">
        <f t="shared" si="2"/>
        <v>3.4</v>
      </c>
      <c r="J87" s="31"/>
      <c r="K87" s="9">
        <f t="shared" si="0"/>
        <v>29.33</v>
      </c>
      <c r="L87" t="s">
        <v>3300</v>
      </c>
    </row>
    <row r="88" spans="1:12" x14ac:dyDescent="0.25">
      <c r="A88" s="86">
        <v>45565</v>
      </c>
      <c r="B88" s="258" t="s">
        <v>1076</v>
      </c>
      <c r="C88" s="28" t="s">
        <v>1412</v>
      </c>
      <c r="D88" s="36" t="s">
        <v>1414</v>
      </c>
      <c r="E88" s="29" t="s">
        <v>827</v>
      </c>
      <c r="F88" s="146">
        <v>665.29</v>
      </c>
      <c r="G88" s="146">
        <v>139.71</v>
      </c>
      <c r="H88" s="146"/>
      <c r="I88" s="207">
        <f t="shared" si="2"/>
        <v>139.71</v>
      </c>
      <c r="J88" s="146"/>
      <c r="K88" s="9">
        <f t="shared" si="0"/>
        <v>805</v>
      </c>
      <c r="L88" t="s">
        <v>41</v>
      </c>
    </row>
    <row r="89" spans="1:12" x14ac:dyDescent="0.25">
      <c r="A89" s="33">
        <v>45536</v>
      </c>
      <c r="B89" s="34" t="s">
        <v>1077</v>
      </c>
      <c r="C89" s="28" t="s">
        <v>1101</v>
      </c>
      <c r="D89" s="35" t="s">
        <v>1102</v>
      </c>
      <c r="E89" s="29" t="s">
        <v>1105</v>
      </c>
      <c r="F89" s="30">
        <v>900</v>
      </c>
      <c r="G89" s="30">
        <v>189</v>
      </c>
      <c r="H89" s="30"/>
      <c r="I89" s="9">
        <f t="shared" si="2"/>
        <v>189</v>
      </c>
      <c r="J89" s="23"/>
      <c r="K89" s="9">
        <f t="shared" si="0"/>
        <v>1089</v>
      </c>
    </row>
    <row r="90" spans="1:12" x14ac:dyDescent="0.25">
      <c r="A90" s="38">
        <v>45565</v>
      </c>
      <c r="B90" s="34" t="s">
        <v>3742</v>
      </c>
      <c r="C90" s="28" t="s">
        <v>3366</v>
      </c>
      <c r="D90" s="35" t="s">
        <v>542</v>
      </c>
      <c r="E90" s="103" t="s">
        <v>17</v>
      </c>
      <c r="F90" s="22">
        <v>2517.29</v>
      </c>
      <c r="G90" s="22">
        <v>528.63</v>
      </c>
      <c r="H90" s="22"/>
      <c r="I90" s="207">
        <f t="shared" si="2"/>
        <v>528.63</v>
      </c>
      <c r="J90" s="23"/>
      <c r="K90" s="9">
        <f t="shared" si="0"/>
        <v>3045.92</v>
      </c>
      <c r="L90" t="s">
        <v>3743</v>
      </c>
    </row>
    <row r="91" spans="1:12" x14ac:dyDescent="0.25">
      <c r="A91" s="33">
        <v>45548</v>
      </c>
      <c r="B91" s="112" t="s">
        <v>3752</v>
      </c>
      <c r="C91" s="29" t="s">
        <v>3748</v>
      </c>
      <c r="D91" s="35" t="s">
        <v>3749</v>
      </c>
      <c r="E91" s="29" t="s">
        <v>281</v>
      </c>
      <c r="F91" s="22">
        <v>37.92</v>
      </c>
      <c r="G91" s="22">
        <v>7.96</v>
      </c>
      <c r="H91" s="22"/>
      <c r="I91" s="207">
        <f t="shared" si="2"/>
        <v>7.96</v>
      </c>
      <c r="J91" s="23"/>
      <c r="K91" s="9">
        <f t="shared" si="0"/>
        <v>45.88</v>
      </c>
      <c r="L91" t="s">
        <v>3755</v>
      </c>
    </row>
    <row r="92" spans="1:12" x14ac:dyDescent="0.25">
      <c r="A92" s="33">
        <v>45551</v>
      </c>
      <c r="B92" s="34" t="s">
        <v>3753</v>
      </c>
      <c r="C92" s="28" t="s">
        <v>3748</v>
      </c>
      <c r="D92" s="35" t="s">
        <v>3749</v>
      </c>
      <c r="E92" s="29" t="s">
        <v>281</v>
      </c>
      <c r="F92" s="22">
        <v>33.049999999999997</v>
      </c>
      <c r="G92" s="22">
        <v>6.94</v>
      </c>
      <c r="H92" s="22"/>
      <c r="I92" s="207">
        <f t="shared" si="2"/>
        <v>6.94</v>
      </c>
      <c r="J92" s="23"/>
      <c r="K92" s="9">
        <f t="shared" si="0"/>
        <v>39.989999999999995</v>
      </c>
      <c r="L92" t="s">
        <v>267</v>
      </c>
    </row>
    <row r="93" spans="1:12" x14ac:dyDescent="0.25">
      <c r="A93" s="33">
        <v>45554</v>
      </c>
      <c r="B93" s="34" t="s">
        <v>3754</v>
      </c>
      <c r="C93" s="28" t="s">
        <v>3748</v>
      </c>
      <c r="D93" s="35" t="s">
        <v>3749</v>
      </c>
      <c r="E93" s="29" t="s">
        <v>281</v>
      </c>
      <c r="F93" s="22">
        <v>81.48</v>
      </c>
      <c r="G93" s="22">
        <v>17.11</v>
      </c>
      <c r="H93" s="22"/>
      <c r="I93" s="207">
        <f t="shared" si="2"/>
        <v>17.11</v>
      </c>
      <c r="J93" s="23"/>
      <c r="K93" s="9">
        <f t="shared" si="0"/>
        <v>98.59</v>
      </c>
      <c r="L93" t="s">
        <v>267</v>
      </c>
    </row>
    <row r="94" spans="1:12" x14ac:dyDescent="0.25">
      <c r="A94" s="33"/>
      <c r="B94" s="34"/>
      <c r="C94" s="28"/>
      <c r="D94" s="35"/>
      <c r="E94" s="29"/>
      <c r="F94" s="22"/>
      <c r="G94" s="22"/>
      <c r="H94" s="22"/>
      <c r="I94" s="207">
        <f t="shared" si="2"/>
        <v>0</v>
      </c>
      <c r="J94" s="23"/>
      <c r="K94" s="9">
        <f t="shared" si="0"/>
        <v>0</v>
      </c>
    </row>
    <row r="95" spans="1:12" x14ac:dyDescent="0.25">
      <c r="A95" s="33"/>
      <c r="B95" s="34"/>
      <c r="C95" s="28"/>
      <c r="D95" s="35"/>
      <c r="E95" s="29"/>
      <c r="F95" s="22">
        <f>SUM(F5:F94)</f>
        <v>23437.079999999998</v>
      </c>
      <c r="G95" s="22">
        <f>SUM(G5:G94)</f>
        <v>4447.0700000000006</v>
      </c>
      <c r="H95" s="30">
        <f>SUM(H5:H94)</f>
        <v>62.600000000000009</v>
      </c>
      <c r="I95" s="207">
        <f t="shared" si="2"/>
        <v>4509.670000000001</v>
      </c>
      <c r="J95" s="31"/>
      <c r="K95" s="9">
        <f t="shared" si="0"/>
        <v>27946.75</v>
      </c>
    </row>
    <row r="98" spans="1:13" ht="15.75" thickBot="1" x14ac:dyDescent="0.3"/>
    <row r="99" spans="1:13" ht="30" x14ac:dyDescent="0.25">
      <c r="A99" s="44" t="s">
        <v>1</v>
      </c>
      <c r="B99" s="45" t="s">
        <v>2</v>
      </c>
      <c r="C99" s="46" t="s">
        <v>26</v>
      </c>
      <c r="D99" s="46" t="s">
        <v>4</v>
      </c>
      <c r="E99" s="46" t="s">
        <v>5</v>
      </c>
      <c r="F99" s="46" t="s">
        <v>6</v>
      </c>
      <c r="G99" s="46" t="s">
        <v>7</v>
      </c>
      <c r="H99" s="46" t="s">
        <v>8</v>
      </c>
      <c r="I99" s="46" t="s">
        <v>9</v>
      </c>
      <c r="J99" s="47" t="s">
        <v>10</v>
      </c>
      <c r="K99" s="2" t="s">
        <v>11</v>
      </c>
    </row>
    <row r="100" spans="1:13" x14ac:dyDescent="0.25">
      <c r="A100" s="184">
        <v>45536</v>
      </c>
      <c r="B100" s="51" t="s">
        <v>3735</v>
      </c>
      <c r="C100" s="14" t="s">
        <v>2448</v>
      </c>
      <c r="D100" s="14" t="s">
        <v>2449</v>
      </c>
      <c r="E100" s="14" t="s">
        <v>2450</v>
      </c>
      <c r="F100" s="60">
        <v>1442</v>
      </c>
      <c r="G100" s="30">
        <v>302.82</v>
      </c>
      <c r="H100" s="30"/>
      <c r="I100" s="30">
        <f t="shared" ref="I100:I107" si="3">G100+H100</f>
        <v>302.82</v>
      </c>
      <c r="J100" s="31">
        <v>273.98</v>
      </c>
      <c r="K100" s="50">
        <f t="shared" ref="K100:K107" si="4">F100+I100-J100</f>
        <v>1470.84</v>
      </c>
    </row>
    <row r="101" spans="1:13" x14ac:dyDescent="0.25">
      <c r="A101" s="184">
        <v>45565</v>
      </c>
      <c r="B101" s="36" t="s">
        <v>3709</v>
      </c>
      <c r="C101" s="161" t="s">
        <v>3708</v>
      </c>
      <c r="D101" s="14" t="s">
        <v>1093</v>
      </c>
      <c r="E101" s="183" t="s">
        <v>30</v>
      </c>
      <c r="F101" s="30">
        <v>190</v>
      </c>
      <c r="G101" s="30">
        <v>39.9</v>
      </c>
      <c r="H101" s="30"/>
      <c r="I101" s="30">
        <f t="shared" si="3"/>
        <v>39.9</v>
      </c>
      <c r="J101" s="31"/>
      <c r="K101" s="50">
        <f t="shared" si="4"/>
        <v>229.9</v>
      </c>
    </row>
    <row r="102" spans="1:13" x14ac:dyDescent="0.25">
      <c r="A102" s="184"/>
      <c r="B102" s="36"/>
      <c r="C102" s="161"/>
      <c r="D102" s="14"/>
      <c r="E102" s="183"/>
      <c r="F102" s="30"/>
      <c r="G102" s="30"/>
      <c r="H102" s="30"/>
      <c r="I102" s="30">
        <f t="shared" si="3"/>
        <v>0</v>
      </c>
      <c r="J102" s="31"/>
      <c r="K102" s="50">
        <f t="shared" si="4"/>
        <v>0</v>
      </c>
    </row>
    <row r="103" spans="1:13" x14ac:dyDescent="0.25">
      <c r="A103" s="261">
        <v>45537</v>
      </c>
      <c r="B103" s="262" t="s">
        <v>2944</v>
      </c>
      <c r="C103" s="262" t="s">
        <v>2812</v>
      </c>
      <c r="D103" s="196"/>
      <c r="E103" s="196" t="s">
        <v>3741</v>
      </c>
      <c r="F103" s="135">
        <v>775</v>
      </c>
      <c r="G103" s="135">
        <f>F103*21/100</f>
        <v>162.75</v>
      </c>
      <c r="H103" s="135"/>
      <c r="I103" s="135">
        <f>F103+G103</f>
        <v>937.75</v>
      </c>
      <c r="J103" s="135"/>
      <c r="K103" s="263" t="s">
        <v>2813</v>
      </c>
      <c r="L103" s="264"/>
      <c r="M103" s="264"/>
    </row>
    <row r="104" spans="1:13" x14ac:dyDescent="0.25">
      <c r="A104" s="184"/>
      <c r="B104" s="36"/>
      <c r="C104" s="51"/>
      <c r="D104" s="14"/>
      <c r="E104" s="49"/>
      <c r="F104" s="30"/>
      <c r="G104" s="30"/>
      <c r="H104" s="30"/>
      <c r="I104" s="30">
        <f t="shared" si="3"/>
        <v>0</v>
      </c>
      <c r="J104" s="31"/>
      <c r="K104" s="50">
        <f t="shared" si="4"/>
        <v>0</v>
      </c>
    </row>
    <row r="105" spans="1:13" x14ac:dyDescent="0.25">
      <c r="A105" s="184"/>
      <c r="B105" s="36"/>
      <c r="C105" s="161"/>
      <c r="D105" s="14"/>
      <c r="E105" s="183"/>
      <c r="F105" s="30"/>
      <c r="G105" s="30"/>
      <c r="H105" s="30"/>
      <c r="I105" s="30">
        <f t="shared" si="3"/>
        <v>0</v>
      </c>
      <c r="J105" s="31"/>
      <c r="K105" s="50">
        <f t="shared" si="4"/>
        <v>0</v>
      </c>
    </row>
    <row r="106" spans="1:13" x14ac:dyDescent="0.25">
      <c r="A106" s="184"/>
      <c r="B106" s="36"/>
      <c r="C106" s="161"/>
      <c r="D106" s="14"/>
      <c r="E106" s="183"/>
      <c r="F106" s="30"/>
      <c r="G106" s="30"/>
      <c r="H106" s="30"/>
      <c r="I106" s="30">
        <f t="shared" si="3"/>
        <v>0</v>
      </c>
      <c r="J106" s="31"/>
      <c r="K106" s="50">
        <f t="shared" si="4"/>
        <v>0</v>
      </c>
    </row>
    <row r="107" spans="1:13" x14ac:dyDescent="0.25">
      <c r="A107" s="184"/>
      <c r="B107" s="36"/>
      <c r="C107" s="51"/>
      <c r="D107" s="14"/>
      <c r="E107" s="183"/>
      <c r="F107" s="30"/>
      <c r="G107" s="30"/>
      <c r="H107" s="30"/>
      <c r="I107" s="30">
        <f t="shared" si="3"/>
        <v>0</v>
      </c>
      <c r="J107" s="31"/>
      <c r="K107" s="50">
        <f t="shared" si="4"/>
        <v>0</v>
      </c>
    </row>
    <row r="108" spans="1:13" x14ac:dyDescent="0.25">
      <c r="A108" s="184"/>
      <c r="B108" s="36"/>
      <c r="C108" s="161"/>
      <c r="D108" s="14"/>
      <c r="E108" s="183"/>
      <c r="F108" s="30"/>
      <c r="G108" s="30"/>
      <c r="H108" s="30"/>
      <c r="I108" s="30"/>
      <c r="J108" s="31"/>
      <c r="K108" s="50"/>
    </row>
    <row r="109" spans="1:13" x14ac:dyDescent="0.25">
      <c r="A109" s="319" t="s">
        <v>11</v>
      </c>
      <c r="B109" s="319"/>
      <c r="C109" s="319"/>
      <c r="D109" s="321"/>
      <c r="E109" s="319"/>
      <c r="F109" s="40">
        <f>SUM(F100:F108)</f>
        <v>2407</v>
      </c>
      <c r="G109" s="41">
        <f>SUM(G100:G107)</f>
        <v>505.46999999999997</v>
      </c>
      <c r="H109" s="36"/>
      <c r="I109" s="40">
        <f>SUM(I100:I108)</f>
        <v>1280.47</v>
      </c>
      <c r="J109" s="164">
        <f>SUM(J100:J108)</f>
        <v>273.98</v>
      </c>
      <c r="K109" s="160">
        <f>SUM(K100:K108)</f>
        <v>1700.74</v>
      </c>
    </row>
    <row r="115" spans="1:3" x14ac:dyDescent="0.25">
      <c r="A115" t="s">
        <v>3738</v>
      </c>
      <c r="B115" t="s">
        <v>3736</v>
      </c>
      <c r="C115" s="175">
        <f>G109</f>
        <v>505.46999999999997</v>
      </c>
    </row>
    <row r="116" spans="1:3" x14ac:dyDescent="0.25">
      <c r="B116" t="s">
        <v>3737</v>
      </c>
      <c r="C116" s="166">
        <v>3170</v>
      </c>
    </row>
    <row r="117" spans="1:3" x14ac:dyDescent="0.25">
      <c r="B117" t="s">
        <v>11</v>
      </c>
      <c r="C117" s="175">
        <f>C115+C116</f>
        <v>3675.47</v>
      </c>
    </row>
    <row r="118" spans="1:3" x14ac:dyDescent="0.25">
      <c r="A118" t="s">
        <v>3739</v>
      </c>
      <c r="C118" s="166">
        <f>I95</f>
        <v>4509.670000000001</v>
      </c>
    </row>
    <row r="120" spans="1:3" x14ac:dyDescent="0.25">
      <c r="A120" t="s">
        <v>3740</v>
      </c>
      <c r="C120" s="259">
        <f>C118-C117</f>
        <v>834.20000000000118</v>
      </c>
    </row>
  </sheetData>
  <mergeCells count="45">
    <mergeCell ref="I57:I58"/>
    <mergeCell ref="K57:K58"/>
    <mergeCell ref="A57:A58"/>
    <mergeCell ref="B57:B58"/>
    <mergeCell ref="C57:C58"/>
    <mergeCell ref="D57:D58"/>
    <mergeCell ref="E57:E58"/>
    <mergeCell ref="I41:I42"/>
    <mergeCell ref="K41:K42"/>
    <mergeCell ref="A53:A54"/>
    <mergeCell ref="B53:B54"/>
    <mergeCell ref="C53:C54"/>
    <mergeCell ref="D53:D54"/>
    <mergeCell ref="E53:E54"/>
    <mergeCell ref="I53:I54"/>
    <mergeCell ref="K53:K54"/>
    <mergeCell ref="A41:A42"/>
    <mergeCell ref="B41:B42"/>
    <mergeCell ref="C41:C42"/>
    <mergeCell ref="D41:D42"/>
    <mergeCell ref="E41:E42"/>
    <mergeCell ref="C16:C19"/>
    <mergeCell ref="L20:L21"/>
    <mergeCell ref="L16:L19"/>
    <mergeCell ref="E16:E19"/>
    <mergeCell ref="D16:D19"/>
    <mergeCell ref="I20:I21"/>
    <mergeCell ref="I16:I19"/>
    <mergeCell ref="K16:K19"/>
    <mergeCell ref="B16:B19"/>
    <mergeCell ref="I9:I10"/>
    <mergeCell ref="K9:K10"/>
    <mergeCell ref="K20:K21"/>
    <mergeCell ref="A109:E109"/>
    <mergeCell ref="A9:A10"/>
    <mergeCell ref="B9:B10"/>
    <mergeCell ref="C9:C10"/>
    <mergeCell ref="D9:D10"/>
    <mergeCell ref="E9:E10"/>
    <mergeCell ref="A16:A19"/>
    <mergeCell ref="A20:A21"/>
    <mergeCell ref="B20:B21"/>
    <mergeCell ref="C20:C21"/>
    <mergeCell ref="D20:D21"/>
    <mergeCell ref="E20:E2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E948-1209-4BCF-AA56-720DBD2A6F47}">
  <dimension ref="A1:P155"/>
  <sheetViews>
    <sheetView topLeftCell="A10" workbookViewId="0">
      <selection activeCell="B5" sqref="B5"/>
    </sheetView>
  </sheetViews>
  <sheetFormatPr baseColWidth="10" defaultRowHeight="15" x14ac:dyDescent="0.25"/>
  <cols>
    <col min="1" max="1" width="15.5703125" customWidth="1"/>
    <col min="2" max="2" width="21.42578125" customWidth="1"/>
    <col min="3" max="3" width="37.140625" customWidth="1"/>
    <col min="4" max="4" width="15.42578125" customWidth="1"/>
    <col min="5" max="5" width="13.42578125" customWidth="1"/>
    <col min="6" max="6" width="12.7109375" customWidth="1"/>
    <col min="7" max="7" width="14.5703125" customWidth="1"/>
    <col min="8" max="8" width="15.5703125" customWidth="1"/>
    <col min="9" max="9" width="22.5703125" customWidth="1"/>
    <col min="10" max="10" width="13" bestFit="1" customWidth="1"/>
    <col min="12" max="12" width="25" customWidth="1"/>
    <col min="14" max="14" width="14" customWidth="1"/>
  </cols>
  <sheetData>
    <row r="1" spans="1:15" x14ac:dyDescent="0.25">
      <c r="A1" s="319" t="s">
        <v>1</v>
      </c>
      <c r="B1" s="319" t="s">
        <v>2</v>
      </c>
      <c r="C1" s="319" t="s">
        <v>32</v>
      </c>
      <c r="D1" s="319" t="s">
        <v>33</v>
      </c>
      <c r="E1" s="319" t="s">
        <v>408</v>
      </c>
      <c r="F1" s="319" t="s">
        <v>11</v>
      </c>
      <c r="G1" s="319" t="s">
        <v>34</v>
      </c>
      <c r="H1" s="319"/>
      <c r="I1" s="319" t="s">
        <v>35</v>
      </c>
      <c r="J1" s="319" t="s">
        <v>36</v>
      </c>
      <c r="K1" s="319" t="s">
        <v>37</v>
      </c>
      <c r="L1" s="319" t="s">
        <v>38</v>
      </c>
      <c r="M1" s="319" t="s">
        <v>37</v>
      </c>
      <c r="N1" s="320" t="s">
        <v>38</v>
      </c>
      <c r="O1" s="319" t="s">
        <v>40</v>
      </c>
    </row>
    <row r="2" spans="1:15" x14ac:dyDescent="0.25">
      <c r="A2" s="320"/>
      <c r="B2" s="320"/>
      <c r="C2" s="320"/>
      <c r="D2" s="320"/>
      <c r="E2" s="320"/>
      <c r="F2" s="320"/>
      <c r="G2" s="52" t="s">
        <v>41</v>
      </c>
      <c r="H2" s="53" t="s">
        <v>42</v>
      </c>
      <c r="I2" s="320"/>
      <c r="J2" s="320"/>
      <c r="K2" s="320"/>
      <c r="L2" s="320"/>
      <c r="M2" s="320"/>
      <c r="N2" s="323"/>
      <c r="O2" s="320"/>
    </row>
    <row r="3" spans="1:15" x14ac:dyDescent="0.25">
      <c r="A3" s="86">
        <v>45536</v>
      </c>
      <c r="B3" s="55" t="s">
        <v>2942</v>
      </c>
      <c r="C3" s="55" t="s">
        <v>43</v>
      </c>
      <c r="D3" s="75">
        <f>F3/1.1</f>
        <v>245.45454545454544</v>
      </c>
      <c r="E3" s="75">
        <f t="shared" ref="E3:E66" si="0">D3*10/100</f>
        <v>24.545454545454547</v>
      </c>
      <c r="F3" s="75">
        <v>270</v>
      </c>
      <c r="G3" s="75">
        <v>50</v>
      </c>
      <c r="H3" s="58">
        <f t="shared" ref="H3:H66" si="1">F3-G3</f>
        <v>220</v>
      </c>
      <c r="I3" s="14" t="s">
        <v>1788</v>
      </c>
      <c r="J3" s="75">
        <v>270</v>
      </c>
      <c r="K3" s="75"/>
      <c r="L3" s="14"/>
      <c r="M3" s="14"/>
      <c r="N3" s="14"/>
      <c r="O3" s="14"/>
    </row>
    <row r="4" spans="1:15" x14ac:dyDescent="0.25">
      <c r="A4" s="86">
        <v>45537</v>
      </c>
      <c r="B4" s="55" t="s">
        <v>2943</v>
      </c>
      <c r="C4" s="55" t="s">
        <v>43</v>
      </c>
      <c r="D4" s="75">
        <f t="shared" ref="D4:D67" si="2">F4/1.1</f>
        <v>281.81818181818181</v>
      </c>
      <c r="E4" s="75">
        <f t="shared" si="0"/>
        <v>28.18181818181818</v>
      </c>
      <c r="F4" s="75">
        <v>310</v>
      </c>
      <c r="G4" s="75">
        <v>50</v>
      </c>
      <c r="H4" s="58">
        <f t="shared" si="1"/>
        <v>260</v>
      </c>
      <c r="I4" s="14" t="s">
        <v>3287</v>
      </c>
      <c r="J4" s="75">
        <v>270</v>
      </c>
      <c r="K4" s="75">
        <v>40</v>
      </c>
      <c r="L4" s="14" t="s">
        <v>252</v>
      </c>
      <c r="M4" s="75"/>
      <c r="N4" s="14"/>
      <c r="O4" s="14"/>
    </row>
    <row r="5" spans="1:15" x14ac:dyDescent="0.25">
      <c r="A5" s="261">
        <v>45537</v>
      </c>
      <c r="B5" s="262" t="s">
        <v>2944</v>
      </c>
      <c r="C5" s="262" t="s">
        <v>827</v>
      </c>
      <c r="D5" s="146"/>
      <c r="E5" s="146"/>
      <c r="F5" s="146"/>
      <c r="G5" s="146"/>
      <c r="H5" s="267">
        <f t="shared" si="1"/>
        <v>0</v>
      </c>
      <c r="I5" s="14" t="s">
        <v>3288</v>
      </c>
      <c r="J5" s="146"/>
      <c r="K5" s="146"/>
      <c r="L5" s="14"/>
      <c r="M5" s="75"/>
      <c r="N5" s="14"/>
      <c r="O5" s="14"/>
    </row>
    <row r="6" spans="1:15" x14ac:dyDescent="0.25">
      <c r="A6" s="86">
        <v>45537</v>
      </c>
      <c r="B6" s="55" t="s">
        <v>2945</v>
      </c>
      <c r="C6" s="55" t="s">
        <v>43</v>
      </c>
      <c r="D6" s="75">
        <f t="shared" si="2"/>
        <v>172.72727272727272</v>
      </c>
      <c r="E6" s="75">
        <f t="shared" si="0"/>
        <v>17.272727272727273</v>
      </c>
      <c r="F6" s="75">
        <v>190</v>
      </c>
      <c r="G6" s="75">
        <v>50</v>
      </c>
      <c r="H6" s="58">
        <f t="shared" si="1"/>
        <v>140</v>
      </c>
      <c r="I6" s="14" t="s">
        <v>3289</v>
      </c>
      <c r="J6" s="75">
        <v>190</v>
      </c>
      <c r="K6" s="75"/>
      <c r="L6" s="14"/>
      <c r="M6" s="75"/>
      <c r="N6" s="14"/>
      <c r="O6" s="14"/>
    </row>
    <row r="7" spans="1:15" x14ac:dyDescent="0.25">
      <c r="A7" s="86">
        <v>45538</v>
      </c>
      <c r="B7" s="55" t="s">
        <v>2946</v>
      </c>
      <c r="C7" s="55" t="s">
        <v>43</v>
      </c>
      <c r="D7" s="75">
        <f t="shared" si="2"/>
        <v>227.27272727272725</v>
      </c>
      <c r="E7" s="75">
        <f t="shared" si="0"/>
        <v>22.727272727272727</v>
      </c>
      <c r="F7" s="75">
        <v>250</v>
      </c>
      <c r="G7" s="75">
        <v>250</v>
      </c>
      <c r="H7" s="58">
        <f t="shared" si="1"/>
        <v>0</v>
      </c>
      <c r="I7" s="14" t="s">
        <v>3311</v>
      </c>
      <c r="J7" s="75">
        <v>220</v>
      </c>
      <c r="K7" s="75">
        <v>30</v>
      </c>
      <c r="L7" s="14" t="s">
        <v>252</v>
      </c>
      <c r="M7" s="75"/>
      <c r="N7" s="14"/>
      <c r="O7" s="14"/>
    </row>
    <row r="8" spans="1:15" x14ac:dyDescent="0.25">
      <c r="A8" s="86">
        <v>45538</v>
      </c>
      <c r="B8" s="55" t="s">
        <v>2947</v>
      </c>
      <c r="C8" s="55" t="s">
        <v>43</v>
      </c>
      <c r="D8" s="75">
        <f t="shared" si="2"/>
        <v>322.72727272727269</v>
      </c>
      <c r="E8" s="75">
        <f t="shared" si="0"/>
        <v>32.272727272727273</v>
      </c>
      <c r="F8" s="75">
        <v>355</v>
      </c>
      <c r="G8" s="75">
        <v>50</v>
      </c>
      <c r="H8" s="58">
        <f t="shared" si="1"/>
        <v>305</v>
      </c>
      <c r="I8" s="14" t="s">
        <v>3312</v>
      </c>
      <c r="J8" s="75">
        <v>270</v>
      </c>
      <c r="K8" s="75">
        <v>40</v>
      </c>
      <c r="L8" s="14" t="s">
        <v>252</v>
      </c>
      <c r="M8" s="75">
        <v>45</v>
      </c>
      <c r="N8" s="14" t="s">
        <v>45</v>
      </c>
      <c r="O8" s="14"/>
    </row>
    <row r="9" spans="1:15" x14ac:dyDescent="0.25">
      <c r="A9" s="86">
        <v>45539</v>
      </c>
      <c r="B9" s="55" t="s">
        <v>2948</v>
      </c>
      <c r="C9" s="55" t="s">
        <v>43</v>
      </c>
      <c r="D9" s="75">
        <f t="shared" si="2"/>
        <v>472.72727272727269</v>
      </c>
      <c r="E9" s="75">
        <f t="shared" si="0"/>
        <v>47.272727272727273</v>
      </c>
      <c r="F9" s="75">
        <v>520</v>
      </c>
      <c r="G9" s="75">
        <v>50</v>
      </c>
      <c r="H9" s="58">
        <f t="shared" si="1"/>
        <v>470</v>
      </c>
      <c r="I9" s="14" t="s">
        <v>3313</v>
      </c>
      <c r="J9" s="75">
        <v>520</v>
      </c>
      <c r="K9" s="75"/>
      <c r="L9" s="14"/>
      <c r="M9" s="75"/>
      <c r="N9" s="14"/>
      <c r="O9" s="14"/>
    </row>
    <row r="10" spans="1:15" x14ac:dyDescent="0.25">
      <c r="A10" s="86">
        <v>45539</v>
      </c>
      <c r="B10" s="55" t="s">
        <v>2949</v>
      </c>
      <c r="C10" s="55" t="s">
        <v>43</v>
      </c>
      <c r="D10" s="75">
        <f t="shared" si="2"/>
        <v>218.18181818181816</v>
      </c>
      <c r="E10" s="75">
        <f t="shared" si="0"/>
        <v>21.818181818181817</v>
      </c>
      <c r="F10" s="75">
        <v>240</v>
      </c>
      <c r="G10" s="75">
        <v>50</v>
      </c>
      <c r="H10" s="58">
        <f t="shared" si="1"/>
        <v>190</v>
      </c>
      <c r="I10" s="14" t="s">
        <v>3314</v>
      </c>
      <c r="J10" s="75">
        <v>220</v>
      </c>
      <c r="K10" s="75">
        <v>20</v>
      </c>
      <c r="L10" s="14" t="s">
        <v>252</v>
      </c>
      <c r="M10" s="75"/>
      <c r="N10" s="14"/>
      <c r="O10" s="14"/>
    </row>
    <row r="11" spans="1:15" x14ac:dyDescent="0.25">
      <c r="A11" s="86">
        <v>45540</v>
      </c>
      <c r="B11" s="55" t="s">
        <v>2950</v>
      </c>
      <c r="C11" s="55" t="s">
        <v>43</v>
      </c>
      <c r="D11" s="75">
        <f t="shared" si="2"/>
        <v>127.27272727272727</v>
      </c>
      <c r="E11" s="75">
        <f t="shared" si="0"/>
        <v>12.727272727272727</v>
      </c>
      <c r="F11" s="75">
        <v>140</v>
      </c>
      <c r="G11" s="75"/>
      <c r="H11" s="58">
        <f t="shared" si="1"/>
        <v>140</v>
      </c>
      <c r="I11" s="14" t="s">
        <v>246</v>
      </c>
      <c r="J11" s="75">
        <v>140</v>
      </c>
      <c r="K11" s="75"/>
      <c r="L11" s="14"/>
      <c r="M11" s="75"/>
      <c r="N11" s="14"/>
      <c r="O11" s="14"/>
    </row>
    <row r="12" spans="1:15" x14ac:dyDescent="0.25">
      <c r="A12" s="86">
        <v>45540</v>
      </c>
      <c r="B12" s="55" t="s">
        <v>2951</v>
      </c>
      <c r="C12" s="55" t="s">
        <v>43</v>
      </c>
      <c r="D12" s="75">
        <f t="shared" si="2"/>
        <v>154.54545454545453</v>
      </c>
      <c r="E12" s="75">
        <f t="shared" si="0"/>
        <v>15.454545454545453</v>
      </c>
      <c r="F12" s="75">
        <v>170</v>
      </c>
      <c r="G12" s="75">
        <v>50</v>
      </c>
      <c r="H12" s="58">
        <f t="shared" si="1"/>
        <v>120</v>
      </c>
      <c r="I12" s="14" t="s">
        <v>3315</v>
      </c>
      <c r="J12" s="75">
        <v>170</v>
      </c>
      <c r="K12" s="75"/>
      <c r="L12" s="14"/>
      <c r="M12" s="75"/>
      <c r="N12" s="14"/>
      <c r="O12" s="14"/>
    </row>
    <row r="13" spans="1:15" x14ac:dyDescent="0.25">
      <c r="A13" s="86">
        <v>45541</v>
      </c>
      <c r="B13" s="55" t="s">
        <v>2952</v>
      </c>
      <c r="C13" s="55" t="s">
        <v>43</v>
      </c>
      <c r="D13" s="75">
        <f t="shared" si="2"/>
        <v>399.99999999999994</v>
      </c>
      <c r="E13" s="75">
        <f t="shared" si="0"/>
        <v>39.999999999999993</v>
      </c>
      <c r="F13" s="75">
        <v>440</v>
      </c>
      <c r="G13" s="75">
        <v>100</v>
      </c>
      <c r="H13" s="58">
        <f t="shared" si="1"/>
        <v>340</v>
      </c>
      <c r="I13" s="14" t="s">
        <v>3323</v>
      </c>
      <c r="J13" s="75">
        <v>270</v>
      </c>
      <c r="K13" s="75">
        <v>170</v>
      </c>
      <c r="L13" s="14" t="s">
        <v>252</v>
      </c>
      <c r="M13" s="75"/>
      <c r="N13" s="14"/>
      <c r="O13" s="14"/>
    </row>
    <row r="14" spans="1:15" x14ac:dyDescent="0.25">
      <c r="A14" s="86">
        <v>45541</v>
      </c>
      <c r="B14" s="55" t="s">
        <v>2953</v>
      </c>
      <c r="C14" s="55" t="s">
        <v>43</v>
      </c>
      <c r="D14" s="75">
        <f t="shared" si="2"/>
        <v>181.81818181818181</v>
      </c>
      <c r="E14" s="75">
        <f t="shared" si="0"/>
        <v>18.18181818181818</v>
      </c>
      <c r="F14" s="75">
        <v>200</v>
      </c>
      <c r="G14" s="75"/>
      <c r="H14" s="58">
        <f t="shared" si="1"/>
        <v>200</v>
      </c>
      <c r="I14" s="14" t="s">
        <v>603</v>
      </c>
      <c r="J14" s="75">
        <v>200</v>
      </c>
      <c r="K14" s="75"/>
      <c r="L14" s="14"/>
      <c r="M14" s="75"/>
      <c r="N14" s="14"/>
      <c r="O14" s="14"/>
    </row>
    <row r="15" spans="1:15" x14ac:dyDescent="0.25">
      <c r="A15" s="86">
        <v>45541</v>
      </c>
      <c r="B15" s="55" t="s">
        <v>2954</v>
      </c>
      <c r="C15" s="55" t="s">
        <v>43</v>
      </c>
      <c r="D15" s="75">
        <f t="shared" si="2"/>
        <v>245.45454545454544</v>
      </c>
      <c r="E15" s="75">
        <f t="shared" si="0"/>
        <v>24.545454545454547</v>
      </c>
      <c r="F15" s="75">
        <v>270</v>
      </c>
      <c r="G15" s="75"/>
      <c r="H15" s="58">
        <f t="shared" si="1"/>
        <v>270</v>
      </c>
      <c r="I15" s="14" t="s">
        <v>603</v>
      </c>
      <c r="J15" s="75">
        <v>270</v>
      </c>
      <c r="K15" s="75"/>
      <c r="L15" s="14"/>
      <c r="M15" s="75"/>
      <c r="N15" s="14"/>
      <c r="O15" s="75"/>
    </row>
    <row r="16" spans="1:15" x14ac:dyDescent="0.25">
      <c r="A16" s="86">
        <v>45541</v>
      </c>
      <c r="B16" s="55" t="s">
        <v>2955</v>
      </c>
      <c r="C16" s="55" t="s">
        <v>43</v>
      </c>
      <c r="D16" s="75">
        <f t="shared" si="2"/>
        <v>463.63636363636363</v>
      </c>
      <c r="E16" s="75">
        <f t="shared" si="0"/>
        <v>46.36363636363636</v>
      </c>
      <c r="F16" s="75">
        <v>510</v>
      </c>
      <c r="G16" s="75">
        <v>50</v>
      </c>
      <c r="H16" s="58">
        <f t="shared" si="1"/>
        <v>460</v>
      </c>
      <c r="I16" s="14" t="s">
        <v>3324</v>
      </c>
      <c r="J16" s="75">
        <v>510</v>
      </c>
      <c r="K16" s="75"/>
      <c r="L16" s="14"/>
      <c r="M16" s="75"/>
      <c r="N16" s="14"/>
      <c r="O16" s="75"/>
    </row>
    <row r="17" spans="1:15" x14ac:dyDescent="0.25">
      <c r="A17" s="86">
        <v>45541</v>
      </c>
      <c r="B17" s="55" t="s">
        <v>2956</v>
      </c>
      <c r="C17" s="55" t="s">
        <v>43</v>
      </c>
      <c r="D17" s="75">
        <f t="shared" si="2"/>
        <v>199.99999999999997</v>
      </c>
      <c r="E17" s="75">
        <f t="shared" si="0"/>
        <v>19.999999999999996</v>
      </c>
      <c r="F17" s="75">
        <v>220</v>
      </c>
      <c r="G17" s="75"/>
      <c r="H17" s="58">
        <f t="shared" si="1"/>
        <v>220</v>
      </c>
      <c r="I17" s="14" t="s">
        <v>3325</v>
      </c>
      <c r="J17" s="75">
        <v>220</v>
      </c>
      <c r="K17" s="75"/>
      <c r="L17" s="14"/>
      <c r="M17" s="75"/>
      <c r="N17" s="14"/>
      <c r="O17" s="75"/>
    </row>
    <row r="18" spans="1:15" x14ac:dyDescent="0.25">
      <c r="A18" s="86">
        <v>45541</v>
      </c>
      <c r="B18" s="55" t="s">
        <v>2957</v>
      </c>
      <c r="C18" s="55" t="s">
        <v>43</v>
      </c>
      <c r="D18" s="75">
        <f t="shared" si="2"/>
        <v>154.54545454545453</v>
      </c>
      <c r="E18" s="75">
        <f t="shared" si="0"/>
        <v>15.454545454545453</v>
      </c>
      <c r="F18" s="75">
        <v>170</v>
      </c>
      <c r="G18" s="75">
        <v>50</v>
      </c>
      <c r="H18" s="58">
        <f t="shared" si="1"/>
        <v>120</v>
      </c>
      <c r="I18" s="14" t="s">
        <v>1788</v>
      </c>
      <c r="J18" s="75">
        <v>170</v>
      </c>
      <c r="K18" s="75"/>
      <c r="L18" s="14"/>
      <c r="M18" s="75"/>
      <c r="N18" s="14"/>
      <c r="O18" s="75"/>
    </row>
    <row r="19" spans="1:15" x14ac:dyDescent="0.25">
      <c r="A19" s="86">
        <v>45541</v>
      </c>
      <c r="B19" s="55" t="s">
        <v>2958</v>
      </c>
      <c r="C19" s="55" t="s">
        <v>43</v>
      </c>
      <c r="D19" s="75">
        <f t="shared" si="2"/>
        <v>145.45454545454544</v>
      </c>
      <c r="E19" s="75">
        <f t="shared" si="0"/>
        <v>14.545454545454545</v>
      </c>
      <c r="F19" s="75">
        <v>160</v>
      </c>
      <c r="G19" s="75"/>
      <c r="H19" s="58">
        <f t="shared" si="1"/>
        <v>160</v>
      </c>
      <c r="I19" s="14" t="s">
        <v>603</v>
      </c>
      <c r="J19" s="75">
        <v>160</v>
      </c>
      <c r="K19" s="75"/>
      <c r="L19" s="14"/>
      <c r="M19" s="75"/>
      <c r="N19" s="14"/>
      <c r="O19" s="75"/>
    </row>
    <row r="20" spans="1:15" x14ac:dyDescent="0.25">
      <c r="A20" s="86">
        <v>45542</v>
      </c>
      <c r="B20" s="55" t="s">
        <v>2959</v>
      </c>
      <c r="C20" s="55" t="s">
        <v>43</v>
      </c>
      <c r="D20" s="75">
        <f t="shared" si="2"/>
        <v>254.54545454545453</v>
      </c>
      <c r="E20" s="75">
        <f t="shared" si="0"/>
        <v>25.454545454545453</v>
      </c>
      <c r="F20" s="75">
        <v>280</v>
      </c>
      <c r="G20" s="75">
        <v>50</v>
      </c>
      <c r="H20" s="58">
        <f t="shared" si="1"/>
        <v>230</v>
      </c>
      <c r="I20" s="14" t="s">
        <v>3326</v>
      </c>
      <c r="J20" s="75">
        <v>220</v>
      </c>
      <c r="K20" s="75">
        <v>60</v>
      </c>
      <c r="L20" s="14"/>
      <c r="M20" s="75"/>
      <c r="N20" s="14"/>
      <c r="O20" s="75"/>
    </row>
    <row r="21" spans="1:15" x14ac:dyDescent="0.25">
      <c r="A21" s="86">
        <v>45542</v>
      </c>
      <c r="B21" s="55" t="s">
        <v>2960</v>
      </c>
      <c r="C21" s="55" t="s">
        <v>43</v>
      </c>
      <c r="D21" s="75">
        <f t="shared" si="2"/>
        <v>681.81818181818176</v>
      </c>
      <c r="E21" s="75">
        <f t="shared" si="0"/>
        <v>68.181818181818187</v>
      </c>
      <c r="F21" s="75">
        <v>750</v>
      </c>
      <c r="G21" s="75">
        <v>750</v>
      </c>
      <c r="H21" s="58">
        <f t="shared" si="1"/>
        <v>0</v>
      </c>
      <c r="I21" s="14" t="s">
        <v>3327</v>
      </c>
      <c r="J21" s="75">
        <v>750</v>
      </c>
      <c r="K21" s="75"/>
      <c r="L21" s="14"/>
      <c r="M21" s="75"/>
      <c r="N21" s="14"/>
      <c r="O21" s="75"/>
    </row>
    <row r="22" spans="1:15" x14ac:dyDescent="0.25">
      <c r="A22" s="86">
        <v>45542</v>
      </c>
      <c r="B22" s="55" t="s">
        <v>2961</v>
      </c>
      <c r="C22" s="55" t="s">
        <v>43</v>
      </c>
      <c r="D22" s="75">
        <f t="shared" si="2"/>
        <v>227.27272727272725</v>
      </c>
      <c r="E22" s="75">
        <f t="shared" si="0"/>
        <v>22.727272727272727</v>
      </c>
      <c r="F22" s="75">
        <v>250</v>
      </c>
      <c r="G22" s="75">
        <v>50</v>
      </c>
      <c r="H22" s="58">
        <f t="shared" si="1"/>
        <v>200</v>
      </c>
      <c r="I22" s="187" t="s">
        <v>3328</v>
      </c>
      <c r="J22" s="75">
        <v>220</v>
      </c>
      <c r="K22" s="75">
        <v>30</v>
      </c>
      <c r="L22" s="14" t="s">
        <v>252</v>
      </c>
      <c r="M22" s="75"/>
      <c r="N22" s="14"/>
      <c r="O22" s="14"/>
    </row>
    <row r="23" spans="1:15" x14ac:dyDescent="0.25">
      <c r="A23" s="86">
        <v>45542</v>
      </c>
      <c r="B23" s="55" t="s">
        <v>2962</v>
      </c>
      <c r="C23" s="55" t="s">
        <v>43</v>
      </c>
      <c r="D23" s="75">
        <f t="shared" si="2"/>
        <v>236.36363636363635</v>
      </c>
      <c r="E23" s="75">
        <f t="shared" si="0"/>
        <v>23.636363636363637</v>
      </c>
      <c r="F23" s="75">
        <v>260</v>
      </c>
      <c r="G23" s="75">
        <v>50</v>
      </c>
      <c r="H23" s="58">
        <f t="shared" si="1"/>
        <v>210</v>
      </c>
      <c r="I23" s="14" t="s">
        <v>3329</v>
      </c>
      <c r="J23" s="75">
        <v>220</v>
      </c>
      <c r="K23" s="75">
        <v>40</v>
      </c>
      <c r="L23" s="14" t="s">
        <v>252</v>
      </c>
      <c r="M23" s="75"/>
      <c r="N23" s="14"/>
      <c r="O23" s="14"/>
    </row>
    <row r="24" spans="1:15" x14ac:dyDescent="0.25">
      <c r="A24" s="86">
        <v>45542</v>
      </c>
      <c r="B24" s="55" t="s">
        <v>2963</v>
      </c>
      <c r="C24" s="55" t="s">
        <v>43</v>
      </c>
      <c r="D24" s="75">
        <f t="shared" si="2"/>
        <v>199.99999999999997</v>
      </c>
      <c r="E24" s="75">
        <f t="shared" si="0"/>
        <v>19.999999999999996</v>
      </c>
      <c r="F24" s="75">
        <v>220</v>
      </c>
      <c r="G24" s="75">
        <v>50</v>
      </c>
      <c r="H24" s="58">
        <f t="shared" si="1"/>
        <v>170</v>
      </c>
      <c r="I24" s="14" t="s">
        <v>3330</v>
      </c>
      <c r="J24" s="75">
        <v>220</v>
      </c>
      <c r="K24" s="75"/>
      <c r="L24" s="14"/>
      <c r="M24" s="75"/>
      <c r="N24" s="14"/>
      <c r="O24" s="14"/>
    </row>
    <row r="25" spans="1:15" x14ac:dyDescent="0.25">
      <c r="A25" s="86">
        <v>45542</v>
      </c>
      <c r="B25" s="55" t="s">
        <v>2964</v>
      </c>
      <c r="C25" s="55" t="s">
        <v>43</v>
      </c>
      <c r="D25" s="75">
        <f t="shared" si="2"/>
        <v>163.63636363636363</v>
      </c>
      <c r="E25" s="75">
        <f t="shared" si="0"/>
        <v>16.363636363636363</v>
      </c>
      <c r="F25" s="75">
        <v>180</v>
      </c>
      <c r="G25" s="75"/>
      <c r="H25" s="58">
        <f t="shared" si="1"/>
        <v>180</v>
      </c>
      <c r="I25" s="14" t="s">
        <v>1398</v>
      </c>
      <c r="J25" s="75">
        <v>180</v>
      </c>
      <c r="K25" s="75"/>
      <c r="L25" s="14"/>
      <c r="M25" s="75"/>
      <c r="N25" s="14"/>
      <c r="O25" s="14"/>
    </row>
    <row r="26" spans="1:15" x14ac:dyDescent="0.25">
      <c r="A26" s="86">
        <v>45542</v>
      </c>
      <c r="B26" s="55" t="s">
        <v>2965</v>
      </c>
      <c r="C26" s="55" t="s">
        <v>43</v>
      </c>
      <c r="D26" s="75">
        <f t="shared" si="2"/>
        <v>136.36363636363635</v>
      </c>
      <c r="E26" s="75">
        <f t="shared" si="0"/>
        <v>13.636363636363635</v>
      </c>
      <c r="F26" s="75">
        <v>150</v>
      </c>
      <c r="G26" s="75"/>
      <c r="H26" s="58">
        <f t="shared" si="1"/>
        <v>150</v>
      </c>
      <c r="I26" s="14" t="s">
        <v>604</v>
      </c>
      <c r="J26" s="75">
        <v>150</v>
      </c>
      <c r="K26" s="75"/>
      <c r="L26" s="14"/>
      <c r="M26" s="75"/>
      <c r="N26" s="14"/>
      <c r="O26" s="14"/>
    </row>
    <row r="27" spans="1:15" x14ac:dyDescent="0.25">
      <c r="A27" s="86">
        <v>45542</v>
      </c>
      <c r="B27" s="55" t="s">
        <v>2966</v>
      </c>
      <c r="C27" s="55" t="s">
        <v>43</v>
      </c>
      <c r="D27" s="75">
        <f t="shared" si="2"/>
        <v>154.54545454545453</v>
      </c>
      <c r="E27" s="75">
        <f t="shared" si="0"/>
        <v>15.454545454545453</v>
      </c>
      <c r="F27" s="75">
        <v>170</v>
      </c>
      <c r="G27" s="75">
        <v>50</v>
      </c>
      <c r="H27" s="58">
        <f t="shared" si="1"/>
        <v>120</v>
      </c>
      <c r="I27" s="14" t="s">
        <v>3331</v>
      </c>
      <c r="J27" s="75">
        <v>170</v>
      </c>
      <c r="K27" s="75"/>
      <c r="L27" s="14"/>
      <c r="M27" s="75"/>
      <c r="N27" s="14"/>
      <c r="O27" s="14"/>
    </row>
    <row r="28" spans="1:15" x14ac:dyDescent="0.25">
      <c r="A28" s="86">
        <v>45542</v>
      </c>
      <c r="B28" s="55" t="s">
        <v>2967</v>
      </c>
      <c r="C28" s="55" t="s">
        <v>43</v>
      </c>
      <c r="D28" s="75">
        <f t="shared" si="2"/>
        <v>154.54545454545453</v>
      </c>
      <c r="E28" s="75">
        <f t="shared" si="0"/>
        <v>15.454545454545453</v>
      </c>
      <c r="F28" s="75">
        <v>170</v>
      </c>
      <c r="G28" s="75">
        <v>50</v>
      </c>
      <c r="H28" s="58">
        <f t="shared" si="1"/>
        <v>120</v>
      </c>
      <c r="I28" s="14" t="s">
        <v>3332</v>
      </c>
      <c r="J28" s="75">
        <v>170</v>
      </c>
      <c r="K28" s="75"/>
      <c r="L28" s="14"/>
      <c r="M28" s="75"/>
      <c r="N28" s="14"/>
      <c r="O28" s="14"/>
    </row>
    <row r="29" spans="1:15" x14ac:dyDescent="0.25">
      <c r="A29" s="86">
        <v>45542</v>
      </c>
      <c r="B29" s="55" t="s">
        <v>2968</v>
      </c>
      <c r="C29" s="55" t="s">
        <v>43</v>
      </c>
      <c r="D29" s="75">
        <f t="shared" si="2"/>
        <v>154.54545454545453</v>
      </c>
      <c r="E29" s="75">
        <f t="shared" si="0"/>
        <v>15.454545454545453</v>
      </c>
      <c r="F29" s="75">
        <v>170</v>
      </c>
      <c r="G29" s="75">
        <v>50</v>
      </c>
      <c r="H29" s="58">
        <f t="shared" si="1"/>
        <v>120</v>
      </c>
      <c r="I29" s="14" t="s">
        <v>3333</v>
      </c>
      <c r="J29" s="75">
        <v>170</v>
      </c>
      <c r="K29" s="75"/>
      <c r="L29" s="14"/>
      <c r="M29" s="75"/>
      <c r="N29" s="14"/>
      <c r="O29" s="14"/>
    </row>
    <row r="30" spans="1:15" x14ac:dyDescent="0.25">
      <c r="A30" s="86">
        <v>45542</v>
      </c>
      <c r="B30" s="55" t="s">
        <v>2969</v>
      </c>
      <c r="C30" s="55" t="s">
        <v>43</v>
      </c>
      <c r="D30" s="75">
        <f t="shared" si="2"/>
        <v>172.72727272727272</v>
      </c>
      <c r="E30" s="75">
        <f t="shared" si="0"/>
        <v>17.272727272727273</v>
      </c>
      <c r="F30" s="75">
        <v>190</v>
      </c>
      <c r="G30" s="75">
        <v>100</v>
      </c>
      <c r="H30" s="58">
        <f t="shared" si="1"/>
        <v>90</v>
      </c>
      <c r="I30" s="14" t="s">
        <v>3334</v>
      </c>
      <c r="J30" s="75">
        <v>170</v>
      </c>
      <c r="K30" s="75">
        <v>20</v>
      </c>
      <c r="L30" s="14" t="s">
        <v>252</v>
      </c>
      <c r="M30" s="75"/>
      <c r="N30" s="14"/>
      <c r="O30" s="14"/>
    </row>
    <row r="31" spans="1:15" x14ac:dyDescent="0.25">
      <c r="A31" s="86">
        <v>45542</v>
      </c>
      <c r="B31" s="55" t="s">
        <v>2970</v>
      </c>
      <c r="C31" s="55" t="s">
        <v>43</v>
      </c>
      <c r="D31" s="75">
        <f t="shared" si="2"/>
        <v>190.90909090909091</v>
      </c>
      <c r="E31" s="75">
        <f t="shared" si="0"/>
        <v>19.09090909090909</v>
      </c>
      <c r="F31" s="75">
        <v>210</v>
      </c>
      <c r="G31" s="75">
        <v>50</v>
      </c>
      <c r="H31" s="58">
        <f t="shared" si="1"/>
        <v>160</v>
      </c>
      <c r="I31" s="14" t="s">
        <v>3335</v>
      </c>
      <c r="J31" s="75">
        <v>170</v>
      </c>
      <c r="K31" s="75">
        <v>40</v>
      </c>
      <c r="L31" s="14" t="s">
        <v>252</v>
      </c>
      <c r="M31" s="75"/>
      <c r="N31" s="14"/>
      <c r="O31" s="14"/>
    </row>
    <row r="32" spans="1:15" x14ac:dyDescent="0.25">
      <c r="A32" s="86">
        <v>45542</v>
      </c>
      <c r="B32" s="55" t="s">
        <v>2971</v>
      </c>
      <c r="C32" s="55" t="s">
        <v>43</v>
      </c>
      <c r="D32" s="75">
        <f t="shared" si="2"/>
        <v>145.45454545454544</v>
      </c>
      <c r="E32" s="75">
        <f t="shared" si="0"/>
        <v>14.545454545454545</v>
      </c>
      <c r="F32" s="75">
        <v>160</v>
      </c>
      <c r="G32" s="75"/>
      <c r="H32" s="58">
        <f t="shared" si="1"/>
        <v>160</v>
      </c>
      <c r="I32" s="14" t="s">
        <v>3336</v>
      </c>
      <c r="J32" s="75">
        <v>160</v>
      </c>
      <c r="K32" s="75"/>
      <c r="L32" s="14"/>
      <c r="M32" s="75"/>
      <c r="N32" s="14"/>
      <c r="O32" s="14"/>
    </row>
    <row r="33" spans="1:15" x14ac:dyDescent="0.25">
      <c r="A33" s="86">
        <v>45542</v>
      </c>
      <c r="B33" s="55" t="s">
        <v>2972</v>
      </c>
      <c r="C33" s="55" t="s">
        <v>43</v>
      </c>
      <c r="D33" s="75">
        <f t="shared" si="2"/>
        <v>154.54545454545453</v>
      </c>
      <c r="E33" s="75">
        <f t="shared" si="0"/>
        <v>15.454545454545453</v>
      </c>
      <c r="F33" s="75">
        <v>170</v>
      </c>
      <c r="G33" s="75">
        <v>50</v>
      </c>
      <c r="H33" s="58">
        <f t="shared" si="1"/>
        <v>120</v>
      </c>
      <c r="I33" s="14" t="s">
        <v>3337</v>
      </c>
      <c r="J33" s="75">
        <v>170</v>
      </c>
      <c r="K33" s="75"/>
      <c r="L33" s="14"/>
      <c r="M33" s="75"/>
      <c r="N33" s="14"/>
      <c r="O33" s="14"/>
    </row>
    <row r="34" spans="1:15" x14ac:dyDescent="0.25">
      <c r="A34" s="86">
        <v>45542</v>
      </c>
      <c r="B34" s="55" t="s">
        <v>2973</v>
      </c>
      <c r="C34" s="55" t="s">
        <v>43</v>
      </c>
      <c r="D34" s="75">
        <f t="shared" si="2"/>
        <v>154.54545454545453</v>
      </c>
      <c r="E34" s="75">
        <f t="shared" si="0"/>
        <v>15.454545454545453</v>
      </c>
      <c r="F34" s="75">
        <v>170</v>
      </c>
      <c r="G34" s="75">
        <v>50</v>
      </c>
      <c r="H34" s="58">
        <f t="shared" si="1"/>
        <v>120</v>
      </c>
      <c r="I34" s="14" t="s">
        <v>3338</v>
      </c>
      <c r="J34" s="75">
        <v>170</v>
      </c>
      <c r="K34" s="75"/>
      <c r="L34" s="14"/>
      <c r="M34" s="75"/>
      <c r="N34" s="14"/>
      <c r="O34" s="14"/>
    </row>
    <row r="35" spans="1:15" x14ac:dyDescent="0.25">
      <c r="A35" s="86">
        <v>45542</v>
      </c>
      <c r="B35" s="55" t="s">
        <v>2974</v>
      </c>
      <c r="C35" s="55" t="s">
        <v>43</v>
      </c>
      <c r="D35" s="75">
        <f t="shared" si="2"/>
        <v>290.90909090909088</v>
      </c>
      <c r="E35" s="75">
        <f t="shared" si="0"/>
        <v>29.09090909090909</v>
      </c>
      <c r="F35" s="75">
        <v>320</v>
      </c>
      <c r="G35" s="75">
        <v>50</v>
      </c>
      <c r="H35" s="58">
        <f t="shared" si="1"/>
        <v>270</v>
      </c>
      <c r="I35" s="14" t="s">
        <v>3339</v>
      </c>
      <c r="J35" s="75">
        <v>270</v>
      </c>
      <c r="K35" s="75">
        <v>50</v>
      </c>
      <c r="L35" s="14" t="s">
        <v>252</v>
      </c>
      <c r="M35" s="75"/>
      <c r="N35" s="14"/>
      <c r="O35" s="14"/>
    </row>
    <row r="36" spans="1:15" x14ac:dyDescent="0.25">
      <c r="A36" s="86">
        <v>45542</v>
      </c>
      <c r="B36" s="55" t="s">
        <v>2975</v>
      </c>
      <c r="C36" s="55" t="s">
        <v>43</v>
      </c>
      <c r="D36" s="75">
        <f t="shared" si="2"/>
        <v>181.81818181818181</v>
      </c>
      <c r="E36" s="75">
        <f t="shared" si="0"/>
        <v>18.18181818181818</v>
      </c>
      <c r="F36" s="75">
        <v>200</v>
      </c>
      <c r="G36" s="75"/>
      <c r="H36" s="58">
        <f t="shared" si="1"/>
        <v>200</v>
      </c>
      <c r="I36" s="14" t="s">
        <v>1398</v>
      </c>
      <c r="J36" s="75">
        <v>200</v>
      </c>
      <c r="K36" s="75"/>
      <c r="L36" s="14"/>
      <c r="M36" s="75"/>
      <c r="N36" s="14"/>
      <c r="O36" s="14"/>
    </row>
    <row r="37" spans="1:15" x14ac:dyDescent="0.25">
      <c r="A37" s="86">
        <v>45542</v>
      </c>
      <c r="B37" s="55" t="s">
        <v>2976</v>
      </c>
      <c r="C37" s="55" t="s">
        <v>43</v>
      </c>
      <c r="D37" s="75">
        <f t="shared" si="2"/>
        <v>245.45454545454544</v>
      </c>
      <c r="E37" s="75">
        <f t="shared" si="0"/>
        <v>24.545454545454547</v>
      </c>
      <c r="F37" s="75">
        <v>270</v>
      </c>
      <c r="G37" s="75">
        <v>50</v>
      </c>
      <c r="H37" s="58">
        <f t="shared" si="1"/>
        <v>220</v>
      </c>
      <c r="I37" s="14" t="s">
        <v>3340</v>
      </c>
      <c r="J37" s="75">
        <v>270</v>
      </c>
      <c r="K37" s="75"/>
      <c r="L37" s="14"/>
      <c r="M37" s="75"/>
      <c r="N37" s="14"/>
      <c r="O37" s="14"/>
    </row>
    <row r="38" spans="1:15" x14ac:dyDescent="0.25">
      <c r="A38" s="86">
        <v>45542</v>
      </c>
      <c r="B38" s="55" t="s">
        <v>2977</v>
      </c>
      <c r="C38" s="55" t="s">
        <v>43</v>
      </c>
      <c r="D38" s="75">
        <f t="shared" si="2"/>
        <v>227.27272727272725</v>
      </c>
      <c r="E38" s="75">
        <f t="shared" si="0"/>
        <v>22.727272727272727</v>
      </c>
      <c r="F38" s="75">
        <v>250</v>
      </c>
      <c r="G38" s="75">
        <v>50</v>
      </c>
      <c r="H38" s="58">
        <f t="shared" si="1"/>
        <v>200</v>
      </c>
      <c r="I38" s="14" t="s">
        <v>3341</v>
      </c>
      <c r="J38" s="75">
        <v>220</v>
      </c>
      <c r="K38" s="75">
        <v>30</v>
      </c>
      <c r="L38" s="14" t="s">
        <v>252</v>
      </c>
      <c r="M38" s="75"/>
      <c r="N38" s="14"/>
      <c r="O38" s="14"/>
    </row>
    <row r="39" spans="1:15" x14ac:dyDescent="0.25">
      <c r="A39" s="86">
        <v>45542</v>
      </c>
      <c r="B39" s="55" t="s">
        <v>2978</v>
      </c>
      <c r="C39" s="55" t="s">
        <v>43</v>
      </c>
      <c r="D39" s="75">
        <f t="shared" si="2"/>
        <v>181.81818181818181</v>
      </c>
      <c r="E39" s="75">
        <f t="shared" si="0"/>
        <v>18.18181818181818</v>
      </c>
      <c r="F39" s="75">
        <v>200</v>
      </c>
      <c r="G39" s="75"/>
      <c r="H39" s="58">
        <f t="shared" si="1"/>
        <v>200</v>
      </c>
      <c r="I39" s="14" t="s">
        <v>604</v>
      </c>
      <c r="J39" s="75">
        <v>200</v>
      </c>
      <c r="K39" s="75"/>
      <c r="L39" s="14"/>
      <c r="M39" s="75"/>
      <c r="N39" s="14"/>
      <c r="O39" s="14"/>
    </row>
    <row r="40" spans="1:15" x14ac:dyDescent="0.25">
      <c r="A40" s="86">
        <v>45542</v>
      </c>
      <c r="B40" s="55" t="s">
        <v>2979</v>
      </c>
      <c r="C40" s="55" t="s">
        <v>43</v>
      </c>
      <c r="D40" s="75">
        <f t="shared" si="2"/>
        <v>199.99999999999997</v>
      </c>
      <c r="E40" s="75">
        <f t="shared" si="0"/>
        <v>19.999999999999996</v>
      </c>
      <c r="F40" s="75">
        <v>220</v>
      </c>
      <c r="G40" s="75">
        <v>50</v>
      </c>
      <c r="H40" s="58">
        <f t="shared" si="1"/>
        <v>170</v>
      </c>
      <c r="I40" s="14" t="s">
        <v>3342</v>
      </c>
      <c r="J40" s="75">
        <v>270</v>
      </c>
      <c r="K40" s="75"/>
      <c r="L40" s="14"/>
      <c r="M40" s="75"/>
      <c r="N40" s="14"/>
      <c r="O40" s="14"/>
    </row>
    <row r="41" spans="1:15" x14ac:dyDescent="0.25">
      <c r="A41" s="86">
        <v>45543</v>
      </c>
      <c r="B41" s="55" t="s">
        <v>2980</v>
      </c>
      <c r="C41" s="55" t="s">
        <v>43</v>
      </c>
      <c r="D41" s="75">
        <f t="shared" si="2"/>
        <v>154.54545454545453</v>
      </c>
      <c r="E41" s="75">
        <f t="shared" si="0"/>
        <v>15.454545454545453</v>
      </c>
      <c r="F41" s="75">
        <v>170</v>
      </c>
      <c r="G41" s="75">
        <v>50</v>
      </c>
      <c r="H41" s="58">
        <f t="shared" si="1"/>
        <v>120</v>
      </c>
      <c r="I41" s="14" t="s">
        <v>3343</v>
      </c>
      <c r="J41" s="75">
        <v>170</v>
      </c>
      <c r="K41" s="75"/>
      <c r="L41" s="14"/>
      <c r="M41" s="75"/>
      <c r="N41" s="14"/>
      <c r="O41" s="14"/>
    </row>
    <row r="42" spans="1:15" x14ac:dyDescent="0.25">
      <c r="A42" s="86">
        <v>45543</v>
      </c>
      <c r="B42" s="55" t="s">
        <v>2981</v>
      </c>
      <c r="C42" s="55" t="s">
        <v>43</v>
      </c>
      <c r="D42" s="75">
        <f t="shared" si="2"/>
        <v>154.54545454545453</v>
      </c>
      <c r="E42" s="75">
        <f t="shared" si="0"/>
        <v>15.454545454545453</v>
      </c>
      <c r="F42" s="75">
        <v>170</v>
      </c>
      <c r="G42" s="75">
        <v>50</v>
      </c>
      <c r="H42" s="58">
        <f t="shared" si="1"/>
        <v>120</v>
      </c>
      <c r="I42" s="14" t="s">
        <v>3344</v>
      </c>
      <c r="J42" s="75">
        <v>170</v>
      </c>
      <c r="K42" s="75"/>
      <c r="L42" s="14"/>
      <c r="M42" s="75"/>
      <c r="N42" s="14"/>
      <c r="O42" s="14"/>
    </row>
    <row r="43" spans="1:15" x14ac:dyDescent="0.25">
      <c r="A43" s="86">
        <v>45546</v>
      </c>
      <c r="B43" s="55" t="s">
        <v>2982</v>
      </c>
      <c r="C43" s="55" t="s">
        <v>43</v>
      </c>
      <c r="D43" s="75">
        <f t="shared" si="2"/>
        <v>163.63636363636363</v>
      </c>
      <c r="E43" s="75">
        <f t="shared" si="0"/>
        <v>16.363636363636363</v>
      </c>
      <c r="F43" s="75">
        <v>180</v>
      </c>
      <c r="G43" s="75"/>
      <c r="H43" s="58">
        <f t="shared" si="1"/>
        <v>180</v>
      </c>
      <c r="I43" s="14" t="s">
        <v>603</v>
      </c>
      <c r="J43" s="75">
        <v>180</v>
      </c>
      <c r="K43" s="75"/>
      <c r="L43" s="14"/>
      <c r="M43" s="75"/>
      <c r="N43" s="14"/>
      <c r="O43" s="14"/>
    </row>
    <row r="44" spans="1:15" x14ac:dyDescent="0.25">
      <c r="A44" s="86">
        <v>45548</v>
      </c>
      <c r="B44" s="55" t="s">
        <v>2983</v>
      </c>
      <c r="C44" s="55" t="s">
        <v>43</v>
      </c>
      <c r="D44" s="75">
        <f t="shared" si="2"/>
        <v>163.63636363636363</v>
      </c>
      <c r="E44" s="75">
        <f t="shared" si="0"/>
        <v>16.363636363636363</v>
      </c>
      <c r="F44" s="75">
        <v>180</v>
      </c>
      <c r="G44" s="75"/>
      <c r="H44" s="58">
        <f t="shared" si="1"/>
        <v>180</v>
      </c>
      <c r="I44" s="187" t="s">
        <v>603</v>
      </c>
      <c r="J44" s="75">
        <v>180</v>
      </c>
      <c r="K44" s="75"/>
      <c r="L44" s="14"/>
      <c r="M44" s="75"/>
      <c r="N44" s="14"/>
      <c r="O44" s="14"/>
    </row>
    <row r="45" spans="1:15" x14ac:dyDescent="0.25">
      <c r="A45" s="86">
        <v>45548</v>
      </c>
      <c r="B45" s="55" t="s">
        <v>2984</v>
      </c>
      <c r="C45" s="55" t="s">
        <v>43</v>
      </c>
      <c r="D45" s="75">
        <f t="shared" si="2"/>
        <v>199.99999999999997</v>
      </c>
      <c r="E45" s="75">
        <f t="shared" si="0"/>
        <v>19.999999999999996</v>
      </c>
      <c r="F45" s="75">
        <v>220</v>
      </c>
      <c r="G45" s="75">
        <v>50</v>
      </c>
      <c r="H45" s="58">
        <f t="shared" si="1"/>
        <v>170</v>
      </c>
      <c r="I45" s="14" t="s">
        <v>3388</v>
      </c>
      <c r="J45" s="75">
        <v>220</v>
      </c>
      <c r="K45" s="75"/>
      <c r="L45" s="14"/>
      <c r="M45" s="75"/>
      <c r="N45" s="14"/>
      <c r="O45" s="14"/>
    </row>
    <row r="46" spans="1:15" x14ac:dyDescent="0.25">
      <c r="A46" s="86">
        <v>45548</v>
      </c>
      <c r="B46" s="55" t="s">
        <v>2985</v>
      </c>
      <c r="C46" s="55" t="s">
        <v>43</v>
      </c>
      <c r="D46" s="75">
        <f t="shared" si="2"/>
        <v>190.90909090909091</v>
      </c>
      <c r="E46" s="75">
        <f t="shared" si="0"/>
        <v>19.09090909090909</v>
      </c>
      <c r="F46" s="75">
        <v>210</v>
      </c>
      <c r="G46" s="75">
        <v>50</v>
      </c>
      <c r="H46" s="58">
        <f t="shared" si="1"/>
        <v>160</v>
      </c>
      <c r="I46" s="14" t="s">
        <v>3389</v>
      </c>
      <c r="J46" s="75">
        <v>210</v>
      </c>
      <c r="K46" s="75"/>
      <c r="L46" s="14"/>
      <c r="M46" s="75"/>
      <c r="N46" s="14"/>
      <c r="O46" s="14"/>
    </row>
    <row r="47" spans="1:15" x14ac:dyDescent="0.25">
      <c r="A47" s="86">
        <v>45548</v>
      </c>
      <c r="B47" s="55" t="s">
        <v>2986</v>
      </c>
      <c r="C47" s="55" t="s">
        <v>43</v>
      </c>
      <c r="D47" s="75">
        <f t="shared" si="2"/>
        <v>209.09090909090907</v>
      </c>
      <c r="E47" s="75">
        <f t="shared" si="0"/>
        <v>20.909090909090907</v>
      </c>
      <c r="F47" s="75">
        <v>230</v>
      </c>
      <c r="G47" s="75"/>
      <c r="H47" s="58">
        <f t="shared" si="1"/>
        <v>230</v>
      </c>
      <c r="I47" s="14" t="s">
        <v>1398</v>
      </c>
      <c r="J47" s="75">
        <v>230</v>
      </c>
      <c r="K47" s="75"/>
      <c r="L47" s="14"/>
      <c r="M47" s="75"/>
      <c r="N47" s="14"/>
      <c r="O47" s="14"/>
    </row>
    <row r="48" spans="1:15" x14ac:dyDescent="0.25">
      <c r="A48" s="86">
        <v>45548</v>
      </c>
      <c r="B48" s="55" t="s">
        <v>2987</v>
      </c>
      <c r="C48" s="55" t="s">
        <v>43</v>
      </c>
      <c r="D48" s="75">
        <f t="shared" si="2"/>
        <v>145.45454545454544</v>
      </c>
      <c r="E48" s="75">
        <f t="shared" si="0"/>
        <v>14.545454545454545</v>
      </c>
      <c r="F48" s="75">
        <v>160</v>
      </c>
      <c r="G48" s="75"/>
      <c r="H48" s="58">
        <f t="shared" si="1"/>
        <v>160</v>
      </c>
      <c r="I48" s="14" t="s">
        <v>603</v>
      </c>
      <c r="J48" s="75">
        <v>160</v>
      </c>
      <c r="K48" s="75"/>
      <c r="L48" s="14"/>
      <c r="M48" s="75"/>
      <c r="N48" s="14"/>
      <c r="O48" s="14"/>
    </row>
    <row r="49" spans="1:16" x14ac:dyDescent="0.25">
      <c r="A49" s="86">
        <v>45548</v>
      </c>
      <c r="B49" s="55" t="s">
        <v>2988</v>
      </c>
      <c r="C49" s="55" t="s">
        <v>43</v>
      </c>
      <c r="D49" s="75">
        <f t="shared" si="2"/>
        <v>127.27272727272727</v>
      </c>
      <c r="E49" s="75">
        <f t="shared" si="0"/>
        <v>12.727272727272727</v>
      </c>
      <c r="F49" s="75">
        <v>140</v>
      </c>
      <c r="G49" s="75"/>
      <c r="H49" s="58">
        <f t="shared" si="1"/>
        <v>140</v>
      </c>
      <c r="I49" s="14" t="s">
        <v>603</v>
      </c>
      <c r="J49" s="75">
        <v>140</v>
      </c>
      <c r="K49" s="75"/>
      <c r="L49" s="14"/>
      <c r="M49" s="75"/>
      <c r="N49" s="14"/>
      <c r="O49" s="14"/>
    </row>
    <row r="50" spans="1:16" x14ac:dyDescent="0.25">
      <c r="A50" s="86">
        <v>45549</v>
      </c>
      <c r="B50" s="55" t="s">
        <v>2989</v>
      </c>
      <c r="C50" s="55" t="s">
        <v>43</v>
      </c>
      <c r="D50" s="75">
        <f t="shared" si="2"/>
        <v>236.36363636363635</v>
      </c>
      <c r="E50" s="75">
        <f t="shared" si="0"/>
        <v>23.636363636363637</v>
      </c>
      <c r="F50" s="75">
        <v>260</v>
      </c>
      <c r="G50" s="75">
        <v>50</v>
      </c>
      <c r="H50" s="58">
        <f t="shared" si="1"/>
        <v>210</v>
      </c>
      <c r="I50" s="14" t="s">
        <v>3390</v>
      </c>
      <c r="J50" s="75">
        <v>220</v>
      </c>
      <c r="K50" s="75">
        <v>40</v>
      </c>
      <c r="L50" s="14" t="s">
        <v>252</v>
      </c>
      <c r="M50" s="75"/>
      <c r="N50" s="14"/>
      <c r="O50" s="14"/>
    </row>
    <row r="51" spans="1:16" x14ac:dyDescent="0.25">
      <c r="A51" s="86">
        <v>45549</v>
      </c>
      <c r="B51" s="55" t="s">
        <v>2990</v>
      </c>
      <c r="C51" s="55" t="s">
        <v>43</v>
      </c>
      <c r="D51" s="75">
        <f t="shared" si="2"/>
        <v>281.81818181818181</v>
      </c>
      <c r="E51" s="75">
        <f t="shared" si="0"/>
        <v>28.18181818181818</v>
      </c>
      <c r="F51" s="75">
        <v>310</v>
      </c>
      <c r="G51" s="75">
        <v>50</v>
      </c>
      <c r="H51" s="58">
        <f t="shared" si="1"/>
        <v>260</v>
      </c>
      <c r="I51" s="14" t="s">
        <v>3391</v>
      </c>
      <c r="J51" s="75">
        <v>270</v>
      </c>
      <c r="K51" s="75">
        <v>40</v>
      </c>
      <c r="L51" s="14" t="s">
        <v>252</v>
      </c>
      <c r="M51" s="75"/>
      <c r="N51" s="14"/>
      <c r="O51" s="14"/>
    </row>
    <row r="52" spans="1:16" x14ac:dyDescent="0.25">
      <c r="A52" s="86">
        <v>45549</v>
      </c>
      <c r="B52" s="55" t="s">
        <v>2991</v>
      </c>
      <c r="C52" s="55" t="s">
        <v>43</v>
      </c>
      <c r="D52" s="75">
        <f t="shared" si="2"/>
        <v>490.90909090909088</v>
      </c>
      <c r="E52" s="75">
        <f t="shared" si="0"/>
        <v>49.090909090909093</v>
      </c>
      <c r="F52" s="75">
        <v>540</v>
      </c>
      <c r="G52" s="75">
        <v>50</v>
      </c>
      <c r="H52" s="58">
        <f t="shared" si="1"/>
        <v>490</v>
      </c>
      <c r="I52" s="14" t="s">
        <v>3392</v>
      </c>
      <c r="J52" s="75">
        <v>270</v>
      </c>
      <c r="K52" s="75"/>
      <c r="L52" s="14"/>
      <c r="M52" s="75">
        <v>270</v>
      </c>
      <c r="N52" s="14" t="s">
        <v>588</v>
      </c>
      <c r="O52" s="75">
        <v>204</v>
      </c>
      <c r="P52" t="s">
        <v>3394</v>
      </c>
    </row>
    <row r="53" spans="1:16" x14ac:dyDescent="0.25">
      <c r="A53" s="86">
        <v>45549</v>
      </c>
      <c r="B53" s="55" t="s">
        <v>2992</v>
      </c>
      <c r="C53" s="55" t="s">
        <v>43</v>
      </c>
      <c r="D53" s="75">
        <f t="shared" si="2"/>
        <v>236.36363636363635</v>
      </c>
      <c r="E53" s="75">
        <f t="shared" si="0"/>
        <v>23.636363636363637</v>
      </c>
      <c r="F53" s="75">
        <v>260</v>
      </c>
      <c r="G53" s="75">
        <v>50</v>
      </c>
      <c r="H53" s="58">
        <f t="shared" si="1"/>
        <v>210</v>
      </c>
      <c r="I53" s="14" t="s">
        <v>3393</v>
      </c>
      <c r="J53" s="75">
        <v>220</v>
      </c>
      <c r="K53" s="75">
        <v>40</v>
      </c>
      <c r="L53" s="14" t="s">
        <v>252</v>
      </c>
      <c r="M53" s="75"/>
      <c r="N53" s="14"/>
      <c r="O53" s="14"/>
    </row>
    <row r="54" spans="1:16" x14ac:dyDescent="0.25">
      <c r="A54" s="86">
        <v>45549</v>
      </c>
      <c r="B54" s="55" t="s">
        <v>2993</v>
      </c>
      <c r="C54" s="55" t="s">
        <v>43</v>
      </c>
      <c r="D54" s="75">
        <f t="shared" si="2"/>
        <v>199.99999999999997</v>
      </c>
      <c r="E54" s="75">
        <f t="shared" si="0"/>
        <v>19.999999999999996</v>
      </c>
      <c r="F54" s="75">
        <v>220</v>
      </c>
      <c r="G54" s="75"/>
      <c r="H54" s="58">
        <f t="shared" si="1"/>
        <v>220</v>
      </c>
      <c r="I54" s="14" t="s">
        <v>603</v>
      </c>
      <c r="J54" s="75">
        <v>220</v>
      </c>
      <c r="K54" s="75"/>
      <c r="L54" s="14"/>
      <c r="M54" s="75"/>
      <c r="N54" s="14"/>
      <c r="O54" s="14"/>
    </row>
    <row r="55" spans="1:16" x14ac:dyDescent="0.25">
      <c r="A55" s="86">
        <v>45549</v>
      </c>
      <c r="B55" s="55" t="s">
        <v>2994</v>
      </c>
      <c r="C55" s="55" t="s">
        <v>43</v>
      </c>
      <c r="D55" s="75">
        <f t="shared" si="2"/>
        <v>154.54545454545453</v>
      </c>
      <c r="E55" s="75">
        <f t="shared" si="0"/>
        <v>15.454545454545453</v>
      </c>
      <c r="F55" s="75">
        <v>170</v>
      </c>
      <c r="G55" s="75">
        <v>50</v>
      </c>
      <c r="H55" s="58">
        <f t="shared" si="1"/>
        <v>120</v>
      </c>
      <c r="I55" s="14" t="s">
        <v>3395</v>
      </c>
      <c r="J55" s="75">
        <v>170</v>
      </c>
      <c r="K55" s="75"/>
      <c r="L55" s="14"/>
      <c r="M55" s="75"/>
      <c r="N55" s="14"/>
      <c r="O55" s="14"/>
    </row>
    <row r="56" spans="1:16" x14ac:dyDescent="0.25">
      <c r="A56" s="86">
        <v>45549</v>
      </c>
      <c r="B56" s="55" t="s">
        <v>2995</v>
      </c>
      <c r="C56" s="55" t="s">
        <v>43</v>
      </c>
      <c r="D56" s="75">
        <f t="shared" si="2"/>
        <v>154.54545454545453</v>
      </c>
      <c r="E56" s="75">
        <f t="shared" si="0"/>
        <v>15.454545454545453</v>
      </c>
      <c r="F56" s="75">
        <v>170</v>
      </c>
      <c r="G56" s="75">
        <v>50</v>
      </c>
      <c r="H56" s="58">
        <f t="shared" si="1"/>
        <v>120</v>
      </c>
      <c r="I56" s="14" t="s">
        <v>3396</v>
      </c>
      <c r="J56" s="75">
        <v>170</v>
      </c>
      <c r="K56" s="75"/>
      <c r="L56" s="14"/>
      <c r="M56" s="75"/>
      <c r="N56" s="14"/>
      <c r="O56" s="14"/>
    </row>
    <row r="57" spans="1:16" x14ac:dyDescent="0.25">
      <c r="A57" s="86">
        <v>45549</v>
      </c>
      <c r="B57" s="55" t="s">
        <v>2996</v>
      </c>
      <c r="C57" s="55" t="s">
        <v>43</v>
      </c>
      <c r="D57" s="75">
        <f t="shared" si="2"/>
        <v>154.54545454545453</v>
      </c>
      <c r="E57" s="75">
        <f t="shared" si="0"/>
        <v>15.454545454545453</v>
      </c>
      <c r="F57" s="75">
        <v>170</v>
      </c>
      <c r="G57" s="75">
        <v>50</v>
      </c>
      <c r="H57" s="58">
        <f t="shared" si="1"/>
        <v>120</v>
      </c>
      <c r="I57" s="14" t="s">
        <v>3397</v>
      </c>
      <c r="J57" s="75">
        <v>170</v>
      </c>
      <c r="K57" s="75"/>
      <c r="L57" s="14"/>
      <c r="M57" s="75"/>
      <c r="N57" s="14"/>
      <c r="O57" s="14"/>
    </row>
    <row r="58" spans="1:16" x14ac:dyDescent="0.25">
      <c r="A58" s="86">
        <v>45549</v>
      </c>
      <c r="B58" s="55" t="s">
        <v>2997</v>
      </c>
      <c r="C58" s="55" t="s">
        <v>43</v>
      </c>
      <c r="D58" s="75">
        <f t="shared" si="2"/>
        <v>263.63636363636363</v>
      </c>
      <c r="E58" s="75">
        <f t="shared" si="0"/>
        <v>26.36363636363636</v>
      </c>
      <c r="F58" s="75">
        <v>290</v>
      </c>
      <c r="G58" s="75">
        <v>50</v>
      </c>
      <c r="H58" s="58">
        <f t="shared" si="1"/>
        <v>240</v>
      </c>
      <c r="I58" s="14" t="s">
        <v>3398</v>
      </c>
      <c r="J58" s="75">
        <v>270</v>
      </c>
      <c r="K58" s="75">
        <v>20</v>
      </c>
      <c r="L58" s="14" t="s">
        <v>252</v>
      </c>
      <c r="M58" s="75"/>
      <c r="N58" s="14"/>
      <c r="O58" s="14"/>
    </row>
    <row r="59" spans="1:16" x14ac:dyDescent="0.25">
      <c r="A59" s="86">
        <v>45549</v>
      </c>
      <c r="B59" s="55" t="s">
        <v>2998</v>
      </c>
      <c r="C59" s="55" t="s">
        <v>43</v>
      </c>
      <c r="D59" s="75">
        <f t="shared" si="2"/>
        <v>199.99999999999997</v>
      </c>
      <c r="E59" s="75">
        <f t="shared" si="0"/>
        <v>19.999999999999996</v>
      </c>
      <c r="F59" s="75">
        <v>220</v>
      </c>
      <c r="G59" s="75">
        <v>50</v>
      </c>
      <c r="H59" s="58">
        <f t="shared" si="1"/>
        <v>170</v>
      </c>
      <c r="I59" s="14" t="s">
        <v>3399</v>
      </c>
      <c r="J59" s="75">
        <v>220</v>
      </c>
      <c r="K59" s="75"/>
      <c r="L59" s="14"/>
      <c r="M59" s="75"/>
      <c r="N59" s="14"/>
      <c r="O59" s="14"/>
    </row>
    <row r="60" spans="1:16" x14ac:dyDescent="0.25">
      <c r="A60" s="86">
        <v>45549</v>
      </c>
      <c r="B60" s="55" t="s">
        <v>2999</v>
      </c>
      <c r="C60" s="55" t="s">
        <v>43</v>
      </c>
      <c r="D60" s="75">
        <f t="shared" si="2"/>
        <v>281.81818181818181</v>
      </c>
      <c r="E60" s="75">
        <f t="shared" si="0"/>
        <v>28.18181818181818</v>
      </c>
      <c r="F60" s="75">
        <v>310</v>
      </c>
      <c r="G60" s="75">
        <v>50</v>
      </c>
      <c r="H60" s="58">
        <f t="shared" si="1"/>
        <v>260</v>
      </c>
      <c r="I60" s="14" t="s">
        <v>3400</v>
      </c>
      <c r="J60" s="75">
        <v>270</v>
      </c>
      <c r="K60" s="75">
        <v>40</v>
      </c>
      <c r="L60" s="14" t="s">
        <v>252</v>
      </c>
      <c r="M60" s="75"/>
      <c r="N60" s="14"/>
      <c r="O60" s="14"/>
    </row>
    <row r="61" spans="1:16" x14ac:dyDescent="0.25">
      <c r="A61" s="86">
        <v>45549</v>
      </c>
      <c r="B61" s="55" t="s">
        <v>3000</v>
      </c>
      <c r="C61" s="55" t="s">
        <v>43</v>
      </c>
      <c r="D61" s="75">
        <f t="shared" si="2"/>
        <v>245.45454545454544</v>
      </c>
      <c r="E61" s="75">
        <f t="shared" si="0"/>
        <v>24.545454545454547</v>
      </c>
      <c r="F61" s="75">
        <v>270</v>
      </c>
      <c r="G61" s="75">
        <v>50</v>
      </c>
      <c r="H61" s="58">
        <f t="shared" si="1"/>
        <v>220</v>
      </c>
      <c r="I61" s="14" t="s">
        <v>3401</v>
      </c>
      <c r="J61" s="75">
        <v>270</v>
      </c>
      <c r="K61" s="75"/>
      <c r="L61" s="14"/>
      <c r="M61" s="75"/>
      <c r="N61" s="14"/>
      <c r="O61" s="14"/>
    </row>
    <row r="62" spans="1:16" x14ac:dyDescent="0.25">
      <c r="A62" s="86">
        <v>45549</v>
      </c>
      <c r="B62" s="55" t="s">
        <v>3001</v>
      </c>
      <c r="C62" s="55" t="s">
        <v>43</v>
      </c>
      <c r="D62" s="75">
        <f t="shared" si="2"/>
        <v>300</v>
      </c>
      <c r="E62" s="75">
        <f t="shared" si="0"/>
        <v>30</v>
      </c>
      <c r="F62" s="75">
        <v>330</v>
      </c>
      <c r="G62" s="75">
        <v>50</v>
      </c>
      <c r="H62" s="58">
        <f t="shared" si="1"/>
        <v>280</v>
      </c>
      <c r="I62" s="14" t="s">
        <v>3402</v>
      </c>
      <c r="J62" s="75">
        <v>270</v>
      </c>
      <c r="K62" s="75">
        <v>15</v>
      </c>
      <c r="L62" s="14" t="s">
        <v>252</v>
      </c>
      <c r="M62" s="75">
        <v>45</v>
      </c>
      <c r="N62" s="14" t="s">
        <v>45</v>
      </c>
      <c r="O62" s="14"/>
    </row>
    <row r="63" spans="1:16" x14ac:dyDescent="0.25">
      <c r="A63" s="86">
        <v>45549</v>
      </c>
      <c r="B63" s="55" t="s">
        <v>3002</v>
      </c>
      <c r="C63" s="55" t="s">
        <v>43</v>
      </c>
      <c r="D63" s="75">
        <f t="shared" si="2"/>
        <v>199.99999999999997</v>
      </c>
      <c r="E63" s="75">
        <f t="shared" si="0"/>
        <v>19.999999999999996</v>
      </c>
      <c r="F63" s="75">
        <v>220</v>
      </c>
      <c r="G63" s="75"/>
      <c r="H63" s="58">
        <f t="shared" si="1"/>
        <v>220</v>
      </c>
      <c r="I63" s="14" t="s">
        <v>603</v>
      </c>
      <c r="J63" s="75">
        <v>220</v>
      </c>
      <c r="K63" s="75"/>
      <c r="L63" s="14"/>
      <c r="M63" s="75"/>
      <c r="N63" s="14"/>
      <c r="O63" s="14"/>
    </row>
    <row r="64" spans="1:16" x14ac:dyDescent="0.25">
      <c r="A64" s="86">
        <v>45549</v>
      </c>
      <c r="B64" s="55" t="s">
        <v>3003</v>
      </c>
      <c r="C64" s="55" t="s">
        <v>43</v>
      </c>
      <c r="D64" s="75">
        <f t="shared" si="2"/>
        <v>218.18181818181816</v>
      </c>
      <c r="E64" s="75">
        <f t="shared" si="0"/>
        <v>21.818181818181817</v>
      </c>
      <c r="F64" s="75">
        <v>240</v>
      </c>
      <c r="G64" s="75">
        <v>50</v>
      </c>
      <c r="H64" s="58">
        <f t="shared" si="1"/>
        <v>190</v>
      </c>
      <c r="I64" s="14" t="s">
        <v>3403</v>
      </c>
      <c r="J64" s="75">
        <v>170</v>
      </c>
      <c r="K64" s="75">
        <v>25</v>
      </c>
      <c r="L64" s="14" t="s">
        <v>252</v>
      </c>
      <c r="M64" s="75">
        <v>45</v>
      </c>
      <c r="N64" s="14" t="s">
        <v>45</v>
      </c>
      <c r="O64" s="14"/>
    </row>
    <row r="65" spans="1:15" x14ac:dyDescent="0.25">
      <c r="A65" s="86">
        <v>45549</v>
      </c>
      <c r="B65" s="55" t="s">
        <v>3004</v>
      </c>
      <c r="C65" s="55" t="s">
        <v>43</v>
      </c>
      <c r="D65" s="75">
        <f t="shared" si="2"/>
        <v>127.27272727272727</v>
      </c>
      <c r="E65" s="75">
        <f t="shared" si="0"/>
        <v>12.727272727272727</v>
      </c>
      <c r="F65" s="75">
        <v>140</v>
      </c>
      <c r="G65" s="75"/>
      <c r="H65" s="58">
        <f t="shared" si="1"/>
        <v>140</v>
      </c>
      <c r="I65" s="14" t="s">
        <v>604</v>
      </c>
      <c r="J65" s="75">
        <v>140</v>
      </c>
      <c r="K65" s="75"/>
      <c r="L65" s="14"/>
      <c r="M65" s="75"/>
      <c r="N65" s="14"/>
      <c r="O65" s="14"/>
    </row>
    <row r="66" spans="1:15" x14ac:dyDescent="0.25">
      <c r="A66" s="86">
        <v>45549</v>
      </c>
      <c r="B66" s="55" t="s">
        <v>3005</v>
      </c>
      <c r="C66" s="55" t="s">
        <v>43</v>
      </c>
      <c r="D66" s="75">
        <f t="shared" si="2"/>
        <v>190.90909090909091</v>
      </c>
      <c r="E66" s="75">
        <f t="shared" si="0"/>
        <v>19.09090909090909</v>
      </c>
      <c r="F66" s="75">
        <v>210</v>
      </c>
      <c r="G66" s="75">
        <v>50</v>
      </c>
      <c r="H66" s="58">
        <f t="shared" si="1"/>
        <v>160</v>
      </c>
      <c r="I66" s="14" t="s">
        <v>3404</v>
      </c>
      <c r="J66" s="75">
        <v>170</v>
      </c>
      <c r="K66" s="75">
        <v>40</v>
      </c>
      <c r="L66" s="14" t="s">
        <v>252</v>
      </c>
      <c r="M66" s="75"/>
      <c r="N66" s="14"/>
      <c r="O66" s="14"/>
    </row>
    <row r="67" spans="1:15" x14ac:dyDescent="0.25">
      <c r="A67" s="86">
        <v>45549</v>
      </c>
      <c r="B67" s="55" t="s">
        <v>3006</v>
      </c>
      <c r="C67" s="55" t="s">
        <v>43</v>
      </c>
      <c r="D67" s="75">
        <f t="shared" si="2"/>
        <v>154.54545454545453</v>
      </c>
      <c r="E67" s="75">
        <f t="shared" ref="E67:E130" si="3">D67*10/100</f>
        <v>15.454545454545453</v>
      </c>
      <c r="F67" s="75">
        <v>170</v>
      </c>
      <c r="G67" s="75">
        <v>50</v>
      </c>
      <c r="H67" s="58">
        <f t="shared" ref="H67:H130" si="4">F67-G67</f>
        <v>120</v>
      </c>
      <c r="I67" s="14" t="s">
        <v>3405</v>
      </c>
      <c r="J67" s="75">
        <v>170</v>
      </c>
      <c r="K67" s="75"/>
      <c r="L67" s="14"/>
      <c r="M67" s="75"/>
      <c r="N67" s="14"/>
      <c r="O67" s="14"/>
    </row>
    <row r="68" spans="1:15" x14ac:dyDescent="0.25">
      <c r="A68" s="86">
        <v>45549</v>
      </c>
      <c r="B68" s="55" t="s">
        <v>3007</v>
      </c>
      <c r="C68" s="55" t="s">
        <v>43</v>
      </c>
      <c r="D68" s="75">
        <f t="shared" ref="D68:D131" si="5">F68/1.1</f>
        <v>127.27272727272727</v>
      </c>
      <c r="E68" s="75">
        <f t="shared" si="3"/>
        <v>12.727272727272727</v>
      </c>
      <c r="F68" s="75">
        <v>140</v>
      </c>
      <c r="G68" s="75"/>
      <c r="H68" s="58">
        <f t="shared" si="4"/>
        <v>140</v>
      </c>
      <c r="I68" s="14" t="s">
        <v>603</v>
      </c>
      <c r="J68" s="75">
        <v>140</v>
      </c>
      <c r="K68" s="75"/>
      <c r="L68" s="14"/>
      <c r="M68" s="75"/>
      <c r="N68" s="14"/>
      <c r="O68" s="14"/>
    </row>
    <row r="69" spans="1:15" x14ac:dyDescent="0.25">
      <c r="A69" s="86">
        <v>45549</v>
      </c>
      <c r="B69" s="55" t="s">
        <v>3008</v>
      </c>
      <c r="C69" s="55" t="s">
        <v>43</v>
      </c>
      <c r="D69" s="75">
        <f t="shared" si="5"/>
        <v>154.54545454545453</v>
      </c>
      <c r="E69" s="75">
        <f t="shared" si="3"/>
        <v>15.454545454545453</v>
      </c>
      <c r="F69" s="75">
        <v>170</v>
      </c>
      <c r="G69" s="75">
        <v>50</v>
      </c>
      <c r="H69" s="58">
        <f t="shared" si="4"/>
        <v>120</v>
      </c>
      <c r="I69" s="14" t="s">
        <v>3406</v>
      </c>
      <c r="J69" s="75">
        <v>170</v>
      </c>
      <c r="K69" s="75"/>
      <c r="L69" s="14"/>
      <c r="M69" s="75"/>
      <c r="N69" s="14"/>
      <c r="O69" s="14"/>
    </row>
    <row r="70" spans="1:15" x14ac:dyDescent="0.25">
      <c r="A70" s="86">
        <v>45549</v>
      </c>
      <c r="B70" s="55" t="s">
        <v>3009</v>
      </c>
      <c r="C70" s="55" t="s">
        <v>43</v>
      </c>
      <c r="D70" s="75">
        <f t="shared" si="5"/>
        <v>154.54545454545453</v>
      </c>
      <c r="E70" s="75">
        <f t="shared" si="3"/>
        <v>15.454545454545453</v>
      </c>
      <c r="F70" s="75">
        <v>170</v>
      </c>
      <c r="G70" s="75">
        <v>50</v>
      </c>
      <c r="H70" s="58">
        <f t="shared" si="4"/>
        <v>120</v>
      </c>
      <c r="I70" s="14" t="s">
        <v>3407</v>
      </c>
      <c r="J70" s="75">
        <v>170</v>
      </c>
      <c r="K70" s="75"/>
      <c r="L70" s="14"/>
      <c r="M70" s="75"/>
      <c r="N70" s="14"/>
      <c r="O70" s="14"/>
    </row>
    <row r="71" spans="1:15" x14ac:dyDescent="0.25">
      <c r="A71" s="86">
        <v>45549</v>
      </c>
      <c r="B71" s="55" t="s">
        <v>3010</v>
      </c>
      <c r="C71" s="55" t="s">
        <v>43</v>
      </c>
      <c r="D71" s="75">
        <f t="shared" si="5"/>
        <v>154.54545454545453</v>
      </c>
      <c r="E71" s="75">
        <f t="shared" si="3"/>
        <v>15.454545454545453</v>
      </c>
      <c r="F71" s="75">
        <v>170</v>
      </c>
      <c r="G71" s="75">
        <v>50</v>
      </c>
      <c r="H71" s="58">
        <f t="shared" si="4"/>
        <v>120</v>
      </c>
      <c r="I71" s="14" t="s">
        <v>3408</v>
      </c>
      <c r="J71" s="75">
        <v>170</v>
      </c>
      <c r="K71" s="75"/>
      <c r="L71" s="14"/>
      <c r="M71" s="75"/>
      <c r="N71" s="14"/>
      <c r="O71" s="14"/>
    </row>
    <row r="72" spans="1:15" x14ac:dyDescent="0.25">
      <c r="A72" s="86">
        <v>45550</v>
      </c>
      <c r="B72" s="55" t="s">
        <v>3011</v>
      </c>
      <c r="C72" s="55" t="s">
        <v>43</v>
      </c>
      <c r="D72" s="75">
        <f t="shared" si="5"/>
        <v>359.09090909090907</v>
      </c>
      <c r="E72" s="75">
        <f t="shared" si="3"/>
        <v>35.909090909090907</v>
      </c>
      <c r="F72" s="75">
        <v>395</v>
      </c>
      <c r="G72" s="75">
        <v>50</v>
      </c>
      <c r="H72" s="58">
        <f t="shared" si="4"/>
        <v>345</v>
      </c>
      <c r="I72" s="14" t="s">
        <v>1788</v>
      </c>
      <c r="J72" s="75">
        <v>395</v>
      </c>
      <c r="K72" s="75"/>
      <c r="L72" s="14"/>
      <c r="M72" s="75"/>
      <c r="N72" s="14"/>
      <c r="O72" s="14"/>
    </row>
    <row r="73" spans="1:15" x14ac:dyDescent="0.25">
      <c r="A73" s="86">
        <v>45550</v>
      </c>
      <c r="B73" s="55" t="s">
        <v>3012</v>
      </c>
      <c r="C73" s="55" t="s">
        <v>43</v>
      </c>
      <c r="D73" s="75">
        <f t="shared" si="5"/>
        <v>181.81818181818181</v>
      </c>
      <c r="E73" s="75">
        <f t="shared" si="3"/>
        <v>18.18181818181818</v>
      </c>
      <c r="F73" s="75">
        <v>200</v>
      </c>
      <c r="G73" s="75">
        <v>50</v>
      </c>
      <c r="H73" s="58">
        <f t="shared" si="4"/>
        <v>150</v>
      </c>
      <c r="I73" s="14" t="s">
        <v>3409</v>
      </c>
      <c r="J73" s="75">
        <v>200</v>
      </c>
      <c r="K73" s="75"/>
      <c r="L73" s="14"/>
      <c r="M73" s="75"/>
      <c r="N73" s="14"/>
      <c r="O73" s="14"/>
    </row>
    <row r="74" spans="1:15" x14ac:dyDescent="0.25">
      <c r="A74" s="86">
        <v>45550</v>
      </c>
      <c r="B74" s="55" t="s">
        <v>3013</v>
      </c>
      <c r="C74" s="55" t="s">
        <v>43</v>
      </c>
      <c r="D74" s="75">
        <f t="shared" si="5"/>
        <v>245.45454545454544</v>
      </c>
      <c r="E74" s="75">
        <f t="shared" si="3"/>
        <v>24.545454545454547</v>
      </c>
      <c r="F74" s="75">
        <v>270</v>
      </c>
      <c r="G74" s="75">
        <v>50</v>
      </c>
      <c r="H74" s="58">
        <f t="shared" si="4"/>
        <v>220</v>
      </c>
      <c r="I74" s="14" t="s">
        <v>3410</v>
      </c>
      <c r="J74" s="75">
        <v>270</v>
      </c>
      <c r="K74" s="75"/>
      <c r="L74" s="14"/>
      <c r="M74" s="75"/>
      <c r="N74" s="14"/>
      <c r="O74" s="14"/>
    </row>
    <row r="75" spans="1:15" x14ac:dyDescent="0.25">
      <c r="A75" s="86">
        <v>45550</v>
      </c>
      <c r="B75" s="55" t="s">
        <v>3014</v>
      </c>
      <c r="C75" s="55" t="s">
        <v>43</v>
      </c>
      <c r="D75" s="75">
        <f t="shared" si="5"/>
        <v>236.36363636363635</v>
      </c>
      <c r="E75" s="75">
        <f t="shared" si="3"/>
        <v>23.636363636363637</v>
      </c>
      <c r="F75" s="75">
        <v>260</v>
      </c>
      <c r="G75" s="75">
        <v>100</v>
      </c>
      <c r="H75" s="58">
        <f t="shared" si="4"/>
        <v>160</v>
      </c>
      <c r="I75" s="14" t="s">
        <v>3411</v>
      </c>
      <c r="J75" s="75">
        <v>220</v>
      </c>
      <c r="K75" s="75">
        <v>40</v>
      </c>
      <c r="L75" s="14" t="s">
        <v>252</v>
      </c>
      <c r="M75" s="75"/>
      <c r="N75" s="14"/>
      <c r="O75" s="14"/>
    </row>
    <row r="76" spans="1:15" x14ac:dyDescent="0.25">
      <c r="A76" s="86">
        <v>45551</v>
      </c>
      <c r="B76" s="55" t="s">
        <v>3015</v>
      </c>
      <c r="C76" s="55" t="s">
        <v>43</v>
      </c>
      <c r="D76" s="75">
        <f t="shared" si="5"/>
        <v>245.45454545454544</v>
      </c>
      <c r="E76" s="75">
        <f t="shared" si="3"/>
        <v>24.545454545454547</v>
      </c>
      <c r="F76" s="75">
        <v>270</v>
      </c>
      <c r="G76" s="75">
        <v>50</v>
      </c>
      <c r="H76" s="58">
        <f t="shared" si="4"/>
        <v>220</v>
      </c>
      <c r="I76" s="14" t="s">
        <v>3412</v>
      </c>
      <c r="J76" s="75">
        <v>270</v>
      </c>
      <c r="K76" s="75"/>
      <c r="L76" s="14"/>
      <c r="M76" s="75"/>
      <c r="N76" s="14"/>
      <c r="O76" s="14"/>
    </row>
    <row r="77" spans="1:15" x14ac:dyDescent="0.25">
      <c r="A77" s="86">
        <v>45551</v>
      </c>
      <c r="B77" s="55" t="s">
        <v>3016</v>
      </c>
      <c r="C77" s="55" t="s">
        <v>43</v>
      </c>
      <c r="D77" s="75">
        <f t="shared" si="5"/>
        <v>127.27272727272727</v>
      </c>
      <c r="E77" s="75">
        <f t="shared" si="3"/>
        <v>12.727272727272727</v>
      </c>
      <c r="F77" s="75">
        <v>140</v>
      </c>
      <c r="G77" s="75"/>
      <c r="H77" s="58">
        <f t="shared" si="4"/>
        <v>140</v>
      </c>
      <c r="I77" s="14" t="s">
        <v>603</v>
      </c>
      <c r="J77" s="75">
        <v>140</v>
      </c>
      <c r="K77" s="75"/>
      <c r="L77" s="14"/>
      <c r="M77" s="75"/>
      <c r="N77" s="14"/>
      <c r="O77" s="14"/>
    </row>
    <row r="78" spans="1:15" x14ac:dyDescent="0.25">
      <c r="A78" s="86">
        <v>45553</v>
      </c>
      <c r="B78" s="55" t="s">
        <v>3017</v>
      </c>
      <c r="C78" s="55" t="s">
        <v>43</v>
      </c>
      <c r="D78" s="75">
        <f t="shared" si="5"/>
        <v>127.27272727272727</v>
      </c>
      <c r="E78" s="75">
        <f t="shared" si="3"/>
        <v>12.727272727272727</v>
      </c>
      <c r="F78" s="75">
        <v>140</v>
      </c>
      <c r="G78" s="75"/>
      <c r="H78" s="58">
        <f t="shared" si="4"/>
        <v>140</v>
      </c>
      <c r="I78" s="14" t="s">
        <v>603</v>
      </c>
      <c r="J78" s="75">
        <v>140</v>
      </c>
      <c r="K78" s="75"/>
      <c r="L78" s="14"/>
      <c r="M78" s="75"/>
      <c r="N78" s="14"/>
      <c r="O78" s="14"/>
    </row>
    <row r="79" spans="1:15" x14ac:dyDescent="0.25">
      <c r="A79" s="86">
        <v>45554</v>
      </c>
      <c r="B79" s="55" t="s">
        <v>3018</v>
      </c>
      <c r="C79" s="55" t="s">
        <v>43</v>
      </c>
      <c r="D79" s="75">
        <f t="shared" si="5"/>
        <v>231.81818181818181</v>
      </c>
      <c r="E79" s="75">
        <f t="shared" si="3"/>
        <v>23.18181818181818</v>
      </c>
      <c r="F79" s="75">
        <v>255</v>
      </c>
      <c r="G79" s="75">
        <v>50</v>
      </c>
      <c r="H79" s="58">
        <f t="shared" si="4"/>
        <v>205</v>
      </c>
      <c r="I79" s="14" t="s">
        <v>3389</v>
      </c>
      <c r="J79" s="75">
        <v>170</v>
      </c>
      <c r="K79" s="75">
        <v>40</v>
      </c>
      <c r="L79" s="14" t="s">
        <v>252</v>
      </c>
      <c r="M79" s="75">
        <v>45</v>
      </c>
      <c r="N79" s="14" t="s">
        <v>45</v>
      </c>
      <c r="O79" s="14"/>
    </row>
    <row r="80" spans="1:15" x14ac:dyDescent="0.25">
      <c r="A80" s="86">
        <v>45555</v>
      </c>
      <c r="B80" s="55" t="s">
        <v>3019</v>
      </c>
      <c r="C80" s="55" t="s">
        <v>43</v>
      </c>
      <c r="D80" s="75">
        <f t="shared" si="5"/>
        <v>245.45454545454544</v>
      </c>
      <c r="E80" s="75">
        <f t="shared" si="3"/>
        <v>24.545454545454547</v>
      </c>
      <c r="F80" s="75">
        <v>270</v>
      </c>
      <c r="G80" s="75">
        <v>50</v>
      </c>
      <c r="H80" s="58">
        <f t="shared" si="4"/>
        <v>220</v>
      </c>
      <c r="I80" s="14" t="s">
        <v>3448</v>
      </c>
      <c r="J80" s="75">
        <v>270</v>
      </c>
      <c r="K80" s="75"/>
      <c r="L80" s="14"/>
      <c r="M80" s="75"/>
      <c r="N80" s="14"/>
      <c r="O80" s="14"/>
    </row>
    <row r="81" spans="1:15" x14ac:dyDescent="0.25">
      <c r="A81" s="86">
        <v>45555</v>
      </c>
      <c r="B81" s="55" t="s">
        <v>3020</v>
      </c>
      <c r="C81" s="55" t="s">
        <v>43</v>
      </c>
      <c r="D81" s="75">
        <f t="shared" si="5"/>
        <v>199.99999999999997</v>
      </c>
      <c r="E81" s="75">
        <f t="shared" si="3"/>
        <v>19.999999999999996</v>
      </c>
      <c r="F81" s="75">
        <v>220</v>
      </c>
      <c r="G81" s="75">
        <v>50</v>
      </c>
      <c r="H81" s="58">
        <f t="shared" si="4"/>
        <v>170</v>
      </c>
      <c r="I81" s="14" t="s">
        <v>3449</v>
      </c>
      <c r="J81" s="75">
        <v>220</v>
      </c>
      <c r="K81" s="75"/>
      <c r="L81" s="14"/>
      <c r="M81" s="75"/>
      <c r="N81" s="14"/>
      <c r="O81" s="14"/>
    </row>
    <row r="82" spans="1:15" x14ac:dyDescent="0.25">
      <c r="A82" s="86">
        <v>45555</v>
      </c>
      <c r="B82" s="55" t="s">
        <v>3021</v>
      </c>
      <c r="C82" s="55" t="s">
        <v>43</v>
      </c>
      <c r="D82" s="75">
        <f t="shared" si="5"/>
        <v>272.72727272727269</v>
      </c>
      <c r="E82" s="75">
        <f t="shared" si="3"/>
        <v>27.27272727272727</v>
      </c>
      <c r="F82" s="75">
        <v>300</v>
      </c>
      <c r="G82" s="75">
        <v>50</v>
      </c>
      <c r="H82" s="58">
        <f t="shared" si="4"/>
        <v>250</v>
      </c>
      <c r="I82" s="14" t="s">
        <v>3448</v>
      </c>
      <c r="J82" s="75">
        <v>270</v>
      </c>
      <c r="K82" s="75">
        <v>30</v>
      </c>
      <c r="L82" s="14" t="s">
        <v>252</v>
      </c>
      <c r="M82" s="75"/>
      <c r="N82" s="14"/>
      <c r="O82" s="14"/>
    </row>
    <row r="83" spans="1:15" x14ac:dyDescent="0.25">
      <c r="A83" s="86">
        <v>45555</v>
      </c>
      <c r="B83" s="55" t="s">
        <v>3022</v>
      </c>
      <c r="C83" s="55" t="s">
        <v>43</v>
      </c>
      <c r="D83" s="75">
        <f t="shared" si="5"/>
        <v>172.72727272727272</v>
      </c>
      <c r="E83" s="75">
        <f t="shared" si="3"/>
        <v>17.272727272727273</v>
      </c>
      <c r="F83" s="75">
        <v>190</v>
      </c>
      <c r="G83" s="75">
        <v>50</v>
      </c>
      <c r="H83" s="58">
        <f t="shared" si="4"/>
        <v>140</v>
      </c>
      <c r="I83" s="14" t="s">
        <v>3450</v>
      </c>
      <c r="J83" s="75">
        <v>170</v>
      </c>
      <c r="K83" s="75">
        <v>20</v>
      </c>
      <c r="L83" s="14" t="s">
        <v>252</v>
      </c>
      <c r="M83" s="75"/>
      <c r="N83" s="14"/>
      <c r="O83" s="14"/>
    </row>
    <row r="84" spans="1:15" x14ac:dyDescent="0.25">
      <c r="A84" s="86">
        <v>45555</v>
      </c>
      <c r="B84" s="55" t="s">
        <v>3023</v>
      </c>
      <c r="C84" s="55" t="s">
        <v>43</v>
      </c>
      <c r="D84" s="75">
        <f t="shared" si="5"/>
        <v>127.27272727272727</v>
      </c>
      <c r="E84" s="75">
        <f t="shared" si="3"/>
        <v>12.727272727272727</v>
      </c>
      <c r="F84" s="75">
        <v>140</v>
      </c>
      <c r="G84" s="75"/>
      <c r="H84" s="58">
        <f t="shared" si="4"/>
        <v>140</v>
      </c>
      <c r="I84" s="14" t="s">
        <v>603</v>
      </c>
      <c r="J84" s="75">
        <v>140</v>
      </c>
      <c r="K84" s="75"/>
      <c r="L84" s="14"/>
      <c r="M84" s="75"/>
      <c r="N84" s="14"/>
      <c r="O84" s="14"/>
    </row>
    <row r="85" spans="1:15" x14ac:dyDescent="0.25">
      <c r="A85" s="86">
        <v>45556</v>
      </c>
      <c r="B85" s="55" t="s">
        <v>3024</v>
      </c>
      <c r="C85" s="55" t="s">
        <v>43</v>
      </c>
      <c r="D85" s="75">
        <f t="shared" si="5"/>
        <v>272.72727272727269</v>
      </c>
      <c r="E85" s="75">
        <f t="shared" si="3"/>
        <v>27.27272727272727</v>
      </c>
      <c r="F85" s="75">
        <v>300</v>
      </c>
      <c r="G85" s="75">
        <v>50</v>
      </c>
      <c r="H85" s="58">
        <f t="shared" si="4"/>
        <v>250</v>
      </c>
      <c r="I85" s="14" t="s">
        <v>3451</v>
      </c>
      <c r="J85" s="75">
        <v>270</v>
      </c>
      <c r="K85" s="75">
        <v>30</v>
      </c>
      <c r="L85" s="14" t="s">
        <v>252</v>
      </c>
      <c r="M85" s="75"/>
      <c r="N85" s="14"/>
      <c r="O85" s="14"/>
    </row>
    <row r="86" spans="1:15" x14ac:dyDescent="0.25">
      <c r="A86" s="86">
        <v>45556</v>
      </c>
      <c r="B86" s="55" t="s">
        <v>3025</v>
      </c>
      <c r="C86" s="55" t="s">
        <v>43</v>
      </c>
      <c r="D86" s="75">
        <f t="shared" si="5"/>
        <v>313.63636363636363</v>
      </c>
      <c r="E86" s="75">
        <f t="shared" si="3"/>
        <v>31.36363636363636</v>
      </c>
      <c r="F86" s="75">
        <v>345</v>
      </c>
      <c r="G86" s="75">
        <v>50</v>
      </c>
      <c r="H86" s="58">
        <f t="shared" si="4"/>
        <v>295</v>
      </c>
      <c r="I86" s="14" t="s">
        <v>3453</v>
      </c>
      <c r="J86" s="75">
        <v>270</v>
      </c>
      <c r="K86" s="75">
        <v>30</v>
      </c>
      <c r="L86" s="14" t="s">
        <v>252</v>
      </c>
      <c r="M86" s="75">
        <v>45</v>
      </c>
      <c r="N86" s="14" t="s">
        <v>45</v>
      </c>
      <c r="O86" s="14"/>
    </row>
    <row r="87" spans="1:15" x14ac:dyDescent="0.25">
      <c r="A87" s="86">
        <v>45556</v>
      </c>
      <c r="B87" s="55" t="s">
        <v>3026</v>
      </c>
      <c r="C87" s="55" t="s">
        <v>43</v>
      </c>
      <c r="D87" s="75">
        <f t="shared" si="5"/>
        <v>240.90909090909088</v>
      </c>
      <c r="E87" s="75">
        <f t="shared" si="3"/>
        <v>24.09090909090909</v>
      </c>
      <c r="F87" s="75">
        <v>265</v>
      </c>
      <c r="G87" s="75">
        <v>95</v>
      </c>
      <c r="H87" s="58">
        <f t="shared" si="4"/>
        <v>170</v>
      </c>
      <c r="I87" s="14" t="s">
        <v>3454</v>
      </c>
      <c r="J87" s="75">
        <v>220</v>
      </c>
      <c r="K87" s="75"/>
      <c r="L87" s="14"/>
      <c r="M87" s="75">
        <v>45</v>
      </c>
      <c r="N87" s="14" t="s">
        <v>45</v>
      </c>
      <c r="O87" s="14"/>
    </row>
    <row r="88" spans="1:15" x14ac:dyDescent="0.25">
      <c r="A88" s="86">
        <v>45556</v>
      </c>
      <c r="B88" s="55" t="s">
        <v>3027</v>
      </c>
      <c r="C88" s="55" t="s">
        <v>43</v>
      </c>
      <c r="D88" s="75">
        <f t="shared" si="5"/>
        <v>245.45454545454544</v>
      </c>
      <c r="E88" s="75">
        <f t="shared" si="3"/>
        <v>24.545454545454547</v>
      </c>
      <c r="F88" s="75">
        <v>270</v>
      </c>
      <c r="G88" s="75">
        <v>50</v>
      </c>
      <c r="H88" s="58">
        <f t="shared" si="4"/>
        <v>220</v>
      </c>
      <c r="I88" s="14" t="s">
        <v>3452</v>
      </c>
      <c r="J88" s="75">
        <v>270</v>
      </c>
      <c r="K88" s="75"/>
      <c r="L88" s="14"/>
      <c r="M88" s="75"/>
      <c r="N88" s="14"/>
      <c r="O88" s="14"/>
    </row>
    <row r="89" spans="1:15" x14ac:dyDescent="0.25">
      <c r="A89" s="86">
        <v>45556</v>
      </c>
      <c r="B89" s="55" t="s">
        <v>3028</v>
      </c>
      <c r="C89" s="55" t="s">
        <v>43</v>
      </c>
      <c r="D89" s="75">
        <f t="shared" si="5"/>
        <v>254.54545454545453</v>
      </c>
      <c r="E89" s="75">
        <f t="shared" si="3"/>
        <v>25.454545454545453</v>
      </c>
      <c r="F89" s="75">
        <v>280</v>
      </c>
      <c r="G89" s="75">
        <v>50</v>
      </c>
      <c r="H89" s="58">
        <f t="shared" si="4"/>
        <v>230</v>
      </c>
      <c r="I89" s="14" t="s">
        <v>3455</v>
      </c>
      <c r="J89" s="75">
        <v>220</v>
      </c>
      <c r="K89" s="75">
        <v>60</v>
      </c>
      <c r="L89" s="14" t="s">
        <v>252</v>
      </c>
      <c r="M89" s="75"/>
      <c r="N89" s="14"/>
      <c r="O89" s="14"/>
    </row>
    <row r="90" spans="1:15" x14ac:dyDescent="0.25">
      <c r="A90" s="86">
        <v>45556</v>
      </c>
      <c r="B90" s="55" t="s">
        <v>3029</v>
      </c>
      <c r="C90" s="55" t="s">
        <v>43</v>
      </c>
      <c r="D90" s="75">
        <f t="shared" si="5"/>
        <v>199.99999999999997</v>
      </c>
      <c r="E90" s="75">
        <f t="shared" si="3"/>
        <v>19.999999999999996</v>
      </c>
      <c r="F90" s="75">
        <v>220</v>
      </c>
      <c r="G90" s="75">
        <v>50</v>
      </c>
      <c r="H90" s="58">
        <f t="shared" si="4"/>
        <v>170</v>
      </c>
      <c r="I90" s="14" t="s">
        <v>3456</v>
      </c>
      <c r="J90" s="75">
        <v>220</v>
      </c>
      <c r="K90" s="75"/>
      <c r="L90" s="14"/>
      <c r="M90" s="75"/>
      <c r="N90" s="14"/>
      <c r="O90" s="14"/>
    </row>
    <row r="91" spans="1:15" x14ac:dyDescent="0.25">
      <c r="A91" s="86">
        <v>45556</v>
      </c>
      <c r="B91" s="55" t="s">
        <v>3030</v>
      </c>
      <c r="C91" s="55" t="s">
        <v>43</v>
      </c>
      <c r="D91" s="75">
        <f t="shared" si="5"/>
        <v>218.18181818181816</v>
      </c>
      <c r="E91" s="75">
        <f t="shared" si="3"/>
        <v>21.818181818181817</v>
      </c>
      <c r="F91" s="75">
        <v>240</v>
      </c>
      <c r="G91" s="75">
        <v>50</v>
      </c>
      <c r="H91" s="58">
        <f t="shared" si="4"/>
        <v>190</v>
      </c>
      <c r="I91" s="14" t="s">
        <v>3457</v>
      </c>
      <c r="J91" s="75">
        <v>220</v>
      </c>
      <c r="K91" s="75">
        <v>20</v>
      </c>
      <c r="L91" s="14" t="s">
        <v>252</v>
      </c>
      <c r="M91" s="75"/>
      <c r="N91" s="14"/>
      <c r="O91" s="14"/>
    </row>
    <row r="92" spans="1:15" x14ac:dyDescent="0.25">
      <c r="A92" s="86">
        <v>45556</v>
      </c>
      <c r="B92" s="55" t="s">
        <v>3031</v>
      </c>
      <c r="C92" s="55" t="s">
        <v>43</v>
      </c>
      <c r="D92" s="75">
        <f t="shared" si="5"/>
        <v>199.99999999999997</v>
      </c>
      <c r="E92" s="75">
        <f t="shared" si="3"/>
        <v>19.999999999999996</v>
      </c>
      <c r="F92" s="75">
        <v>220</v>
      </c>
      <c r="G92" s="75">
        <v>50</v>
      </c>
      <c r="H92" s="58">
        <f t="shared" si="4"/>
        <v>170</v>
      </c>
      <c r="I92" s="14" t="s">
        <v>1788</v>
      </c>
      <c r="J92" s="75">
        <v>220</v>
      </c>
      <c r="K92" s="75"/>
      <c r="L92" s="14"/>
      <c r="M92" s="75"/>
      <c r="N92" s="14"/>
      <c r="O92" s="14"/>
    </row>
    <row r="93" spans="1:15" x14ac:dyDescent="0.25">
      <c r="A93" s="86">
        <v>45556</v>
      </c>
      <c r="B93" s="55" t="s">
        <v>3032</v>
      </c>
      <c r="C93" s="55" t="s">
        <v>43</v>
      </c>
      <c r="D93" s="75">
        <f t="shared" si="5"/>
        <v>190.90909090909091</v>
      </c>
      <c r="E93" s="75">
        <f t="shared" si="3"/>
        <v>19.09090909090909</v>
      </c>
      <c r="F93" s="75">
        <v>210</v>
      </c>
      <c r="G93" s="75">
        <v>50</v>
      </c>
      <c r="H93" s="58">
        <f t="shared" si="4"/>
        <v>160</v>
      </c>
      <c r="I93" s="14" t="s">
        <v>1788</v>
      </c>
      <c r="J93" s="75">
        <v>170</v>
      </c>
      <c r="K93" s="75">
        <v>40</v>
      </c>
      <c r="L93" s="14" t="s">
        <v>252</v>
      </c>
      <c r="M93" s="75"/>
      <c r="N93" s="14"/>
      <c r="O93" s="14"/>
    </row>
    <row r="94" spans="1:15" x14ac:dyDescent="0.25">
      <c r="A94" s="86">
        <v>45556</v>
      </c>
      <c r="B94" s="55" t="s">
        <v>3033</v>
      </c>
      <c r="C94" s="55" t="s">
        <v>43</v>
      </c>
      <c r="D94" s="75">
        <f t="shared" si="5"/>
        <v>118.18181818181817</v>
      </c>
      <c r="E94" s="75">
        <f t="shared" si="3"/>
        <v>11.818181818181818</v>
      </c>
      <c r="F94" s="75">
        <v>130</v>
      </c>
      <c r="G94" s="75"/>
      <c r="H94" s="58">
        <f t="shared" si="4"/>
        <v>130</v>
      </c>
      <c r="I94" s="14" t="s">
        <v>604</v>
      </c>
      <c r="J94" s="75">
        <v>130</v>
      </c>
      <c r="K94" s="75"/>
      <c r="L94" s="14"/>
      <c r="M94" s="75"/>
      <c r="N94" s="14"/>
      <c r="O94" s="14"/>
    </row>
    <row r="95" spans="1:15" x14ac:dyDescent="0.25">
      <c r="A95" s="86">
        <v>45556</v>
      </c>
      <c r="B95" s="55" t="s">
        <v>3034</v>
      </c>
      <c r="C95" s="55" t="s">
        <v>43</v>
      </c>
      <c r="D95" s="75">
        <f t="shared" si="5"/>
        <v>145.45454545454544</v>
      </c>
      <c r="E95" s="75">
        <f t="shared" si="3"/>
        <v>14.545454545454545</v>
      </c>
      <c r="F95" s="75">
        <v>160</v>
      </c>
      <c r="G95" s="75"/>
      <c r="H95" s="58">
        <f t="shared" si="4"/>
        <v>160</v>
      </c>
      <c r="I95" s="14" t="s">
        <v>603</v>
      </c>
      <c r="J95" s="75">
        <v>160</v>
      </c>
      <c r="K95" s="75"/>
      <c r="L95" s="14"/>
      <c r="M95" s="75"/>
      <c r="N95" s="14"/>
      <c r="O95" s="14"/>
    </row>
    <row r="96" spans="1:15" x14ac:dyDescent="0.25">
      <c r="A96" s="86">
        <v>45556</v>
      </c>
      <c r="B96" s="55" t="s">
        <v>3035</v>
      </c>
      <c r="C96" s="55" t="s">
        <v>43</v>
      </c>
      <c r="D96" s="75">
        <f t="shared" si="5"/>
        <v>154.54545454545453</v>
      </c>
      <c r="E96" s="75">
        <f t="shared" si="3"/>
        <v>15.454545454545453</v>
      </c>
      <c r="F96" s="75">
        <v>170</v>
      </c>
      <c r="G96" s="75">
        <v>50</v>
      </c>
      <c r="H96" s="58">
        <f t="shared" si="4"/>
        <v>120</v>
      </c>
      <c r="I96" s="14" t="s">
        <v>3458</v>
      </c>
      <c r="J96" s="75">
        <v>170</v>
      </c>
      <c r="K96" s="75"/>
      <c r="L96" s="14"/>
      <c r="M96" s="75"/>
      <c r="N96" s="14"/>
      <c r="O96" s="14"/>
    </row>
    <row r="97" spans="1:15" x14ac:dyDescent="0.25">
      <c r="A97" s="86">
        <v>45556</v>
      </c>
      <c r="B97" s="55" t="s">
        <v>3036</v>
      </c>
      <c r="C97" s="55" t="s">
        <v>43</v>
      </c>
      <c r="D97" s="75">
        <f t="shared" si="5"/>
        <v>154.54545454545453</v>
      </c>
      <c r="E97" s="75">
        <f t="shared" si="3"/>
        <v>15.454545454545453</v>
      </c>
      <c r="F97" s="75">
        <v>170</v>
      </c>
      <c r="G97" s="75">
        <v>50</v>
      </c>
      <c r="H97" s="58">
        <f t="shared" si="4"/>
        <v>120</v>
      </c>
      <c r="I97" s="14" t="s">
        <v>3459</v>
      </c>
      <c r="J97" s="75">
        <v>170</v>
      </c>
      <c r="K97" s="75"/>
      <c r="L97" s="14"/>
      <c r="M97" s="75"/>
      <c r="N97" s="14"/>
      <c r="O97" s="14"/>
    </row>
    <row r="98" spans="1:15" x14ac:dyDescent="0.25">
      <c r="A98" s="86">
        <v>45556</v>
      </c>
      <c r="B98" s="55" t="s">
        <v>3037</v>
      </c>
      <c r="C98" s="55" t="s">
        <v>43</v>
      </c>
      <c r="D98" s="75">
        <f t="shared" si="5"/>
        <v>127.27272727272727</v>
      </c>
      <c r="E98" s="75">
        <f t="shared" si="3"/>
        <v>12.727272727272727</v>
      </c>
      <c r="F98" s="75">
        <v>140</v>
      </c>
      <c r="G98" s="75"/>
      <c r="H98" s="58">
        <f t="shared" si="4"/>
        <v>140</v>
      </c>
      <c r="I98" s="14" t="s">
        <v>3460</v>
      </c>
      <c r="J98" s="75">
        <v>140</v>
      </c>
      <c r="K98" s="75"/>
      <c r="L98" s="14"/>
      <c r="M98" s="75"/>
      <c r="N98" s="14"/>
      <c r="O98" s="14"/>
    </row>
    <row r="99" spans="1:15" x14ac:dyDescent="0.25">
      <c r="A99" s="86">
        <v>45556</v>
      </c>
      <c r="B99" s="55" t="s">
        <v>3038</v>
      </c>
      <c r="C99" s="55" t="s">
        <v>43</v>
      </c>
      <c r="D99" s="75">
        <f t="shared" si="5"/>
        <v>181.81818181818181</v>
      </c>
      <c r="E99" s="75">
        <f t="shared" si="3"/>
        <v>18.18181818181818</v>
      </c>
      <c r="F99" s="75">
        <v>200</v>
      </c>
      <c r="G99" s="75">
        <v>50</v>
      </c>
      <c r="H99" s="58">
        <f t="shared" si="4"/>
        <v>150</v>
      </c>
      <c r="I99" s="14" t="s">
        <v>3461</v>
      </c>
      <c r="J99" s="75">
        <v>170</v>
      </c>
      <c r="K99" s="75">
        <v>30</v>
      </c>
      <c r="L99" s="14" t="s">
        <v>252</v>
      </c>
      <c r="M99" s="75"/>
      <c r="N99" s="14"/>
      <c r="O99" s="14"/>
    </row>
    <row r="100" spans="1:15" x14ac:dyDescent="0.25">
      <c r="A100" s="86">
        <v>45556</v>
      </c>
      <c r="B100" s="55" t="s">
        <v>3039</v>
      </c>
      <c r="C100" s="55" t="s">
        <v>43</v>
      </c>
      <c r="D100" s="75">
        <f t="shared" si="5"/>
        <v>181.81818181818181</v>
      </c>
      <c r="E100" s="75">
        <f t="shared" si="3"/>
        <v>18.18181818181818</v>
      </c>
      <c r="F100" s="75">
        <v>200</v>
      </c>
      <c r="G100" s="75">
        <v>50</v>
      </c>
      <c r="H100" s="58">
        <f t="shared" si="4"/>
        <v>150</v>
      </c>
      <c r="I100" s="14" t="s">
        <v>3462</v>
      </c>
      <c r="J100" s="75">
        <v>170</v>
      </c>
      <c r="K100" s="75">
        <v>30</v>
      </c>
      <c r="L100" s="14" t="s">
        <v>252</v>
      </c>
      <c r="M100" s="75"/>
      <c r="N100" s="14"/>
      <c r="O100" s="14"/>
    </row>
    <row r="101" spans="1:15" x14ac:dyDescent="0.25">
      <c r="A101" s="86">
        <v>45556</v>
      </c>
      <c r="B101" s="55" t="s">
        <v>3040</v>
      </c>
      <c r="C101" s="55" t="s">
        <v>43</v>
      </c>
      <c r="D101" s="75">
        <f t="shared" si="5"/>
        <v>181.81818181818181</v>
      </c>
      <c r="E101" s="75">
        <f t="shared" si="3"/>
        <v>18.18181818181818</v>
      </c>
      <c r="F101" s="75">
        <v>200</v>
      </c>
      <c r="G101" s="75">
        <v>50</v>
      </c>
      <c r="H101" s="58">
        <f t="shared" si="4"/>
        <v>150</v>
      </c>
      <c r="I101" s="14" t="s">
        <v>3463</v>
      </c>
      <c r="J101" s="75">
        <v>170</v>
      </c>
      <c r="K101" s="75">
        <v>30</v>
      </c>
      <c r="L101" s="14" t="s">
        <v>252</v>
      </c>
      <c r="M101" s="75"/>
      <c r="N101" s="14"/>
      <c r="O101" s="14"/>
    </row>
    <row r="102" spans="1:15" x14ac:dyDescent="0.25">
      <c r="A102" s="86">
        <v>45556</v>
      </c>
      <c r="B102" s="55" t="s">
        <v>3041</v>
      </c>
      <c r="C102" s="55" t="s">
        <v>43</v>
      </c>
      <c r="D102" s="75">
        <f t="shared" si="5"/>
        <v>127.27272727272727</v>
      </c>
      <c r="E102" s="75">
        <f t="shared" si="3"/>
        <v>12.727272727272727</v>
      </c>
      <c r="F102" s="75">
        <v>140</v>
      </c>
      <c r="G102" s="75"/>
      <c r="H102" s="58">
        <f t="shared" si="4"/>
        <v>140</v>
      </c>
      <c r="I102" s="14" t="s">
        <v>3464</v>
      </c>
      <c r="J102" s="75">
        <v>140</v>
      </c>
      <c r="K102" s="75"/>
      <c r="L102" s="14"/>
      <c r="M102" s="75"/>
      <c r="N102" s="14"/>
      <c r="O102" s="14"/>
    </row>
    <row r="103" spans="1:15" x14ac:dyDescent="0.25">
      <c r="A103" s="86">
        <v>45556</v>
      </c>
      <c r="B103" s="55" t="s">
        <v>3042</v>
      </c>
      <c r="C103" s="55" t="s">
        <v>43</v>
      </c>
      <c r="D103" s="75">
        <f t="shared" si="5"/>
        <v>127.27272727272727</v>
      </c>
      <c r="E103" s="75">
        <f t="shared" si="3"/>
        <v>12.727272727272727</v>
      </c>
      <c r="F103" s="75">
        <v>140</v>
      </c>
      <c r="G103" s="75"/>
      <c r="H103" s="58">
        <f t="shared" si="4"/>
        <v>140</v>
      </c>
      <c r="I103" s="14" t="s">
        <v>603</v>
      </c>
      <c r="J103" s="75">
        <v>140</v>
      </c>
      <c r="K103" s="75"/>
      <c r="L103" s="14"/>
      <c r="M103" s="75"/>
      <c r="N103" s="14"/>
      <c r="O103" s="14"/>
    </row>
    <row r="104" spans="1:15" x14ac:dyDescent="0.25">
      <c r="A104" s="86">
        <v>45556</v>
      </c>
      <c r="B104" s="55" t="s">
        <v>3043</v>
      </c>
      <c r="C104" s="55" t="s">
        <v>43</v>
      </c>
      <c r="D104" s="75">
        <f t="shared" si="5"/>
        <v>154.54545454545453</v>
      </c>
      <c r="E104" s="75">
        <f t="shared" si="3"/>
        <v>15.454545454545453</v>
      </c>
      <c r="F104" s="75">
        <v>170</v>
      </c>
      <c r="G104" s="75">
        <v>50</v>
      </c>
      <c r="H104" s="58">
        <f t="shared" si="4"/>
        <v>120</v>
      </c>
      <c r="I104" s="14" t="s">
        <v>3465</v>
      </c>
      <c r="J104" s="75">
        <v>170</v>
      </c>
      <c r="K104" s="75"/>
      <c r="L104" s="14"/>
      <c r="M104" s="75"/>
      <c r="N104" s="14"/>
      <c r="O104" s="14"/>
    </row>
    <row r="105" spans="1:15" x14ac:dyDescent="0.25">
      <c r="A105" s="86">
        <v>45556</v>
      </c>
      <c r="B105" s="55" t="s">
        <v>3044</v>
      </c>
      <c r="C105" s="55" t="s">
        <v>43</v>
      </c>
      <c r="D105" s="75">
        <f t="shared" si="5"/>
        <v>236.36363636363635</v>
      </c>
      <c r="E105" s="75">
        <f t="shared" si="3"/>
        <v>23.636363636363637</v>
      </c>
      <c r="F105" s="75">
        <v>260</v>
      </c>
      <c r="G105" s="75">
        <v>50</v>
      </c>
      <c r="H105" s="58">
        <f t="shared" si="4"/>
        <v>210</v>
      </c>
      <c r="I105" s="14" t="s">
        <v>3466</v>
      </c>
      <c r="J105" s="75">
        <v>220</v>
      </c>
      <c r="K105" s="75">
        <v>40</v>
      </c>
      <c r="L105" s="14" t="s">
        <v>252</v>
      </c>
      <c r="M105" s="75"/>
      <c r="N105" s="14"/>
      <c r="O105" s="14"/>
    </row>
    <row r="106" spans="1:15" x14ac:dyDescent="0.25">
      <c r="A106" s="86">
        <v>45556</v>
      </c>
      <c r="B106" s="55" t="s">
        <v>3045</v>
      </c>
      <c r="C106" s="55" t="s">
        <v>43</v>
      </c>
      <c r="D106" s="75">
        <f t="shared" si="5"/>
        <v>181.81818181818181</v>
      </c>
      <c r="E106" s="75">
        <f t="shared" si="3"/>
        <v>18.18181818181818</v>
      </c>
      <c r="F106" s="75">
        <v>200</v>
      </c>
      <c r="G106" s="75"/>
      <c r="H106" s="58">
        <f t="shared" si="4"/>
        <v>200</v>
      </c>
      <c r="I106" s="14" t="s">
        <v>603</v>
      </c>
      <c r="J106" s="75">
        <v>200</v>
      </c>
      <c r="K106" s="75"/>
      <c r="L106" s="14"/>
      <c r="M106" s="75"/>
      <c r="N106" s="14"/>
      <c r="O106" s="14"/>
    </row>
    <row r="107" spans="1:15" x14ac:dyDescent="0.25">
      <c r="A107" s="86">
        <v>45556</v>
      </c>
      <c r="B107" s="55" t="s">
        <v>3046</v>
      </c>
      <c r="C107" s="55" t="s">
        <v>43</v>
      </c>
      <c r="D107" s="75">
        <f t="shared" si="5"/>
        <v>281.81818181818181</v>
      </c>
      <c r="E107" s="75">
        <f t="shared" si="3"/>
        <v>28.18181818181818</v>
      </c>
      <c r="F107" s="75">
        <v>310</v>
      </c>
      <c r="G107" s="75">
        <v>50</v>
      </c>
      <c r="H107" s="58">
        <f t="shared" si="4"/>
        <v>260</v>
      </c>
      <c r="I107" s="14" t="s">
        <v>3467</v>
      </c>
      <c r="J107" s="75">
        <v>270</v>
      </c>
      <c r="K107" s="75">
        <v>40</v>
      </c>
      <c r="L107" s="14" t="s">
        <v>252</v>
      </c>
      <c r="M107" s="75"/>
      <c r="N107" s="14"/>
      <c r="O107" s="14"/>
    </row>
    <row r="108" spans="1:15" x14ac:dyDescent="0.25">
      <c r="A108" s="86">
        <v>45556</v>
      </c>
      <c r="B108" s="55" t="s">
        <v>3047</v>
      </c>
      <c r="C108" s="55" t="s">
        <v>43</v>
      </c>
      <c r="D108" s="75">
        <f t="shared" si="5"/>
        <v>190.90909090909091</v>
      </c>
      <c r="E108" s="75">
        <f t="shared" si="3"/>
        <v>19.09090909090909</v>
      </c>
      <c r="F108" s="75">
        <v>210</v>
      </c>
      <c r="G108" s="75"/>
      <c r="H108" s="58">
        <f t="shared" si="4"/>
        <v>210</v>
      </c>
      <c r="I108" s="14" t="s">
        <v>1040</v>
      </c>
      <c r="J108" s="75">
        <v>210</v>
      </c>
      <c r="K108" s="75"/>
      <c r="L108" s="14"/>
      <c r="M108" s="75"/>
      <c r="N108" s="14"/>
      <c r="O108" s="14"/>
    </row>
    <row r="109" spans="1:15" x14ac:dyDescent="0.25">
      <c r="A109" s="86">
        <v>45556</v>
      </c>
      <c r="B109" s="55" t="s">
        <v>3048</v>
      </c>
      <c r="C109" s="55" t="s">
        <v>43</v>
      </c>
      <c r="D109" s="75">
        <f t="shared" si="5"/>
        <v>281.81818181818181</v>
      </c>
      <c r="E109" s="75">
        <f t="shared" si="3"/>
        <v>28.18181818181818</v>
      </c>
      <c r="F109" s="75">
        <v>310</v>
      </c>
      <c r="G109" s="75">
        <v>50</v>
      </c>
      <c r="H109" s="58">
        <f t="shared" si="4"/>
        <v>260</v>
      </c>
      <c r="I109" s="14" t="s">
        <v>3468</v>
      </c>
      <c r="J109" s="75">
        <v>270</v>
      </c>
      <c r="K109" s="75">
        <v>40</v>
      </c>
      <c r="L109" s="14" t="s">
        <v>252</v>
      </c>
      <c r="M109" s="75"/>
      <c r="N109" s="14"/>
      <c r="O109" s="14"/>
    </row>
    <row r="110" spans="1:15" x14ac:dyDescent="0.25">
      <c r="A110" s="86">
        <v>45556</v>
      </c>
      <c r="B110" s="55" t="s">
        <v>3049</v>
      </c>
      <c r="C110" s="55" t="s">
        <v>43</v>
      </c>
      <c r="D110" s="75">
        <f t="shared" si="5"/>
        <v>199.99999999999997</v>
      </c>
      <c r="E110" s="75">
        <f t="shared" si="3"/>
        <v>19.999999999999996</v>
      </c>
      <c r="F110" s="75">
        <v>220</v>
      </c>
      <c r="G110" s="75">
        <v>50</v>
      </c>
      <c r="H110" s="58">
        <f t="shared" si="4"/>
        <v>170</v>
      </c>
      <c r="I110" s="14" t="s">
        <v>3469</v>
      </c>
      <c r="J110" s="75">
        <v>220</v>
      </c>
      <c r="K110" s="75"/>
      <c r="L110" s="14"/>
      <c r="M110" s="75"/>
      <c r="N110" s="14"/>
      <c r="O110" s="14"/>
    </row>
    <row r="111" spans="1:15" x14ac:dyDescent="0.25">
      <c r="A111" s="86">
        <v>45558</v>
      </c>
      <c r="B111" s="55" t="s">
        <v>3050</v>
      </c>
      <c r="C111" s="55" t="s">
        <v>43</v>
      </c>
      <c r="D111" s="75">
        <f t="shared" si="5"/>
        <v>199.99999999999997</v>
      </c>
      <c r="E111" s="75">
        <f t="shared" si="3"/>
        <v>19.999999999999996</v>
      </c>
      <c r="F111" s="75">
        <v>220</v>
      </c>
      <c r="G111" s="75">
        <v>50</v>
      </c>
      <c r="H111" s="58">
        <f t="shared" si="4"/>
        <v>170</v>
      </c>
      <c r="I111" s="14" t="s">
        <v>3470</v>
      </c>
      <c r="J111" s="75">
        <v>220</v>
      </c>
      <c r="K111" s="75"/>
      <c r="L111" s="14"/>
      <c r="M111" s="75"/>
      <c r="N111" s="14"/>
      <c r="O111" s="14"/>
    </row>
    <row r="112" spans="1:15" x14ac:dyDescent="0.25">
      <c r="A112" s="86">
        <v>45559</v>
      </c>
      <c r="B112" s="55" t="s">
        <v>3051</v>
      </c>
      <c r="C112" s="55" t="s">
        <v>43</v>
      </c>
      <c r="D112" s="75">
        <f t="shared" si="5"/>
        <v>163.63636363636363</v>
      </c>
      <c r="E112" s="75">
        <f t="shared" si="3"/>
        <v>16.363636363636363</v>
      </c>
      <c r="F112" s="75">
        <v>180</v>
      </c>
      <c r="G112" s="75"/>
      <c r="H112" s="58">
        <f t="shared" si="4"/>
        <v>180</v>
      </c>
      <c r="I112" s="14" t="s">
        <v>603</v>
      </c>
      <c r="J112" s="75">
        <v>180</v>
      </c>
      <c r="K112" s="75"/>
      <c r="L112" s="14"/>
      <c r="M112" s="75"/>
      <c r="N112" s="14"/>
      <c r="O112" s="14"/>
    </row>
    <row r="113" spans="1:15" x14ac:dyDescent="0.25">
      <c r="A113" s="86">
        <v>45560</v>
      </c>
      <c r="B113" s="55" t="s">
        <v>3052</v>
      </c>
      <c r="C113" s="55" t="s">
        <v>43</v>
      </c>
      <c r="D113" s="75">
        <f t="shared" si="5"/>
        <v>172.72727272727272</v>
      </c>
      <c r="E113" s="75">
        <f t="shared" si="3"/>
        <v>17.272727272727273</v>
      </c>
      <c r="F113" s="75">
        <v>190</v>
      </c>
      <c r="G113" s="75">
        <v>50</v>
      </c>
      <c r="H113" s="58">
        <f t="shared" si="4"/>
        <v>140</v>
      </c>
      <c r="I113" s="14" t="s">
        <v>3474</v>
      </c>
      <c r="J113" s="75">
        <v>170</v>
      </c>
      <c r="K113" s="75">
        <v>20</v>
      </c>
      <c r="L113" s="14" t="s">
        <v>252</v>
      </c>
      <c r="M113" s="75"/>
      <c r="N113" s="14"/>
      <c r="O113" s="14"/>
    </row>
    <row r="114" spans="1:15" x14ac:dyDescent="0.25">
      <c r="A114" s="86">
        <v>45560</v>
      </c>
      <c r="B114" s="55" t="s">
        <v>3053</v>
      </c>
      <c r="C114" s="55" t="s">
        <v>43</v>
      </c>
      <c r="D114" s="75">
        <f t="shared" si="5"/>
        <v>209.09090909090907</v>
      </c>
      <c r="E114" s="75">
        <f t="shared" si="3"/>
        <v>20.909090909090907</v>
      </c>
      <c r="F114" s="75">
        <v>230</v>
      </c>
      <c r="G114" s="75">
        <v>50</v>
      </c>
      <c r="H114" s="58">
        <f t="shared" si="4"/>
        <v>180</v>
      </c>
      <c r="I114" s="14" t="s">
        <v>3475</v>
      </c>
      <c r="J114" s="75">
        <v>170</v>
      </c>
      <c r="K114" s="75">
        <v>60</v>
      </c>
      <c r="L114" s="14" t="s">
        <v>252</v>
      </c>
      <c r="M114" s="75"/>
      <c r="N114" s="14"/>
      <c r="O114" s="14"/>
    </row>
    <row r="115" spans="1:15" x14ac:dyDescent="0.25">
      <c r="A115" s="86">
        <v>45561</v>
      </c>
      <c r="B115" s="55" t="s">
        <v>3054</v>
      </c>
      <c r="C115" s="55" t="s">
        <v>43</v>
      </c>
      <c r="D115" s="75">
        <f t="shared" si="5"/>
        <v>309.09090909090907</v>
      </c>
      <c r="E115" s="75">
        <f t="shared" si="3"/>
        <v>30.909090909090907</v>
      </c>
      <c r="F115" s="75">
        <v>340</v>
      </c>
      <c r="G115" s="75">
        <v>340</v>
      </c>
      <c r="H115" s="58">
        <f t="shared" si="4"/>
        <v>0</v>
      </c>
      <c r="I115" s="14" t="s">
        <v>3479</v>
      </c>
      <c r="J115" s="75">
        <v>340</v>
      </c>
      <c r="K115" s="75"/>
      <c r="L115" s="14"/>
      <c r="M115" s="75"/>
      <c r="N115" s="14"/>
      <c r="O115" s="14"/>
    </row>
    <row r="116" spans="1:15" x14ac:dyDescent="0.25">
      <c r="A116" s="86">
        <v>45561</v>
      </c>
      <c r="B116" s="55" t="s">
        <v>3055</v>
      </c>
      <c r="C116" s="55" t="s">
        <v>43</v>
      </c>
      <c r="D116" s="75">
        <f t="shared" si="5"/>
        <v>327.27272727272725</v>
      </c>
      <c r="E116" s="75">
        <f t="shared" si="3"/>
        <v>32.727272727272727</v>
      </c>
      <c r="F116" s="75">
        <v>360</v>
      </c>
      <c r="G116" s="75">
        <v>360</v>
      </c>
      <c r="H116" s="58">
        <f t="shared" si="4"/>
        <v>0</v>
      </c>
      <c r="I116" s="14" t="s">
        <v>3480</v>
      </c>
      <c r="J116" s="75">
        <v>360</v>
      </c>
      <c r="K116" s="75"/>
      <c r="L116" s="14"/>
      <c r="M116" s="75"/>
      <c r="N116" s="14"/>
      <c r="O116" s="14"/>
    </row>
    <row r="117" spans="1:15" x14ac:dyDescent="0.25">
      <c r="A117" s="86">
        <v>45561</v>
      </c>
      <c r="B117" s="55" t="s">
        <v>3056</v>
      </c>
      <c r="C117" s="55" t="s">
        <v>43</v>
      </c>
      <c r="D117" s="75">
        <f t="shared" si="5"/>
        <v>190.90909090909091</v>
      </c>
      <c r="E117" s="75">
        <f t="shared" si="3"/>
        <v>19.09090909090909</v>
      </c>
      <c r="F117" s="75">
        <v>210</v>
      </c>
      <c r="G117" s="75">
        <v>50</v>
      </c>
      <c r="H117" s="58">
        <f t="shared" si="4"/>
        <v>160</v>
      </c>
      <c r="I117" s="14" t="s">
        <v>3481</v>
      </c>
      <c r="J117" s="75">
        <v>170</v>
      </c>
      <c r="K117" s="75">
        <v>30</v>
      </c>
      <c r="L117" s="14" t="s">
        <v>252</v>
      </c>
      <c r="M117" s="75"/>
      <c r="N117" s="14"/>
      <c r="O117" s="14"/>
    </row>
    <row r="118" spans="1:15" x14ac:dyDescent="0.25">
      <c r="A118" s="86">
        <v>45562</v>
      </c>
      <c r="B118" s="55" t="s">
        <v>3057</v>
      </c>
      <c r="C118" s="55" t="s">
        <v>43</v>
      </c>
      <c r="D118" s="75">
        <f t="shared" si="5"/>
        <v>163.63636363636363</v>
      </c>
      <c r="E118" s="75">
        <f t="shared" si="3"/>
        <v>16.363636363636363</v>
      </c>
      <c r="F118" s="75">
        <v>180</v>
      </c>
      <c r="G118" s="75"/>
      <c r="H118" s="58">
        <f t="shared" si="4"/>
        <v>180</v>
      </c>
      <c r="I118" s="14" t="s">
        <v>603</v>
      </c>
      <c r="J118" s="75">
        <v>180</v>
      </c>
      <c r="K118" s="75"/>
      <c r="L118" s="14"/>
      <c r="M118" s="75"/>
      <c r="N118" s="14"/>
      <c r="O118" s="14"/>
    </row>
    <row r="119" spans="1:15" x14ac:dyDescent="0.25">
      <c r="A119" s="86">
        <v>45562</v>
      </c>
      <c r="B119" s="55" t="s">
        <v>3058</v>
      </c>
      <c r="C119" s="55" t="s">
        <v>43</v>
      </c>
      <c r="D119" s="75">
        <f t="shared" si="5"/>
        <v>199.99999999999997</v>
      </c>
      <c r="E119" s="75">
        <f t="shared" si="3"/>
        <v>19.999999999999996</v>
      </c>
      <c r="F119" s="75">
        <v>220</v>
      </c>
      <c r="G119" s="75"/>
      <c r="H119" s="58">
        <f t="shared" si="4"/>
        <v>220</v>
      </c>
      <c r="I119" s="14" t="s">
        <v>3482</v>
      </c>
      <c r="J119" s="75">
        <v>220</v>
      </c>
      <c r="K119" s="75"/>
      <c r="L119" s="14"/>
      <c r="M119" s="75"/>
      <c r="N119" s="14"/>
      <c r="O119" s="14"/>
    </row>
    <row r="120" spans="1:15" x14ac:dyDescent="0.25">
      <c r="A120" s="86">
        <v>45562</v>
      </c>
      <c r="B120" s="55" t="s">
        <v>3059</v>
      </c>
      <c r="C120" s="55" t="s">
        <v>43</v>
      </c>
      <c r="D120" s="75">
        <f t="shared" si="5"/>
        <v>236.36363636363635</v>
      </c>
      <c r="E120" s="75">
        <f t="shared" si="3"/>
        <v>23.636363636363637</v>
      </c>
      <c r="F120" s="75">
        <v>260</v>
      </c>
      <c r="G120" s="75">
        <v>260</v>
      </c>
      <c r="H120" s="58">
        <f t="shared" si="4"/>
        <v>0</v>
      </c>
      <c r="I120" s="14" t="s">
        <v>3483</v>
      </c>
      <c r="J120" s="75">
        <v>260</v>
      </c>
      <c r="K120" s="75"/>
      <c r="L120" s="14"/>
      <c r="M120" s="75"/>
      <c r="N120" s="14"/>
      <c r="O120" s="14"/>
    </row>
    <row r="121" spans="1:15" x14ac:dyDescent="0.25">
      <c r="A121" s="86">
        <v>45562</v>
      </c>
      <c r="B121" s="55" t="s">
        <v>3060</v>
      </c>
      <c r="C121" s="55" t="s">
        <v>43</v>
      </c>
      <c r="D121" s="75">
        <f t="shared" si="5"/>
        <v>199.99999999999997</v>
      </c>
      <c r="E121" s="75">
        <f t="shared" si="3"/>
        <v>19.999999999999996</v>
      </c>
      <c r="F121" s="75">
        <v>220</v>
      </c>
      <c r="G121" s="75"/>
      <c r="H121" s="58">
        <f t="shared" si="4"/>
        <v>220</v>
      </c>
      <c r="I121" s="14" t="s">
        <v>3484</v>
      </c>
      <c r="J121" s="75">
        <v>220</v>
      </c>
      <c r="K121" s="75"/>
      <c r="L121" s="14"/>
      <c r="M121" s="75"/>
      <c r="N121" s="14"/>
      <c r="O121" s="14"/>
    </row>
    <row r="122" spans="1:15" x14ac:dyDescent="0.25">
      <c r="A122" s="86">
        <v>45562</v>
      </c>
      <c r="B122" s="55" t="s">
        <v>3061</v>
      </c>
      <c r="C122" s="55" t="s">
        <v>43</v>
      </c>
      <c r="D122" s="75">
        <f t="shared" si="5"/>
        <v>213.63636363636363</v>
      </c>
      <c r="E122" s="75">
        <f t="shared" si="3"/>
        <v>21.36363636363636</v>
      </c>
      <c r="F122" s="75">
        <v>235</v>
      </c>
      <c r="G122" s="75">
        <v>135</v>
      </c>
      <c r="H122" s="58">
        <f t="shared" si="4"/>
        <v>100</v>
      </c>
      <c r="I122" s="14" t="s">
        <v>3485</v>
      </c>
      <c r="J122" s="75">
        <v>170</v>
      </c>
      <c r="K122" s="75">
        <v>20</v>
      </c>
      <c r="L122" s="14" t="s">
        <v>252</v>
      </c>
      <c r="M122" s="75">
        <v>45</v>
      </c>
      <c r="N122" s="14" t="s">
        <v>45</v>
      </c>
      <c r="O122" s="14"/>
    </row>
    <row r="123" spans="1:15" x14ac:dyDescent="0.25">
      <c r="A123" s="86">
        <v>45562</v>
      </c>
      <c r="B123" s="55" t="s">
        <v>3062</v>
      </c>
      <c r="C123" s="55" t="s">
        <v>43</v>
      </c>
      <c r="D123" s="75">
        <f t="shared" si="5"/>
        <v>213.63636363636363</v>
      </c>
      <c r="E123" s="75">
        <f t="shared" si="3"/>
        <v>21.36363636363636</v>
      </c>
      <c r="F123" s="75">
        <v>235</v>
      </c>
      <c r="G123" s="75">
        <v>50</v>
      </c>
      <c r="H123" s="58">
        <f t="shared" si="4"/>
        <v>185</v>
      </c>
      <c r="I123" s="14" t="s">
        <v>3486</v>
      </c>
      <c r="J123" s="75">
        <v>170</v>
      </c>
      <c r="K123" s="75">
        <v>20</v>
      </c>
      <c r="L123" s="14" t="s">
        <v>252</v>
      </c>
      <c r="M123" s="75">
        <v>45</v>
      </c>
      <c r="N123" s="14" t="s">
        <v>45</v>
      </c>
      <c r="O123" s="14"/>
    </row>
    <row r="124" spans="1:15" x14ac:dyDescent="0.25">
      <c r="A124" s="86">
        <v>45562</v>
      </c>
      <c r="B124" s="55" t="s">
        <v>3063</v>
      </c>
      <c r="C124" s="55" t="s">
        <v>43</v>
      </c>
      <c r="D124" s="75">
        <f t="shared" si="5"/>
        <v>127.27272727272727</v>
      </c>
      <c r="E124" s="75">
        <f t="shared" si="3"/>
        <v>12.727272727272727</v>
      </c>
      <c r="F124" s="75">
        <v>140</v>
      </c>
      <c r="G124" s="75"/>
      <c r="H124" s="58">
        <f t="shared" si="4"/>
        <v>140</v>
      </c>
      <c r="I124" s="14" t="s">
        <v>603</v>
      </c>
      <c r="J124" s="75">
        <v>140</v>
      </c>
      <c r="K124" s="75"/>
      <c r="L124" s="14"/>
      <c r="M124" s="75"/>
      <c r="N124" s="14"/>
      <c r="O124" s="14"/>
    </row>
    <row r="125" spans="1:15" x14ac:dyDescent="0.25">
      <c r="A125" s="86">
        <v>45562</v>
      </c>
      <c r="B125" s="55" t="s">
        <v>3064</v>
      </c>
      <c r="C125" s="55" t="s">
        <v>43</v>
      </c>
      <c r="D125" s="75">
        <f t="shared" si="5"/>
        <v>127.27272727272727</v>
      </c>
      <c r="E125" s="75">
        <f t="shared" si="3"/>
        <v>12.727272727272727</v>
      </c>
      <c r="F125" s="75">
        <v>140</v>
      </c>
      <c r="G125" s="75"/>
      <c r="H125" s="58">
        <f t="shared" si="4"/>
        <v>140</v>
      </c>
      <c r="I125" s="14" t="s">
        <v>3487</v>
      </c>
      <c r="J125" s="75">
        <v>140</v>
      </c>
      <c r="K125" s="75"/>
      <c r="L125" s="14"/>
      <c r="M125" s="75"/>
      <c r="N125" s="14"/>
      <c r="O125" s="14"/>
    </row>
    <row r="126" spans="1:15" x14ac:dyDescent="0.25">
      <c r="A126" s="86">
        <v>45562</v>
      </c>
      <c r="B126" s="55" t="s">
        <v>3065</v>
      </c>
      <c r="C126" s="55" t="s">
        <v>43</v>
      </c>
      <c r="D126" s="75">
        <f t="shared" si="5"/>
        <v>154.54545454545453</v>
      </c>
      <c r="E126" s="75">
        <f t="shared" si="3"/>
        <v>15.454545454545453</v>
      </c>
      <c r="F126" s="75">
        <v>170</v>
      </c>
      <c r="G126" s="75">
        <v>50</v>
      </c>
      <c r="H126" s="58">
        <f t="shared" si="4"/>
        <v>120</v>
      </c>
      <c r="I126" s="187" t="s">
        <v>3488</v>
      </c>
      <c r="J126" s="75">
        <v>170</v>
      </c>
      <c r="K126" s="75"/>
      <c r="L126" s="14"/>
      <c r="M126" s="75"/>
      <c r="N126" s="14"/>
      <c r="O126" s="14"/>
    </row>
    <row r="127" spans="1:15" x14ac:dyDescent="0.25">
      <c r="A127" s="86">
        <v>45563</v>
      </c>
      <c r="B127" s="55" t="s">
        <v>3066</v>
      </c>
      <c r="C127" s="55" t="s">
        <v>43</v>
      </c>
      <c r="D127" s="75">
        <f t="shared" si="5"/>
        <v>199.99999999999997</v>
      </c>
      <c r="E127" s="75">
        <f t="shared" si="3"/>
        <v>19.999999999999996</v>
      </c>
      <c r="F127" s="75">
        <v>220</v>
      </c>
      <c r="G127" s="75">
        <v>50</v>
      </c>
      <c r="H127" s="58">
        <f t="shared" si="4"/>
        <v>170</v>
      </c>
      <c r="I127" s="14" t="s">
        <v>3489</v>
      </c>
      <c r="J127" s="75">
        <v>170</v>
      </c>
      <c r="K127" s="75">
        <v>50</v>
      </c>
      <c r="L127" s="14" t="s">
        <v>252</v>
      </c>
      <c r="M127" s="75"/>
      <c r="N127" s="14"/>
      <c r="O127" s="14"/>
    </row>
    <row r="128" spans="1:15" x14ac:dyDescent="0.25">
      <c r="A128" s="86">
        <v>45563</v>
      </c>
      <c r="B128" s="55" t="s">
        <v>3067</v>
      </c>
      <c r="C128" s="55" t="s">
        <v>43</v>
      </c>
      <c r="D128" s="75">
        <f t="shared" si="5"/>
        <v>236.36363636363635</v>
      </c>
      <c r="E128" s="75">
        <f t="shared" si="3"/>
        <v>23.636363636363637</v>
      </c>
      <c r="F128" s="75">
        <v>260</v>
      </c>
      <c r="G128" s="75">
        <v>50</v>
      </c>
      <c r="H128" s="58">
        <f t="shared" si="4"/>
        <v>210</v>
      </c>
      <c r="I128" s="14" t="s">
        <v>3490</v>
      </c>
      <c r="J128" s="75">
        <v>260</v>
      </c>
      <c r="K128" s="75"/>
      <c r="L128" s="14"/>
      <c r="M128" s="75"/>
      <c r="N128" s="14"/>
      <c r="O128" s="14"/>
    </row>
    <row r="129" spans="1:15" x14ac:dyDescent="0.25">
      <c r="A129" s="86">
        <v>45563</v>
      </c>
      <c r="B129" s="55" t="s">
        <v>3068</v>
      </c>
      <c r="C129" s="55" t="s">
        <v>43</v>
      </c>
      <c r="D129" s="75">
        <f t="shared" si="5"/>
        <v>163.63636363636363</v>
      </c>
      <c r="E129" s="75">
        <f t="shared" si="3"/>
        <v>16.363636363636363</v>
      </c>
      <c r="F129" s="75">
        <v>180</v>
      </c>
      <c r="G129" s="75"/>
      <c r="H129" s="58">
        <f t="shared" si="4"/>
        <v>180</v>
      </c>
      <c r="I129" s="14" t="s">
        <v>1039</v>
      </c>
      <c r="J129" s="75">
        <v>180</v>
      </c>
      <c r="K129" s="75"/>
      <c r="L129" s="14"/>
      <c r="M129" s="75"/>
      <c r="N129" s="14"/>
      <c r="O129" s="14"/>
    </row>
    <row r="130" spans="1:15" x14ac:dyDescent="0.25">
      <c r="A130" s="86">
        <v>45563</v>
      </c>
      <c r="B130" s="55" t="s">
        <v>3069</v>
      </c>
      <c r="C130" s="55" t="s">
        <v>43</v>
      </c>
      <c r="D130" s="75">
        <f t="shared" si="5"/>
        <v>136.36363636363635</v>
      </c>
      <c r="E130" s="75">
        <f t="shared" si="3"/>
        <v>13.636363636363635</v>
      </c>
      <c r="F130" s="75">
        <v>150</v>
      </c>
      <c r="G130" s="75"/>
      <c r="H130" s="58">
        <f t="shared" si="4"/>
        <v>150</v>
      </c>
      <c r="I130" s="14" t="s">
        <v>604</v>
      </c>
      <c r="J130" s="75">
        <v>150</v>
      </c>
      <c r="K130" s="75"/>
      <c r="L130" s="14"/>
      <c r="M130" s="75"/>
      <c r="N130" s="14"/>
      <c r="O130" s="14"/>
    </row>
    <row r="131" spans="1:15" x14ac:dyDescent="0.25">
      <c r="A131" s="86">
        <v>45563</v>
      </c>
      <c r="B131" s="55" t="s">
        <v>3070</v>
      </c>
      <c r="C131" s="55" t="s">
        <v>43</v>
      </c>
      <c r="D131" s="75">
        <f t="shared" si="5"/>
        <v>109.09090909090908</v>
      </c>
      <c r="E131" s="75">
        <f t="shared" ref="E131:E153" si="6">D131*10/100</f>
        <v>10.909090909090908</v>
      </c>
      <c r="F131" s="75">
        <v>120</v>
      </c>
      <c r="G131" s="75">
        <v>50</v>
      </c>
      <c r="H131" s="58">
        <f t="shared" ref="H131:H153" si="7">F131-G131</f>
        <v>70</v>
      </c>
      <c r="I131" s="14" t="s">
        <v>3491</v>
      </c>
      <c r="J131" s="75">
        <v>170</v>
      </c>
      <c r="K131" s="75"/>
      <c r="L131" s="14"/>
      <c r="M131" s="75"/>
      <c r="N131" s="14"/>
      <c r="O131" s="14"/>
    </row>
    <row r="132" spans="1:15" x14ac:dyDescent="0.25">
      <c r="A132" s="86">
        <v>45563</v>
      </c>
      <c r="B132" s="55" t="s">
        <v>3071</v>
      </c>
      <c r="C132" s="55" t="s">
        <v>43</v>
      </c>
      <c r="D132" s="75">
        <f t="shared" ref="D132:D153" si="8">F132/1.1</f>
        <v>172.72727272727272</v>
      </c>
      <c r="E132" s="75">
        <f t="shared" si="6"/>
        <v>17.272727272727273</v>
      </c>
      <c r="F132" s="75">
        <v>190</v>
      </c>
      <c r="G132" s="75">
        <v>50</v>
      </c>
      <c r="H132" s="58">
        <f t="shared" si="7"/>
        <v>140</v>
      </c>
      <c r="I132" s="14" t="s">
        <v>3492</v>
      </c>
      <c r="J132" s="75">
        <v>170</v>
      </c>
      <c r="K132" s="75">
        <v>20</v>
      </c>
      <c r="L132" s="14" t="s">
        <v>252</v>
      </c>
      <c r="M132" s="75"/>
      <c r="N132" s="14"/>
      <c r="O132" s="14"/>
    </row>
    <row r="133" spans="1:15" x14ac:dyDescent="0.25">
      <c r="A133" s="86">
        <v>45563</v>
      </c>
      <c r="B133" s="55" t="s">
        <v>3072</v>
      </c>
      <c r="C133" s="55" t="s">
        <v>43</v>
      </c>
      <c r="D133" s="75">
        <f t="shared" si="8"/>
        <v>181.81818181818181</v>
      </c>
      <c r="E133" s="75">
        <f t="shared" si="6"/>
        <v>18.18181818181818</v>
      </c>
      <c r="F133" s="75">
        <v>200</v>
      </c>
      <c r="G133" s="75">
        <v>50</v>
      </c>
      <c r="H133" s="58">
        <f t="shared" si="7"/>
        <v>150</v>
      </c>
      <c r="I133" s="14" t="s">
        <v>3493</v>
      </c>
      <c r="J133" s="75">
        <v>170</v>
      </c>
      <c r="K133" s="75">
        <v>30</v>
      </c>
      <c r="L133" s="14" t="s">
        <v>252</v>
      </c>
      <c r="M133" s="75"/>
      <c r="N133" s="14"/>
      <c r="O133" s="14"/>
    </row>
    <row r="134" spans="1:15" x14ac:dyDescent="0.25">
      <c r="A134" s="86">
        <v>45563</v>
      </c>
      <c r="B134" s="55" t="s">
        <v>3073</v>
      </c>
      <c r="C134" s="55" t="s">
        <v>43</v>
      </c>
      <c r="D134" s="75">
        <f t="shared" si="8"/>
        <v>213.63636363636363</v>
      </c>
      <c r="E134" s="75">
        <f t="shared" si="6"/>
        <v>21.36363636363636</v>
      </c>
      <c r="F134" s="75">
        <v>235</v>
      </c>
      <c r="G134" s="75">
        <v>50</v>
      </c>
      <c r="H134" s="58">
        <f t="shared" si="7"/>
        <v>185</v>
      </c>
      <c r="I134" s="14" t="s">
        <v>3494</v>
      </c>
      <c r="J134" s="75">
        <v>170</v>
      </c>
      <c r="K134" s="75">
        <v>20</v>
      </c>
      <c r="L134" s="14" t="s">
        <v>252</v>
      </c>
      <c r="M134" s="75">
        <v>45</v>
      </c>
      <c r="N134" s="14" t="s">
        <v>45</v>
      </c>
      <c r="O134" s="14"/>
    </row>
    <row r="135" spans="1:15" x14ac:dyDescent="0.25">
      <c r="A135" s="86">
        <v>45563</v>
      </c>
      <c r="B135" s="55" t="s">
        <v>3074</v>
      </c>
      <c r="C135" s="55" t="s">
        <v>43</v>
      </c>
      <c r="D135" s="75">
        <f t="shared" si="8"/>
        <v>154.54545454545453</v>
      </c>
      <c r="E135" s="75">
        <f t="shared" si="6"/>
        <v>15.454545454545453</v>
      </c>
      <c r="F135" s="75">
        <v>170</v>
      </c>
      <c r="G135" s="75">
        <v>50</v>
      </c>
      <c r="H135" s="58">
        <f t="shared" si="7"/>
        <v>120</v>
      </c>
      <c r="I135" s="14" t="s">
        <v>3495</v>
      </c>
      <c r="J135" s="75">
        <v>170</v>
      </c>
      <c r="K135" s="75"/>
      <c r="L135" s="14"/>
      <c r="M135" s="75"/>
      <c r="N135" s="14"/>
      <c r="O135" s="14"/>
    </row>
    <row r="136" spans="1:15" x14ac:dyDescent="0.25">
      <c r="A136" s="86">
        <v>45563</v>
      </c>
      <c r="B136" s="55" t="s">
        <v>3075</v>
      </c>
      <c r="C136" s="55" t="s">
        <v>43</v>
      </c>
      <c r="D136" s="75">
        <f t="shared" si="8"/>
        <v>154.54545454545453</v>
      </c>
      <c r="E136" s="75">
        <f t="shared" si="6"/>
        <v>15.454545454545453</v>
      </c>
      <c r="F136" s="75">
        <v>170</v>
      </c>
      <c r="G136" s="75">
        <v>50</v>
      </c>
      <c r="H136" s="58">
        <f t="shared" si="7"/>
        <v>120</v>
      </c>
      <c r="I136" s="14" t="s">
        <v>3496</v>
      </c>
      <c r="J136" s="75">
        <v>170</v>
      </c>
      <c r="K136" s="75"/>
      <c r="L136" s="14"/>
      <c r="M136" s="75"/>
      <c r="N136" s="14"/>
      <c r="O136" s="14"/>
    </row>
    <row r="137" spans="1:15" x14ac:dyDescent="0.25">
      <c r="A137" s="86">
        <v>45563</v>
      </c>
      <c r="B137" s="55" t="s">
        <v>3194</v>
      </c>
      <c r="C137" s="55" t="s">
        <v>43</v>
      </c>
      <c r="D137" s="75">
        <f t="shared" si="8"/>
        <v>154.54545454545453</v>
      </c>
      <c r="E137" s="75">
        <f t="shared" si="6"/>
        <v>15.454545454545453</v>
      </c>
      <c r="F137" s="75">
        <v>170</v>
      </c>
      <c r="G137" s="75">
        <v>170</v>
      </c>
      <c r="H137" s="58">
        <f t="shared" si="7"/>
        <v>0</v>
      </c>
      <c r="I137" s="14" t="s">
        <v>1788</v>
      </c>
      <c r="J137" s="75">
        <v>170</v>
      </c>
      <c r="K137" s="75"/>
      <c r="L137" s="14"/>
      <c r="M137" s="75"/>
      <c r="N137" s="14"/>
      <c r="O137" s="14"/>
    </row>
    <row r="138" spans="1:15" x14ac:dyDescent="0.25">
      <c r="A138" s="86">
        <v>45563</v>
      </c>
      <c r="B138" s="55" t="s">
        <v>3195</v>
      </c>
      <c r="C138" s="55" t="s">
        <v>43</v>
      </c>
      <c r="D138" s="75">
        <f t="shared" si="8"/>
        <v>154.54545454545453</v>
      </c>
      <c r="E138" s="75">
        <f t="shared" si="6"/>
        <v>15.454545454545453</v>
      </c>
      <c r="F138" s="75">
        <v>170</v>
      </c>
      <c r="G138" s="75">
        <v>50</v>
      </c>
      <c r="H138" s="58">
        <f t="shared" si="7"/>
        <v>120</v>
      </c>
      <c r="I138" s="14" t="s">
        <v>3160</v>
      </c>
      <c r="J138" s="75">
        <v>170</v>
      </c>
      <c r="K138" s="75"/>
      <c r="L138" s="14"/>
      <c r="M138" s="75"/>
      <c r="N138" s="14"/>
      <c r="O138" s="14"/>
    </row>
    <row r="139" spans="1:15" x14ac:dyDescent="0.25">
      <c r="A139" s="86">
        <v>45563</v>
      </c>
      <c r="B139" s="55" t="s">
        <v>3196</v>
      </c>
      <c r="C139" s="55" t="s">
        <v>43</v>
      </c>
      <c r="D139" s="75">
        <f t="shared" si="8"/>
        <v>209.09090909090907</v>
      </c>
      <c r="E139" s="75">
        <f t="shared" si="6"/>
        <v>20.909090909090907</v>
      </c>
      <c r="F139" s="75">
        <v>230</v>
      </c>
      <c r="G139" s="75"/>
      <c r="H139" s="58">
        <f t="shared" si="7"/>
        <v>230</v>
      </c>
      <c r="I139" s="14" t="s">
        <v>3497</v>
      </c>
      <c r="J139" s="75">
        <v>230</v>
      </c>
      <c r="K139" s="75"/>
      <c r="L139" s="14"/>
      <c r="M139" s="75"/>
      <c r="N139" s="14"/>
      <c r="O139" s="14"/>
    </row>
    <row r="140" spans="1:15" x14ac:dyDescent="0.25">
      <c r="A140" s="86">
        <v>45563</v>
      </c>
      <c r="B140" s="55" t="s">
        <v>3197</v>
      </c>
      <c r="C140" s="55" t="s">
        <v>43</v>
      </c>
      <c r="D140" s="75">
        <f t="shared" si="8"/>
        <v>199.99999999999997</v>
      </c>
      <c r="E140" s="75">
        <f t="shared" si="6"/>
        <v>19.999999999999996</v>
      </c>
      <c r="F140" s="75">
        <v>220</v>
      </c>
      <c r="G140" s="75">
        <v>50</v>
      </c>
      <c r="H140" s="58">
        <f t="shared" si="7"/>
        <v>170</v>
      </c>
      <c r="I140" s="14" t="s">
        <v>3498</v>
      </c>
      <c r="J140" s="75">
        <v>220</v>
      </c>
      <c r="K140" s="75"/>
      <c r="L140" s="14"/>
      <c r="M140" s="75"/>
      <c r="N140" s="14"/>
      <c r="O140" s="14"/>
    </row>
    <row r="141" spans="1:15" x14ac:dyDescent="0.25">
      <c r="A141" s="86">
        <v>45563</v>
      </c>
      <c r="B141" s="55" t="s">
        <v>3198</v>
      </c>
      <c r="C141" s="55" t="s">
        <v>43</v>
      </c>
      <c r="D141" s="75">
        <f t="shared" si="8"/>
        <v>281.81818181818181</v>
      </c>
      <c r="E141" s="75">
        <f t="shared" si="6"/>
        <v>28.18181818181818</v>
      </c>
      <c r="F141" s="75">
        <v>310</v>
      </c>
      <c r="G141" s="75">
        <v>50</v>
      </c>
      <c r="H141" s="58">
        <f t="shared" si="7"/>
        <v>260</v>
      </c>
      <c r="I141" s="14" t="s">
        <v>3499</v>
      </c>
      <c r="J141" s="75">
        <v>270</v>
      </c>
      <c r="K141" s="75">
        <v>40</v>
      </c>
      <c r="L141" s="14" t="s">
        <v>252</v>
      </c>
      <c r="M141" s="75"/>
      <c r="N141" s="14"/>
      <c r="O141" s="14"/>
    </row>
    <row r="142" spans="1:15" x14ac:dyDescent="0.25">
      <c r="A142" s="86">
        <v>45563</v>
      </c>
      <c r="B142" s="55" t="s">
        <v>3199</v>
      </c>
      <c r="C142" s="55" t="s">
        <v>43</v>
      </c>
      <c r="D142" s="75">
        <f t="shared" si="8"/>
        <v>172.72727272727272</v>
      </c>
      <c r="E142" s="75">
        <f t="shared" si="6"/>
        <v>17.272727272727273</v>
      </c>
      <c r="F142" s="75">
        <v>190</v>
      </c>
      <c r="G142" s="75">
        <v>190</v>
      </c>
      <c r="H142" s="58">
        <f t="shared" si="7"/>
        <v>0</v>
      </c>
      <c r="I142" s="14" t="s">
        <v>1263</v>
      </c>
      <c r="J142" s="75">
        <v>190</v>
      </c>
      <c r="K142" s="75"/>
      <c r="L142" s="14"/>
      <c r="M142" s="75"/>
      <c r="N142" s="14"/>
      <c r="O142" s="14"/>
    </row>
    <row r="143" spans="1:15" x14ac:dyDescent="0.25">
      <c r="A143" s="86">
        <v>45563</v>
      </c>
      <c r="B143" s="55" t="s">
        <v>3200</v>
      </c>
      <c r="C143" s="55" t="s">
        <v>43</v>
      </c>
      <c r="D143" s="75">
        <f t="shared" si="8"/>
        <v>245.45454545454544</v>
      </c>
      <c r="E143" s="75">
        <f t="shared" si="6"/>
        <v>24.545454545454547</v>
      </c>
      <c r="F143" s="75">
        <v>270</v>
      </c>
      <c r="G143" s="75">
        <v>50</v>
      </c>
      <c r="H143" s="58">
        <f t="shared" si="7"/>
        <v>220</v>
      </c>
      <c r="I143" s="14" t="s">
        <v>3500</v>
      </c>
      <c r="J143" s="75">
        <v>270</v>
      </c>
      <c r="K143" s="75"/>
      <c r="L143" s="14"/>
      <c r="M143" s="75"/>
      <c r="N143" s="14"/>
      <c r="O143" s="14"/>
    </row>
    <row r="144" spans="1:15" x14ac:dyDescent="0.25">
      <c r="A144" s="86">
        <v>45563</v>
      </c>
      <c r="B144" s="55" t="s">
        <v>3201</v>
      </c>
      <c r="C144" s="55" t="s">
        <v>43</v>
      </c>
      <c r="D144" s="75">
        <f t="shared" si="8"/>
        <v>254.54545454545453</v>
      </c>
      <c r="E144" s="75">
        <f t="shared" si="6"/>
        <v>25.454545454545453</v>
      </c>
      <c r="F144" s="75">
        <v>280</v>
      </c>
      <c r="G144" s="75">
        <v>50</v>
      </c>
      <c r="H144" s="58">
        <f t="shared" si="7"/>
        <v>230</v>
      </c>
      <c r="I144" s="14" t="s">
        <v>3501</v>
      </c>
      <c r="J144" s="75">
        <v>220</v>
      </c>
      <c r="K144" s="75">
        <v>60</v>
      </c>
      <c r="L144" s="14" t="s">
        <v>252</v>
      </c>
      <c r="M144" s="75"/>
      <c r="N144" s="14"/>
      <c r="O144" s="14"/>
    </row>
    <row r="145" spans="1:15" x14ac:dyDescent="0.25">
      <c r="A145" s="86">
        <v>45563</v>
      </c>
      <c r="B145" s="55" t="s">
        <v>3202</v>
      </c>
      <c r="C145" s="55" t="s">
        <v>43</v>
      </c>
      <c r="D145" s="75">
        <f t="shared" si="8"/>
        <v>281.81818181818181</v>
      </c>
      <c r="E145" s="75">
        <f t="shared" si="6"/>
        <v>28.18181818181818</v>
      </c>
      <c r="F145" s="75">
        <v>310</v>
      </c>
      <c r="G145" s="75">
        <v>50</v>
      </c>
      <c r="H145" s="58">
        <f t="shared" si="7"/>
        <v>260</v>
      </c>
      <c r="I145" s="14" t="s">
        <v>3502</v>
      </c>
      <c r="J145" s="75">
        <v>270</v>
      </c>
      <c r="K145" s="75">
        <v>40</v>
      </c>
      <c r="L145" s="14" t="s">
        <v>252</v>
      </c>
      <c r="M145" s="75"/>
      <c r="N145" s="14"/>
      <c r="O145" s="14"/>
    </row>
    <row r="146" spans="1:15" x14ac:dyDescent="0.25">
      <c r="A146" s="86">
        <v>45563</v>
      </c>
      <c r="B146" s="55" t="s">
        <v>3203</v>
      </c>
      <c r="C146" s="55" t="s">
        <v>43</v>
      </c>
      <c r="D146" s="75">
        <f t="shared" si="8"/>
        <v>263.63636363636363</v>
      </c>
      <c r="E146" s="75">
        <f t="shared" si="6"/>
        <v>26.36363636363636</v>
      </c>
      <c r="F146" s="75">
        <v>290</v>
      </c>
      <c r="G146" s="75">
        <v>50</v>
      </c>
      <c r="H146" s="58">
        <f t="shared" si="7"/>
        <v>240</v>
      </c>
      <c r="I146" s="14" t="s">
        <v>3503</v>
      </c>
      <c r="J146" s="75">
        <v>270</v>
      </c>
      <c r="K146" s="75">
        <v>20</v>
      </c>
      <c r="L146" s="14"/>
      <c r="M146" s="75"/>
      <c r="N146" s="14"/>
      <c r="O146" s="14"/>
    </row>
    <row r="147" spans="1:15" x14ac:dyDescent="0.25">
      <c r="A147" s="86">
        <v>45563</v>
      </c>
      <c r="B147" s="55" t="s">
        <v>3204</v>
      </c>
      <c r="C147" s="55" t="s">
        <v>43</v>
      </c>
      <c r="D147" s="75">
        <f t="shared" si="8"/>
        <v>336.36363636363632</v>
      </c>
      <c r="E147" s="75">
        <f t="shared" si="6"/>
        <v>33.636363636363633</v>
      </c>
      <c r="F147" s="75">
        <v>370</v>
      </c>
      <c r="G147" s="75">
        <v>50</v>
      </c>
      <c r="H147" s="58">
        <f t="shared" si="7"/>
        <v>320</v>
      </c>
      <c r="I147" s="14" t="s">
        <v>3504</v>
      </c>
      <c r="J147" s="75">
        <v>370</v>
      </c>
      <c r="K147" s="75"/>
      <c r="L147" s="14"/>
      <c r="M147" s="75"/>
      <c r="N147" s="14"/>
      <c r="O147" s="14"/>
    </row>
    <row r="148" spans="1:15" x14ac:dyDescent="0.25">
      <c r="A148" s="86">
        <v>45563</v>
      </c>
      <c r="B148" s="55" t="s">
        <v>3205</v>
      </c>
      <c r="C148" s="55" t="s">
        <v>43</v>
      </c>
      <c r="D148" s="75">
        <f t="shared" si="8"/>
        <v>245.45454545454544</v>
      </c>
      <c r="E148" s="75">
        <f t="shared" si="6"/>
        <v>24.545454545454547</v>
      </c>
      <c r="F148" s="75">
        <v>270</v>
      </c>
      <c r="G148" s="75">
        <v>50</v>
      </c>
      <c r="H148" s="58">
        <f t="shared" si="7"/>
        <v>220</v>
      </c>
      <c r="I148" s="14" t="s">
        <v>3505</v>
      </c>
      <c r="J148" s="75">
        <v>270</v>
      </c>
      <c r="K148" s="75"/>
      <c r="L148" s="14"/>
      <c r="M148" s="75"/>
      <c r="N148" s="14"/>
      <c r="O148" s="14"/>
    </row>
    <row r="149" spans="1:15" x14ac:dyDescent="0.25">
      <c r="A149" s="86">
        <v>45563</v>
      </c>
      <c r="B149" s="55" t="s">
        <v>3206</v>
      </c>
      <c r="C149" s="55" t="s">
        <v>43</v>
      </c>
      <c r="D149" s="75">
        <f t="shared" si="8"/>
        <v>245.45454545454544</v>
      </c>
      <c r="E149" s="75">
        <f t="shared" si="6"/>
        <v>24.545454545454547</v>
      </c>
      <c r="F149" s="75">
        <v>270</v>
      </c>
      <c r="G149" s="75">
        <v>50</v>
      </c>
      <c r="H149" s="58">
        <f t="shared" si="7"/>
        <v>220</v>
      </c>
      <c r="I149" s="14" t="s">
        <v>3506</v>
      </c>
      <c r="J149" s="75">
        <v>270</v>
      </c>
      <c r="K149" s="75"/>
      <c r="L149" s="14"/>
      <c r="M149" s="75"/>
      <c r="N149" s="14"/>
      <c r="O149" s="14"/>
    </row>
    <row r="150" spans="1:15" x14ac:dyDescent="0.25">
      <c r="A150" s="86">
        <v>45564</v>
      </c>
      <c r="B150" s="55" t="s">
        <v>3207</v>
      </c>
      <c r="C150" s="55" t="s">
        <v>43</v>
      </c>
      <c r="D150" s="75">
        <f t="shared" si="8"/>
        <v>172.72727272727272</v>
      </c>
      <c r="E150" s="75">
        <f t="shared" si="6"/>
        <v>17.272727272727273</v>
      </c>
      <c r="F150" s="75">
        <v>190</v>
      </c>
      <c r="G150" s="75">
        <v>50</v>
      </c>
      <c r="H150" s="58">
        <f t="shared" si="7"/>
        <v>140</v>
      </c>
      <c r="I150" s="14" t="s">
        <v>3507</v>
      </c>
      <c r="J150" s="75">
        <v>190</v>
      </c>
      <c r="K150" s="75"/>
      <c r="L150" s="14"/>
      <c r="M150" s="75"/>
      <c r="N150" s="14"/>
      <c r="O150" s="14"/>
    </row>
    <row r="151" spans="1:15" x14ac:dyDescent="0.25">
      <c r="A151" s="86">
        <v>45564</v>
      </c>
      <c r="B151" s="55" t="s">
        <v>3208</v>
      </c>
      <c r="C151" s="55" t="s">
        <v>43</v>
      </c>
      <c r="D151" s="75">
        <f t="shared" si="8"/>
        <v>390.90909090909088</v>
      </c>
      <c r="E151" s="75">
        <f t="shared" si="6"/>
        <v>39.090909090909093</v>
      </c>
      <c r="F151" s="75">
        <v>430</v>
      </c>
      <c r="G151" s="75">
        <v>50</v>
      </c>
      <c r="H151" s="58">
        <f t="shared" si="7"/>
        <v>380</v>
      </c>
      <c r="I151" s="14" t="s">
        <v>3508</v>
      </c>
      <c r="J151" s="75">
        <v>220</v>
      </c>
      <c r="K151" s="75"/>
      <c r="L151" s="14"/>
      <c r="M151" s="75">
        <v>160</v>
      </c>
      <c r="N151" s="14" t="s">
        <v>1319</v>
      </c>
      <c r="O151" s="14"/>
    </row>
    <row r="152" spans="1:15" x14ac:dyDescent="0.25">
      <c r="A152" s="86">
        <v>45565</v>
      </c>
      <c r="B152" s="55" t="s">
        <v>3209</v>
      </c>
      <c r="C152" s="55" t="s">
        <v>43</v>
      </c>
      <c r="D152" s="75">
        <f t="shared" si="8"/>
        <v>154.54545454545453</v>
      </c>
      <c r="E152" s="75">
        <f t="shared" si="6"/>
        <v>15.454545454545453</v>
      </c>
      <c r="F152" s="75">
        <v>170</v>
      </c>
      <c r="G152" s="75">
        <v>50</v>
      </c>
      <c r="H152" s="58">
        <f t="shared" si="7"/>
        <v>120</v>
      </c>
      <c r="I152" s="14" t="s">
        <v>3160</v>
      </c>
      <c r="J152" s="75">
        <v>170</v>
      </c>
      <c r="K152" s="75"/>
      <c r="L152" s="14"/>
      <c r="M152" s="75"/>
      <c r="N152" s="14"/>
      <c r="O152" s="14"/>
    </row>
    <row r="153" spans="1:15" x14ac:dyDescent="0.25">
      <c r="A153" s="86">
        <v>45565</v>
      </c>
      <c r="B153" s="55" t="s">
        <v>3210</v>
      </c>
      <c r="C153" s="55" t="s">
        <v>43</v>
      </c>
      <c r="D153" s="75">
        <f t="shared" si="8"/>
        <v>154.54545454545453</v>
      </c>
      <c r="E153" s="75">
        <f t="shared" si="6"/>
        <v>15.454545454545453</v>
      </c>
      <c r="F153" s="75">
        <v>170</v>
      </c>
      <c r="G153" s="75">
        <v>50</v>
      </c>
      <c r="H153" s="58">
        <f t="shared" si="7"/>
        <v>120</v>
      </c>
      <c r="I153" s="14" t="s">
        <v>3509</v>
      </c>
      <c r="J153" s="75">
        <v>170</v>
      </c>
      <c r="K153" s="75"/>
      <c r="L153" s="14"/>
      <c r="M153" s="75"/>
      <c r="N153" s="14"/>
      <c r="O153" s="14"/>
    </row>
    <row r="154" spans="1:15" x14ac:dyDescent="0.25">
      <c r="A154" s="322" t="s">
        <v>11</v>
      </c>
      <c r="B154" s="322"/>
      <c r="C154" s="322"/>
      <c r="D154" s="160">
        <f>SUM(D3:D153)</f>
        <v>31500</v>
      </c>
      <c r="E154" s="75">
        <f>SUM(E3:E153)</f>
        <v>3149.9999999999991</v>
      </c>
      <c r="F154" s="75">
        <f>SUM(F3:F153)</f>
        <v>34650</v>
      </c>
      <c r="G154" s="75">
        <f>SUM(G3:G153)</f>
        <v>7850</v>
      </c>
      <c r="H154" s="75">
        <f>SUM(H3:H153)</f>
        <v>26800</v>
      </c>
    </row>
    <row r="155" spans="1:15" x14ac:dyDescent="0.25">
      <c r="D155" t="s">
        <v>2459</v>
      </c>
      <c r="E155" t="s">
        <v>408</v>
      </c>
      <c r="F155" t="s">
        <v>11</v>
      </c>
      <c r="G155" t="s">
        <v>2461</v>
      </c>
      <c r="H155" t="s">
        <v>42</v>
      </c>
    </row>
  </sheetData>
  <mergeCells count="15">
    <mergeCell ref="N1:N2"/>
    <mergeCell ref="O1:O2"/>
    <mergeCell ref="A154:C154"/>
    <mergeCell ref="G1:H1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D486-E9D6-49E2-BD69-656AC0A4643A}">
  <dimension ref="A1:O120"/>
  <sheetViews>
    <sheetView topLeftCell="A81" workbookViewId="0">
      <selection activeCell="F92" sqref="F92"/>
    </sheetView>
  </sheetViews>
  <sheetFormatPr baseColWidth="10" defaultRowHeight="15" x14ac:dyDescent="0.25"/>
  <cols>
    <col min="2" max="2" width="30.42578125" customWidth="1"/>
    <col min="3" max="3" width="39.28515625" customWidth="1"/>
    <col min="4" max="4" width="16.140625" customWidth="1"/>
    <col min="5" max="5" width="37.5703125" customWidth="1"/>
  </cols>
  <sheetData>
    <row r="1" spans="1:12" x14ac:dyDescent="0.25">
      <c r="A1" t="s">
        <v>0</v>
      </c>
      <c r="B1" s="1">
        <v>45566</v>
      </c>
    </row>
    <row r="3" spans="1:12" ht="30" x14ac:dyDescent="0.2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2" x14ac:dyDescent="0.25">
      <c r="A4" s="208">
        <v>45566</v>
      </c>
      <c r="B4" s="209" t="s">
        <v>3668</v>
      </c>
      <c r="C4" s="230" t="s">
        <v>12</v>
      </c>
      <c r="D4" s="210" t="s">
        <v>13</v>
      </c>
      <c r="E4" s="211" t="s">
        <v>14</v>
      </c>
      <c r="F4" s="212">
        <v>1650</v>
      </c>
      <c r="G4" s="212"/>
      <c r="H4" s="212"/>
      <c r="I4" s="9">
        <f>G4+H4</f>
        <v>0</v>
      </c>
      <c r="J4" s="17"/>
      <c r="K4" s="9">
        <f>F4+I4-J4</f>
        <v>1650</v>
      </c>
      <c r="L4" t="s">
        <v>41</v>
      </c>
    </row>
    <row r="5" spans="1:12" x14ac:dyDescent="0.25">
      <c r="A5" s="252">
        <v>45567</v>
      </c>
      <c r="B5" s="12" t="s">
        <v>3669</v>
      </c>
      <c r="C5" s="110" t="s">
        <v>527</v>
      </c>
      <c r="D5" s="108" t="s">
        <v>20</v>
      </c>
      <c r="E5" s="110" t="s">
        <v>17</v>
      </c>
      <c r="F5" s="97">
        <v>24.97</v>
      </c>
      <c r="G5" s="97">
        <v>5.24</v>
      </c>
      <c r="H5" s="97"/>
      <c r="I5" s="9">
        <f t="shared" ref="I5:I68" si="0">G5+H5</f>
        <v>5.24</v>
      </c>
      <c r="J5" s="97"/>
      <c r="K5" s="9">
        <f t="shared" ref="K5:K104" si="1">F5+I5-J5</f>
        <v>30.21</v>
      </c>
      <c r="L5" t="s">
        <v>42</v>
      </c>
    </row>
    <row r="6" spans="1:12" ht="14.25" customHeight="1" x14ac:dyDescent="0.25">
      <c r="A6" s="214">
        <v>45569</v>
      </c>
      <c r="B6" s="216" t="s">
        <v>3670</v>
      </c>
      <c r="C6" s="110" t="s">
        <v>527</v>
      </c>
      <c r="D6" s="108" t="s">
        <v>20</v>
      </c>
      <c r="E6" s="14" t="s">
        <v>17</v>
      </c>
      <c r="F6" s="253">
        <v>125.07</v>
      </c>
      <c r="G6" s="253">
        <v>26.26</v>
      </c>
      <c r="H6" s="214"/>
      <c r="I6" s="9">
        <f t="shared" si="0"/>
        <v>26.26</v>
      </c>
      <c r="J6" s="97"/>
      <c r="K6" s="9">
        <f t="shared" si="1"/>
        <v>151.32999999999998</v>
      </c>
      <c r="L6" t="s">
        <v>267</v>
      </c>
    </row>
    <row r="7" spans="1:12" x14ac:dyDescent="0.25">
      <c r="A7" s="214">
        <v>45570</v>
      </c>
      <c r="B7" s="214" t="s">
        <v>3671</v>
      </c>
      <c r="C7" s="231" t="s">
        <v>3171</v>
      </c>
      <c r="D7" s="214" t="s">
        <v>16</v>
      </c>
      <c r="E7" s="214" t="s">
        <v>17</v>
      </c>
      <c r="F7" s="253">
        <v>45.45</v>
      </c>
      <c r="G7" s="253">
        <v>9.5500000000000007</v>
      </c>
      <c r="H7" s="214"/>
      <c r="I7" s="9">
        <f t="shared" si="0"/>
        <v>9.5500000000000007</v>
      </c>
      <c r="J7" s="97"/>
      <c r="K7" s="9">
        <f t="shared" si="1"/>
        <v>55</v>
      </c>
      <c r="L7" t="s">
        <v>42</v>
      </c>
    </row>
    <row r="8" spans="1:12" x14ac:dyDescent="0.25">
      <c r="A8" s="214">
        <v>45566</v>
      </c>
      <c r="B8" s="214" t="s">
        <v>3703</v>
      </c>
      <c r="C8" s="231" t="s">
        <v>3427</v>
      </c>
      <c r="D8" s="214" t="s">
        <v>24</v>
      </c>
      <c r="E8" s="214" t="s">
        <v>25</v>
      </c>
      <c r="F8" s="253">
        <v>30.54</v>
      </c>
      <c r="G8" s="253">
        <v>3.05</v>
      </c>
      <c r="H8" s="253"/>
      <c r="I8" s="9">
        <f t="shared" si="0"/>
        <v>3.05</v>
      </c>
      <c r="J8" s="50"/>
      <c r="K8" s="9">
        <f t="shared" si="1"/>
        <v>33.589999999999996</v>
      </c>
      <c r="L8" t="s">
        <v>42</v>
      </c>
    </row>
    <row r="9" spans="1:12" x14ac:dyDescent="0.25">
      <c r="A9" s="214">
        <v>45569</v>
      </c>
      <c r="B9" s="214" t="s">
        <v>3704</v>
      </c>
      <c r="C9" s="214" t="s">
        <v>711</v>
      </c>
      <c r="D9" s="214" t="s">
        <v>712</v>
      </c>
      <c r="E9" s="214" t="s">
        <v>560</v>
      </c>
      <c r="F9" s="253">
        <v>29.75</v>
      </c>
      <c r="G9" s="253">
        <v>6.25</v>
      </c>
      <c r="H9" s="214"/>
      <c r="I9" s="9">
        <f t="shared" si="0"/>
        <v>6.25</v>
      </c>
      <c r="J9" s="50"/>
      <c r="K9" s="9">
        <f t="shared" si="1"/>
        <v>36</v>
      </c>
      <c r="L9" t="s">
        <v>267</v>
      </c>
    </row>
    <row r="10" spans="1:12" x14ac:dyDescent="0.25">
      <c r="A10" s="214">
        <v>45573</v>
      </c>
      <c r="B10" s="214" t="s">
        <v>3705</v>
      </c>
      <c r="C10" s="214" t="s">
        <v>3427</v>
      </c>
      <c r="D10" s="214" t="s">
        <v>24</v>
      </c>
      <c r="E10" s="214" t="s">
        <v>25</v>
      </c>
      <c r="F10" s="253">
        <v>22.91</v>
      </c>
      <c r="G10" s="253">
        <v>2.29</v>
      </c>
      <c r="H10" s="216"/>
      <c r="I10" s="9">
        <f t="shared" si="0"/>
        <v>2.29</v>
      </c>
      <c r="J10" s="50"/>
      <c r="K10" s="9">
        <f t="shared" si="1"/>
        <v>25.2</v>
      </c>
      <c r="L10" t="s">
        <v>42</v>
      </c>
    </row>
    <row r="11" spans="1:12" x14ac:dyDescent="0.25">
      <c r="A11" s="214">
        <v>45573</v>
      </c>
      <c r="B11" s="216">
        <v>153341</v>
      </c>
      <c r="C11" s="231" t="s">
        <v>1436</v>
      </c>
      <c r="D11" s="214" t="s">
        <v>280</v>
      </c>
      <c r="E11" s="214" t="s">
        <v>281</v>
      </c>
      <c r="F11" s="253">
        <v>27.48</v>
      </c>
      <c r="G11" s="253">
        <v>5.77</v>
      </c>
      <c r="H11" s="214"/>
      <c r="I11" s="9">
        <f t="shared" si="0"/>
        <v>5.77</v>
      </c>
      <c r="J11" s="50"/>
      <c r="K11" s="9">
        <f t="shared" si="1"/>
        <v>33.25</v>
      </c>
      <c r="L11" t="s">
        <v>42</v>
      </c>
    </row>
    <row r="12" spans="1:12" x14ac:dyDescent="0.25">
      <c r="A12" s="214">
        <v>45574</v>
      </c>
      <c r="B12" s="216">
        <v>24012755</v>
      </c>
      <c r="C12" s="231" t="s">
        <v>527</v>
      </c>
      <c r="D12" s="214" t="s">
        <v>20</v>
      </c>
      <c r="E12" s="214" t="s">
        <v>17</v>
      </c>
      <c r="F12" s="253">
        <v>16.53</v>
      </c>
      <c r="G12" s="253">
        <v>3.47</v>
      </c>
      <c r="H12" s="214"/>
      <c r="I12" s="9">
        <f t="shared" si="0"/>
        <v>3.47</v>
      </c>
      <c r="J12" s="50"/>
      <c r="K12" s="9">
        <f t="shared" si="1"/>
        <v>20</v>
      </c>
      <c r="L12" t="s">
        <v>42</v>
      </c>
    </row>
    <row r="13" spans="1:12" x14ac:dyDescent="0.25">
      <c r="A13" s="268">
        <v>45560</v>
      </c>
      <c r="B13" s="269" t="s">
        <v>3763</v>
      </c>
      <c r="C13" s="270" t="s">
        <v>400</v>
      </c>
      <c r="D13" s="268" t="s">
        <v>401</v>
      </c>
      <c r="E13" s="268" t="s">
        <v>578</v>
      </c>
      <c r="F13" s="271">
        <v>97.52</v>
      </c>
      <c r="G13" s="271">
        <v>20.48</v>
      </c>
      <c r="H13" s="268"/>
      <c r="I13" s="272">
        <f t="shared" si="0"/>
        <v>20.48</v>
      </c>
      <c r="J13" s="273"/>
      <c r="K13" s="272">
        <f t="shared" si="1"/>
        <v>118</v>
      </c>
      <c r="L13" t="s">
        <v>267</v>
      </c>
    </row>
    <row r="14" spans="1:12" x14ac:dyDescent="0.25">
      <c r="A14" s="214">
        <v>45575</v>
      </c>
      <c r="B14" s="216" t="s">
        <v>3764</v>
      </c>
      <c r="C14" s="231" t="s">
        <v>3765</v>
      </c>
      <c r="D14" s="214" t="s">
        <v>1870</v>
      </c>
      <c r="E14" s="214" t="s">
        <v>578</v>
      </c>
      <c r="F14" s="253">
        <v>10.52</v>
      </c>
      <c r="G14" s="253">
        <v>2.21</v>
      </c>
      <c r="H14" s="214"/>
      <c r="I14" s="9">
        <f t="shared" si="0"/>
        <v>2.21</v>
      </c>
      <c r="J14" s="50"/>
      <c r="K14" s="9">
        <f t="shared" si="1"/>
        <v>12.73</v>
      </c>
      <c r="L14" t="s">
        <v>42</v>
      </c>
    </row>
    <row r="15" spans="1:12" x14ac:dyDescent="0.25">
      <c r="A15" s="214">
        <v>45575</v>
      </c>
      <c r="B15" s="216" t="s">
        <v>3766</v>
      </c>
      <c r="C15" s="231" t="s">
        <v>397</v>
      </c>
      <c r="D15" s="214" t="s">
        <v>21</v>
      </c>
      <c r="E15" s="214" t="s">
        <v>266</v>
      </c>
      <c r="F15" s="253">
        <v>194.86</v>
      </c>
      <c r="G15" s="253">
        <v>40.92</v>
      </c>
      <c r="H15" s="214"/>
      <c r="I15" s="9">
        <f t="shared" si="0"/>
        <v>40.92</v>
      </c>
      <c r="J15" s="50"/>
      <c r="K15" s="9">
        <f t="shared" si="1"/>
        <v>235.78000000000003</v>
      </c>
      <c r="L15" t="s">
        <v>267</v>
      </c>
    </row>
    <row r="16" spans="1:12" x14ac:dyDescent="0.25">
      <c r="A16" s="214">
        <v>45575</v>
      </c>
      <c r="B16" s="216" t="s">
        <v>3767</v>
      </c>
      <c r="C16" s="214" t="s">
        <v>3690</v>
      </c>
      <c r="D16" s="214" t="s">
        <v>3691</v>
      </c>
      <c r="E16" s="214" t="s">
        <v>281</v>
      </c>
      <c r="F16" s="253">
        <v>14.88</v>
      </c>
      <c r="G16" s="253">
        <v>3.12</v>
      </c>
      <c r="H16" s="214"/>
      <c r="I16" s="9">
        <f t="shared" si="0"/>
        <v>3.12</v>
      </c>
      <c r="J16" s="50"/>
      <c r="K16" s="9">
        <f t="shared" si="1"/>
        <v>18</v>
      </c>
      <c r="L16" t="s">
        <v>42</v>
      </c>
    </row>
    <row r="17" spans="1:12" x14ac:dyDescent="0.25">
      <c r="A17" s="214">
        <v>45576</v>
      </c>
      <c r="B17" s="216" t="s">
        <v>3768</v>
      </c>
      <c r="C17" s="214" t="s">
        <v>3769</v>
      </c>
      <c r="D17" s="214" t="s">
        <v>1434</v>
      </c>
      <c r="E17" s="214" t="s">
        <v>17</v>
      </c>
      <c r="F17" s="253">
        <v>57.85</v>
      </c>
      <c r="G17" s="253">
        <v>12.15</v>
      </c>
      <c r="H17" s="253"/>
      <c r="I17" s="9">
        <f t="shared" si="0"/>
        <v>12.15</v>
      </c>
      <c r="J17" s="50"/>
      <c r="K17" s="9">
        <f t="shared" si="1"/>
        <v>70</v>
      </c>
      <c r="L17" t="s">
        <v>42</v>
      </c>
    </row>
    <row r="18" spans="1:12" x14ac:dyDescent="0.25">
      <c r="A18" s="214">
        <v>45576</v>
      </c>
      <c r="B18" s="216" t="s">
        <v>3770</v>
      </c>
      <c r="C18" s="214" t="s">
        <v>400</v>
      </c>
      <c r="D18" s="214" t="s">
        <v>401</v>
      </c>
      <c r="E18" s="214" t="s">
        <v>578</v>
      </c>
      <c r="F18" s="253">
        <v>27.6</v>
      </c>
      <c r="G18" s="253">
        <v>5.8</v>
      </c>
      <c r="H18" s="253"/>
      <c r="I18" s="9">
        <f t="shared" si="0"/>
        <v>5.8</v>
      </c>
      <c r="J18" s="50"/>
      <c r="K18" s="9">
        <f t="shared" si="1"/>
        <v>33.4</v>
      </c>
      <c r="L18" t="s">
        <v>267</v>
      </c>
    </row>
    <row r="19" spans="1:12" x14ac:dyDescent="0.25">
      <c r="A19" s="214">
        <v>45576</v>
      </c>
      <c r="B19" s="216" t="s">
        <v>3771</v>
      </c>
      <c r="C19" s="214" t="s">
        <v>731</v>
      </c>
      <c r="D19" s="214" t="s">
        <v>323</v>
      </c>
      <c r="E19" s="214" t="s">
        <v>17</v>
      </c>
      <c r="F19" s="253">
        <v>41.32</v>
      </c>
      <c r="G19" s="253">
        <v>8.68</v>
      </c>
      <c r="H19" s="253"/>
      <c r="I19" s="9">
        <f t="shared" si="0"/>
        <v>8.68</v>
      </c>
      <c r="J19" s="50"/>
      <c r="K19" s="9">
        <f t="shared" si="1"/>
        <v>50</v>
      </c>
      <c r="L19" t="s">
        <v>3774</v>
      </c>
    </row>
    <row r="20" spans="1:12" x14ac:dyDescent="0.25">
      <c r="A20" s="214">
        <v>45576</v>
      </c>
      <c r="B20" s="216" t="s">
        <v>3772</v>
      </c>
      <c r="C20" s="214" t="s">
        <v>2929</v>
      </c>
      <c r="D20" s="214" t="s">
        <v>3773</v>
      </c>
      <c r="E20" s="214" t="s">
        <v>1476</v>
      </c>
      <c r="F20" s="253">
        <v>91.45</v>
      </c>
      <c r="G20" s="253">
        <v>19.2</v>
      </c>
      <c r="H20" s="253"/>
      <c r="I20" s="9">
        <f t="shared" si="0"/>
        <v>19.2</v>
      </c>
      <c r="J20" s="50"/>
      <c r="K20" s="9">
        <f t="shared" si="1"/>
        <v>110.65</v>
      </c>
      <c r="L20" t="s">
        <v>267</v>
      </c>
    </row>
    <row r="21" spans="1:12" x14ac:dyDescent="0.25">
      <c r="A21" s="214">
        <v>45576</v>
      </c>
      <c r="B21" s="216" t="s">
        <v>3775</v>
      </c>
      <c r="C21" s="214" t="s">
        <v>3776</v>
      </c>
      <c r="D21" s="214" t="s">
        <v>3777</v>
      </c>
      <c r="E21" s="214" t="s">
        <v>578</v>
      </c>
      <c r="F21" s="253">
        <v>5.37</v>
      </c>
      <c r="G21" s="253">
        <v>1.1299999999999999</v>
      </c>
      <c r="H21" s="253"/>
      <c r="I21" s="9">
        <f t="shared" si="0"/>
        <v>1.1299999999999999</v>
      </c>
      <c r="J21" s="50"/>
      <c r="K21" s="9">
        <f t="shared" si="1"/>
        <v>6.5</v>
      </c>
      <c r="L21" t="s">
        <v>42</v>
      </c>
    </row>
    <row r="22" spans="1:12" x14ac:dyDescent="0.25">
      <c r="A22" s="214">
        <v>45577</v>
      </c>
      <c r="B22" s="216" t="s">
        <v>3778</v>
      </c>
      <c r="C22" s="231" t="s">
        <v>3171</v>
      </c>
      <c r="D22" s="214" t="s">
        <v>16</v>
      </c>
      <c r="E22" s="214" t="s">
        <v>17</v>
      </c>
      <c r="F22" s="253">
        <v>66.12</v>
      </c>
      <c r="G22" s="253">
        <v>13.89</v>
      </c>
      <c r="H22" s="253"/>
      <c r="I22" s="9">
        <f t="shared" si="0"/>
        <v>13.89</v>
      </c>
      <c r="J22" s="50"/>
      <c r="K22" s="9">
        <f t="shared" si="1"/>
        <v>80.010000000000005</v>
      </c>
      <c r="L22" t="s">
        <v>42</v>
      </c>
    </row>
    <row r="23" spans="1:12" x14ac:dyDescent="0.25">
      <c r="A23" s="214">
        <v>45578</v>
      </c>
      <c r="B23" s="216" t="s">
        <v>3779</v>
      </c>
      <c r="C23" s="231" t="s">
        <v>3171</v>
      </c>
      <c r="D23" s="214" t="s">
        <v>16</v>
      </c>
      <c r="E23" s="214" t="s">
        <v>17</v>
      </c>
      <c r="F23" s="253">
        <v>90.08</v>
      </c>
      <c r="G23" s="253">
        <v>18.920000000000002</v>
      </c>
      <c r="H23" s="253"/>
      <c r="I23" s="9">
        <f t="shared" si="0"/>
        <v>18.920000000000002</v>
      </c>
      <c r="J23" s="50"/>
      <c r="K23" s="9">
        <f t="shared" si="1"/>
        <v>109</v>
      </c>
      <c r="L23" t="s">
        <v>42</v>
      </c>
    </row>
    <row r="24" spans="1:12" x14ac:dyDescent="0.25">
      <c r="A24" s="214">
        <v>45578</v>
      </c>
      <c r="B24" s="216" t="s">
        <v>3780</v>
      </c>
      <c r="C24" s="231" t="s">
        <v>1436</v>
      </c>
      <c r="D24" s="214" t="s">
        <v>280</v>
      </c>
      <c r="E24" s="214" t="s">
        <v>281</v>
      </c>
      <c r="F24" s="253">
        <v>18.39</v>
      </c>
      <c r="G24" s="253">
        <v>3.86</v>
      </c>
      <c r="H24" s="253"/>
      <c r="I24" s="9">
        <f t="shared" si="0"/>
        <v>3.86</v>
      </c>
      <c r="J24" s="50"/>
      <c r="K24" s="9">
        <f t="shared" si="1"/>
        <v>22.25</v>
      </c>
      <c r="L24" t="s">
        <v>42</v>
      </c>
    </row>
    <row r="25" spans="1:12" x14ac:dyDescent="0.25">
      <c r="A25" s="214">
        <v>45578</v>
      </c>
      <c r="B25" s="216" t="s">
        <v>3781</v>
      </c>
      <c r="C25" s="110" t="s">
        <v>1436</v>
      </c>
      <c r="D25" s="14" t="s">
        <v>280</v>
      </c>
      <c r="E25" s="14" t="s">
        <v>281</v>
      </c>
      <c r="F25" s="253">
        <v>11.61</v>
      </c>
      <c r="G25" s="253">
        <v>2.44</v>
      </c>
      <c r="H25" s="253"/>
      <c r="I25" s="9">
        <f t="shared" si="0"/>
        <v>2.44</v>
      </c>
      <c r="J25" s="50"/>
      <c r="K25" s="9">
        <f t="shared" si="1"/>
        <v>14.049999999999999</v>
      </c>
      <c r="L25" t="s">
        <v>42</v>
      </c>
    </row>
    <row r="26" spans="1:12" x14ac:dyDescent="0.25">
      <c r="A26" s="214">
        <v>45580</v>
      </c>
      <c r="B26" s="216" t="s">
        <v>3782</v>
      </c>
      <c r="C26" s="110" t="s">
        <v>3783</v>
      </c>
      <c r="D26" s="108" t="s">
        <v>2124</v>
      </c>
      <c r="E26" s="14" t="s">
        <v>578</v>
      </c>
      <c r="F26" s="253">
        <v>70</v>
      </c>
      <c r="G26" s="253">
        <v>14.7</v>
      </c>
      <c r="H26" s="253"/>
      <c r="I26" s="9">
        <f t="shared" si="0"/>
        <v>14.7</v>
      </c>
      <c r="J26" s="50"/>
      <c r="K26" s="9">
        <f t="shared" si="1"/>
        <v>84.7</v>
      </c>
      <c r="L26" t="s">
        <v>267</v>
      </c>
    </row>
    <row r="27" spans="1:12" x14ac:dyDescent="0.25">
      <c r="A27" s="214">
        <v>45580</v>
      </c>
      <c r="B27" s="216" t="s">
        <v>3784</v>
      </c>
      <c r="C27" s="109" t="s">
        <v>3427</v>
      </c>
      <c r="D27" s="108" t="s">
        <v>24</v>
      </c>
      <c r="E27" s="110" t="s">
        <v>3785</v>
      </c>
      <c r="F27" s="253">
        <v>30.54</v>
      </c>
      <c r="G27" s="253"/>
      <c r="H27" s="253">
        <v>3.05</v>
      </c>
      <c r="I27" s="9">
        <f t="shared" si="0"/>
        <v>3.05</v>
      </c>
      <c r="J27" s="50"/>
      <c r="K27" s="9">
        <f t="shared" si="1"/>
        <v>33.589999999999996</v>
      </c>
      <c r="L27" t="s">
        <v>42</v>
      </c>
    </row>
    <row r="28" spans="1:12" x14ac:dyDescent="0.25">
      <c r="A28" s="214">
        <v>45579</v>
      </c>
      <c r="B28" s="216" t="s">
        <v>3786</v>
      </c>
      <c r="C28" s="109" t="s">
        <v>1426</v>
      </c>
      <c r="D28" s="108" t="s">
        <v>581</v>
      </c>
      <c r="E28" s="110" t="s">
        <v>578</v>
      </c>
      <c r="F28" s="253">
        <v>85.08</v>
      </c>
      <c r="G28" s="253">
        <v>17.87</v>
      </c>
      <c r="H28" s="253"/>
      <c r="I28" s="9">
        <f t="shared" si="0"/>
        <v>17.87</v>
      </c>
      <c r="J28" s="50"/>
      <c r="K28" s="9">
        <f t="shared" si="1"/>
        <v>102.95</v>
      </c>
      <c r="L28" t="s">
        <v>267</v>
      </c>
    </row>
    <row r="29" spans="1:12" x14ac:dyDescent="0.25">
      <c r="A29" s="214">
        <v>45583</v>
      </c>
      <c r="B29" s="216" t="s">
        <v>3787</v>
      </c>
      <c r="C29" s="231" t="s">
        <v>3783</v>
      </c>
      <c r="D29" s="214" t="s">
        <v>2124</v>
      </c>
      <c r="E29" s="214" t="s">
        <v>578</v>
      </c>
      <c r="F29" s="253">
        <v>70</v>
      </c>
      <c r="G29" s="253">
        <v>14.7</v>
      </c>
      <c r="H29" s="253"/>
      <c r="I29" s="9">
        <f t="shared" si="0"/>
        <v>14.7</v>
      </c>
      <c r="J29" s="50"/>
      <c r="K29" s="9">
        <f t="shared" si="1"/>
        <v>84.7</v>
      </c>
      <c r="L29" t="s">
        <v>267</v>
      </c>
    </row>
    <row r="30" spans="1:12" x14ac:dyDescent="0.25">
      <c r="A30" s="214" t="s">
        <v>3788</v>
      </c>
      <c r="B30" s="216" t="s">
        <v>3789</v>
      </c>
      <c r="C30" s="109" t="s">
        <v>3152</v>
      </c>
      <c r="D30" s="108" t="s">
        <v>271</v>
      </c>
      <c r="E30" s="110" t="s">
        <v>17</v>
      </c>
      <c r="F30" s="253">
        <v>59.59</v>
      </c>
      <c r="G30" s="253">
        <v>12.51</v>
      </c>
      <c r="H30" s="253"/>
      <c r="I30" s="9">
        <f t="shared" si="0"/>
        <v>12.51</v>
      </c>
      <c r="J30" s="50"/>
      <c r="K30" s="9">
        <f t="shared" si="1"/>
        <v>72.100000000000009</v>
      </c>
      <c r="L30" t="s">
        <v>267</v>
      </c>
    </row>
    <row r="31" spans="1:12" x14ac:dyDescent="0.25">
      <c r="A31" s="214">
        <v>45576</v>
      </c>
      <c r="B31" s="216" t="s">
        <v>3790</v>
      </c>
      <c r="C31" s="231" t="s">
        <v>711</v>
      </c>
      <c r="D31" s="214" t="s">
        <v>712</v>
      </c>
      <c r="E31" s="214" t="s">
        <v>560</v>
      </c>
      <c r="F31" s="253">
        <v>71.16</v>
      </c>
      <c r="G31" s="253">
        <v>14.94</v>
      </c>
      <c r="H31" s="253"/>
      <c r="I31" s="9">
        <f t="shared" si="0"/>
        <v>14.94</v>
      </c>
      <c r="J31" s="50"/>
      <c r="K31" s="9">
        <f t="shared" si="1"/>
        <v>86.1</v>
      </c>
      <c r="L31" t="s">
        <v>41</v>
      </c>
    </row>
    <row r="32" spans="1:12" x14ac:dyDescent="0.25">
      <c r="A32" s="214">
        <v>45583</v>
      </c>
      <c r="B32" s="216" t="s">
        <v>3791</v>
      </c>
      <c r="C32" s="231" t="s">
        <v>711</v>
      </c>
      <c r="D32" s="214" t="s">
        <v>712</v>
      </c>
      <c r="E32" s="214" t="s">
        <v>560</v>
      </c>
      <c r="F32" s="253">
        <v>63.72</v>
      </c>
      <c r="G32" s="253">
        <v>13.38</v>
      </c>
      <c r="H32" s="253"/>
      <c r="I32" s="9">
        <f t="shared" si="0"/>
        <v>13.38</v>
      </c>
      <c r="J32" s="97"/>
      <c r="K32" s="9">
        <f t="shared" si="1"/>
        <v>77.099999999999994</v>
      </c>
      <c r="L32" t="s">
        <v>41</v>
      </c>
    </row>
    <row r="33" spans="1:13" x14ac:dyDescent="0.25">
      <c r="A33" s="214">
        <v>45584</v>
      </c>
      <c r="B33" s="216" t="s">
        <v>3792</v>
      </c>
      <c r="C33" s="231" t="s">
        <v>3171</v>
      </c>
      <c r="D33" s="214" t="s">
        <v>16</v>
      </c>
      <c r="E33" s="214" t="s">
        <v>17</v>
      </c>
      <c r="F33" s="253">
        <v>39.619999999999997</v>
      </c>
      <c r="G33" s="253">
        <v>8.32</v>
      </c>
      <c r="H33" s="253"/>
      <c r="I33" s="9">
        <f t="shared" si="0"/>
        <v>8.32</v>
      </c>
      <c r="J33" s="50"/>
      <c r="K33" s="9">
        <f t="shared" si="1"/>
        <v>47.94</v>
      </c>
      <c r="L33" t="s">
        <v>42</v>
      </c>
    </row>
    <row r="34" spans="1:13" x14ac:dyDescent="0.25">
      <c r="A34" s="214">
        <v>45586</v>
      </c>
      <c r="B34" s="216" t="s">
        <v>3868</v>
      </c>
      <c r="C34" s="231" t="s">
        <v>3869</v>
      </c>
      <c r="D34" s="216">
        <v>2800019406</v>
      </c>
      <c r="E34" s="214" t="s">
        <v>578</v>
      </c>
      <c r="F34" s="253">
        <v>54.55</v>
      </c>
      <c r="G34" s="253">
        <v>11.46</v>
      </c>
      <c r="H34" s="253"/>
      <c r="I34" s="9">
        <f t="shared" si="0"/>
        <v>11.46</v>
      </c>
      <c r="J34" s="50"/>
      <c r="K34" s="9">
        <f t="shared" si="1"/>
        <v>66.009999999999991</v>
      </c>
      <c r="L34" t="s">
        <v>267</v>
      </c>
      <c r="M34" t="s">
        <v>3870</v>
      </c>
    </row>
    <row r="35" spans="1:13" x14ac:dyDescent="0.25">
      <c r="A35" s="214">
        <v>45587</v>
      </c>
      <c r="B35" s="216" t="s">
        <v>3871</v>
      </c>
      <c r="C35" s="231" t="s">
        <v>1956</v>
      </c>
      <c r="D35" s="214" t="s">
        <v>271</v>
      </c>
      <c r="E35" s="214" t="s">
        <v>17</v>
      </c>
      <c r="F35" s="200">
        <v>64.44</v>
      </c>
      <c r="G35" s="200">
        <v>13.53</v>
      </c>
      <c r="H35" s="200"/>
      <c r="I35" s="251">
        <f t="shared" si="0"/>
        <v>13.53</v>
      </c>
      <c r="J35" s="91"/>
      <c r="K35" s="9">
        <f t="shared" si="1"/>
        <v>77.97</v>
      </c>
      <c r="L35" t="s">
        <v>267</v>
      </c>
    </row>
    <row r="36" spans="1:13" x14ac:dyDescent="0.25">
      <c r="A36" s="381">
        <v>45587</v>
      </c>
      <c r="B36" s="392" t="s">
        <v>3872</v>
      </c>
      <c r="C36" s="381" t="s">
        <v>3176</v>
      </c>
      <c r="D36" s="381" t="s">
        <v>23</v>
      </c>
      <c r="E36" s="386" t="s">
        <v>281</v>
      </c>
      <c r="F36" s="278">
        <v>0.5</v>
      </c>
      <c r="G36" s="279">
        <v>0.1</v>
      </c>
      <c r="H36" s="279">
        <v>0.1</v>
      </c>
      <c r="I36" s="333">
        <f>H36+H37+H38+H39</f>
        <v>20.980000000000004</v>
      </c>
      <c r="J36" s="91"/>
      <c r="K36" s="333">
        <f>F36+F37+F38+F39+I36</f>
        <v>256.46000000000004</v>
      </c>
    </row>
    <row r="37" spans="1:13" x14ac:dyDescent="0.25">
      <c r="A37" s="382"/>
      <c r="B37" s="396"/>
      <c r="C37" s="382"/>
      <c r="D37" s="382"/>
      <c r="E37" s="390"/>
      <c r="F37" s="280">
        <v>196.58</v>
      </c>
      <c r="G37" s="277"/>
      <c r="H37" s="277">
        <v>19.66</v>
      </c>
      <c r="I37" s="376"/>
      <c r="J37" s="284"/>
      <c r="K37" s="376"/>
      <c r="L37" t="s">
        <v>42</v>
      </c>
    </row>
    <row r="38" spans="1:13" x14ac:dyDescent="0.25">
      <c r="A38" s="382"/>
      <c r="B38" s="396"/>
      <c r="C38" s="382"/>
      <c r="D38" s="382"/>
      <c r="E38" s="390"/>
      <c r="F38" s="280">
        <v>8.3000000000000007</v>
      </c>
      <c r="G38" s="277"/>
      <c r="H38" s="277">
        <v>0.62</v>
      </c>
      <c r="I38" s="376"/>
      <c r="J38" s="284"/>
      <c r="K38" s="376"/>
      <c r="M38" s="274">
        <v>7.4999999999999997E-2</v>
      </c>
    </row>
    <row r="39" spans="1:13" x14ac:dyDescent="0.25">
      <c r="A39" s="383"/>
      <c r="B39" s="393"/>
      <c r="C39" s="383"/>
      <c r="D39" s="383"/>
      <c r="E39" s="387"/>
      <c r="F39" s="281">
        <v>30.1</v>
      </c>
      <c r="G39" s="282"/>
      <c r="H39" s="282">
        <v>0.6</v>
      </c>
      <c r="I39" s="334"/>
      <c r="J39" s="283"/>
      <c r="K39" s="334"/>
      <c r="M39" s="275">
        <v>0.02</v>
      </c>
    </row>
    <row r="40" spans="1:13" x14ac:dyDescent="0.25">
      <c r="A40" s="214">
        <v>45578</v>
      </c>
      <c r="B40" s="216" t="s">
        <v>3897</v>
      </c>
      <c r="C40" s="231" t="s">
        <v>3171</v>
      </c>
      <c r="D40" s="214" t="s">
        <v>16</v>
      </c>
      <c r="E40" s="214" t="s">
        <v>17</v>
      </c>
      <c r="F40" s="276">
        <v>90.91</v>
      </c>
      <c r="G40" s="276">
        <v>19.09</v>
      </c>
      <c r="H40" s="276"/>
      <c r="I40" s="256">
        <f t="shared" si="0"/>
        <v>19.09</v>
      </c>
      <c r="J40" s="283"/>
      <c r="K40" s="9">
        <f t="shared" si="1"/>
        <v>110</v>
      </c>
      <c r="L40" t="s">
        <v>42</v>
      </c>
    </row>
    <row r="41" spans="1:13" x14ac:dyDescent="0.25">
      <c r="A41" s="214">
        <v>45582</v>
      </c>
      <c r="B41" s="216" t="s">
        <v>3898</v>
      </c>
      <c r="C41" s="214" t="s">
        <v>527</v>
      </c>
      <c r="D41" s="214" t="s">
        <v>20</v>
      </c>
      <c r="E41" s="214" t="s">
        <v>17</v>
      </c>
      <c r="F41" s="253">
        <v>16.53</v>
      </c>
      <c r="G41" s="253">
        <v>3.47</v>
      </c>
      <c r="H41" s="253"/>
      <c r="I41" s="9">
        <f t="shared" si="0"/>
        <v>3.47</v>
      </c>
      <c r="J41" s="50"/>
      <c r="K41" s="9">
        <f t="shared" si="1"/>
        <v>20</v>
      </c>
      <c r="L41" t="s">
        <v>42</v>
      </c>
    </row>
    <row r="42" spans="1:13" x14ac:dyDescent="0.25">
      <c r="A42" s="214">
        <v>45583</v>
      </c>
      <c r="B42" s="216" t="s">
        <v>3899</v>
      </c>
      <c r="C42" s="214" t="s">
        <v>3152</v>
      </c>
      <c r="D42" s="214" t="s">
        <v>271</v>
      </c>
      <c r="E42" s="214" t="s">
        <v>17</v>
      </c>
      <c r="F42" s="253">
        <v>54.71</v>
      </c>
      <c r="G42" s="253">
        <v>11.49</v>
      </c>
      <c r="H42" s="253"/>
      <c r="I42" s="9">
        <f t="shared" si="0"/>
        <v>11.49</v>
      </c>
      <c r="J42" s="50"/>
      <c r="K42" s="9">
        <f t="shared" si="1"/>
        <v>66.2</v>
      </c>
      <c r="L42" t="s">
        <v>267</v>
      </c>
    </row>
    <row r="43" spans="1:13" x14ac:dyDescent="0.25">
      <c r="A43" s="214">
        <v>45585</v>
      </c>
      <c r="B43" s="216" t="s">
        <v>3900</v>
      </c>
      <c r="C43" s="231" t="s">
        <v>3171</v>
      </c>
      <c r="D43" s="214" t="s">
        <v>16</v>
      </c>
      <c r="E43" s="214" t="s">
        <v>17</v>
      </c>
      <c r="F43" s="253">
        <v>47.11</v>
      </c>
      <c r="G43" s="253">
        <v>9.89</v>
      </c>
      <c r="H43" s="253"/>
      <c r="I43" s="9">
        <f t="shared" si="0"/>
        <v>9.89</v>
      </c>
      <c r="J43" s="50"/>
      <c r="K43" s="9">
        <f t="shared" si="1"/>
        <v>57</v>
      </c>
      <c r="L43" t="s">
        <v>42</v>
      </c>
    </row>
    <row r="44" spans="1:13" x14ac:dyDescent="0.25">
      <c r="A44" s="214">
        <v>45586</v>
      </c>
      <c r="B44" s="216" t="s">
        <v>3901</v>
      </c>
      <c r="C44" s="231" t="s">
        <v>3171</v>
      </c>
      <c r="D44" s="214" t="s">
        <v>16</v>
      </c>
      <c r="E44" s="214" t="s">
        <v>17</v>
      </c>
      <c r="F44" s="253">
        <v>66.12</v>
      </c>
      <c r="G44" s="253">
        <v>13.89</v>
      </c>
      <c r="H44" s="253"/>
      <c r="I44" s="9">
        <f t="shared" si="0"/>
        <v>13.89</v>
      </c>
      <c r="J44" s="50"/>
      <c r="K44" s="9">
        <f t="shared" si="1"/>
        <v>80.010000000000005</v>
      </c>
      <c r="L44" t="s">
        <v>42</v>
      </c>
    </row>
    <row r="45" spans="1:13" x14ac:dyDescent="0.25">
      <c r="A45" s="214">
        <v>45586</v>
      </c>
      <c r="B45" s="216" t="s">
        <v>3902</v>
      </c>
      <c r="C45" s="231" t="s">
        <v>400</v>
      </c>
      <c r="D45" s="214" t="s">
        <v>401</v>
      </c>
      <c r="E45" s="214" t="s">
        <v>402</v>
      </c>
      <c r="F45" s="253">
        <v>48.06</v>
      </c>
      <c r="G45" s="253">
        <v>10.09</v>
      </c>
      <c r="H45" s="253"/>
      <c r="I45" s="9">
        <f t="shared" si="0"/>
        <v>10.09</v>
      </c>
      <c r="J45" s="50"/>
      <c r="K45" s="9">
        <f t="shared" si="1"/>
        <v>58.150000000000006</v>
      </c>
      <c r="L45" t="s">
        <v>267</v>
      </c>
    </row>
    <row r="46" spans="1:13" x14ac:dyDescent="0.25">
      <c r="A46" s="214">
        <v>45588</v>
      </c>
      <c r="B46" s="216" t="s">
        <v>3903</v>
      </c>
      <c r="C46" s="109" t="s">
        <v>3171</v>
      </c>
      <c r="D46" s="108" t="s">
        <v>16</v>
      </c>
      <c r="E46" s="14" t="s">
        <v>17</v>
      </c>
      <c r="F46" s="253">
        <v>33.06</v>
      </c>
      <c r="G46" s="253">
        <v>6.94</v>
      </c>
      <c r="H46" s="253"/>
      <c r="I46" s="9">
        <f t="shared" si="0"/>
        <v>6.94</v>
      </c>
      <c r="J46" s="50"/>
      <c r="K46" s="9">
        <f t="shared" si="1"/>
        <v>40</v>
      </c>
      <c r="L46" t="s">
        <v>42</v>
      </c>
    </row>
    <row r="47" spans="1:13" x14ac:dyDescent="0.25">
      <c r="A47" s="214">
        <v>45588</v>
      </c>
      <c r="B47" s="216" t="s">
        <v>3904</v>
      </c>
      <c r="C47" s="109" t="s">
        <v>400</v>
      </c>
      <c r="D47" s="108" t="s">
        <v>401</v>
      </c>
      <c r="E47" s="14" t="s">
        <v>402</v>
      </c>
      <c r="F47" s="253">
        <v>56.87</v>
      </c>
      <c r="G47" s="253">
        <v>11.94</v>
      </c>
      <c r="H47" s="253"/>
      <c r="I47" s="9">
        <f t="shared" si="0"/>
        <v>11.94</v>
      </c>
      <c r="J47" s="50"/>
      <c r="K47" s="9">
        <f t="shared" si="1"/>
        <v>68.81</v>
      </c>
      <c r="L47" t="s">
        <v>3755</v>
      </c>
    </row>
    <row r="48" spans="1:13" x14ac:dyDescent="0.25">
      <c r="A48" s="214">
        <v>45589</v>
      </c>
      <c r="B48" s="216" t="s">
        <v>3905</v>
      </c>
      <c r="C48" s="231" t="s">
        <v>527</v>
      </c>
      <c r="D48" s="214" t="s">
        <v>20</v>
      </c>
      <c r="E48" s="214" t="s">
        <v>17</v>
      </c>
      <c r="F48" s="253">
        <v>33.479999999999997</v>
      </c>
      <c r="G48" s="253">
        <v>7.03</v>
      </c>
      <c r="H48" s="253"/>
      <c r="I48" s="9">
        <f t="shared" si="0"/>
        <v>7.03</v>
      </c>
      <c r="J48" s="50"/>
      <c r="K48" s="9">
        <f t="shared" si="1"/>
        <v>40.51</v>
      </c>
      <c r="L48" t="s">
        <v>42</v>
      </c>
    </row>
    <row r="49" spans="1:13" x14ac:dyDescent="0.25">
      <c r="A49" s="214">
        <v>45589</v>
      </c>
      <c r="B49" s="216" t="s">
        <v>3906</v>
      </c>
      <c r="C49" s="231" t="s">
        <v>2112</v>
      </c>
      <c r="D49" s="214" t="s">
        <v>2113</v>
      </c>
      <c r="E49" s="214" t="s">
        <v>3907</v>
      </c>
      <c r="F49" s="253">
        <v>39.479999999999997</v>
      </c>
      <c r="G49" s="253">
        <v>8.2899999999999991</v>
      </c>
      <c r="H49" s="253">
        <v>4.18</v>
      </c>
      <c r="I49" s="9">
        <f t="shared" si="0"/>
        <v>12.469999999999999</v>
      </c>
      <c r="J49" s="50"/>
      <c r="K49" s="9">
        <f t="shared" si="1"/>
        <v>51.949999999999996</v>
      </c>
      <c r="L49" t="s">
        <v>42</v>
      </c>
      <c r="M49" s="196" t="s">
        <v>3908</v>
      </c>
    </row>
    <row r="50" spans="1:13" x14ac:dyDescent="0.25">
      <c r="A50" s="214">
        <v>45589</v>
      </c>
      <c r="B50" s="216" t="s">
        <v>3909</v>
      </c>
      <c r="C50" s="231" t="s">
        <v>400</v>
      </c>
      <c r="D50" s="214" t="s">
        <v>401</v>
      </c>
      <c r="E50" s="214" t="s">
        <v>402</v>
      </c>
      <c r="F50" s="253">
        <v>22.11</v>
      </c>
      <c r="G50" s="253">
        <v>4.6399999999999997</v>
      </c>
      <c r="H50" s="253"/>
      <c r="I50" s="9">
        <f t="shared" si="0"/>
        <v>4.6399999999999997</v>
      </c>
      <c r="J50" s="50"/>
      <c r="K50" s="9">
        <f t="shared" si="1"/>
        <v>26.75</v>
      </c>
      <c r="L50" t="s">
        <v>42</v>
      </c>
    </row>
    <row r="51" spans="1:13" x14ac:dyDescent="0.25">
      <c r="A51" s="214">
        <v>45589</v>
      </c>
      <c r="B51" s="216" t="s">
        <v>3910</v>
      </c>
      <c r="C51" s="231" t="s">
        <v>400</v>
      </c>
      <c r="D51" s="214" t="s">
        <v>401</v>
      </c>
      <c r="E51" s="214" t="s">
        <v>402</v>
      </c>
      <c r="F51" s="253">
        <v>-24.75</v>
      </c>
      <c r="G51" s="253">
        <v>-5.2</v>
      </c>
      <c r="H51" s="253"/>
      <c r="I51" s="9">
        <f t="shared" si="0"/>
        <v>-5.2</v>
      </c>
      <c r="J51" s="50"/>
      <c r="K51" s="9">
        <f t="shared" si="1"/>
        <v>-29.95</v>
      </c>
      <c r="L51" t="s">
        <v>42</v>
      </c>
    </row>
    <row r="52" spans="1:13" x14ac:dyDescent="0.25">
      <c r="A52" s="214">
        <v>45590</v>
      </c>
      <c r="B52" s="216" t="s">
        <v>3911</v>
      </c>
      <c r="C52" s="231" t="s">
        <v>3765</v>
      </c>
      <c r="D52" s="214" t="s">
        <v>1870</v>
      </c>
      <c r="E52" s="214" t="s">
        <v>402</v>
      </c>
      <c r="F52" s="253">
        <v>3.33</v>
      </c>
      <c r="G52" s="253">
        <v>0.7</v>
      </c>
      <c r="H52" s="253"/>
      <c r="I52" s="9">
        <f t="shared" si="0"/>
        <v>0.7</v>
      </c>
      <c r="J52" s="50"/>
      <c r="K52" s="9">
        <f t="shared" si="1"/>
        <v>4.03</v>
      </c>
      <c r="L52" t="s">
        <v>42</v>
      </c>
    </row>
    <row r="53" spans="1:13" x14ac:dyDescent="0.25">
      <c r="A53" s="214">
        <v>45590</v>
      </c>
      <c r="B53" s="216" t="s">
        <v>3912</v>
      </c>
      <c r="C53" s="214" t="s">
        <v>3765</v>
      </c>
      <c r="D53" s="214" t="s">
        <v>1870</v>
      </c>
      <c r="E53" s="214" t="s">
        <v>402</v>
      </c>
      <c r="F53" s="253">
        <v>8.07</v>
      </c>
      <c r="G53" s="253">
        <v>1.69</v>
      </c>
      <c r="H53" s="253"/>
      <c r="I53" s="9">
        <f t="shared" si="0"/>
        <v>1.69</v>
      </c>
      <c r="J53" s="50"/>
      <c r="K53" s="9">
        <f t="shared" si="1"/>
        <v>9.76</v>
      </c>
      <c r="L53" t="s">
        <v>42</v>
      </c>
    </row>
    <row r="54" spans="1:13" x14ac:dyDescent="0.25">
      <c r="A54" s="214">
        <v>45591</v>
      </c>
      <c r="B54" s="216" t="s">
        <v>3913</v>
      </c>
      <c r="C54" s="214" t="s">
        <v>3171</v>
      </c>
      <c r="D54" s="214" t="s">
        <v>16</v>
      </c>
      <c r="E54" s="214" t="s">
        <v>17</v>
      </c>
      <c r="F54" s="253">
        <v>53.72</v>
      </c>
      <c r="G54" s="253">
        <v>11.28</v>
      </c>
      <c r="H54" s="253"/>
      <c r="I54" s="9">
        <f t="shared" si="0"/>
        <v>11.28</v>
      </c>
      <c r="J54" s="50"/>
      <c r="K54" s="9">
        <f t="shared" si="1"/>
        <v>65</v>
      </c>
      <c r="L54" t="s">
        <v>42</v>
      </c>
    </row>
    <row r="55" spans="1:13" x14ac:dyDescent="0.25">
      <c r="A55" s="214">
        <v>45591</v>
      </c>
      <c r="B55" s="216" t="s">
        <v>3914</v>
      </c>
      <c r="C55" s="231" t="s">
        <v>3421</v>
      </c>
      <c r="D55" s="214" t="s">
        <v>275</v>
      </c>
      <c r="E55" s="214" t="s">
        <v>1476</v>
      </c>
      <c r="F55" s="253">
        <v>181.82</v>
      </c>
      <c r="G55" s="253"/>
      <c r="H55" s="253">
        <v>18.18</v>
      </c>
      <c r="I55" s="9">
        <f t="shared" si="0"/>
        <v>18.18</v>
      </c>
      <c r="J55" s="50"/>
      <c r="K55" s="9">
        <f t="shared" si="1"/>
        <v>200</v>
      </c>
      <c r="L55" t="s">
        <v>42</v>
      </c>
    </row>
    <row r="56" spans="1:13" x14ac:dyDescent="0.25">
      <c r="A56" s="214">
        <v>45592</v>
      </c>
      <c r="B56" s="216" t="s">
        <v>3915</v>
      </c>
      <c r="C56" s="231" t="s">
        <v>3171</v>
      </c>
      <c r="D56" s="214" t="s">
        <v>16</v>
      </c>
      <c r="E56" s="214" t="s">
        <v>17</v>
      </c>
      <c r="F56" s="253">
        <v>99.17</v>
      </c>
      <c r="G56" s="253">
        <v>20.83</v>
      </c>
      <c r="H56" s="253"/>
      <c r="I56" s="9">
        <f t="shared" si="0"/>
        <v>20.83</v>
      </c>
      <c r="J56" s="50"/>
      <c r="K56" s="9">
        <f t="shared" si="1"/>
        <v>120</v>
      </c>
      <c r="L56" t="s">
        <v>42</v>
      </c>
    </row>
    <row r="57" spans="1:13" x14ac:dyDescent="0.25">
      <c r="A57" s="214">
        <v>45593</v>
      </c>
      <c r="B57" s="216" t="s">
        <v>3916</v>
      </c>
      <c r="C57" s="214" t="s">
        <v>1436</v>
      </c>
      <c r="D57" s="214" t="s">
        <v>280</v>
      </c>
      <c r="E57" s="214" t="s">
        <v>281</v>
      </c>
      <c r="F57" s="253">
        <v>13.26</v>
      </c>
      <c r="G57" s="253">
        <v>2.79</v>
      </c>
      <c r="H57" s="253"/>
      <c r="I57" s="9">
        <f t="shared" si="0"/>
        <v>2.79</v>
      </c>
      <c r="J57" s="50"/>
      <c r="K57" s="9">
        <f t="shared" si="1"/>
        <v>16.05</v>
      </c>
      <c r="L57" t="s">
        <v>42</v>
      </c>
    </row>
    <row r="58" spans="1:13" x14ac:dyDescent="0.25">
      <c r="A58" s="214">
        <v>45594</v>
      </c>
      <c r="B58" s="216" t="s">
        <v>3917</v>
      </c>
      <c r="C58" s="214" t="s">
        <v>731</v>
      </c>
      <c r="D58" s="214" t="s">
        <v>323</v>
      </c>
      <c r="E58" s="214" t="s">
        <v>17</v>
      </c>
      <c r="F58" s="253">
        <v>81.94</v>
      </c>
      <c r="G58" s="253">
        <v>17.21</v>
      </c>
      <c r="H58" s="253"/>
      <c r="I58" s="9">
        <f t="shared" si="0"/>
        <v>17.21</v>
      </c>
      <c r="J58" s="50"/>
      <c r="K58" s="9">
        <f t="shared" si="1"/>
        <v>99.15</v>
      </c>
      <c r="L58" t="s">
        <v>42</v>
      </c>
    </row>
    <row r="59" spans="1:13" x14ac:dyDescent="0.25">
      <c r="A59" s="214">
        <v>45595</v>
      </c>
      <c r="B59" s="216" t="s">
        <v>3918</v>
      </c>
      <c r="C59" s="231" t="s">
        <v>400</v>
      </c>
      <c r="D59" s="214" t="s">
        <v>401</v>
      </c>
      <c r="E59" s="214" t="s">
        <v>402</v>
      </c>
      <c r="F59" s="253">
        <v>49.46</v>
      </c>
      <c r="G59" s="253">
        <v>10.39</v>
      </c>
      <c r="H59" s="253"/>
      <c r="I59" s="9">
        <f t="shared" si="0"/>
        <v>10.39</v>
      </c>
      <c r="J59" s="50"/>
      <c r="K59" s="9">
        <f t="shared" si="1"/>
        <v>59.85</v>
      </c>
      <c r="L59" t="s">
        <v>267</v>
      </c>
    </row>
    <row r="60" spans="1:13" x14ac:dyDescent="0.25">
      <c r="A60" s="214">
        <v>45569</v>
      </c>
      <c r="B60" s="216" t="s">
        <v>4023</v>
      </c>
      <c r="C60" s="231" t="s">
        <v>1956</v>
      </c>
      <c r="D60" s="214" t="s">
        <v>271</v>
      </c>
      <c r="E60" s="214" t="s">
        <v>17</v>
      </c>
      <c r="F60" s="253">
        <v>64.084999999999994</v>
      </c>
      <c r="G60" s="253">
        <v>13.46</v>
      </c>
      <c r="H60" s="253"/>
      <c r="I60" s="9">
        <f t="shared" si="0"/>
        <v>13.46</v>
      </c>
      <c r="J60" s="50"/>
      <c r="K60" s="9">
        <f t="shared" si="1"/>
        <v>77.544999999999987</v>
      </c>
      <c r="L60" t="s">
        <v>267</v>
      </c>
    </row>
    <row r="61" spans="1:13" x14ac:dyDescent="0.25">
      <c r="A61" s="214">
        <v>45574</v>
      </c>
      <c r="B61" s="216" t="s">
        <v>4024</v>
      </c>
      <c r="C61" s="231" t="s">
        <v>3765</v>
      </c>
      <c r="D61" s="214" t="s">
        <v>1870</v>
      </c>
      <c r="E61" s="214" t="s">
        <v>402</v>
      </c>
      <c r="F61" s="253">
        <v>6.5</v>
      </c>
      <c r="G61" s="253">
        <v>1.37</v>
      </c>
      <c r="H61" s="253"/>
      <c r="I61" s="9">
        <f t="shared" si="0"/>
        <v>1.37</v>
      </c>
      <c r="J61" s="50"/>
      <c r="K61" s="9">
        <f t="shared" si="1"/>
        <v>7.87</v>
      </c>
      <c r="L61" t="s">
        <v>42</v>
      </c>
    </row>
    <row r="62" spans="1:13" x14ac:dyDescent="0.25">
      <c r="A62" s="214">
        <v>45582</v>
      </c>
      <c r="B62" s="216" t="s">
        <v>4025</v>
      </c>
      <c r="C62" s="231" t="s">
        <v>400</v>
      </c>
      <c r="D62" s="214" t="s">
        <v>401</v>
      </c>
      <c r="E62" s="214" t="s">
        <v>402</v>
      </c>
      <c r="F62" s="253">
        <v>96.95</v>
      </c>
      <c r="G62" s="253">
        <v>20.36</v>
      </c>
      <c r="H62" s="253"/>
      <c r="I62" s="9">
        <f t="shared" si="0"/>
        <v>20.36</v>
      </c>
      <c r="J62" s="50"/>
      <c r="K62" s="9">
        <f t="shared" si="1"/>
        <v>117.31</v>
      </c>
      <c r="L62" t="s">
        <v>267</v>
      </c>
    </row>
    <row r="63" spans="1:13" x14ac:dyDescent="0.25">
      <c r="A63" s="214">
        <v>45587</v>
      </c>
      <c r="B63" s="216" t="s">
        <v>4026</v>
      </c>
      <c r="C63" s="231" t="s">
        <v>3427</v>
      </c>
      <c r="D63" s="214" t="s">
        <v>24</v>
      </c>
      <c r="E63" s="214" t="s">
        <v>25</v>
      </c>
      <c r="F63" s="253">
        <v>30.54</v>
      </c>
      <c r="G63" s="253"/>
      <c r="H63" s="253">
        <v>3.05</v>
      </c>
      <c r="I63" s="9">
        <f t="shared" si="0"/>
        <v>3.05</v>
      </c>
      <c r="J63" s="50"/>
      <c r="K63" s="9">
        <f t="shared" si="1"/>
        <v>33.589999999999996</v>
      </c>
      <c r="L63" t="s">
        <v>42</v>
      </c>
    </row>
    <row r="64" spans="1:13" x14ac:dyDescent="0.25">
      <c r="A64" s="214">
        <v>45589</v>
      </c>
      <c r="B64" s="269" t="s">
        <v>4027</v>
      </c>
      <c r="C64" s="231" t="s">
        <v>4030</v>
      </c>
      <c r="D64" s="214"/>
      <c r="E64" s="214"/>
      <c r="F64" s="253"/>
      <c r="G64" s="253"/>
      <c r="H64" s="253"/>
      <c r="I64" s="9">
        <f t="shared" si="0"/>
        <v>0</v>
      </c>
      <c r="J64" s="50"/>
      <c r="K64" s="9">
        <f t="shared" si="1"/>
        <v>0</v>
      </c>
      <c r="L64" t="s">
        <v>267</v>
      </c>
    </row>
    <row r="65" spans="1:12" x14ac:dyDescent="0.25">
      <c r="A65" s="86">
        <v>45590</v>
      </c>
      <c r="B65" s="111" t="s">
        <v>4028</v>
      </c>
      <c r="C65" s="110" t="s">
        <v>711</v>
      </c>
      <c r="D65" s="108" t="s">
        <v>712</v>
      </c>
      <c r="E65" s="110" t="s">
        <v>560</v>
      </c>
      <c r="F65" s="97">
        <v>114</v>
      </c>
      <c r="G65" s="97">
        <v>23.94</v>
      </c>
      <c r="H65" s="97"/>
      <c r="I65" s="9">
        <f t="shared" si="0"/>
        <v>23.94</v>
      </c>
      <c r="J65" s="50"/>
      <c r="K65" s="9">
        <f t="shared" si="1"/>
        <v>137.94</v>
      </c>
      <c r="L65" t="s">
        <v>41</v>
      </c>
    </row>
    <row r="66" spans="1:12" x14ac:dyDescent="0.25">
      <c r="A66" s="86">
        <v>45591</v>
      </c>
      <c r="B66" s="111" t="s">
        <v>4029</v>
      </c>
      <c r="C66" s="110" t="s">
        <v>397</v>
      </c>
      <c r="D66" s="108" t="s">
        <v>21</v>
      </c>
      <c r="E66" s="110" t="s">
        <v>281</v>
      </c>
      <c r="F66" s="97">
        <v>224</v>
      </c>
      <c r="G66" s="97">
        <v>47.04</v>
      </c>
      <c r="H66" s="97"/>
      <c r="I66" s="9">
        <f t="shared" si="0"/>
        <v>47.04</v>
      </c>
      <c r="J66" s="50"/>
      <c r="K66" s="9">
        <f t="shared" si="1"/>
        <v>271.04000000000002</v>
      </c>
      <c r="L66" t="s">
        <v>267</v>
      </c>
    </row>
    <row r="67" spans="1:12" x14ac:dyDescent="0.25">
      <c r="A67" s="86">
        <v>45594</v>
      </c>
      <c r="B67" s="111" t="s">
        <v>4031</v>
      </c>
      <c r="C67" s="110" t="s">
        <v>3427</v>
      </c>
      <c r="D67" s="108" t="s">
        <v>24</v>
      </c>
      <c r="E67" s="110" t="s">
        <v>25</v>
      </c>
      <c r="F67" s="97">
        <v>19.09</v>
      </c>
      <c r="G67" s="97"/>
      <c r="H67" s="97">
        <v>1.91</v>
      </c>
      <c r="I67" s="9">
        <f t="shared" si="0"/>
        <v>1.91</v>
      </c>
      <c r="J67" s="50"/>
      <c r="K67" s="9">
        <f t="shared" si="1"/>
        <v>21</v>
      </c>
      <c r="L67" t="s">
        <v>42</v>
      </c>
    </row>
    <row r="68" spans="1:12" x14ac:dyDescent="0.25">
      <c r="A68" s="86">
        <v>45596</v>
      </c>
      <c r="B68" s="111" t="s">
        <v>4032</v>
      </c>
      <c r="C68" s="110" t="s">
        <v>400</v>
      </c>
      <c r="D68" s="108" t="s">
        <v>401</v>
      </c>
      <c r="E68" s="110" t="s">
        <v>402</v>
      </c>
      <c r="F68" s="151">
        <v>266.33</v>
      </c>
      <c r="G68" s="151">
        <v>55.93</v>
      </c>
      <c r="H68" s="151"/>
      <c r="I68" s="9">
        <f t="shared" si="0"/>
        <v>55.93</v>
      </c>
      <c r="J68" s="50"/>
      <c r="K68" s="9">
        <f t="shared" si="1"/>
        <v>322.26</v>
      </c>
      <c r="L68" t="s">
        <v>267</v>
      </c>
    </row>
    <row r="69" spans="1:12" x14ac:dyDescent="0.25">
      <c r="A69" s="397">
        <v>45595</v>
      </c>
      <c r="B69" s="399" t="s">
        <v>4033</v>
      </c>
      <c r="C69" s="401" t="s">
        <v>310</v>
      </c>
      <c r="D69" s="401" t="s">
        <v>311</v>
      </c>
      <c r="E69" s="403" t="s">
        <v>281</v>
      </c>
      <c r="F69" s="151">
        <v>9.7100000000000009</v>
      </c>
      <c r="G69" s="151">
        <v>2.04</v>
      </c>
      <c r="H69" s="151"/>
      <c r="I69" s="333">
        <f>G69+H70</f>
        <v>4.1400000000000006</v>
      </c>
      <c r="J69" s="50"/>
      <c r="K69" s="333">
        <f>F69+F70+I69</f>
        <v>34.900000000000006</v>
      </c>
    </row>
    <row r="70" spans="1:12" x14ac:dyDescent="0.25">
      <c r="A70" s="398"/>
      <c r="B70" s="400"/>
      <c r="C70" s="402"/>
      <c r="D70" s="402"/>
      <c r="E70" s="404"/>
      <c r="F70" s="205">
        <v>21.05</v>
      </c>
      <c r="G70" s="205"/>
      <c r="H70" s="205">
        <v>2.1</v>
      </c>
      <c r="I70" s="334"/>
      <c r="J70" s="50"/>
      <c r="K70" s="334"/>
      <c r="L70" t="s">
        <v>42</v>
      </c>
    </row>
    <row r="71" spans="1:12" x14ac:dyDescent="0.25">
      <c r="A71" s="86">
        <v>45585</v>
      </c>
      <c r="B71" s="111" t="s">
        <v>4117</v>
      </c>
      <c r="C71" s="110" t="s">
        <v>3171</v>
      </c>
      <c r="D71" s="108" t="s">
        <v>16</v>
      </c>
      <c r="E71" s="110" t="s">
        <v>17</v>
      </c>
      <c r="F71" s="205">
        <v>63.44</v>
      </c>
      <c r="G71" s="205">
        <v>13.32</v>
      </c>
      <c r="H71" s="205"/>
      <c r="I71" s="9">
        <f t="shared" ref="I71:I94" si="2">G71+H71</f>
        <v>13.32</v>
      </c>
      <c r="J71" s="50"/>
      <c r="K71" s="9">
        <f t="shared" si="1"/>
        <v>76.759999999999991</v>
      </c>
      <c r="L71" t="s">
        <v>42</v>
      </c>
    </row>
    <row r="72" spans="1:12" x14ac:dyDescent="0.25">
      <c r="A72" s="86">
        <v>45589</v>
      </c>
      <c r="B72" s="111" t="s">
        <v>4374</v>
      </c>
      <c r="C72" s="110" t="s">
        <v>1436</v>
      </c>
      <c r="D72" s="108" t="s">
        <v>280</v>
      </c>
      <c r="E72" s="110" t="s">
        <v>281</v>
      </c>
      <c r="F72" s="97">
        <v>19.88</v>
      </c>
      <c r="G72" s="97">
        <v>4.17</v>
      </c>
      <c r="H72" s="97"/>
      <c r="I72" s="9">
        <f t="shared" si="2"/>
        <v>4.17</v>
      </c>
      <c r="J72" s="50"/>
      <c r="K72" s="9">
        <f t="shared" si="1"/>
        <v>24.049999999999997</v>
      </c>
      <c r="L72" t="s">
        <v>42</v>
      </c>
    </row>
    <row r="73" spans="1:12" x14ac:dyDescent="0.25">
      <c r="A73" s="86">
        <v>45572</v>
      </c>
      <c r="B73" s="111" t="s">
        <v>4463</v>
      </c>
      <c r="C73" s="110" t="s">
        <v>1436</v>
      </c>
      <c r="D73" s="108" t="s">
        <v>280</v>
      </c>
      <c r="E73" s="110" t="s">
        <v>281</v>
      </c>
      <c r="F73" s="97">
        <v>19.34</v>
      </c>
      <c r="G73" s="97">
        <v>4.0599999999999996</v>
      </c>
      <c r="H73" s="97"/>
      <c r="I73" s="9">
        <f t="shared" si="2"/>
        <v>4.0599999999999996</v>
      </c>
      <c r="J73" s="50"/>
      <c r="K73" s="9">
        <f t="shared" si="1"/>
        <v>23.4</v>
      </c>
      <c r="L73" t="s">
        <v>42</v>
      </c>
    </row>
    <row r="74" spans="1:12" x14ac:dyDescent="0.25">
      <c r="A74" s="86">
        <v>45581</v>
      </c>
      <c r="B74" s="111" t="s">
        <v>4464</v>
      </c>
      <c r="C74" s="110" t="s">
        <v>270</v>
      </c>
      <c r="D74" s="108" t="s">
        <v>271</v>
      </c>
      <c r="E74" s="110" t="s">
        <v>17</v>
      </c>
      <c r="F74" s="97">
        <v>24.79</v>
      </c>
      <c r="G74" s="97">
        <v>5.21</v>
      </c>
      <c r="H74" s="97"/>
      <c r="I74" s="9">
        <f t="shared" si="2"/>
        <v>5.21</v>
      </c>
      <c r="J74" s="50"/>
      <c r="K74" s="9">
        <f t="shared" si="1"/>
        <v>30</v>
      </c>
      <c r="L74" t="s">
        <v>267</v>
      </c>
    </row>
    <row r="75" spans="1:12" x14ac:dyDescent="0.25">
      <c r="A75" s="86">
        <v>45567</v>
      </c>
      <c r="B75" s="111" t="s">
        <v>4518</v>
      </c>
      <c r="C75" s="29" t="s">
        <v>302</v>
      </c>
      <c r="D75" s="35" t="s">
        <v>386</v>
      </c>
      <c r="E75" s="14" t="s">
        <v>304</v>
      </c>
      <c r="F75" s="97">
        <v>16</v>
      </c>
      <c r="G75" s="97">
        <v>3.36</v>
      </c>
      <c r="H75" s="97"/>
      <c r="I75" s="9">
        <f t="shared" si="2"/>
        <v>3.36</v>
      </c>
      <c r="J75" s="254"/>
      <c r="K75" s="9">
        <f t="shared" si="1"/>
        <v>19.36</v>
      </c>
      <c r="L75" t="s">
        <v>295</v>
      </c>
    </row>
    <row r="76" spans="1:12" x14ac:dyDescent="0.25">
      <c r="A76" s="86">
        <v>45576</v>
      </c>
      <c r="B76" s="111" t="s">
        <v>4517</v>
      </c>
      <c r="C76" s="29" t="s">
        <v>302</v>
      </c>
      <c r="D76" s="35" t="s">
        <v>386</v>
      </c>
      <c r="E76" s="14" t="s">
        <v>304</v>
      </c>
      <c r="F76" s="97">
        <v>16</v>
      </c>
      <c r="G76" s="97">
        <v>3.36</v>
      </c>
      <c r="H76" s="97"/>
      <c r="I76" s="9">
        <f t="shared" si="2"/>
        <v>3.36</v>
      </c>
      <c r="J76" s="31"/>
      <c r="K76" s="9">
        <f t="shared" si="1"/>
        <v>19.36</v>
      </c>
      <c r="L76" t="s">
        <v>295</v>
      </c>
    </row>
    <row r="77" spans="1:12" x14ac:dyDescent="0.25">
      <c r="A77" s="86">
        <v>45581</v>
      </c>
      <c r="B77" s="111" t="s">
        <v>4519</v>
      </c>
      <c r="C77" s="29" t="s">
        <v>302</v>
      </c>
      <c r="D77" s="35" t="s">
        <v>386</v>
      </c>
      <c r="E77" s="14" t="s">
        <v>304</v>
      </c>
      <c r="F77" s="97">
        <v>23.75</v>
      </c>
      <c r="G77" s="97">
        <v>4.99</v>
      </c>
      <c r="H77" s="97"/>
      <c r="I77" s="9">
        <f t="shared" si="2"/>
        <v>4.99</v>
      </c>
      <c r="J77" s="31"/>
      <c r="K77" s="9">
        <f t="shared" si="1"/>
        <v>28.740000000000002</v>
      </c>
      <c r="L77" t="s">
        <v>295</v>
      </c>
    </row>
    <row r="78" spans="1:12" x14ac:dyDescent="0.25">
      <c r="A78" s="86">
        <v>45584</v>
      </c>
      <c r="B78" s="111" t="s">
        <v>4520</v>
      </c>
      <c r="C78" s="29" t="s">
        <v>302</v>
      </c>
      <c r="D78" s="35" t="s">
        <v>386</v>
      </c>
      <c r="E78" s="14" t="s">
        <v>304</v>
      </c>
      <c r="F78" s="97">
        <v>29.99</v>
      </c>
      <c r="G78" s="97">
        <v>6.3</v>
      </c>
      <c r="H78" s="97"/>
      <c r="I78" s="9">
        <f t="shared" si="2"/>
        <v>6.3</v>
      </c>
      <c r="J78" s="31"/>
      <c r="K78" s="9">
        <f t="shared" si="1"/>
        <v>36.29</v>
      </c>
      <c r="L78" t="s">
        <v>295</v>
      </c>
    </row>
    <row r="79" spans="1:12" x14ac:dyDescent="0.25">
      <c r="A79" s="86">
        <v>45584</v>
      </c>
      <c r="B79" s="111" t="s">
        <v>4521</v>
      </c>
      <c r="C79" s="29" t="s">
        <v>302</v>
      </c>
      <c r="D79" s="35" t="s">
        <v>386</v>
      </c>
      <c r="E79" s="14" t="s">
        <v>304</v>
      </c>
      <c r="F79" s="97">
        <v>29.99</v>
      </c>
      <c r="G79" s="97">
        <v>6.3</v>
      </c>
      <c r="H79" s="97"/>
      <c r="I79" s="9">
        <f t="shared" si="2"/>
        <v>6.3</v>
      </c>
      <c r="J79" s="31"/>
      <c r="K79" s="9">
        <f t="shared" si="1"/>
        <v>36.29</v>
      </c>
      <c r="L79" t="s">
        <v>295</v>
      </c>
    </row>
    <row r="80" spans="1:12" x14ac:dyDescent="0.25">
      <c r="A80" s="86">
        <v>45587</v>
      </c>
      <c r="B80" s="111" t="s">
        <v>4522</v>
      </c>
      <c r="C80" s="29" t="s">
        <v>302</v>
      </c>
      <c r="D80" s="35" t="s">
        <v>386</v>
      </c>
      <c r="E80" s="14" t="s">
        <v>304</v>
      </c>
      <c r="F80" s="97">
        <v>29.99</v>
      </c>
      <c r="G80" s="97">
        <v>6.3</v>
      </c>
      <c r="H80" s="97"/>
      <c r="I80" s="9">
        <f t="shared" si="2"/>
        <v>6.3</v>
      </c>
      <c r="J80" s="31"/>
      <c r="K80" s="9">
        <f t="shared" si="1"/>
        <v>36.29</v>
      </c>
      <c r="L80" t="s">
        <v>295</v>
      </c>
    </row>
    <row r="81" spans="1:15" x14ac:dyDescent="0.25">
      <c r="A81" s="86">
        <v>45572</v>
      </c>
      <c r="B81" s="111" t="s">
        <v>4526</v>
      </c>
      <c r="C81" s="29" t="s">
        <v>292</v>
      </c>
      <c r="D81" s="36" t="s">
        <v>293</v>
      </c>
      <c r="E81" s="14" t="s">
        <v>4523</v>
      </c>
      <c r="F81" s="97">
        <v>111.98</v>
      </c>
      <c r="G81" s="97">
        <v>23.52</v>
      </c>
      <c r="H81" s="97"/>
      <c r="I81" s="9">
        <f t="shared" si="2"/>
        <v>23.52</v>
      </c>
      <c r="J81" s="31"/>
      <c r="K81" s="9">
        <f t="shared" si="1"/>
        <v>135.5</v>
      </c>
      <c r="L81" t="s">
        <v>295</v>
      </c>
    </row>
    <row r="82" spans="1:15" x14ac:dyDescent="0.25">
      <c r="A82" s="86">
        <v>45575</v>
      </c>
      <c r="B82" s="111" t="s">
        <v>4527</v>
      </c>
      <c r="C82" s="29" t="s">
        <v>292</v>
      </c>
      <c r="D82" s="36" t="s">
        <v>293</v>
      </c>
      <c r="E82" s="14" t="s">
        <v>4524</v>
      </c>
      <c r="F82" s="97">
        <v>23.51</v>
      </c>
      <c r="G82" s="97">
        <v>3.09</v>
      </c>
      <c r="H82" s="97"/>
      <c r="I82" s="9">
        <f t="shared" si="2"/>
        <v>3.09</v>
      </c>
      <c r="J82" s="31"/>
      <c r="K82" s="9">
        <f t="shared" si="1"/>
        <v>26.6</v>
      </c>
      <c r="L82" t="s">
        <v>295</v>
      </c>
    </row>
    <row r="83" spans="1:15" x14ac:dyDescent="0.25">
      <c r="A83" s="86">
        <v>45580</v>
      </c>
      <c r="B83" s="111" t="s">
        <v>4528</v>
      </c>
      <c r="C83" s="29" t="s">
        <v>292</v>
      </c>
      <c r="D83" s="36" t="s">
        <v>293</v>
      </c>
      <c r="E83" s="14" t="s">
        <v>4525</v>
      </c>
      <c r="F83" s="97">
        <v>67.989999999999995</v>
      </c>
      <c r="G83" s="97">
        <v>14.28</v>
      </c>
      <c r="H83" s="97"/>
      <c r="I83" s="9">
        <f t="shared" si="2"/>
        <v>14.28</v>
      </c>
      <c r="J83" s="31"/>
      <c r="K83" s="9">
        <f t="shared" si="1"/>
        <v>82.27</v>
      </c>
      <c r="L83" t="s">
        <v>295</v>
      </c>
    </row>
    <row r="84" spans="1:15" x14ac:dyDescent="0.25">
      <c r="A84" s="86">
        <v>45580</v>
      </c>
      <c r="B84" s="111" t="s">
        <v>4529</v>
      </c>
      <c r="C84" s="28" t="s">
        <v>385</v>
      </c>
      <c r="D84" s="35" t="s">
        <v>388</v>
      </c>
      <c r="E84" s="29" t="s">
        <v>389</v>
      </c>
      <c r="F84" s="97">
        <v>415.17</v>
      </c>
      <c r="G84" s="97">
        <v>87.18</v>
      </c>
      <c r="H84" s="97"/>
      <c r="I84" s="9">
        <f t="shared" si="2"/>
        <v>87.18</v>
      </c>
      <c r="J84" s="31"/>
      <c r="K84" s="9">
        <f t="shared" si="1"/>
        <v>502.35</v>
      </c>
      <c r="L84" t="s">
        <v>295</v>
      </c>
    </row>
    <row r="85" spans="1:15" x14ac:dyDescent="0.25">
      <c r="A85" s="104">
        <v>45585</v>
      </c>
      <c r="B85" s="213" t="s">
        <v>4530</v>
      </c>
      <c r="C85" s="28" t="s">
        <v>815</v>
      </c>
      <c r="D85" s="35" t="s">
        <v>387</v>
      </c>
      <c r="E85" s="29" t="s">
        <v>389</v>
      </c>
      <c r="F85" s="16">
        <v>387.6</v>
      </c>
      <c r="G85" s="16">
        <v>41.4</v>
      </c>
      <c r="H85" s="16"/>
      <c r="I85" s="9">
        <f t="shared" si="2"/>
        <v>41.4</v>
      </c>
      <c r="J85" s="31"/>
      <c r="K85" s="9">
        <f t="shared" si="1"/>
        <v>429</v>
      </c>
      <c r="L85" t="s">
        <v>295</v>
      </c>
    </row>
    <row r="86" spans="1:15" x14ac:dyDescent="0.25">
      <c r="A86" s="33">
        <v>45590</v>
      </c>
      <c r="B86" s="34" t="s">
        <v>4531</v>
      </c>
      <c r="C86" s="28" t="s">
        <v>698</v>
      </c>
      <c r="D86" s="35" t="s">
        <v>289</v>
      </c>
      <c r="E86" s="29" t="s">
        <v>699</v>
      </c>
      <c r="F86" s="22">
        <v>176.82</v>
      </c>
      <c r="G86" s="22">
        <v>37.14</v>
      </c>
      <c r="H86" s="172">
        <v>38</v>
      </c>
      <c r="I86" s="9">
        <f t="shared" si="2"/>
        <v>75.14</v>
      </c>
      <c r="J86" s="31"/>
      <c r="K86" s="9">
        <f t="shared" si="1"/>
        <v>251.95999999999998</v>
      </c>
      <c r="L86" t="s">
        <v>295</v>
      </c>
      <c r="N86" s="182" t="s">
        <v>3178</v>
      </c>
    </row>
    <row r="87" spans="1:15" x14ac:dyDescent="0.25">
      <c r="A87" s="86">
        <v>45590</v>
      </c>
      <c r="B87" s="6" t="s">
        <v>4532</v>
      </c>
      <c r="C87" s="28" t="s">
        <v>3155</v>
      </c>
      <c r="D87" s="35" t="s">
        <v>2384</v>
      </c>
      <c r="E87" s="29" t="s">
        <v>699</v>
      </c>
      <c r="F87" s="146">
        <v>63.53</v>
      </c>
      <c r="G87" s="146">
        <v>13.34</v>
      </c>
      <c r="H87" s="146"/>
      <c r="I87" s="9">
        <f t="shared" si="2"/>
        <v>13.34</v>
      </c>
      <c r="J87" s="146"/>
      <c r="K87" s="9">
        <f t="shared" si="1"/>
        <v>76.87</v>
      </c>
      <c r="L87" t="s">
        <v>295</v>
      </c>
    </row>
    <row r="88" spans="1:15" x14ac:dyDescent="0.25">
      <c r="A88" s="33">
        <v>45577</v>
      </c>
      <c r="B88" s="34" t="s">
        <v>4558</v>
      </c>
      <c r="C88" s="233" t="s">
        <v>3171</v>
      </c>
      <c r="D88" s="105" t="s">
        <v>16</v>
      </c>
      <c r="E88" s="107" t="s">
        <v>17</v>
      </c>
      <c r="F88" s="22">
        <v>24.79</v>
      </c>
      <c r="G88" s="22">
        <v>5.21</v>
      </c>
      <c r="H88" s="22"/>
      <c r="I88" s="9">
        <f t="shared" si="2"/>
        <v>5.21</v>
      </c>
      <c r="J88" s="23"/>
      <c r="K88" s="9">
        <f t="shared" si="1"/>
        <v>30</v>
      </c>
      <c r="L88" t="s">
        <v>42</v>
      </c>
    </row>
    <row r="89" spans="1:15" x14ac:dyDescent="0.25">
      <c r="A89" s="38">
        <v>45591</v>
      </c>
      <c r="B89" s="34" t="s">
        <v>4559</v>
      </c>
      <c r="C89" s="29" t="s">
        <v>4560</v>
      </c>
      <c r="D89" s="35" t="s">
        <v>545</v>
      </c>
      <c r="E89" s="29" t="s">
        <v>17</v>
      </c>
      <c r="F89" s="22">
        <v>82.42</v>
      </c>
      <c r="G89" s="22">
        <v>17.309999999999999</v>
      </c>
      <c r="H89" s="22"/>
      <c r="I89" s="9">
        <f t="shared" si="2"/>
        <v>17.309999999999999</v>
      </c>
      <c r="J89" s="23"/>
      <c r="K89" s="9">
        <f t="shared" si="1"/>
        <v>99.73</v>
      </c>
      <c r="L89" t="s">
        <v>42</v>
      </c>
    </row>
    <row r="90" spans="1:15" x14ac:dyDescent="0.25">
      <c r="A90" s="33">
        <v>45596</v>
      </c>
      <c r="B90" s="112" t="s">
        <v>4561</v>
      </c>
      <c r="C90" s="29" t="s">
        <v>715</v>
      </c>
      <c r="D90" s="35" t="s">
        <v>542</v>
      </c>
      <c r="E90" s="29" t="s">
        <v>17</v>
      </c>
      <c r="F90" s="22">
        <v>1989.55</v>
      </c>
      <c r="G90" s="22">
        <v>417.81</v>
      </c>
      <c r="H90" s="22"/>
      <c r="I90" s="9">
        <f t="shared" si="2"/>
        <v>417.81</v>
      </c>
      <c r="J90" s="23"/>
      <c r="K90" s="9">
        <f t="shared" si="1"/>
        <v>2407.36</v>
      </c>
      <c r="L90" t="s">
        <v>42</v>
      </c>
    </row>
    <row r="91" spans="1:15" x14ac:dyDescent="0.25">
      <c r="A91" s="33">
        <v>45590</v>
      </c>
      <c r="B91" s="34" t="s">
        <v>4595</v>
      </c>
      <c r="C91" s="28" t="s">
        <v>2390</v>
      </c>
      <c r="D91" s="35" t="s">
        <v>2391</v>
      </c>
      <c r="E91" s="29" t="s">
        <v>2392</v>
      </c>
      <c r="F91" s="22">
        <v>261.89999999999998</v>
      </c>
      <c r="G91" s="22">
        <v>26.19</v>
      </c>
      <c r="H91" s="22"/>
      <c r="I91" s="9">
        <f t="shared" si="2"/>
        <v>26.19</v>
      </c>
      <c r="J91" s="23"/>
      <c r="K91" s="9">
        <f t="shared" si="1"/>
        <v>288.08999999999997</v>
      </c>
      <c r="L91" t="s">
        <v>4596</v>
      </c>
    </row>
    <row r="92" spans="1:15" x14ac:dyDescent="0.25">
      <c r="A92" s="86">
        <v>45596</v>
      </c>
      <c r="B92" s="258" t="s">
        <v>1077</v>
      </c>
      <c r="C92" s="28" t="s">
        <v>1412</v>
      </c>
      <c r="D92" s="36" t="s">
        <v>1414</v>
      </c>
      <c r="E92" s="29" t="s">
        <v>827</v>
      </c>
      <c r="F92" s="22">
        <v>531.79</v>
      </c>
      <c r="G92" s="22">
        <f>F92*21/100</f>
        <v>111.6759</v>
      </c>
      <c r="H92" s="22"/>
      <c r="I92" s="9">
        <f t="shared" si="2"/>
        <v>111.6759</v>
      </c>
      <c r="J92" s="23"/>
      <c r="K92" s="9">
        <f t="shared" si="1"/>
        <v>643.46589999999992</v>
      </c>
      <c r="L92" t="s">
        <v>4605</v>
      </c>
    </row>
    <row r="93" spans="1:15" x14ac:dyDescent="0.25">
      <c r="A93" s="100">
        <v>45566</v>
      </c>
      <c r="B93" s="157" t="s">
        <v>4607</v>
      </c>
      <c r="C93" s="102" t="s">
        <v>1101</v>
      </c>
      <c r="D93" s="35" t="s">
        <v>1102</v>
      </c>
      <c r="E93" s="29" t="s">
        <v>1105</v>
      </c>
      <c r="F93" s="30">
        <v>900</v>
      </c>
      <c r="G93" s="30">
        <v>189</v>
      </c>
      <c r="H93" s="22"/>
      <c r="I93" s="251">
        <f t="shared" si="2"/>
        <v>189</v>
      </c>
      <c r="J93" s="313"/>
      <c r="K93" s="251">
        <f t="shared" si="1"/>
        <v>1089</v>
      </c>
      <c r="L93" t="s">
        <v>3743</v>
      </c>
      <c r="O93" s="196" t="s">
        <v>3707</v>
      </c>
    </row>
    <row r="94" spans="1:15" x14ac:dyDescent="0.25">
      <c r="A94" s="86">
        <v>45585</v>
      </c>
      <c r="B94" s="111" t="s">
        <v>4628</v>
      </c>
      <c r="C94" s="109" t="s">
        <v>322</v>
      </c>
      <c r="D94" s="312" t="s">
        <v>323</v>
      </c>
      <c r="E94" s="29" t="s">
        <v>17</v>
      </c>
      <c r="F94" s="30">
        <v>24.79</v>
      </c>
      <c r="G94" s="30">
        <v>5.21</v>
      </c>
      <c r="H94" s="23"/>
      <c r="I94" s="9">
        <f t="shared" si="2"/>
        <v>5.21</v>
      </c>
      <c r="J94" s="97"/>
      <c r="K94" s="9">
        <f t="shared" si="1"/>
        <v>30</v>
      </c>
      <c r="L94" t="s">
        <v>267</v>
      </c>
    </row>
    <row r="95" spans="1:15" x14ac:dyDescent="0.25">
      <c r="A95" s="86"/>
      <c r="B95" s="111"/>
      <c r="C95" s="109"/>
      <c r="D95" s="312"/>
      <c r="E95" s="29"/>
      <c r="F95" s="30"/>
      <c r="G95" s="30"/>
      <c r="H95" s="23"/>
      <c r="I95" s="9"/>
      <c r="J95" s="97"/>
      <c r="K95" s="9"/>
    </row>
    <row r="96" spans="1:15" x14ac:dyDescent="0.25">
      <c r="A96" s="86"/>
      <c r="B96" s="111"/>
      <c r="C96" s="109"/>
      <c r="D96" s="312"/>
      <c r="E96" s="29"/>
      <c r="F96" s="30"/>
      <c r="G96" s="30"/>
      <c r="H96" s="23"/>
      <c r="I96" s="9"/>
      <c r="J96" s="97"/>
      <c r="K96" s="9"/>
    </row>
    <row r="97" spans="1:12" x14ac:dyDescent="0.25">
      <c r="A97" s="14"/>
      <c r="B97" s="86"/>
      <c r="C97" s="111"/>
      <c r="D97" s="292"/>
      <c r="E97" s="35"/>
      <c r="F97" s="29"/>
      <c r="G97" s="30"/>
      <c r="H97" s="30"/>
      <c r="I97" s="16"/>
      <c r="J97" s="311"/>
      <c r="K97" s="17"/>
      <c r="L97" s="9"/>
    </row>
    <row r="98" spans="1:12" x14ac:dyDescent="0.25">
      <c r="A98" s="14"/>
      <c r="B98" s="86"/>
      <c r="C98" s="111"/>
      <c r="D98" s="292"/>
      <c r="E98" s="35"/>
      <c r="F98" s="29"/>
      <c r="G98" s="30"/>
      <c r="H98" s="30"/>
      <c r="I98" s="22"/>
      <c r="J98" s="207"/>
      <c r="K98" s="23"/>
      <c r="L98" s="9"/>
    </row>
    <row r="99" spans="1:12" x14ac:dyDescent="0.25">
      <c r="A99" s="14"/>
      <c r="B99" s="86"/>
      <c r="C99" s="111"/>
      <c r="D99" s="292"/>
      <c r="E99" s="35"/>
      <c r="F99" s="29"/>
      <c r="G99" s="30"/>
      <c r="H99" s="30"/>
      <c r="I99" s="22"/>
      <c r="J99" s="207"/>
      <c r="K99" s="23"/>
      <c r="L99" s="9"/>
    </row>
    <row r="100" spans="1:12" x14ac:dyDescent="0.25">
      <c r="A100" s="86"/>
      <c r="B100" s="111"/>
      <c r="C100" s="109"/>
      <c r="D100" s="312"/>
      <c r="E100" s="29"/>
      <c r="F100" s="30"/>
      <c r="G100" s="30"/>
      <c r="H100" s="22"/>
      <c r="I100" s="207"/>
      <c r="J100" s="23"/>
      <c r="K100" s="9"/>
    </row>
    <row r="101" spans="1:12" x14ac:dyDescent="0.25">
      <c r="A101" s="86">
        <v>45548</v>
      </c>
      <c r="B101" s="111" t="s">
        <v>3700</v>
      </c>
      <c r="C101" s="109" t="s">
        <v>400</v>
      </c>
      <c r="D101" s="312" t="s">
        <v>401</v>
      </c>
      <c r="E101" s="29" t="s">
        <v>578</v>
      </c>
      <c r="F101" s="30">
        <v>44.44</v>
      </c>
      <c r="G101" s="30">
        <v>9.33</v>
      </c>
      <c r="H101" s="22"/>
      <c r="I101" s="207">
        <f>G101</f>
        <v>9.33</v>
      </c>
      <c r="J101" s="23"/>
      <c r="K101" s="9">
        <f>F101+I101</f>
        <v>53.769999999999996</v>
      </c>
      <c r="L101" t="s">
        <v>42</v>
      </c>
    </row>
    <row r="102" spans="1:12" x14ac:dyDescent="0.25">
      <c r="A102" s="86">
        <v>45419</v>
      </c>
      <c r="B102" s="111" t="s">
        <v>4629</v>
      </c>
      <c r="C102" s="253" t="s">
        <v>4630</v>
      </c>
      <c r="D102" s="253" t="s">
        <v>2113</v>
      </c>
      <c r="E102" s="253" t="s">
        <v>2114</v>
      </c>
      <c r="F102" s="30">
        <v>45.41</v>
      </c>
      <c r="G102" s="30"/>
      <c r="H102" s="22">
        <v>9.5399999999999991</v>
      </c>
      <c r="I102" s="207"/>
      <c r="J102" s="23"/>
      <c r="K102" s="9">
        <f>54.95</f>
        <v>54.95</v>
      </c>
      <c r="L102" t="s">
        <v>42</v>
      </c>
    </row>
    <row r="103" spans="1:12" x14ac:dyDescent="0.25">
      <c r="A103" s="104"/>
      <c r="B103" s="213"/>
      <c r="C103" s="106"/>
      <c r="D103" s="35"/>
      <c r="E103" s="29"/>
      <c r="F103" s="30"/>
      <c r="G103" s="30"/>
      <c r="H103" s="22"/>
      <c r="I103" s="207"/>
      <c r="J103" s="23"/>
      <c r="K103" s="9"/>
    </row>
    <row r="104" spans="1:12" x14ac:dyDescent="0.25">
      <c r="A104" s="33"/>
      <c r="B104" s="34"/>
      <c r="C104" s="28"/>
      <c r="D104" s="35"/>
      <c r="E104" s="29"/>
      <c r="F104" s="22">
        <f>SUM(F5:F93)</f>
        <v>9031.3849999999984</v>
      </c>
      <c r="G104" s="22">
        <f>SUM(G5:G94)</f>
        <v>1716.5058999999997</v>
      </c>
      <c r="H104" s="30"/>
      <c r="I104" s="207">
        <f>G104+H104</f>
        <v>1716.5058999999997</v>
      </c>
      <c r="J104" s="31"/>
      <c r="K104" s="9">
        <f t="shared" si="1"/>
        <v>10747.890899999999</v>
      </c>
    </row>
    <row r="107" spans="1:12" ht="15.75" thickBot="1" x14ac:dyDescent="0.3"/>
    <row r="108" spans="1:12" ht="30" x14ac:dyDescent="0.25">
      <c r="A108" s="44" t="s">
        <v>1</v>
      </c>
      <c r="B108" s="45" t="s">
        <v>2</v>
      </c>
      <c r="C108" s="46" t="s">
        <v>26</v>
      </c>
      <c r="D108" s="46" t="s">
        <v>4</v>
      </c>
      <c r="E108" s="46" t="s">
        <v>5</v>
      </c>
      <c r="F108" s="46" t="s">
        <v>6</v>
      </c>
      <c r="G108" s="46" t="s">
        <v>7</v>
      </c>
      <c r="H108" s="46" t="s">
        <v>8</v>
      </c>
      <c r="I108" s="46" t="s">
        <v>9</v>
      </c>
      <c r="J108" s="47" t="s">
        <v>10</v>
      </c>
      <c r="K108" s="2" t="s">
        <v>11</v>
      </c>
    </row>
    <row r="109" spans="1:12" x14ac:dyDescent="0.25">
      <c r="A109" s="184">
        <v>45566</v>
      </c>
      <c r="B109" s="51" t="s">
        <v>3756</v>
      </c>
      <c r="C109" s="14" t="s">
        <v>2448</v>
      </c>
      <c r="D109" s="14" t="s">
        <v>2449</v>
      </c>
      <c r="E109" s="14" t="s">
        <v>2450</v>
      </c>
      <c r="F109" s="60">
        <v>1400</v>
      </c>
      <c r="G109" s="30">
        <v>294</v>
      </c>
      <c r="H109" s="30"/>
      <c r="I109" s="30">
        <f t="shared" ref="I109:I117" si="3">G109+H109</f>
        <v>294</v>
      </c>
      <c r="J109" s="31">
        <v>266</v>
      </c>
      <c r="K109" s="50">
        <f t="shared" ref="K109:K117" si="4">F109+I109-J109</f>
        <v>1428</v>
      </c>
    </row>
    <row r="110" spans="1:12" x14ac:dyDescent="0.25">
      <c r="A110" s="184">
        <v>45580</v>
      </c>
      <c r="B110" s="51" t="s">
        <v>3757</v>
      </c>
      <c r="C110" s="161" t="s">
        <v>3759</v>
      </c>
      <c r="D110" s="14" t="s">
        <v>3758</v>
      </c>
      <c r="E110" s="183" t="s">
        <v>30</v>
      </c>
      <c r="F110" s="60">
        <v>270</v>
      </c>
      <c r="G110" s="30">
        <f>F110*21/100</f>
        <v>56.7</v>
      </c>
      <c r="H110" s="30"/>
      <c r="I110" s="30">
        <f t="shared" si="3"/>
        <v>56.7</v>
      </c>
      <c r="J110" s="31"/>
      <c r="K110" s="50">
        <f t="shared" si="4"/>
        <v>326.7</v>
      </c>
    </row>
    <row r="111" spans="1:12" x14ac:dyDescent="0.25">
      <c r="A111" s="184">
        <v>45580</v>
      </c>
      <c r="B111" s="36" t="s">
        <v>3274</v>
      </c>
      <c r="C111" s="161" t="s">
        <v>3760</v>
      </c>
      <c r="D111" s="287" t="s">
        <v>3873</v>
      </c>
      <c r="E111" s="183" t="s">
        <v>30</v>
      </c>
      <c r="F111" s="30">
        <v>172.73</v>
      </c>
      <c r="G111" s="30">
        <f>F111*10/100</f>
        <v>17.273</v>
      </c>
      <c r="H111" s="30"/>
      <c r="I111" s="30">
        <f t="shared" si="3"/>
        <v>17.273</v>
      </c>
      <c r="J111" s="31"/>
      <c r="K111" s="50">
        <f t="shared" si="4"/>
        <v>190.00299999999999</v>
      </c>
    </row>
    <row r="112" spans="1:12" x14ac:dyDescent="0.25">
      <c r="A112" s="184">
        <v>45589</v>
      </c>
      <c r="B112" s="36" t="s">
        <v>3551</v>
      </c>
      <c r="C112" s="288" t="s">
        <v>3874</v>
      </c>
      <c r="D112" s="14" t="s">
        <v>3875</v>
      </c>
      <c r="E112" s="49"/>
      <c r="F112" s="30">
        <v>518.80999999999995</v>
      </c>
      <c r="G112" s="30"/>
      <c r="H112" s="30">
        <f>F112*10/100</f>
        <v>51.880999999999993</v>
      </c>
      <c r="I112" s="30">
        <f t="shared" si="3"/>
        <v>51.880999999999993</v>
      </c>
      <c r="J112" s="31"/>
      <c r="K112" s="50">
        <f t="shared" si="4"/>
        <v>570.69099999999992</v>
      </c>
    </row>
    <row r="113" spans="1:11" x14ac:dyDescent="0.25">
      <c r="A113" s="184">
        <v>45594</v>
      </c>
      <c r="B113" s="285" t="s">
        <v>3581</v>
      </c>
      <c r="C113" s="14" t="s">
        <v>3919</v>
      </c>
      <c r="D113" s="14" t="s">
        <v>3920</v>
      </c>
      <c r="E113" s="183"/>
      <c r="F113" s="30">
        <v>1090</v>
      </c>
      <c r="G113" s="30"/>
      <c r="H113" s="30">
        <f>F113*10/100</f>
        <v>109</v>
      </c>
      <c r="I113" s="30">
        <f t="shared" si="3"/>
        <v>109</v>
      </c>
      <c r="J113" s="31"/>
      <c r="K113" s="50">
        <f t="shared" si="4"/>
        <v>1199</v>
      </c>
    </row>
    <row r="114" spans="1:11" x14ac:dyDescent="0.25">
      <c r="A114" s="184"/>
      <c r="B114" s="51"/>
      <c r="C114" s="14"/>
      <c r="D114" s="14"/>
      <c r="E114" s="183"/>
      <c r="F114" s="30"/>
      <c r="G114" s="30">
        <f t="shared" ref="G114:G118" si="5">F114*21/100</f>
        <v>0</v>
      </c>
      <c r="H114" s="30"/>
      <c r="I114" s="30">
        <f t="shared" si="3"/>
        <v>0</v>
      </c>
      <c r="J114" s="31"/>
      <c r="K114" s="50">
        <f t="shared" si="4"/>
        <v>0</v>
      </c>
    </row>
    <row r="115" spans="1:11" x14ac:dyDescent="0.25">
      <c r="A115" s="184"/>
      <c r="B115" s="36"/>
      <c r="C115" s="161"/>
      <c r="D115" s="14"/>
      <c r="E115" s="183"/>
      <c r="F115" s="30"/>
      <c r="G115" s="30">
        <f t="shared" si="5"/>
        <v>0</v>
      </c>
      <c r="H115" s="30"/>
      <c r="I115" s="30">
        <f t="shared" si="3"/>
        <v>0</v>
      </c>
      <c r="J115" s="31"/>
      <c r="K115" s="50">
        <f t="shared" si="4"/>
        <v>0</v>
      </c>
    </row>
    <row r="116" spans="1:11" x14ac:dyDescent="0.25">
      <c r="A116" s="184"/>
      <c r="B116" s="36"/>
      <c r="C116" s="161"/>
      <c r="D116" s="14"/>
      <c r="E116" s="183"/>
      <c r="F116" s="30"/>
      <c r="G116" s="30">
        <f t="shared" si="5"/>
        <v>0</v>
      </c>
      <c r="H116" s="30"/>
      <c r="I116" s="30"/>
      <c r="J116" s="31"/>
      <c r="K116" s="50"/>
    </row>
    <row r="117" spans="1:11" x14ac:dyDescent="0.25">
      <c r="A117" s="184"/>
      <c r="B117" s="36"/>
      <c r="C117" s="161"/>
      <c r="D117" s="14"/>
      <c r="E117" s="183"/>
      <c r="F117" s="30"/>
      <c r="G117" s="30">
        <f t="shared" si="5"/>
        <v>0</v>
      </c>
      <c r="H117" s="30"/>
      <c r="I117" s="30">
        <f t="shared" si="3"/>
        <v>0</v>
      </c>
      <c r="J117" s="31"/>
      <c r="K117" s="50">
        <f t="shared" si="4"/>
        <v>0</v>
      </c>
    </row>
    <row r="118" spans="1:11" x14ac:dyDescent="0.25">
      <c r="A118" s="184"/>
      <c r="B118" s="36"/>
      <c r="C118" s="161"/>
      <c r="D118" s="14"/>
      <c r="E118" s="183" t="s">
        <v>30</v>
      </c>
      <c r="F118" s="30"/>
      <c r="G118" s="30">
        <f t="shared" si="5"/>
        <v>0</v>
      </c>
      <c r="H118" s="30"/>
      <c r="I118" s="30"/>
      <c r="J118" s="31"/>
      <c r="K118" s="50"/>
    </row>
    <row r="119" spans="1:11" x14ac:dyDescent="0.25">
      <c r="A119" s="184"/>
      <c r="B119" s="36"/>
      <c r="C119" s="161"/>
      <c r="D119" s="14"/>
      <c r="E119" s="183" t="s">
        <v>30</v>
      </c>
      <c r="F119" s="30"/>
      <c r="G119" s="30"/>
      <c r="H119" s="30"/>
      <c r="I119" s="30"/>
      <c r="J119" s="31"/>
      <c r="K119" s="50"/>
    </row>
    <row r="120" spans="1:11" x14ac:dyDescent="0.25">
      <c r="A120" s="319" t="s">
        <v>11</v>
      </c>
      <c r="B120" s="319"/>
      <c r="C120" s="319"/>
      <c r="D120" s="321"/>
      <c r="E120" s="319"/>
      <c r="F120" s="40">
        <f>SUM(F109:F119)</f>
        <v>3451.54</v>
      </c>
      <c r="G120" s="41">
        <f>SUM(G109:G119)</f>
        <v>367.97300000000001</v>
      </c>
      <c r="H120" s="36"/>
      <c r="I120" s="40">
        <f>SUM(I109:I119)</f>
        <v>528.85400000000004</v>
      </c>
      <c r="J120" s="164">
        <f>SUM(J109:J119)</f>
        <v>266</v>
      </c>
      <c r="K120" s="160">
        <f>SUM(K109:K119)</f>
        <v>3714.3939999999998</v>
      </c>
    </row>
  </sheetData>
  <mergeCells count="15">
    <mergeCell ref="K36:K39"/>
    <mergeCell ref="I36:I39"/>
    <mergeCell ref="A120:E120"/>
    <mergeCell ref="E36:E39"/>
    <mergeCell ref="D36:D39"/>
    <mergeCell ref="C36:C39"/>
    <mergeCell ref="B36:B39"/>
    <mergeCell ref="A36:A39"/>
    <mergeCell ref="A69:A70"/>
    <mergeCell ref="B69:B70"/>
    <mergeCell ref="C69:C70"/>
    <mergeCell ref="D69:D70"/>
    <mergeCell ref="E69:E70"/>
    <mergeCell ref="I69:I70"/>
    <mergeCell ref="K69:K7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C9FD-1C8E-4883-9150-F2ABC8406037}">
  <dimension ref="A1:P149"/>
  <sheetViews>
    <sheetView tabSelected="1" topLeftCell="A117" workbookViewId="0">
      <selection activeCell="I153" sqref="I153"/>
    </sheetView>
  </sheetViews>
  <sheetFormatPr baseColWidth="10" defaultRowHeight="15" x14ac:dyDescent="0.25"/>
  <cols>
    <col min="2" max="2" width="22.42578125" customWidth="1"/>
    <col min="3" max="3" width="39.28515625" customWidth="1"/>
    <col min="6" max="6" width="13" bestFit="1" customWidth="1"/>
    <col min="9" max="9" width="16.28515625" customWidth="1"/>
    <col min="10" max="10" width="13" bestFit="1" customWidth="1"/>
  </cols>
  <sheetData>
    <row r="1" spans="1:15" x14ac:dyDescent="0.25">
      <c r="A1" s="319" t="s">
        <v>1</v>
      </c>
      <c r="B1" s="319" t="s">
        <v>2</v>
      </c>
      <c r="C1" s="319" t="s">
        <v>32</v>
      </c>
      <c r="D1" s="319" t="s">
        <v>33</v>
      </c>
      <c r="E1" s="319" t="s">
        <v>408</v>
      </c>
      <c r="F1" s="319" t="s">
        <v>11</v>
      </c>
      <c r="G1" s="319" t="s">
        <v>34</v>
      </c>
      <c r="H1" s="319"/>
      <c r="I1" s="319" t="s">
        <v>35</v>
      </c>
      <c r="J1" s="319" t="s">
        <v>36</v>
      </c>
      <c r="K1" s="319" t="s">
        <v>37</v>
      </c>
      <c r="L1" s="319" t="s">
        <v>38</v>
      </c>
      <c r="M1" s="319" t="s">
        <v>37</v>
      </c>
      <c r="N1" s="320" t="s">
        <v>38</v>
      </c>
      <c r="O1" s="319" t="s">
        <v>40</v>
      </c>
    </row>
    <row r="2" spans="1:15" x14ac:dyDescent="0.25">
      <c r="A2" s="320"/>
      <c r="B2" s="320"/>
      <c r="C2" s="320"/>
      <c r="D2" s="320"/>
      <c r="E2" s="320"/>
      <c r="F2" s="320"/>
      <c r="G2" s="52" t="s">
        <v>41</v>
      </c>
      <c r="H2" s="53" t="s">
        <v>42</v>
      </c>
      <c r="I2" s="320"/>
      <c r="J2" s="320"/>
      <c r="K2" s="320"/>
      <c r="L2" s="320"/>
      <c r="M2" s="320"/>
      <c r="N2" s="323"/>
      <c r="O2" s="320"/>
    </row>
    <row r="3" spans="1:15" x14ac:dyDescent="0.25">
      <c r="A3" s="86">
        <v>45566</v>
      </c>
      <c r="B3" s="55" t="s">
        <v>3211</v>
      </c>
      <c r="C3" s="55" t="s">
        <v>43</v>
      </c>
      <c r="D3" s="75">
        <f>F3/1.1</f>
        <v>145.45454545454544</v>
      </c>
      <c r="E3" s="75">
        <f t="shared" ref="E3:E66" si="0">D3*10/100</f>
        <v>14.545454545454545</v>
      </c>
      <c r="F3" s="75">
        <v>160</v>
      </c>
      <c r="G3" s="75"/>
      <c r="H3" s="58">
        <f t="shared" ref="H3:H66" si="1">F3-G3</f>
        <v>160</v>
      </c>
      <c r="I3" s="14" t="s">
        <v>603</v>
      </c>
      <c r="J3" s="75">
        <v>160</v>
      </c>
      <c r="K3" s="75"/>
      <c r="L3" s="14"/>
      <c r="M3" s="14"/>
      <c r="N3" s="14"/>
      <c r="O3" s="14"/>
    </row>
    <row r="4" spans="1:15" x14ac:dyDescent="0.25">
      <c r="A4" s="86">
        <v>45566</v>
      </c>
      <c r="B4" s="55" t="s">
        <v>3212</v>
      </c>
      <c r="C4" s="55" t="s">
        <v>43</v>
      </c>
      <c r="D4" s="75">
        <f t="shared" ref="D4:D67" si="2">F4/1.1</f>
        <v>145.45454545454544</v>
      </c>
      <c r="E4" s="75">
        <f t="shared" si="0"/>
        <v>14.545454545454545</v>
      </c>
      <c r="F4" s="75">
        <v>160</v>
      </c>
      <c r="G4" s="75"/>
      <c r="H4" s="58">
        <f t="shared" si="1"/>
        <v>160</v>
      </c>
      <c r="I4" s="14" t="s">
        <v>3651</v>
      </c>
      <c r="J4" s="75">
        <v>160</v>
      </c>
      <c r="K4" s="75"/>
      <c r="L4" s="14"/>
      <c r="M4" s="75"/>
      <c r="N4" s="14"/>
      <c r="O4" s="14"/>
    </row>
    <row r="5" spans="1:15" x14ac:dyDescent="0.25">
      <c r="A5" s="86">
        <v>45567</v>
      </c>
      <c r="B5" s="55" t="s">
        <v>3213</v>
      </c>
      <c r="C5" s="55" t="s">
        <v>43</v>
      </c>
      <c r="D5" s="75">
        <f t="shared" si="2"/>
        <v>127.27272727272727</v>
      </c>
      <c r="E5" s="75">
        <f t="shared" si="0"/>
        <v>12.727272727272727</v>
      </c>
      <c r="F5" s="75">
        <v>140</v>
      </c>
      <c r="G5" s="75"/>
      <c r="H5" s="58">
        <f t="shared" si="1"/>
        <v>140</v>
      </c>
      <c r="I5" s="14" t="s">
        <v>603</v>
      </c>
      <c r="J5" s="75">
        <v>140</v>
      </c>
      <c r="K5" s="75"/>
      <c r="L5" s="14"/>
      <c r="M5" s="75"/>
      <c r="N5" s="14"/>
      <c r="O5" s="14"/>
    </row>
    <row r="6" spans="1:15" x14ac:dyDescent="0.25">
      <c r="A6" s="86">
        <v>45567</v>
      </c>
      <c r="B6" s="55" t="s">
        <v>3214</v>
      </c>
      <c r="C6" s="55" t="s">
        <v>43</v>
      </c>
      <c r="D6" s="75">
        <f t="shared" si="2"/>
        <v>154.54545454545453</v>
      </c>
      <c r="E6" s="75">
        <f t="shared" si="0"/>
        <v>15.454545454545453</v>
      </c>
      <c r="F6" s="75">
        <v>170</v>
      </c>
      <c r="G6" s="75">
        <v>50</v>
      </c>
      <c r="H6" s="58">
        <f t="shared" si="1"/>
        <v>120</v>
      </c>
      <c r="I6" s="14" t="s">
        <v>3652</v>
      </c>
      <c r="J6" s="75">
        <v>170</v>
      </c>
      <c r="K6" s="75"/>
      <c r="L6" s="14"/>
      <c r="M6" s="75"/>
      <c r="N6" s="14"/>
      <c r="O6" s="14"/>
    </row>
    <row r="7" spans="1:15" x14ac:dyDescent="0.25">
      <c r="A7" s="86">
        <v>45567</v>
      </c>
      <c r="B7" s="55" t="s">
        <v>3215</v>
      </c>
      <c r="C7" s="55" t="s">
        <v>43</v>
      </c>
      <c r="D7" s="75">
        <f t="shared" si="2"/>
        <v>199.99999999999997</v>
      </c>
      <c r="E7" s="75">
        <f t="shared" si="0"/>
        <v>19.999999999999996</v>
      </c>
      <c r="F7" s="75">
        <v>220</v>
      </c>
      <c r="G7" s="75">
        <v>50</v>
      </c>
      <c r="H7" s="58">
        <f t="shared" si="1"/>
        <v>170</v>
      </c>
      <c r="I7" s="14" t="s">
        <v>3653</v>
      </c>
      <c r="J7" s="75">
        <v>220</v>
      </c>
      <c r="K7" s="75"/>
      <c r="L7" s="14"/>
      <c r="M7" s="75"/>
      <c r="N7" s="14"/>
      <c r="O7" s="14"/>
    </row>
    <row r="8" spans="1:15" x14ac:dyDescent="0.25">
      <c r="A8" s="86">
        <v>45568</v>
      </c>
      <c r="B8" s="55" t="s">
        <v>3216</v>
      </c>
      <c r="C8" s="55" t="s">
        <v>43</v>
      </c>
      <c r="D8" s="75">
        <f t="shared" si="2"/>
        <v>300</v>
      </c>
      <c r="E8" s="75">
        <f t="shared" si="0"/>
        <v>30</v>
      </c>
      <c r="F8" s="75">
        <v>330</v>
      </c>
      <c r="G8" s="75">
        <v>50</v>
      </c>
      <c r="H8" s="58">
        <f t="shared" si="1"/>
        <v>280</v>
      </c>
      <c r="I8" s="14" t="s">
        <v>3654</v>
      </c>
      <c r="J8" s="75">
        <v>270</v>
      </c>
      <c r="K8" s="75">
        <v>60</v>
      </c>
      <c r="L8" s="14" t="s">
        <v>252</v>
      </c>
      <c r="M8" s="75"/>
      <c r="N8" s="14"/>
      <c r="O8" s="14"/>
    </row>
    <row r="9" spans="1:15" x14ac:dyDescent="0.25">
      <c r="A9" s="86">
        <v>45568</v>
      </c>
      <c r="B9" s="55" t="s">
        <v>3217</v>
      </c>
      <c r="C9" s="55" t="s">
        <v>43</v>
      </c>
      <c r="D9" s="75">
        <f t="shared" si="2"/>
        <v>145.45454545454544</v>
      </c>
      <c r="E9" s="75">
        <f t="shared" si="0"/>
        <v>14.545454545454545</v>
      </c>
      <c r="F9" s="75">
        <v>160</v>
      </c>
      <c r="G9" s="75"/>
      <c r="H9" s="58">
        <f t="shared" si="1"/>
        <v>160</v>
      </c>
      <c r="I9" s="14" t="s">
        <v>603</v>
      </c>
      <c r="J9" s="75">
        <v>160</v>
      </c>
      <c r="K9" s="75"/>
      <c r="L9" s="14"/>
      <c r="M9" s="75"/>
      <c r="N9" s="14"/>
      <c r="O9" s="14"/>
    </row>
    <row r="10" spans="1:15" x14ac:dyDescent="0.25">
      <c r="A10" s="86">
        <v>45569</v>
      </c>
      <c r="B10" s="55" t="s">
        <v>3218</v>
      </c>
      <c r="C10" s="55" t="s">
        <v>43</v>
      </c>
      <c r="D10" s="75">
        <f t="shared" si="2"/>
        <v>172.72727272727272</v>
      </c>
      <c r="E10" s="75">
        <f t="shared" si="0"/>
        <v>17.272727272727273</v>
      </c>
      <c r="F10" s="75">
        <v>190</v>
      </c>
      <c r="G10" s="75">
        <v>50</v>
      </c>
      <c r="H10" s="58">
        <f t="shared" si="1"/>
        <v>140</v>
      </c>
      <c r="I10" s="14" t="s">
        <v>3655</v>
      </c>
      <c r="J10" s="75">
        <v>190</v>
      </c>
      <c r="K10" s="75"/>
      <c r="L10" s="14"/>
      <c r="M10" s="75"/>
      <c r="N10" s="14"/>
      <c r="O10" s="14"/>
    </row>
    <row r="11" spans="1:15" x14ac:dyDescent="0.25">
      <c r="A11" s="86">
        <v>45569</v>
      </c>
      <c r="B11" s="55" t="s">
        <v>3219</v>
      </c>
      <c r="C11" s="55" t="s">
        <v>43</v>
      </c>
      <c r="D11" s="75">
        <f t="shared" si="2"/>
        <v>163.63636363636363</v>
      </c>
      <c r="E11" s="75">
        <f t="shared" si="0"/>
        <v>16.363636363636363</v>
      </c>
      <c r="F11" s="75">
        <v>180</v>
      </c>
      <c r="G11" s="75"/>
      <c r="H11" s="58">
        <f t="shared" si="1"/>
        <v>180</v>
      </c>
      <c r="I11" s="14" t="s">
        <v>603</v>
      </c>
      <c r="J11" s="75">
        <v>180</v>
      </c>
      <c r="K11" s="75"/>
      <c r="L11" s="14"/>
      <c r="M11" s="75"/>
      <c r="N11" s="14"/>
      <c r="O11" s="14"/>
    </row>
    <row r="12" spans="1:15" x14ac:dyDescent="0.25">
      <c r="A12" s="86">
        <v>45569</v>
      </c>
      <c r="B12" s="55" t="s">
        <v>3220</v>
      </c>
      <c r="C12" s="55" t="s">
        <v>43</v>
      </c>
      <c r="D12" s="75">
        <f t="shared" si="2"/>
        <v>209.09090909090907</v>
      </c>
      <c r="E12" s="75">
        <f t="shared" si="0"/>
        <v>20.909090909090907</v>
      </c>
      <c r="F12" s="75">
        <v>230</v>
      </c>
      <c r="G12" s="75"/>
      <c r="H12" s="58">
        <f t="shared" si="1"/>
        <v>230</v>
      </c>
      <c r="I12" s="14" t="s">
        <v>3656</v>
      </c>
      <c r="J12" s="75">
        <v>230</v>
      </c>
      <c r="K12" s="75"/>
      <c r="L12" s="14"/>
      <c r="M12" s="75"/>
      <c r="N12" s="14"/>
      <c r="O12" s="14"/>
    </row>
    <row r="13" spans="1:15" x14ac:dyDescent="0.25">
      <c r="A13" s="86">
        <v>45569</v>
      </c>
      <c r="B13" s="55" t="s">
        <v>3221</v>
      </c>
      <c r="C13" s="55" t="s">
        <v>43</v>
      </c>
      <c r="D13" s="75">
        <f t="shared" si="2"/>
        <v>154.54545454545453</v>
      </c>
      <c r="E13" s="75">
        <f t="shared" si="0"/>
        <v>15.454545454545453</v>
      </c>
      <c r="F13" s="75">
        <v>170</v>
      </c>
      <c r="G13" s="75">
        <v>50</v>
      </c>
      <c r="H13" s="58">
        <f t="shared" si="1"/>
        <v>120</v>
      </c>
      <c r="I13" s="14" t="s">
        <v>3484</v>
      </c>
      <c r="J13" s="75">
        <v>120</v>
      </c>
      <c r="K13" s="75"/>
      <c r="L13" s="14"/>
      <c r="M13" s="75"/>
      <c r="N13" s="14"/>
      <c r="O13" s="14"/>
    </row>
    <row r="14" spans="1:15" x14ac:dyDescent="0.25">
      <c r="A14" s="86">
        <v>45569</v>
      </c>
      <c r="B14" s="55" t="s">
        <v>3222</v>
      </c>
      <c r="C14" s="55" t="s">
        <v>43</v>
      </c>
      <c r="D14" s="75">
        <f t="shared" si="2"/>
        <v>309.09090909090907</v>
      </c>
      <c r="E14" s="75">
        <f t="shared" si="0"/>
        <v>30.909090909090907</v>
      </c>
      <c r="F14" s="75">
        <v>340</v>
      </c>
      <c r="G14" s="75">
        <v>100</v>
      </c>
      <c r="H14" s="58">
        <f t="shared" si="1"/>
        <v>240</v>
      </c>
      <c r="I14" s="14" t="s">
        <v>3657</v>
      </c>
      <c r="J14" s="75">
        <v>340</v>
      </c>
      <c r="K14" s="75"/>
      <c r="L14" s="14"/>
      <c r="M14" s="75"/>
      <c r="N14" s="14"/>
      <c r="O14" s="14"/>
    </row>
    <row r="15" spans="1:15" x14ac:dyDescent="0.25">
      <c r="A15" s="86">
        <v>45569</v>
      </c>
      <c r="B15" s="55" t="s">
        <v>3223</v>
      </c>
      <c r="C15" s="55" t="s">
        <v>43</v>
      </c>
      <c r="D15" s="75">
        <f t="shared" si="2"/>
        <v>145.45454545454544</v>
      </c>
      <c r="E15" s="75">
        <f t="shared" si="0"/>
        <v>14.545454545454545</v>
      </c>
      <c r="F15" s="75">
        <v>160</v>
      </c>
      <c r="G15" s="75"/>
      <c r="H15" s="58">
        <f t="shared" si="1"/>
        <v>160</v>
      </c>
      <c r="I15" s="14" t="s">
        <v>603</v>
      </c>
      <c r="J15" s="255">
        <v>160</v>
      </c>
      <c r="K15" s="75"/>
      <c r="L15" s="14"/>
      <c r="M15" s="75"/>
      <c r="N15" s="14"/>
      <c r="O15" s="75"/>
    </row>
    <row r="16" spans="1:15" x14ac:dyDescent="0.25">
      <c r="A16" s="86">
        <v>45569</v>
      </c>
      <c r="B16" s="55" t="s">
        <v>3224</v>
      </c>
      <c r="C16" s="55" t="s">
        <v>43</v>
      </c>
      <c r="D16" s="75">
        <f t="shared" si="2"/>
        <v>190.90909090909091</v>
      </c>
      <c r="E16" s="75">
        <f t="shared" si="0"/>
        <v>19.09090909090909</v>
      </c>
      <c r="F16" s="75">
        <v>210</v>
      </c>
      <c r="G16" s="75">
        <v>50</v>
      </c>
      <c r="H16" s="58">
        <f t="shared" si="1"/>
        <v>160</v>
      </c>
      <c r="I16" s="14" t="s">
        <v>3658</v>
      </c>
      <c r="J16" s="75">
        <v>170</v>
      </c>
      <c r="K16" s="75">
        <v>40</v>
      </c>
      <c r="L16" s="14" t="s">
        <v>252</v>
      </c>
      <c r="M16" s="75"/>
      <c r="N16" s="14"/>
      <c r="O16" s="75"/>
    </row>
    <row r="17" spans="1:15" x14ac:dyDescent="0.25">
      <c r="A17" s="86">
        <v>45570</v>
      </c>
      <c r="B17" s="55" t="s">
        <v>3225</v>
      </c>
      <c r="C17" s="55" t="s">
        <v>43</v>
      </c>
      <c r="D17" s="75">
        <f t="shared" si="2"/>
        <v>245.45454545454544</v>
      </c>
      <c r="E17" s="75">
        <f t="shared" si="0"/>
        <v>24.545454545454547</v>
      </c>
      <c r="F17" s="75">
        <v>270</v>
      </c>
      <c r="G17" s="75">
        <v>50</v>
      </c>
      <c r="H17" s="58">
        <f t="shared" si="1"/>
        <v>220</v>
      </c>
      <c r="I17" s="14" t="s">
        <v>3659</v>
      </c>
      <c r="J17" s="75">
        <v>270</v>
      </c>
      <c r="K17" s="75"/>
      <c r="L17" s="14"/>
      <c r="M17" s="75"/>
      <c r="N17" s="14"/>
      <c r="O17" s="75"/>
    </row>
    <row r="18" spans="1:15" x14ac:dyDescent="0.25">
      <c r="A18" s="86">
        <v>45570</v>
      </c>
      <c r="B18" s="55" t="s">
        <v>3226</v>
      </c>
      <c r="C18" s="55" t="s">
        <v>43</v>
      </c>
      <c r="D18" s="75">
        <f t="shared" si="2"/>
        <v>245.45454545454544</v>
      </c>
      <c r="E18" s="75">
        <f t="shared" si="0"/>
        <v>24.545454545454547</v>
      </c>
      <c r="F18" s="75">
        <v>270</v>
      </c>
      <c r="G18" s="75">
        <v>50</v>
      </c>
      <c r="H18" s="58">
        <f t="shared" si="1"/>
        <v>220</v>
      </c>
      <c r="I18" s="14" t="s">
        <v>3660</v>
      </c>
      <c r="J18" s="75">
        <v>270</v>
      </c>
      <c r="K18" s="75"/>
      <c r="L18" s="14"/>
      <c r="M18" s="75"/>
      <c r="N18" s="14"/>
      <c r="O18" s="75"/>
    </row>
    <row r="19" spans="1:15" x14ac:dyDescent="0.25">
      <c r="A19" s="86">
        <v>45570</v>
      </c>
      <c r="B19" s="55" t="s">
        <v>3227</v>
      </c>
      <c r="C19" s="55" t="s">
        <v>43</v>
      </c>
      <c r="D19" s="75">
        <f t="shared" si="2"/>
        <v>199.99999999999997</v>
      </c>
      <c r="E19" s="75">
        <f t="shared" si="0"/>
        <v>19.999999999999996</v>
      </c>
      <c r="F19" s="75">
        <v>220</v>
      </c>
      <c r="G19" s="75"/>
      <c r="H19" s="58">
        <f t="shared" si="1"/>
        <v>220</v>
      </c>
      <c r="I19" s="14" t="s">
        <v>3191</v>
      </c>
      <c r="J19" s="75">
        <v>220</v>
      </c>
      <c r="K19" s="75"/>
      <c r="L19" s="14"/>
      <c r="M19" s="75"/>
      <c r="N19" s="14"/>
      <c r="O19" s="75"/>
    </row>
    <row r="20" spans="1:15" x14ac:dyDescent="0.25">
      <c r="A20" s="86">
        <v>45570</v>
      </c>
      <c r="B20" s="55" t="s">
        <v>3228</v>
      </c>
      <c r="C20" s="55" t="s">
        <v>43</v>
      </c>
      <c r="D20" s="75">
        <f t="shared" si="2"/>
        <v>245.45454545454544</v>
      </c>
      <c r="E20" s="75">
        <f t="shared" si="0"/>
        <v>24.545454545454547</v>
      </c>
      <c r="F20" s="75">
        <v>270</v>
      </c>
      <c r="G20" s="75">
        <v>50</v>
      </c>
      <c r="H20" s="58">
        <f t="shared" si="1"/>
        <v>220</v>
      </c>
      <c r="I20" s="14" t="s">
        <v>3661</v>
      </c>
      <c r="J20" s="75">
        <v>270</v>
      </c>
      <c r="K20" s="75"/>
      <c r="L20" s="14"/>
      <c r="M20" s="75"/>
      <c r="N20" s="14"/>
      <c r="O20" s="75"/>
    </row>
    <row r="21" spans="1:15" x14ac:dyDescent="0.25">
      <c r="A21" s="86">
        <v>45570</v>
      </c>
      <c r="B21" s="55" t="s">
        <v>3229</v>
      </c>
      <c r="C21" s="55" t="s">
        <v>43</v>
      </c>
      <c r="D21" s="75">
        <f t="shared" si="2"/>
        <v>190.90909090909091</v>
      </c>
      <c r="E21" s="75">
        <f t="shared" si="0"/>
        <v>19.09090909090909</v>
      </c>
      <c r="F21" s="75">
        <v>210</v>
      </c>
      <c r="G21" s="75">
        <v>50</v>
      </c>
      <c r="H21" s="58">
        <f t="shared" si="1"/>
        <v>160</v>
      </c>
      <c r="I21" s="14" t="s">
        <v>3180</v>
      </c>
      <c r="J21" s="75">
        <v>170</v>
      </c>
      <c r="K21" s="75">
        <v>40</v>
      </c>
      <c r="L21" s="14" t="s">
        <v>252</v>
      </c>
      <c r="M21" s="75"/>
      <c r="N21" s="14"/>
      <c r="O21" s="75"/>
    </row>
    <row r="22" spans="1:15" x14ac:dyDescent="0.25">
      <c r="A22" s="86">
        <v>45570</v>
      </c>
      <c r="B22" s="55" t="s">
        <v>3230</v>
      </c>
      <c r="C22" s="55" t="s">
        <v>43</v>
      </c>
      <c r="D22" s="75">
        <f t="shared" si="2"/>
        <v>127.27272727272727</v>
      </c>
      <c r="E22" s="75">
        <f t="shared" si="0"/>
        <v>12.727272727272727</v>
      </c>
      <c r="F22" s="75">
        <v>140</v>
      </c>
      <c r="G22" s="75"/>
      <c r="H22" s="58">
        <f t="shared" si="1"/>
        <v>140</v>
      </c>
      <c r="I22" s="187" t="s">
        <v>603</v>
      </c>
      <c r="J22" s="75">
        <v>140</v>
      </c>
      <c r="K22" s="75"/>
      <c r="L22" s="14"/>
      <c r="M22" s="75"/>
      <c r="N22" s="14"/>
      <c r="O22" s="14"/>
    </row>
    <row r="23" spans="1:15" x14ac:dyDescent="0.25">
      <c r="A23" s="86">
        <v>45570</v>
      </c>
      <c r="B23" s="55" t="s">
        <v>3231</v>
      </c>
      <c r="C23" s="55" t="s">
        <v>43</v>
      </c>
      <c r="D23" s="75">
        <f t="shared" si="2"/>
        <v>263.63636363636363</v>
      </c>
      <c r="E23" s="75">
        <f t="shared" si="0"/>
        <v>26.36363636363636</v>
      </c>
      <c r="F23" s="75">
        <v>290</v>
      </c>
      <c r="G23" s="75">
        <v>50</v>
      </c>
      <c r="H23" s="58">
        <f t="shared" si="1"/>
        <v>240</v>
      </c>
      <c r="I23" s="14" t="s">
        <v>3662</v>
      </c>
      <c r="J23" s="75">
        <v>270</v>
      </c>
      <c r="K23" s="75">
        <v>20</v>
      </c>
      <c r="L23" s="14" t="s">
        <v>252</v>
      </c>
      <c r="M23" s="75"/>
      <c r="N23" s="14"/>
      <c r="O23" s="14"/>
    </row>
    <row r="24" spans="1:15" x14ac:dyDescent="0.25">
      <c r="A24" s="86">
        <v>45570</v>
      </c>
      <c r="B24" s="55" t="s">
        <v>3232</v>
      </c>
      <c r="C24" s="55" t="s">
        <v>43</v>
      </c>
      <c r="D24" s="75">
        <f t="shared" si="2"/>
        <v>218.18181818181816</v>
      </c>
      <c r="E24" s="75">
        <f t="shared" si="0"/>
        <v>21.818181818181817</v>
      </c>
      <c r="F24" s="75">
        <v>240</v>
      </c>
      <c r="G24" s="75">
        <v>50</v>
      </c>
      <c r="H24" s="58">
        <f t="shared" si="1"/>
        <v>190</v>
      </c>
      <c r="I24" s="14" t="s">
        <v>3663</v>
      </c>
      <c r="J24" s="75">
        <v>220</v>
      </c>
      <c r="K24" s="75">
        <v>20</v>
      </c>
      <c r="L24" s="14" t="s">
        <v>252</v>
      </c>
      <c r="M24" s="75"/>
      <c r="N24" s="14"/>
      <c r="O24" s="14"/>
    </row>
    <row r="25" spans="1:15" x14ac:dyDescent="0.25">
      <c r="A25" s="86">
        <v>45570</v>
      </c>
      <c r="B25" s="55" t="s">
        <v>3233</v>
      </c>
      <c r="C25" s="55" t="s">
        <v>43</v>
      </c>
      <c r="D25" s="75">
        <f t="shared" si="2"/>
        <v>172.72727272727272</v>
      </c>
      <c r="E25" s="75">
        <f t="shared" si="0"/>
        <v>17.272727272727273</v>
      </c>
      <c r="F25" s="75">
        <v>190</v>
      </c>
      <c r="G25" s="75">
        <v>50</v>
      </c>
      <c r="H25" s="58">
        <f t="shared" si="1"/>
        <v>140</v>
      </c>
      <c r="I25" s="14" t="s">
        <v>3664</v>
      </c>
      <c r="J25" s="75">
        <v>170</v>
      </c>
      <c r="K25" s="75">
        <v>20</v>
      </c>
      <c r="L25" s="14" t="s">
        <v>252</v>
      </c>
      <c r="M25" s="75"/>
      <c r="N25" s="14"/>
      <c r="O25" s="14"/>
    </row>
    <row r="26" spans="1:15" x14ac:dyDescent="0.25">
      <c r="A26" s="86">
        <v>45570</v>
      </c>
      <c r="B26" s="55" t="s">
        <v>3234</v>
      </c>
      <c r="C26" s="55" t="s">
        <v>43</v>
      </c>
      <c r="D26" s="75">
        <f t="shared" si="2"/>
        <v>172.72727272727272</v>
      </c>
      <c r="E26" s="75">
        <f t="shared" si="0"/>
        <v>17.272727272727273</v>
      </c>
      <c r="F26" s="75">
        <v>190</v>
      </c>
      <c r="G26" s="75">
        <v>50</v>
      </c>
      <c r="H26" s="58">
        <f t="shared" si="1"/>
        <v>140</v>
      </c>
      <c r="I26" s="14" t="s">
        <v>3665</v>
      </c>
      <c r="J26" s="75">
        <v>170</v>
      </c>
      <c r="K26" s="75">
        <v>20</v>
      </c>
      <c r="L26" s="14" t="s">
        <v>252</v>
      </c>
      <c r="M26" s="75"/>
      <c r="N26" s="14"/>
      <c r="O26" s="14"/>
    </row>
    <row r="27" spans="1:15" x14ac:dyDescent="0.25">
      <c r="A27" s="86">
        <v>45570</v>
      </c>
      <c r="B27" s="55" t="s">
        <v>3235</v>
      </c>
      <c r="C27" s="55" t="s">
        <v>43</v>
      </c>
      <c r="D27" s="75">
        <f t="shared" si="2"/>
        <v>154.54545454545453</v>
      </c>
      <c r="E27" s="75">
        <f t="shared" si="0"/>
        <v>15.454545454545453</v>
      </c>
      <c r="F27" s="75">
        <v>170</v>
      </c>
      <c r="G27" s="75">
        <v>50</v>
      </c>
      <c r="H27" s="58">
        <f t="shared" si="1"/>
        <v>120</v>
      </c>
      <c r="I27" s="14" t="s">
        <v>3666</v>
      </c>
      <c r="J27" s="75">
        <v>170</v>
      </c>
      <c r="K27" s="75"/>
      <c r="L27" s="14"/>
      <c r="M27" s="75"/>
      <c r="N27" s="14"/>
      <c r="O27" s="14"/>
    </row>
    <row r="28" spans="1:15" x14ac:dyDescent="0.25">
      <c r="A28" s="86">
        <v>45570</v>
      </c>
      <c r="B28" s="55" t="s">
        <v>3236</v>
      </c>
      <c r="C28" s="55" t="s">
        <v>43</v>
      </c>
      <c r="D28" s="75">
        <f t="shared" si="2"/>
        <v>154.54545454545453</v>
      </c>
      <c r="E28" s="75">
        <f t="shared" si="0"/>
        <v>15.454545454545453</v>
      </c>
      <c r="F28" s="75">
        <v>170</v>
      </c>
      <c r="G28" s="75">
        <v>50</v>
      </c>
      <c r="H28" s="58">
        <f t="shared" si="1"/>
        <v>120</v>
      </c>
      <c r="I28" s="14" t="s">
        <v>3667</v>
      </c>
      <c r="J28" s="75">
        <v>170</v>
      </c>
      <c r="K28" s="75"/>
      <c r="L28" s="14"/>
      <c r="M28" s="75"/>
      <c r="N28" s="14"/>
      <c r="O28" s="14"/>
    </row>
    <row r="29" spans="1:15" x14ac:dyDescent="0.25">
      <c r="A29" s="86">
        <v>45571</v>
      </c>
      <c r="B29" s="55" t="s">
        <v>3237</v>
      </c>
      <c r="C29" s="55" t="s">
        <v>43</v>
      </c>
      <c r="D29" s="75">
        <f t="shared" si="2"/>
        <v>163.63636363636363</v>
      </c>
      <c r="E29" s="75">
        <f t="shared" si="0"/>
        <v>16.363636363636363</v>
      </c>
      <c r="F29" s="75">
        <v>180</v>
      </c>
      <c r="G29" s="75"/>
      <c r="H29" s="58">
        <f t="shared" si="1"/>
        <v>180</v>
      </c>
      <c r="I29" s="14" t="s">
        <v>603</v>
      </c>
      <c r="J29" s="75">
        <v>180</v>
      </c>
      <c r="K29" s="75"/>
      <c r="L29" s="14"/>
      <c r="M29" s="75"/>
      <c r="N29" s="14"/>
      <c r="O29" s="14"/>
    </row>
    <row r="30" spans="1:15" x14ac:dyDescent="0.25">
      <c r="A30" s="86">
        <v>45576</v>
      </c>
      <c r="B30" s="55" t="s">
        <v>3238</v>
      </c>
      <c r="C30" s="55" t="s">
        <v>43</v>
      </c>
      <c r="D30" s="75">
        <f t="shared" si="2"/>
        <v>263.63636363636363</v>
      </c>
      <c r="E30" s="75">
        <f t="shared" si="0"/>
        <v>26.36363636363636</v>
      </c>
      <c r="F30" s="75">
        <v>290</v>
      </c>
      <c r="G30" s="75">
        <v>50</v>
      </c>
      <c r="H30" s="58">
        <f t="shared" si="1"/>
        <v>240</v>
      </c>
      <c r="I30" s="14" t="s">
        <v>3796</v>
      </c>
      <c r="J30" s="75">
        <v>270</v>
      </c>
      <c r="K30" s="75">
        <v>20</v>
      </c>
      <c r="L30" s="14" t="s">
        <v>252</v>
      </c>
      <c r="M30" s="75"/>
      <c r="N30" s="14"/>
      <c r="O30" s="14"/>
    </row>
    <row r="31" spans="1:15" x14ac:dyDescent="0.25">
      <c r="A31" s="86">
        <v>45576</v>
      </c>
      <c r="B31" s="55" t="s">
        <v>3239</v>
      </c>
      <c r="C31" s="55" t="s">
        <v>43</v>
      </c>
      <c r="D31" s="75">
        <f t="shared" si="2"/>
        <v>281.81818181818181</v>
      </c>
      <c r="E31" s="75">
        <f t="shared" si="0"/>
        <v>28.18181818181818</v>
      </c>
      <c r="F31" s="75">
        <v>310</v>
      </c>
      <c r="G31" s="75">
        <v>50</v>
      </c>
      <c r="H31" s="58">
        <f t="shared" si="1"/>
        <v>260</v>
      </c>
      <c r="I31" s="14" t="s">
        <v>3794</v>
      </c>
      <c r="J31" s="75">
        <v>270</v>
      </c>
      <c r="K31" s="75">
        <v>40</v>
      </c>
      <c r="L31" s="14" t="s">
        <v>252</v>
      </c>
      <c r="M31" s="75"/>
      <c r="N31" s="14"/>
      <c r="O31" s="14"/>
    </row>
    <row r="32" spans="1:15" x14ac:dyDescent="0.25">
      <c r="A32" s="86">
        <v>45576</v>
      </c>
      <c r="B32" s="55" t="s">
        <v>3240</v>
      </c>
      <c r="C32" s="55" t="s">
        <v>43</v>
      </c>
      <c r="D32" s="75">
        <f t="shared" si="2"/>
        <v>181.81818181818181</v>
      </c>
      <c r="E32" s="75">
        <f t="shared" si="0"/>
        <v>18.18181818181818</v>
      </c>
      <c r="F32" s="75">
        <v>200</v>
      </c>
      <c r="G32" s="75">
        <v>50</v>
      </c>
      <c r="H32" s="58">
        <f t="shared" si="1"/>
        <v>150</v>
      </c>
      <c r="I32" s="14" t="s">
        <v>3797</v>
      </c>
      <c r="J32" s="75">
        <v>170</v>
      </c>
      <c r="K32" s="75">
        <v>30</v>
      </c>
      <c r="L32" s="14" t="s">
        <v>252</v>
      </c>
      <c r="M32" s="75"/>
      <c r="N32" s="14"/>
      <c r="O32" s="14"/>
    </row>
    <row r="33" spans="1:15" x14ac:dyDescent="0.25">
      <c r="A33" s="86">
        <v>45576</v>
      </c>
      <c r="B33" s="55" t="s">
        <v>3241</v>
      </c>
      <c r="C33" s="55" t="s">
        <v>43</v>
      </c>
      <c r="D33" s="75">
        <f t="shared" si="2"/>
        <v>409.09090909090907</v>
      </c>
      <c r="E33" s="75">
        <f t="shared" si="0"/>
        <v>40.909090909090907</v>
      </c>
      <c r="F33" s="75">
        <v>450</v>
      </c>
      <c r="G33" s="75">
        <v>450</v>
      </c>
      <c r="H33" s="58">
        <f t="shared" si="1"/>
        <v>0</v>
      </c>
      <c r="I33" s="14" t="s">
        <v>3799</v>
      </c>
      <c r="J33" s="75">
        <v>340</v>
      </c>
      <c r="K33" s="75">
        <v>110</v>
      </c>
      <c r="L33" s="14" t="s">
        <v>252</v>
      </c>
      <c r="M33" s="75"/>
      <c r="N33" s="14"/>
      <c r="O33" s="14"/>
    </row>
    <row r="34" spans="1:15" x14ac:dyDescent="0.25">
      <c r="A34" s="86">
        <v>45576</v>
      </c>
      <c r="B34" s="55" t="s">
        <v>3242</v>
      </c>
      <c r="C34" s="55" t="s">
        <v>43</v>
      </c>
      <c r="D34" s="75">
        <f t="shared" si="2"/>
        <v>154.54545454545453</v>
      </c>
      <c r="E34" s="75">
        <f t="shared" si="0"/>
        <v>15.454545454545453</v>
      </c>
      <c r="F34" s="75">
        <v>170</v>
      </c>
      <c r="G34" s="75">
        <v>50</v>
      </c>
      <c r="H34" s="58">
        <f t="shared" si="1"/>
        <v>120</v>
      </c>
      <c r="I34" s="14" t="s">
        <v>3800</v>
      </c>
      <c r="J34" s="75">
        <v>170</v>
      </c>
      <c r="K34" s="75"/>
      <c r="L34" s="14"/>
      <c r="M34" s="75"/>
      <c r="N34" s="14"/>
      <c r="O34" s="14"/>
    </row>
    <row r="35" spans="1:15" x14ac:dyDescent="0.25">
      <c r="A35" s="86">
        <v>45576</v>
      </c>
      <c r="B35" s="55" t="s">
        <v>3243</v>
      </c>
      <c r="C35" s="55" t="s">
        <v>43</v>
      </c>
      <c r="D35" s="75">
        <f t="shared" si="2"/>
        <v>463.63636363636363</v>
      </c>
      <c r="E35" s="75">
        <f t="shared" si="0"/>
        <v>46.36363636363636</v>
      </c>
      <c r="F35" s="75">
        <v>510</v>
      </c>
      <c r="G35" s="75">
        <v>100</v>
      </c>
      <c r="H35" s="58">
        <f t="shared" si="1"/>
        <v>410</v>
      </c>
      <c r="I35" s="14" t="s">
        <v>3801</v>
      </c>
      <c r="J35" s="75">
        <v>510</v>
      </c>
      <c r="K35" s="75"/>
      <c r="L35" s="14"/>
      <c r="M35" s="75"/>
      <c r="N35" s="14"/>
      <c r="O35" s="14"/>
    </row>
    <row r="36" spans="1:15" x14ac:dyDescent="0.25">
      <c r="A36" s="86">
        <v>45576</v>
      </c>
      <c r="B36" s="55" t="s">
        <v>3244</v>
      </c>
      <c r="C36" s="55" t="s">
        <v>43</v>
      </c>
      <c r="D36" s="75">
        <f t="shared" si="2"/>
        <v>209.09090909090907</v>
      </c>
      <c r="E36" s="75">
        <f t="shared" si="0"/>
        <v>20.909090909090907</v>
      </c>
      <c r="F36" s="75">
        <v>230</v>
      </c>
      <c r="G36" s="75"/>
      <c r="H36" s="58">
        <f t="shared" si="1"/>
        <v>230</v>
      </c>
      <c r="I36" s="14" t="s">
        <v>603</v>
      </c>
      <c r="J36" s="75">
        <v>230</v>
      </c>
      <c r="K36" s="75"/>
      <c r="L36" s="14"/>
      <c r="M36" s="75"/>
      <c r="N36" s="14"/>
      <c r="O36" s="14"/>
    </row>
    <row r="37" spans="1:15" x14ac:dyDescent="0.25">
      <c r="A37" s="86">
        <v>45576</v>
      </c>
      <c r="B37" s="55" t="s">
        <v>3245</v>
      </c>
      <c r="C37" s="55" t="s">
        <v>43</v>
      </c>
      <c r="D37" s="75">
        <f t="shared" si="2"/>
        <v>336.36363636363632</v>
      </c>
      <c r="E37" s="75">
        <f t="shared" si="0"/>
        <v>33.636363636363633</v>
      </c>
      <c r="F37" s="75">
        <v>370</v>
      </c>
      <c r="G37" s="75">
        <v>50</v>
      </c>
      <c r="H37" s="58">
        <f t="shared" si="1"/>
        <v>320</v>
      </c>
      <c r="I37" s="14" t="s">
        <v>3802</v>
      </c>
      <c r="J37" s="75">
        <v>370</v>
      </c>
      <c r="K37" s="75"/>
      <c r="L37" s="14"/>
      <c r="M37" s="75"/>
      <c r="N37" s="14"/>
      <c r="O37" s="14"/>
    </row>
    <row r="38" spans="1:15" x14ac:dyDescent="0.25">
      <c r="A38" s="86">
        <v>45576</v>
      </c>
      <c r="B38" s="55" t="s">
        <v>3246</v>
      </c>
      <c r="C38" s="55" t="s">
        <v>43</v>
      </c>
      <c r="D38" s="75">
        <f t="shared" si="2"/>
        <v>172.72727272727272</v>
      </c>
      <c r="E38" s="75">
        <f t="shared" si="0"/>
        <v>17.272727272727273</v>
      </c>
      <c r="F38" s="75">
        <v>190</v>
      </c>
      <c r="G38" s="75">
        <v>50</v>
      </c>
      <c r="H38" s="58">
        <f t="shared" si="1"/>
        <v>140</v>
      </c>
      <c r="I38" s="14" t="s">
        <v>3803</v>
      </c>
      <c r="J38" s="75">
        <v>190</v>
      </c>
      <c r="K38" s="75"/>
      <c r="L38" s="14"/>
      <c r="M38" s="75"/>
      <c r="N38" s="14"/>
      <c r="O38" s="14"/>
    </row>
    <row r="39" spans="1:15" x14ac:dyDescent="0.25">
      <c r="A39" s="86">
        <v>45576</v>
      </c>
      <c r="B39" s="55" t="s">
        <v>3247</v>
      </c>
      <c r="C39" s="55" t="s">
        <v>43</v>
      </c>
      <c r="D39" s="75">
        <f t="shared" si="2"/>
        <v>172.72727272727272</v>
      </c>
      <c r="E39" s="75">
        <f t="shared" si="0"/>
        <v>17.272727272727273</v>
      </c>
      <c r="F39" s="75">
        <v>190</v>
      </c>
      <c r="G39" s="75"/>
      <c r="H39" s="58">
        <f t="shared" si="1"/>
        <v>190</v>
      </c>
      <c r="I39" s="14" t="s">
        <v>603</v>
      </c>
      <c r="J39" s="75">
        <v>190</v>
      </c>
      <c r="K39" s="75"/>
      <c r="L39" s="14"/>
      <c r="M39" s="75"/>
      <c r="N39" s="14"/>
      <c r="O39" s="14"/>
    </row>
    <row r="40" spans="1:15" x14ac:dyDescent="0.25">
      <c r="A40" s="86">
        <v>45577</v>
      </c>
      <c r="B40" s="55" t="s">
        <v>3248</v>
      </c>
      <c r="C40" s="55" t="s">
        <v>43</v>
      </c>
      <c r="D40" s="75">
        <f t="shared" si="2"/>
        <v>281.81818181818181</v>
      </c>
      <c r="E40" s="75">
        <f t="shared" si="0"/>
        <v>28.18181818181818</v>
      </c>
      <c r="F40" s="75">
        <v>310</v>
      </c>
      <c r="G40" s="75">
        <v>50</v>
      </c>
      <c r="H40" s="58">
        <f t="shared" si="1"/>
        <v>260</v>
      </c>
      <c r="I40" s="14" t="s">
        <v>3804</v>
      </c>
      <c r="J40" s="75">
        <v>270</v>
      </c>
      <c r="K40" s="75">
        <v>40</v>
      </c>
      <c r="L40" s="14" t="s">
        <v>252</v>
      </c>
      <c r="M40" s="75"/>
      <c r="N40" s="14"/>
      <c r="O40" s="14"/>
    </row>
    <row r="41" spans="1:15" x14ac:dyDescent="0.25">
      <c r="A41" s="86">
        <v>45577</v>
      </c>
      <c r="B41" s="55" t="s">
        <v>3249</v>
      </c>
      <c r="C41" s="55" t="s">
        <v>43</v>
      </c>
      <c r="D41" s="75">
        <f t="shared" si="2"/>
        <v>245.45454545454544</v>
      </c>
      <c r="E41" s="75">
        <f t="shared" si="0"/>
        <v>24.545454545454547</v>
      </c>
      <c r="F41" s="75">
        <v>270</v>
      </c>
      <c r="G41" s="75">
        <v>50</v>
      </c>
      <c r="H41" s="58">
        <f t="shared" si="1"/>
        <v>220</v>
      </c>
      <c r="I41" s="14" t="s">
        <v>3805</v>
      </c>
      <c r="J41" s="75">
        <v>270</v>
      </c>
      <c r="K41" s="75"/>
      <c r="L41" s="14"/>
      <c r="M41" s="75"/>
      <c r="N41" s="14"/>
      <c r="O41" s="14"/>
    </row>
    <row r="42" spans="1:15" x14ac:dyDescent="0.25">
      <c r="A42" s="86">
        <v>45577</v>
      </c>
      <c r="B42" s="55" t="s">
        <v>3250</v>
      </c>
      <c r="C42" s="55" t="s">
        <v>43</v>
      </c>
      <c r="D42" s="75">
        <f t="shared" si="2"/>
        <v>245.45454545454544</v>
      </c>
      <c r="E42" s="75">
        <f t="shared" si="0"/>
        <v>24.545454545454547</v>
      </c>
      <c r="F42" s="75">
        <v>270</v>
      </c>
      <c r="G42" s="75">
        <v>50</v>
      </c>
      <c r="H42" s="58">
        <f t="shared" si="1"/>
        <v>220</v>
      </c>
      <c r="I42" s="14" t="s">
        <v>3806</v>
      </c>
      <c r="J42" s="75">
        <v>270</v>
      </c>
      <c r="K42" s="75"/>
      <c r="L42" s="14"/>
      <c r="M42" s="75"/>
      <c r="N42" s="14"/>
      <c r="O42" s="14"/>
    </row>
    <row r="43" spans="1:15" x14ac:dyDescent="0.25">
      <c r="A43" s="86">
        <v>45577</v>
      </c>
      <c r="B43" s="55" t="s">
        <v>3251</v>
      </c>
      <c r="C43" s="55" t="s">
        <v>43</v>
      </c>
      <c r="D43" s="75">
        <f t="shared" si="2"/>
        <v>263.63636363636363</v>
      </c>
      <c r="E43" s="75">
        <f t="shared" si="0"/>
        <v>26.36363636363636</v>
      </c>
      <c r="F43" s="75">
        <v>290</v>
      </c>
      <c r="G43" s="75">
        <v>50</v>
      </c>
      <c r="H43" s="58">
        <f t="shared" si="1"/>
        <v>240</v>
      </c>
      <c r="I43" s="14" t="s">
        <v>3807</v>
      </c>
      <c r="J43" s="75">
        <v>270</v>
      </c>
      <c r="K43" s="75">
        <v>20</v>
      </c>
      <c r="L43" s="14" t="s">
        <v>252</v>
      </c>
      <c r="M43" s="75"/>
      <c r="N43" s="14"/>
      <c r="O43" s="14"/>
    </row>
    <row r="44" spans="1:15" x14ac:dyDescent="0.25">
      <c r="A44" s="86">
        <v>45577</v>
      </c>
      <c r="B44" s="55" t="s">
        <v>3252</v>
      </c>
      <c r="C44" s="55" t="s">
        <v>43</v>
      </c>
      <c r="D44" s="75">
        <f t="shared" si="2"/>
        <v>281.81818181818181</v>
      </c>
      <c r="E44" s="75">
        <f t="shared" si="0"/>
        <v>28.18181818181818</v>
      </c>
      <c r="F44" s="75">
        <v>310</v>
      </c>
      <c r="G44" s="75">
        <v>50</v>
      </c>
      <c r="H44" s="58">
        <f t="shared" si="1"/>
        <v>260</v>
      </c>
      <c r="I44" s="187" t="s">
        <v>3808</v>
      </c>
      <c r="J44" s="75">
        <v>270</v>
      </c>
      <c r="K44" s="75">
        <v>40</v>
      </c>
      <c r="L44" s="14" t="s">
        <v>252</v>
      </c>
      <c r="M44" s="75"/>
      <c r="N44" s="14"/>
      <c r="O44" s="14"/>
    </row>
    <row r="45" spans="1:15" x14ac:dyDescent="0.25">
      <c r="A45" s="86">
        <v>45577</v>
      </c>
      <c r="B45" s="55" t="s">
        <v>3253</v>
      </c>
      <c r="C45" s="55" t="s">
        <v>43</v>
      </c>
      <c r="D45" s="75">
        <f t="shared" si="2"/>
        <v>545.45454545454538</v>
      </c>
      <c r="E45" s="75">
        <f t="shared" si="0"/>
        <v>54.54545454545454</v>
      </c>
      <c r="F45" s="75">
        <v>600</v>
      </c>
      <c r="G45" s="75">
        <v>50</v>
      </c>
      <c r="H45" s="58">
        <f t="shared" si="1"/>
        <v>550</v>
      </c>
      <c r="I45" s="14" t="s">
        <v>3810</v>
      </c>
      <c r="J45" s="75">
        <v>600</v>
      </c>
      <c r="K45" s="75"/>
      <c r="L45" s="14"/>
      <c r="M45" s="75"/>
      <c r="N45" s="14"/>
      <c r="O45" s="14"/>
    </row>
    <row r="46" spans="1:15" x14ac:dyDescent="0.25">
      <c r="A46" s="86">
        <v>45577</v>
      </c>
      <c r="B46" s="55" t="s">
        <v>3254</v>
      </c>
      <c r="C46" s="55" t="s">
        <v>43</v>
      </c>
      <c r="D46" s="75">
        <f t="shared" si="2"/>
        <v>245.45454545454544</v>
      </c>
      <c r="E46" s="75">
        <f t="shared" si="0"/>
        <v>24.545454545454547</v>
      </c>
      <c r="F46" s="75">
        <v>270</v>
      </c>
      <c r="G46" s="75">
        <v>50</v>
      </c>
      <c r="H46" s="58">
        <f t="shared" si="1"/>
        <v>220</v>
      </c>
      <c r="I46" s="14" t="s">
        <v>3811</v>
      </c>
      <c r="J46" s="75">
        <v>270</v>
      </c>
      <c r="K46" s="75"/>
      <c r="L46" s="14"/>
      <c r="M46" s="75"/>
      <c r="N46" s="14"/>
      <c r="O46" s="14"/>
    </row>
    <row r="47" spans="1:15" x14ac:dyDescent="0.25">
      <c r="A47" s="86">
        <v>45577</v>
      </c>
      <c r="B47" s="55" t="s">
        <v>3255</v>
      </c>
      <c r="C47" s="55" t="s">
        <v>43</v>
      </c>
      <c r="D47" s="75">
        <f t="shared" si="2"/>
        <v>240.90909090909088</v>
      </c>
      <c r="E47" s="75">
        <f t="shared" si="0"/>
        <v>24.09090909090909</v>
      </c>
      <c r="F47" s="75">
        <v>265</v>
      </c>
      <c r="G47" s="75">
        <v>50</v>
      </c>
      <c r="H47" s="58">
        <f t="shared" si="1"/>
        <v>215</v>
      </c>
      <c r="I47" s="14" t="s">
        <v>3812</v>
      </c>
      <c r="J47" s="75">
        <v>220</v>
      </c>
      <c r="K47" s="75"/>
      <c r="L47" s="14"/>
      <c r="M47" s="75">
        <v>45</v>
      </c>
      <c r="N47" s="14" t="s">
        <v>45</v>
      </c>
      <c r="O47" s="14"/>
    </row>
    <row r="48" spans="1:15" x14ac:dyDescent="0.25">
      <c r="A48" s="86">
        <v>45577</v>
      </c>
      <c r="B48" s="55" t="s">
        <v>3256</v>
      </c>
      <c r="C48" s="55" t="s">
        <v>43</v>
      </c>
      <c r="D48" s="75">
        <f t="shared" si="2"/>
        <v>236.36363636363635</v>
      </c>
      <c r="E48" s="75">
        <f t="shared" si="0"/>
        <v>23.636363636363637</v>
      </c>
      <c r="F48" s="75">
        <v>260</v>
      </c>
      <c r="G48" s="75">
        <v>50</v>
      </c>
      <c r="H48" s="58">
        <f t="shared" si="1"/>
        <v>210</v>
      </c>
      <c r="I48" s="14" t="s">
        <v>3813</v>
      </c>
      <c r="J48" s="75">
        <v>270</v>
      </c>
      <c r="K48" s="75">
        <v>40</v>
      </c>
      <c r="L48" s="14" t="s">
        <v>252</v>
      </c>
      <c r="M48" s="75"/>
      <c r="N48" s="14"/>
      <c r="O48" s="14"/>
    </row>
    <row r="49" spans="1:15" x14ac:dyDescent="0.25">
      <c r="A49" s="86">
        <v>45577</v>
      </c>
      <c r="B49" s="55" t="s">
        <v>3257</v>
      </c>
      <c r="C49" s="55" t="s">
        <v>43</v>
      </c>
      <c r="D49" s="75">
        <f t="shared" si="2"/>
        <v>363.63636363636363</v>
      </c>
      <c r="E49" s="75">
        <f t="shared" si="0"/>
        <v>36.36363636363636</v>
      </c>
      <c r="F49" s="75">
        <v>400</v>
      </c>
      <c r="G49" s="75">
        <v>100</v>
      </c>
      <c r="H49" s="58">
        <f t="shared" si="1"/>
        <v>300</v>
      </c>
      <c r="I49" s="14" t="s">
        <v>3814</v>
      </c>
      <c r="J49" s="75">
        <v>400</v>
      </c>
      <c r="K49" s="75"/>
      <c r="L49" s="14"/>
      <c r="M49" s="75"/>
      <c r="N49" s="14"/>
      <c r="O49" s="14"/>
    </row>
    <row r="50" spans="1:15" x14ac:dyDescent="0.25">
      <c r="A50" s="86">
        <v>45577</v>
      </c>
      <c r="B50" s="55" t="s">
        <v>3258</v>
      </c>
      <c r="C50" s="55" t="s">
        <v>43</v>
      </c>
      <c r="D50" s="75">
        <f t="shared" si="2"/>
        <v>736.36363636363626</v>
      </c>
      <c r="E50" s="75">
        <f t="shared" si="0"/>
        <v>73.636363636363626</v>
      </c>
      <c r="F50" s="75">
        <v>810</v>
      </c>
      <c r="G50" s="75">
        <v>100</v>
      </c>
      <c r="H50" s="58">
        <f t="shared" si="1"/>
        <v>710</v>
      </c>
      <c r="I50" s="14" t="s">
        <v>3815</v>
      </c>
      <c r="J50" s="75">
        <v>810</v>
      </c>
      <c r="K50" s="75"/>
      <c r="L50" s="14"/>
      <c r="M50" s="75"/>
      <c r="N50" s="14"/>
      <c r="O50" s="14"/>
    </row>
    <row r="51" spans="1:15" x14ac:dyDescent="0.25">
      <c r="A51" s="86">
        <v>45577</v>
      </c>
      <c r="B51" s="55" t="s">
        <v>3259</v>
      </c>
      <c r="C51" s="55" t="s">
        <v>43</v>
      </c>
      <c r="D51" s="75">
        <f t="shared" si="2"/>
        <v>172.72727272727272</v>
      </c>
      <c r="E51" s="75">
        <f t="shared" si="0"/>
        <v>17.272727272727273</v>
      </c>
      <c r="F51" s="75">
        <v>190</v>
      </c>
      <c r="G51" s="75"/>
      <c r="H51" s="58">
        <f t="shared" si="1"/>
        <v>190</v>
      </c>
      <c r="I51" s="14" t="s">
        <v>3816</v>
      </c>
      <c r="J51" s="75">
        <v>190</v>
      </c>
      <c r="K51" s="75"/>
      <c r="L51" s="14"/>
      <c r="M51" s="75"/>
      <c r="N51" s="14"/>
      <c r="O51" s="14"/>
    </row>
    <row r="52" spans="1:15" x14ac:dyDescent="0.25">
      <c r="A52" s="86">
        <v>45577</v>
      </c>
      <c r="B52" s="55" t="s">
        <v>3260</v>
      </c>
      <c r="C52" s="55" t="s">
        <v>43</v>
      </c>
      <c r="D52" s="75">
        <f t="shared" si="2"/>
        <v>263.63636363636363</v>
      </c>
      <c r="E52" s="75">
        <f t="shared" si="0"/>
        <v>26.36363636363636</v>
      </c>
      <c r="F52" s="75">
        <v>290</v>
      </c>
      <c r="G52" s="75">
        <v>290</v>
      </c>
      <c r="H52" s="58">
        <f t="shared" si="1"/>
        <v>0</v>
      </c>
      <c r="I52" s="14" t="s">
        <v>3817</v>
      </c>
      <c r="J52" s="75">
        <v>270</v>
      </c>
      <c r="K52" s="75"/>
      <c r="L52" s="14"/>
      <c r="M52" s="75"/>
      <c r="N52" s="14"/>
      <c r="O52" s="75"/>
    </row>
    <row r="53" spans="1:15" x14ac:dyDescent="0.25">
      <c r="A53" s="86">
        <v>45577</v>
      </c>
      <c r="B53" s="55" t="s">
        <v>3261</v>
      </c>
      <c r="C53" s="55" t="s">
        <v>43</v>
      </c>
      <c r="D53" s="75">
        <f t="shared" si="2"/>
        <v>172.72727272727272</v>
      </c>
      <c r="E53" s="75">
        <f t="shared" si="0"/>
        <v>17.272727272727273</v>
      </c>
      <c r="F53" s="75">
        <v>190</v>
      </c>
      <c r="G53" s="75">
        <v>50</v>
      </c>
      <c r="H53" s="58">
        <f t="shared" si="1"/>
        <v>140</v>
      </c>
      <c r="I53" s="14" t="s">
        <v>3818</v>
      </c>
      <c r="J53" s="75">
        <v>170</v>
      </c>
      <c r="K53" s="75">
        <v>20</v>
      </c>
      <c r="L53" s="14" t="s">
        <v>252</v>
      </c>
      <c r="M53" s="75"/>
      <c r="N53" s="14"/>
      <c r="O53" s="14"/>
    </row>
    <row r="54" spans="1:15" x14ac:dyDescent="0.25">
      <c r="A54" s="86">
        <v>45577</v>
      </c>
      <c r="B54" s="55" t="s">
        <v>3262</v>
      </c>
      <c r="C54" s="55" t="s">
        <v>43</v>
      </c>
      <c r="D54" s="75">
        <f t="shared" si="2"/>
        <v>172.72727272727272</v>
      </c>
      <c r="E54" s="75">
        <f t="shared" si="0"/>
        <v>17.272727272727273</v>
      </c>
      <c r="F54" s="75">
        <v>190</v>
      </c>
      <c r="G54" s="75">
        <v>50</v>
      </c>
      <c r="H54" s="58">
        <f t="shared" si="1"/>
        <v>140</v>
      </c>
      <c r="I54" s="14" t="s">
        <v>3819</v>
      </c>
      <c r="J54" s="75">
        <v>170</v>
      </c>
      <c r="K54" s="75">
        <v>20</v>
      </c>
      <c r="L54" s="14" t="s">
        <v>252</v>
      </c>
      <c r="M54" s="75"/>
      <c r="N54" s="14"/>
      <c r="O54" s="14"/>
    </row>
    <row r="55" spans="1:15" x14ac:dyDescent="0.25">
      <c r="A55" s="86">
        <v>45577</v>
      </c>
      <c r="B55" s="55" t="s">
        <v>3263</v>
      </c>
      <c r="C55" s="55" t="s">
        <v>43</v>
      </c>
      <c r="D55" s="75">
        <f t="shared" si="2"/>
        <v>190.90909090909091</v>
      </c>
      <c r="E55" s="75">
        <f t="shared" si="0"/>
        <v>19.09090909090909</v>
      </c>
      <c r="F55" s="75">
        <v>210</v>
      </c>
      <c r="G55" s="75">
        <v>50</v>
      </c>
      <c r="H55" s="58">
        <f t="shared" si="1"/>
        <v>160</v>
      </c>
      <c r="I55" s="14" t="s">
        <v>3820</v>
      </c>
      <c r="J55" s="75">
        <v>170</v>
      </c>
      <c r="K55" s="75">
        <v>40</v>
      </c>
      <c r="L55" s="14" t="s">
        <v>252</v>
      </c>
      <c r="M55" s="75"/>
      <c r="N55" s="14"/>
      <c r="O55" s="14"/>
    </row>
    <row r="56" spans="1:15" x14ac:dyDescent="0.25">
      <c r="A56" s="86">
        <v>45577</v>
      </c>
      <c r="B56" s="55" t="s">
        <v>3264</v>
      </c>
      <c r="C56" s="55" t="s">
        <v>43</v>
      </c>
      <c r="D56" s="75">
        <f t="shared" si="2"/>
        <v>154.54545454545453</v>
      </c>
      <c r="E56" s="75">
        <f t="shared" si="0"/>
        <v>15.454545454545453</v>
      </c>
      <c r="F56" s="75">
        <v>170</v>
      </c>
      <c r="G56" s="75">
        <v>50</v>
      </c>
      <c r="H56" s="58">
        <f t="shared" si="1"/>
        <v>120</v>
      </c>
      <c r="I56" s="14" t="s">
        <v>3821</v>
      </c>
      <c r="J56" s="75">
        <v>170</v>
      </c>
      <c r="K56" s="75"/>
      <c r="L56" s="14"/>
      <c r="M56" s="75"/>
      <c r="N56" s="14"/>
      <c r="O56" s="14"/>
    </row>
    <row r="57" spans="1:15" x14ac:dyDescent="0.25">
      <c r="A57" s="86">
        <v>45577</v>
      </c>
      <c r="B57" s="55" t="s">
        <v>3265</v>
      </c>
      <c r="C57" s="55" t="s">
        <v>43</v>
      </c>
      <c r="D57" s="75">
        <f t="shared" si="2"/>
        <v>172.72727272727272</v>
      </c>
      <c r="E57" s="75">
        <f t="shared" si="0"/>
        <v>17.272727272727273</v>
      </c>
      <c r="F57" s="75">
        <v>190</v>
      </c>
      <c r="G57" s="75">
        <v>50</v>
      </c>
      <c r="H57" s="58">
        <f t="shared" si="1"/>
        <v>140</v>
      </c>
      <c r="I57" s="14" t="s">
        <v>3822</v>
      </c>
      <c r="J57" s="75">
        <v>170</v>
      </c>
      <c r="K57" s="75">
        <v>20</v>
      </c>
      <c r="L57" s="14" t="s">
        <v>252</v>
      </c>
      <c r="M57" s="75"/>
      <c r="N57" s="14"/>
      <c r="O57" s="14"/>
    </row>
    <row r="58" spans="1:15" x14ac:dyDescent="0.25">
      <c r="A58" s="86">
        <v>45577</v>
      </c>
      <c r="B58" s="55" t="s">
        <v>3266</v>
      </c>
      <c r="C58" s="55" t="s">
        <v>43</v>
      </c>
      <c r="D58" s="75">
        <f t="shared" si="2"/>
        <v>327.27272727272725</v>
      </c>
      <c r="E58" s="75">
        <f t="shared" si="0"/>
        <v>32.727272727272727</v>
      </c>
      <c r="F58" s="75">
        <v>360</v>
      </c>
      <c r="G58" s="75">
        <v>50</v>
      </c>
      <c r="H58" s="58">
        <f t="shared" si="1"/>
        <v>310</v>
      </c>
      <c r="I58" s="14" t="s">
        <v>3823</v>
      </c>
      <c r="J58" s="75">
        <v>360</v>
      </c>
      <c r="K58" s="75"/>
      <c r="L58" s="14"/>
      <c r="M58" s="75"/>
      <c r="N58" s="14"/>
      <c r="O58" s="14"/>
    </row>
    <row r="59" spans="1:15" x14ac:dyDescent="0.25">
      <c r="A59" s="86">
        <v>45577</v>
      </c>
      <c r="B59" s="55" t="s">
        <v>3267</v>
      </c>
      <c r="C59" s="55" t="s">
        <v>43</v>
      </c>
      <c r="D59" s="75">
        <f t="shared" si="2"/>
        <v>336.36363636363632</v>
      </c>
      <c r="E59" s="75">
        <f t="shared" si="0"/>
        <v>33.636363636363633</v>
      </c>
      <c r="F59" s="75">
        <v>370</v>
      </c>
      <c r="G59" s="75">
        <v>50</v>
      </c>
      <c r="H59" s="58">
        <f t="shared" si="1"/>
        <v>320</v>
      </c>
      <c r="I59" s="14" t="s">
        <v>3824</v>
      </c>
      <c r="J59" s="75">
        <v>370</v>
      </c>
      <c r="K59" s="75"/>
      <c r="L59" s="14"/>
      <c r="M59" s="75"/>
      <c r="N59" s="14"/>
      <c r="O59" s="14"/>
    </row>
    <row r="60" spans="1:15" x14ac:dyDescent="0.25">
      <c r="A60" s="86">
        <v>45577</v>
      </c>
      <c r="B60" s="55" t="s">
        <v>3268</v>
      </c>
      <c r="C60" s="55" t="s">
        <v>43</v>
      </c>
      <c r="D60" s="75">
        <f t="shared" si="2"/>
        <v>154.54545454545453</v>
      </c>
      <c r="E60" s="75">
        <f t="shared" si="0"/>
        <v>15.454545454545453</v>
      </c>
      <c r="F60" s="75">
        <v>170</v>
      </c>
      <c r="G60" s="75">
        <v>170</v>
      </c>
      <c r="H60" s="58">
        <f t="shared" si="1"/>
        <v>0</v>
      </c>
      <c r="I60" s="14" t="s">
        <v>3825</v>
      </c>
      <c r="J60" s="75">
        <v>170</v>
      </c>
      <c r="K60" s="75"/>
      <c r="L60" s="14"/>
      <c r="M60" s="75"/>
      <c r="N60" s="14"/>
      <c r="O60" s="14"/>
    </row>
    <row r="61" spans="1:15" x14ac:dyDescent="0.25">
      <c r="A61" s="86">
        <v>45577</v>
      </c>
      <c r="B61" s="55" t="s">
        <v>3269</v>
      </c>
      <c r="C61" s="55" t="s">
        <v>43</v>
      </c>
      <c r="D61" s="75">
        <f t="shared" si="2"/>
        <v>172.72727272727272</v>
      </c>
      <c r="E61" s="75">
        <f t="shared" si="0"/>
        <v>17.272727272727273</v>
      </c>
      <c r="F61" s="75">
        <v>190</v>
      </c>
      <c r="G61" s="75">
        <v>50</v>
      </c>
      <c r="H61" s="58">
        <f t="shared" si="1"/>
        <v>140</v>
      </c>
      <c r="I61" s="14" t="s">
        <v>3826</v>
      </c>
      <c r="J61" s="75">
        <v>170</v>
      </c>
      <c r="K61" s="75">
        <v>20</v>
      </c>
      <c r="L61" s="14" t="s">
        <v>252</v>
      </c>
      <c r="M61" s="75"/>
      <c r="N61" s="14"/>
      <c r="O61" s="14"/>
    </row>
    <row r="62" spans="1:15" x14ac:dyDescent="0.25">
      <c r="A62" s="86">
        <v>45577</v>
      </c>
      <c r="B62" s="55" t="s">
        <v>3270</v>
      </c>
      <c r="C62" s="55" t="s">
        <v>43</v>
      </c>
      <c r="D62" s="75">
        <f t="shared" si="2"/>
        <v>154.54545454545453</v>
      </c>
      <c r="E62" s="75">
        <f t="shared" si="0"/>
        <v>15.454545454545453</v>
      </c>
      <c r="F62" s="75">
        <v>170</v>
      </c>
      <c r="G62" s="75">
        <v>50</v>
      </c>
      <c r="H62" s="58">
        <f t="shared" si="1"/>
        <v>120</v>
      </c>
      <c r="I62" s="14" t="s">
        <v>3793</v>
      </c>
      <c r="J62" s="75">
        <v>170</v>
      </c>
      <c r="K62" s="75"/>
      <c r="L62" s="14"/>
      <c r="M62" s="75"/>
      <c r="N62" s="14"/>
      <c r="O62" s="14"/>
    </row>
    <row r="63" spans="1:15" x14ac:dyDescent="0.25">
      <c r="A63" s="86">
        <v>45577</v>
      </c>
      <c r="B63" s="55" t="s">
        <v>3271</v>
      </c>
      <c r="C63" s="55" t="s">
        <v>43</v>
      </c>
      <c r="D63" s="75">
        <f t="shared" si="2"/>
        <v>163.63636363636363</v>
      </c>
      <c r="E63" s="75">
        <f t="shared" si="0"/>
        <v>16.363636363636363</v>
      </c>
      <c r="F63" s="75">
        <v>180</v>
      </c>
      <c r="G63" s="75"/>
      <c r="H63" s="58">
        <f t="shared" si="1"/>
        <v>180</v>
      </c>
      <c r="I63" s="14" t="s">
        <v>603</v>
      </c>
      <c r="J63" s="75">
        <v>180</v>
      </c>
      <c r="K63" s="75"/>
      <c r="L63" s="14"/>
      <c r="M63" s="75"/>
      <c r="N63" s="14"/>
      <c r="O63" s="14"/>
    </row>
    <row r="64" spans="1:15" x14ac:dyDescent="0.25">
      <c r="A64" s="86">
        <v>45578</v>
      </c>
      <c r="B64" s="55" t="s">
        <v>3272</v>
      </c>
      <c r="C64" s="55" t="s">
        <v>43</v>
      </c>
      <c r="D64" s="75">
        <f t="shared" si="2"/>
        <v>199.99999999999997</v>
      </c>
      <c r="E64" s="75">
        <f t="shared" si="0"/>
        <v>19.999999999999996</v>
      </c>
      <c r="F64" s="75">
        <v>220</v>
      </c>
      <c r="G64" s="75">
        <v>50</v>
      </c>
      <c r="H64" s="58">
        <f t="shared" si="1"/>
        <v>170</v>
      </c>
      <c r="I64" s="14" t="s">
        <v>3827</v>
      </c>
      <c r="J64" s="75">
        <v>220</v>
      </c>
      <c r="K64" s="75"/>
      <c r="L64" s="14"/>
      <c r="M64" s="75"/>
      <c r="N64" s="14"/>
      <c r="O64" s="14"/>
    </row>
    <row r="65" spans="1:16" x14ac:dyDescent="0.25">
      <c r="A65" s="86">
        <v>45578</v>
      </c>
      <c r="B65" s="55" t="s">
        <v>3273</v>
      </c>
      <c r="C65" s="55" t="s">
        <v>43</v>
      </c>
      <c r="D65" s="75">
        <f t="shared" si="2"/>
        <v>259.09090909090907</v>
      </c>
      <c r="E65" s="75">
        <f t="shared" si="0"/>
        <v>25.909090909090907</v>
      </c>
      <c r="F65" s="75">
        <v>285</v>
      </c>
      <c r="G65" s="75">
        <v>50</v>
      </c>
      <c r="H65" s="58">
        <f t="shared" si="1"/>
        <v>235</v>
      </c>
      <c r="I65" s="14" t="s">
        <v>3828</v>
      </c>
      <c r="J65" s="75">
        <v>220</v>
      </c>
      <c r="K65" s="75">
        <v>20</v>
      </c>
      <c r="L65" s="14" t="s">
        <v>252</v>
      </c>
      <c r="M65" s="75">
        <v>45</v>
      </c>
      <c r="N65" s="14" t="s">
        <v>45</v>
      </c>
      <c r="O65" s="14"/>
    </row>
    <row r="66" spans="1:16" x14ac:dyDescent="0.25">
      <c r="A66" s="86">
        <v>45580</v>
      </c>
      <c r="B66" s="262" t="s">
        <v>3274</v>
      </c>
      <c r="C66" s="55" t="s">
        <v>43</v>
      </c>
      <c r="D66" s="75">
        <f t="shared" si="2"/>
        <v>172.72727272727272</v>
      </c>
      <c r="E66" s="75">
        <f t="shared" si="0"/>
        <v>17.272727272727273</v>
      </c>
      <c r="F66" s="75">
        <v>190</v>
      </c>
      <c r="G66" s="75">
        <v>190</v>
      </c>
      <c r="H66" s="58">
        <f t="shared" si="1"/>
        <v>0</v>
      </c>
      <c r="I66" s="14" t="s">
        <v>516</v>
      </c>
      <c r="J66" s="75">
        <v>190</v>
      </c>
      <c r="K66" s="75"/>
      <c r="L66" s="14"/>
      <c r="M66" s="75"/>
      <c r="N66" s="14"/>
      <c r="O66" s="14"/>
      <c r="P66" t="s">
        <v>3761</v>
      </c>
    </row>
    <row r="67" spans="1:16" x14ac:dyDescent="0.25">
      <c r="A67" s="38">
        <v>45580</v>
      </c>
      <c r="B67" s="55" t="s">
        <v>3275</v>
      </c>
      <c r="C67" s="55" t="s">
        <v>43</v>
      </c>
      <c r="D67" s="75">
        <f t="shared" si="2"/>
        <v>199.99999999999997</v>
      </c>
      <c r="E67" s="75">
        <f t="shared" ref="E67:E130" si="3">D67*10/100</f>
        <v>19.999999999999996</v>
      </c>
      <c r="F67" s="75">
        <v>220</v>
      </c>
      <c r="G67" s="75">
        <v>50</v>
      </c>
      <c r="H67" s="58">
        <f t="shared" ref="H67:H130" si="4">F67-G67</f>
        <v>170</v>
      </c>
      <c r="I67" s="14" t="s">
        <v>3829</v>
      </c>
      <c r="J67" s="75">
        <v>220</v>
      </c>
      <c r="K67" s="75"/>
      <c r="L67" s="14"/>
      <c r="M67" s="75"/>
      <c r="N67" s="14"/>
      <c r="O67" s="14"/>
    </row>
    <row r="68" spans="1:16" x14ac:dyDescent="0.25">
      <c r="A68" s="86">
        <v>45580</v>
      </c>
      <c r="B68" s="55" t="s">
        <v>3276</v>
      </c>
      <c r="C68" s="55" t="s">
        <v>43</v>
      </c>
      <c r="D68" s="75">
        <f t="shared" ref="D68:D131" si="5">F68/1.1</f>
        <v>245.45454545454544</v>
      </c>
      <c r="E68" s="75">
        <f t="shared" si="3"/>
        <v>24.545454545454547</v>
      </c>
      <c r="F68" s="75">
        <v>270</v>
      </c>
      <c r="G68" s="75">
        <v>50</v>
      </c>
      <c r="H68" s="58">
        <f t="shared" si="4"/>
        <v>220</v>
      </c>
      <c r="I68" s="14" t="s">
        <v>3830</v>
      </c>
      <c r="J68" s="75">
        <v>270</v>
      </c>
      <c r="K68" s="75"/>
      <c r="L68" s="14"/>
      <c r="M68" s="75"/>
      <c r="N68" s="14"/>
      <c r="O68" s="14"/>
    </row>
    <row r="69" spans="1:16" x14ac:dyDescent="0.25">
      <c r="A69" s="86">
        <v>45582</v>
      </c>
      <c r="B69" s="55" t="s">
        <v>3277</v>
      </c>
      <c r="C69" s="55" t="s">
        <v>43</v>
      </c>
      <c r="D69" s="75">
        <f t="shared" si="5"/>
        <v>154.54545454545453</v>
      </c>
      <c r="E69" s="75">
        <f t="shared" si="3"/>
        <v>15.454545454545453</v>
      </c>
      <c r="F69" s="75">
        <v>170</v>
      </c>
      <c r="G69" s="75">
        <v>50</v>
      </c>
      <c r="H69" s="58">
        <f t="shared" si="4"/>
        <v>120</v>
      </c>
      <c r="I69" s="14" t="s">
        <v>3831</v>
      </c>
      <c r="J69" s="75">
        <v>170</v>
      </c>
      <c r="K69" s="75"/>
      <c r="L69" s="14"/>
      <c r="M69" s="75"/>
      <c r="N69" s="14"/>
      <c r="O69" s="14"/>
    </row>
    <row r="70" spans="1:16" x14ac:dyDescent="0.25">
      <c r="A70" s="86">
        <v>45399</v>
      </c>
      <c r="B70" s="55" t="s">
        <v>3278</v>
      </c>
      <c r="C70" s="55" t="s">
        <v>43</v>
      </c>
      <c r="D70" s="75">
        <f t="shared" si="5"/>
        <v>245.45454545454544</v>
      </c>
      <c r="E70" s="75">
        <f t="shared" si="3"/>
        <v>24.545454545454547</v>
      </c>
      <c r="F70" s="75">
        <v>270</v>
      </c>
      <c r="G70" s="75">
        <v>270</v>
      </c>
      <c r="H70" s="58">
        <f t="shared" si="4"/>
        <v>0</v>
      </c>
      <c r="I70" s="14" t="s">
        <v>3835</v>
      </c>
      <c r="J70" s="75">
        <v>220</v>
      </c>
      <c r="K70" s="75">
        <v>50</v>
      </c>
      <c r="L70" s="14" t="s">
        <v>252</v>
      </c>
      <c r="M70" s="75"/>
      <c r="N70" s="14"/>
      <c r="O70" s="14"/>
    </row>
    <row r="71" spans="1:16" x14ac:dyDescent="0.25">
      <c r="A71" s="86">
        <v>45583</v>
      </c>
      <c r="B71" s="55" t="s">
        <v>3279</v>
      </c>
      <c r="C71" s="55" t="s">
        <v>43</v>
      </c>
      <c r="D71" s="75">
        <f t="shared" si="5"/>
        <v>395.45454545454544</v>
      </c>
      <c r="E71" s="75">
        <f t="shared" si="3"/>
        <v>39.545454545454547</v>
      </c>
      <c r="F71" s="75">
        <v>435</v>
      </c>
      <c r="G71" s="75">
        <v>435</v>
      </c>
      <c r="H71" s="58">
        <f t="shared" si="4"/>
        <v>0</v>
      </c>
      <c r="I71" s="14" t="s">
        <v>3833</v>
      </c>
      <c r="J71" s="75">
        <v>375</v>
      </c>
      <c r="K71" s="75">
        <v>60</v>
      </c>
      <c r="L71" s="14" t="s">
        <v>252</v>
      </c>
      <c r="M71" s="75"/>
      <c r="N71" s="14"/>
      <c r="O71" s="14"/>
    </row>
    <row r="72" spans="1:16" x14ac:dyDescent="0.25">
      <c r="A72" s="86">
        <v>45583</v>
      </c>
      <c r="B72" s="55" t="s">
        <v>3280</v>
      </c>
      <c r="C72" s="55" t="s">
        <v>43</v>
      </c>
      <c r="D72" s="75">
        <f t="shared" si="5"/>
        <v>281.81818181818181</v>
      </c>
      <c r="E72" s="75">
        <f t="shared" si="3"/>
        <v>28.18181818181818</v>
      </c>
      <c r="F72" s="75">
        <v>310</v>
      </c>
      <c r="G72" s="75">
        <v>50</v>
      </c>
      <c r="H72" s="58">
        <f t="shared" si="4"/>
        <v>260</v>
      </c>
      <c r="I72" s="14" t="s">
        <v>3833</v>
      </c>
      <c r="J72" s="75">
        <v>270</v>
      </c>
      <c r="K72" s="75">
        <v>40</v>
      </c>
      <c r="L72" s="14" t="s">
        <v>252</v>
      </c>
      <c r="M72" s="75"/>
      <c r="N72" s="14"/>
      <c r="O72" s="14"/>
    </row>
    <row r="73" spans="1:16" x14ac:dyDescent="0.25">
      <c r="A73" s="86">
        <v>45583</v>
      </c>
      <c r="B73" s="55" t="s">
        <v>3281</v>
      </c>
      <c r="C73" s="55" t="s">
        <v>43</v>
      </c>
      <c r="D73" s="75">
        <f t="shared" si="5"/>
        <v>245.45454545454544</v>
      </c>
      <c r="E73" s="75">
        <f t="shared" si="3"/>
        <v>24.545454545454547</v>
      </c>
      <c r="F73" s="75">
        <v>270</v>
      </c>
      <c r="G73" s="75">
        <v>50</v>
      </c>
      <c r="H73" s="58">
        <f t="shared" si="4"/>
        <v>220</v>
      </c>
      <c r="I73" s="14" t="s">
        <v>3834</v>
      </c>
      <c r="J73" s="75">
        <v>270</v>
      </c>
      <c r="K73" s="75"/>
      <c r="L73" s="14"/>
      <c r="M73" s="75"/>
      <c r="N73" s="14"/>
      <c r="O73" s="14"/>
    </row>
    <row r="74" spans="1:16" x14ac:dyDescent="0.25">
      <c r="A74" s="86">
        <v>45583</v>
      </c>
      <c r="B74" s="55" t="s">
        <v>3282</v>
      </c>
      <c r="C74" s="55" t="s">
        <v>43</v>
      </c>
      <c r="D74" s="75">
        <f t="shared" si="5"/>
        <v>154.54545454545453</v>
      </c>
      <c r="E74" s="75">
        <f t="shared" si="3"/>
        <v>15.454545454545453</v>
      </c>
      <c r="F74" s="75">
        <v>170</v>
      </c>
      <c r="G74" s="75">
        <v>50</v>
      </c>
      <c r="H74" s="58">
        <f t="shared" si="4"/>
        <v>120</v>
      </c>
      <c r="I74" s="14" t="s">
        <v>3836</v>
      </c>
      <c r="J74" s="75">
        <v>170</v>
      </c>
      <c r="K74" s="75"/>
      <c r="L74" s="14"/>
      <c r="M74" s="75"/>
      <c r="N74" s="14"/>
      <c r="O74" s="14"/>
    </row>
    <row r="75" spans="1:16" x14ac:dyDescent="0.25">
      <c r="A75" s="86">
        <v>45583</v>
      </c>
      <c r="B75" s="55" t="s">
        <v>3283</v>
      </c>
      <c r="C75" s="55" t="s">
        <v>43</v>
      </c>
      <c r="D75" s="75">
        <f t="shared" si="5"/>
        <v>195.45454545454544</v>
      </c>
      <c r="E75" s="75">
        <f t="shared" si="3"/>
        <v>19.545454545454547</v>
      </c>
      <c r="F75" s="75">
        <v>215</v>
      </c>
      <c r="G75" s="75">
        <v>50</v>
      </c>
      <c r="H75" s="58">
        <f t="shared" si="4"/>
        <v>165</v>
      </c>
      <c r="I75" s="14" t="s">
        <v>3837</v>
      </c>
      <c r="J75" s="75">
        <v>170</v>
      </c>
      <c r="K75" s="75"/>
      <c r="L75" s="14"/>
      <c r="M75" s="75">
        <v>45</v>
      </c>
      <c r="N75" s="14" t="s">
        <v>45</v>
      </c>
      <c r="O75" s="14"/>
    </row>
    <row r="76" spans="1:16" x14ac:dyDescent="0.25">
      <c r="A76" s="86">
        <v>45583</v>
      </c>
      <c r="B76" s="55" t="s">
        <v>3284</v>
      </c>
      <c r="C76" s="55" t="s">
        <v>43</v>
      </c>
      <c r="D76" s="75">
        <f t="shared" si="5"/>
        <v>154.54545454545453</v>
      </c>
      <c r="E76" s="75">
        <f t="shared" si="3"/>
        <v>15.454545454545453</v>
      </c>
      <c r="F76" s="75">
        <v>170</v>
      </c>
      <c r="G76" s="75">
        <v>50</v>
      </c>
      <c r="H76" s="58">
        <f t="shared" si="4"/>
        <v>120</v>
      </c>
      <c r="I76" s="14" t="s">
        <v>3838</v>
      </c>
      <c r="J76" s="75">
        <v>170</v>
      </c>
      <c r="K76" s="75"/>
      <c r="L76" s="14"/>
      <c r="M76" s="75"/>
      <c r="N76" s="14"/>
      <c r="O76" s="14"/>
    </row>
    <row r="77" spans="1:16" x14ac:dyDescent="0.25">
      <c r="A77" s="86">
        <v>45583</v>
      </c>
      <c r="B77" s="55" t="s">
        <v>3285</v>
      </c>
      <c r="C77" s="55" t="s">
        <v>43</v>
      </c>
      <c r="D77" s="75">
        <f t="shared" si="5"/>
        <v>154.54545454545453</v>
      </c>
      <c r="E77" s="75">
        <f t="shared" si="3"/>
        <v>15.454545454545453</v>
      </c>
      <c r="F77" s="75">
        <v>170</v>
      </c>
      <c r="G77" s="75">
        <v>50</v>
      </c>
      <c r="H77" s="58">
        <f t="shared" si="4"/>
        <v>120</v>
      </c>
      <c r="I77" s="14" t="s">
        <v>3839</v>
      </c>
      <c r="J77" s="75">
        <v>170</v>
      </c>
      <c r="K77" s="75"/>
      <c r="L77" s="14"/>
      <c r="M77" s="75"/>
      <c r="N77" s="14"/>
      <c r="O77" s="14"/>
    </row>
    <row r="78" spans="1:16" x14ac:dyDescent="0.25">
      <c r="A78" s="86">
        <v>45583</v>
      </c>
      <c r="B78" s="55" t="s">
        <v>3286</v>
      </c>
      <c r="C78" s="55" t="s">
        <v>43</v>
      </c>
      <c r="D78" s="75">
        <f t="shared" si="5"/>
        <v>154.54545454545453</v>
      </c>
      <c r="E78" s="75">
        <f t="shared" si="3"/>
        <v>15.454545454545453</v>
      </c>
      <c r="F78" s="75">
        <v>170</v>
      </c>
      <c r="G78" s="75">
        <v>50</v>
      </c>
      <c r="H78" s="58">
        <f t="shared" si="4"/>
        <v>120</v>
      </c>
      <c r="I78" s="14" t="s">
        <v>3840</v>
      </c>
      <c r="J78" s="75">
        <v>170</v>
      </c>
      <c r="K78" s="75"/>
      <c r="L78" s="14"/>
      <c r="M78" s="75"/>
      <c r="N78" s="14"/>
      <c r="O78" s="14"/>
    </row>
    <row r="79" spans="1:16" x14ac:dyDescent="0.25">
      <c r="A79" s="86">
        <v>45584</v>
      </c>
      <c r="B79" s="55" t="s">
        <v>3517</v>
      </c>
      <c r="C79" s="55" t="s">
        <v>43</v>
      </c>
      <c r="D79" s="75">
        <f t="shared" si="5"/>
        <v>236.36363636363635</v>
      </c>
      <c r="E79" s="75">
        <f t="shared" si="3"/>
        <v>23.636363636363637</v>
      </c>
      <c r="F79" s="75">
        <v>260</v>
      </c>
      <c r="G79" s="75">
        <v>50</v>
      </c>
      <c r="H79" s="58">
        <f t="shared" si="4"/>
        <v>210</v>
      </c>
      <c r="I79" s="14" t="s">
        <v>3841</v>
      </c>
      <c r="J79" s="75">
        <v>220</v>
      </c>
      <c r="K79" s="75">
        <v>40</v>
      </c>
      <c r="L79" s="14" t="s">
        <v>252</v>
      </c>
      <c r="M79" s="75"/>
      <c r="N79" s="14"/>
      <c r="O79" s="14"/>
    </row>
    <row r="80" spans="1:16" x14ac:dyDescent="0.25">
      <c r="A80" s="86">
        <v>45584</v>
      </c>
      <c r="B80" s="55" t="s">
        <v>3518</v>
      </c>
      <c r="C80" s="55" t="s">
        <v>43</v>
      </c>
      <c r="D80" s="75">
        <f t="shared" si="5"/>
        <v>240.90909090909088</v>
      </c>
      <c r="E80" s="75">
        <f t="shared" si="3"/>
        <v>24.09090909090909</v>
      </c>
      <c r="F80" s="75">
        <v>265</v>
      </c>
      <c r="G80" s="75">
        <v>50</v>
      </c>
      <c r="H80" s="58">
        <f t="shared" si="4"/>
        <v>215</v>
      </c>
      <c r="I80" s="14" t="s">
        <v>3842</v>
      </c>
      <c r="J80" s="75">
        <v>220</v>
      </c>
      <c r="K80" s="75"/>
      <c r="L80" s="14"/>
      <c r="M80" s="75">
        <v>45</v>
      </c>
      <c r="N80" s="14" t="s">
        <v>45</v>
      </c>
      <c r="O80" s="14"/>
    </row>
    <row r="81" spans="1:15" x14ac:dyDescent="0.25">
      <c r="A81" s="86">
        <v>45584</v>
      </c>
      <c r="B81" s="55" t="s">
        <v>3519</v>
      </c>
      <c r="C81" s="55" t="s">
        <v>43</v>
      </c>
      <c r="D81" s="75">
        <f t="shared" si="5"/>
        <v>286.36363636363632</v>
      </c>
      <c r="E81" s="75">
        <f t="shared" si="3"/>
        <v>28.63636363636363</v>
      </c>
      <c r="F81" s="75">
        <v>315</v>
      </c>
      <c r="G81" s="75">
        <v>50</v>
      </c>
      <c r="H81" s="58">
        <f t="shared" si="4"/>
        <v>265</v>
      </c>
      <c r="I81" s="14" t="s">
        <v>3843</v>
      </c>
      <c r="J81" s="75">
        <v>270</v>
      </c>
      <c r="K81" s="75"/>
      <c r="L81" s="14"/>
      <c r="M81" s="75">
        <v>45</v>
      </c>
      <c r="N81" s="14" t="s">
        <v>45</v>
      </c>
      <c r="O81" s="14"/>
    </row>
    <row r="82" spans="1:15" x14ac:dyDescent="0.25">
      <c r="A82" s="86">
        <v>45584</v>
      </c>
      <c r="B82" s="55" t="s">
        <v>3520</v>
      </c>
      <c r="C82" s="55" t="s">
        <v>43</v>
      </c>
      <c r="D82" s="75">
        <f t="shared" si="5"/>
        <v>245.45454545454544</v>
      </c>
      <c r="E82" s="75">
        <f t="shared" si="3"/>
        <v>24.545454545454547</v>
      </c>
      <c r="F82" s="75">
        <v>270</v>
      </c>
      <c r="G82" s="75">
        <v>50</v>
      </c>
      <c r="H82" s="58">
        <f t="shared" si="4"/>
        <v>220</v>
      </c>
      <c r="I82" s="14" t="s">
        <v>3844</v>
      </c>
      <c r="J82" s="75">
        <v>270</v>
      </c>
      <c r="K82" s="75"/>
      <c r="L82" s="14"/>
      <c r="M82" s="75"/>
      <c r="N82" s="14"/>
      <c r="O82" s="14"/>
    </row>
    <row r="83" spans="1:15" x14ac:dyDescent="0.25">
      <c r="A83" s="86">
        <v>45584</v>
      </c>
      <c r="B83" s="55" t="s">
        <v>3521</v>
      </c>
      <c r="C83" s="55" t="s">
        <v>43</v>
      </c>
      <c r="D83" s="75">
        <f t="shared" si="5"/>
        <v>240.90909090909088</v>
      </c>
      <c r="E83" s="75">
        <f t="shared" si="3"/>
        <v>24.09090909090909</v>
      </c>
      <c r="F83" s="75">
        <v>265</v>
      </c>
      <c r="G83" s="75">
        <v>50</v>
      </c>
      <c r="H83" s="58">
        <f t="shared" si="4"/>
        <v>215</v>
      </c>
      <c r="I83" s="14" t="s">
        <v>2752</v>
      </c>
      <c r="J83" s="75">
        <v>220</v>
      </c>
      <c r="K83" s="75"/>
      <c r="L83" s="14"/>
      <c r="M83" s="75">
        <v>45</v>
      </c>
      <c r="N83" s="14" t="s">
        <v>45</v>
      </c>
      <c r="O83" s="14"/>
    </row>
    <row r="84" spans="1:15" x14ac:dyDescent="0.25">
      <c r="A84" s="86">
        <v>45584</v>
      </c>
      <c r="B84" s="55" t="s">
        <v>3522</v>
      </c>
      <c r="C84" s="55" t="s">
        <v>43</v>
      </c>
      <c r="D84" s="75">
        <f t="shared" si="5"/>
        <v>163.63636363636363</v>
      </c>
      <c r="E84" s="75">
        <f t="shared" si="3"/>
        <v>16.363636363636363</v>
      </c>
      <c r="F84" s="75">
        <v>180</v>
      </c>
      <c r="G84" s="75"/>
      <c r="H84" s="58">
        <f t="shared" si="4"/>
        <v>180</v>
      </c>
      <c r="I84" s="14" t="s">
        <v>603</v>
      </c>
      <c r="J84" s="75">
        <v>180</v>
      </c>
      <c r="K84" s="75"/>
      <c r="L84" s="14"/>
      <c r="M84" s="75"/>
      <c r="N84" s="14"/>
      <c r="O84" s="14"/>
    </row>
    <row r="85" spans="1:15" x14ac:dyDescent="0.25">
      <c r="A85" s="86">
        <v>45584</v>
      </c>
      <c r="B85" s="55" t="s">
        <v>3523</v>
      </c>
      <c r="C85" s="55" t="s">
        <v>43</v>
      </c>
      <c r="D85" s="75">
        <f t="shared" si="5"/>
        <v>245.45454545454544</v>
      </c>
      <c r="E85" s="75">
        <f t="shared" si="3"/>
        <v>24.545454545454547</v>
      </c>
      <c r="F85" s="75">
        <v>270</v>
      </c>
      <c r="G85" s="75">
        <v>270</v>
      </c>
      <c r="H85" s="58">
        <f t="shared" si="4"/>
        <v>0</v>
      </c>
      <c r="I85" s="14" t="s">
        <v>3845</v>
      </c>
      <c r="J85" s="75">
        <v>220</v>
      </c>
      <c r="K85" s="75">
        <v>50</v>
      </c>
      <c r="L85" s="14" t="s">
        <v>252</v>
      </c>
      <c r="M85" s="75"/>
      <c r="N85" s="14"/>
      <c r="O85" s="14"/>
    </row>
    <row r="86" spans="1:15" x14ac:dyDescent="0.25">
      <c r="A86" s="86">
        <v>45584</v>
      </c>
      <c r="B86" s="55" t="s">
        <v>3524</v>
      </c>
      <c r="C86" s="55" t="s">
        <v>43</v>
      </c>
      <c r="D86" s="75">
        <f t="shared" si="5"/>
        <v>272.72727272727269</v>
      </c>
      <c r="E86" s="75">
        <f t="shared" si="3"/>
        <v>27.27272727272727</v>
      </c>
      <c r="F86" s="75">
        <v>300</v>
      </c>
      <c r="G86" s="75"/>
      <c r="H86" s="58">
        <f t="shared" si="4"/>
        <v>300</v>
      </c>
      <c r="I86" s="14" t="s">
        <v>3846</v>
      </c>
      <c r="J86" s="75">
        <v>300</v>
      </c>
      <c r="K86" s="75"/>
      <c r="L86" s="14"/>
      <c r="M86" s="75"/>
      <c r="N86" s="14"/>
      <c r="O86" s="14"/>
    </row>
    <row r="87" spans="1:15" x14ac:dyDescent="0.25">
      <c r="A87" s="86">
        <v>45584</v>
      </c>
      <c r="B87" s="55" t="s">
        <v>3525</v>
      </c>
      <c r="C87" s="55" t="s">
        <v>43</v>
      </c>
      <c r="D87" s="75">
        <f t="shared" si="5"/>
        <v>172.72727272727272</v>
      </c>
      <c r="E87" s="75">
        <f t="shared" si="3"/>
        <v>17.272727272727273</v>
      </c>
      <c r="F87" s="75">
        <v>190</v>
      </c>
      <c r="G87" s="75">
        <v>50</v>
      </c>
      <c r="H87" s="58">
        <f t="shared" si="4"/>
        <v>140</v>
      </c>
      <c r="I87" s="14" t="s">
        <v>3847</v>
      </c>
      <c r="J87" s="75">
        <v>170</v>
      </c>
      <c r="K87" s="75">
        <v>20</v>
      </c>
      <c r="L87" s="14" t="s">
        <v>252</v>
      </c>
      <c r="M87" s="75"/>
      <c r="N87" s="14"/>
      <c r="O87" s="14"/>
    </row>
    <row r="88" spans="1:15" x14ac:dyDescent="0.25">
      <c r="A88" s="86">
        <v>45584</v>
      </c>
      <c r="B88" s="55" t="s">
        <v>3526</v>
      </c>
      <c r="C88" s="55" t="s">
        <v>43</v>
      </c>
      <c r="D88" s="75">
        <f t="shared" si="5"/>
        <v>181.81818181818181</v>
      </c>
      <c r="E88" s="75">
        <f t="shared" si="3"/>
        <v>18.18181818181818</v>
      </c>
      <c r="F88" s="75">
        <v>200</v>
      </c>
      <c r="G88" s="75">
        <v>50</v>
      </c>
      <c r="H88" s="58">
        <f t="shared" si="4"/>
        <v>150</v>
      </c>
      <c r="I88" s="14" t="s">
        <v>3848</v>
      </c>
      <c r="J88" s="75">
        <v>170</v>
      </c>
      <c r="K88" s="75">
        <v>30</v>
      </c>
      <c r="L88" s="14" t="s">
        <v>252</v>
      </c>
      <c r="M88" s="75"/>
      <c r="N88" s="14"/>
      <c r="O88" s="14"/>
    </row>
    <row r="89" spans="1:15" x14ac:dyDescent="0.25">
      <c r="A89" s="86">
        <v>45584</v>
      </c>
      <c r="B89" s="55" t="s">
        <v>3527</v>
      </c>
      <c r="C89" s="55" t="s">
        <v>43</v>
      </c>
      <c r="D89" s="75">
        <f t="shared" si="5"/>
        <v>172.72727272727272</v>
      </c>
      <c r="E89" s="75">
        <f t="shared" si="3"/>
        <v>17.272727272727273</v>
      </c>
      <c r="F89" s="75">
        <v>190</v>
      </c>
      <c r="G89" s="75">
        <v>50</v>
      </c>
      <c r="H89" s="58">
        <f t="shared" si="4"/>
        <v>140</v>
      </c>
      <c r="I89" s="14" t="s">
        <v>3849</v>
      </c>
      <c r="J89" s="75">
        <v>170</v>
      </c>
      <c r="K89" s="75">
        <v>20</v>
      </c>
      <c r="L89" s="14" t="s">
        <v>252</v>
      </c>
      <c r="M89" s="75"/>
      <c r="N89" s="14"/>
      <c r="O89" s="14"/>
    </row>
    <row r="90" spans="1:15" x14ac:dyDescent="0.25">
      <c r="A90" s="86">
        <v>45584</v>
      </c>
      <c r="B90" s="55" t="s">
        <v>3528</v>
      </c>
      <c r="C90" s="55" t="s">
        <v>43</v>
      </c>
      <c r="D90" s="75">
        <f t="shared" si="5"/>
        <v>190.90909090909091</v>
      </c>
      <c r="E90" s="75">
        <f t="shared" si="3"/>
        <v>19.09090909090909</v>
      </c>
      <c r="F90" s="75">
        <v>210</v>
      </c>
      <c r="G90" s="75">
        <v>50</v>
      </c>
      <c r="H90" s="58">
        <f t="shared" si="4"/>
        <v>160</v>
      </c>
      <c r="I90" s="14" t="s">
        <v>3850</v>
      </c>
      <c r="J90" s="75">
        <v>170</v>
      </c>
      <c r="K90" s="75">
        <v>40</v>
      </c>
      <c r="L90" s="14" t="s">
        <v>252</v>
      </c>
      <c r="M90" s="75"/>
      <c r="N90" s="14"/>
      <c r="O90" s="14"/>
    </row>
    <row r="91" spans="1:15" x14ac:dyDescent="0.25">
      <c r="A91" s="86">
        <v>45584</v>
      </c>
      <c r="B91" s="55" t="s">
        <v>3529</v>
      </c>
      <c r="C91" s="55" t="s">
        <v>43</v>
      </c>
      <c r="D91" s="75">
        <f t="shared" si="5"/>
        <v>127.27272727272727</v>
      </c>
      <c r="E91" s="75">
        <f t="shared" si="3"/>
        <v>12.727272727272727</v>
      </c>
      <c r="F91" s="75">
        <v>140</v>
      </c>
      <c r="G91" s="75">
        <v>50</v>
      </c>
      <c r="H91" s="58">
        <f t="shared" si="4"/>
        <v>90</v>
      </c>
      <c r="I91" s="14" t="s">
        <v>3851</v>
      </c>
      <c r="J91" s="75">
        <v>140</v>
      </c>
      <c r="K91" s="75"/>
      <c r="L91" s="14"/>
      <c r="M91" s="75"/>
      <c r="N91" s="14"/>
      <c r="O91" s="14"/>
    </row>
    <row r="92" spans="1:15" x14ac:dyDescent="0.25">
      <c r="A92" s="86">
        <v>45584</v>
      </c>
      <c r="B92" s="55" t="s">
        <v>3530</v>
      </c>
      <c r="C92" s="55" t="s">
        <v>43</v>
      </c>
      <c r="D92" s="75">
        <f t="shared" si="5"/>
        <v>190.90909090909091</v>
      </c>
      <c r="E92" s="75">
        <f t="shared" si="3"/>
        <v>19.09090909090909</v>
      </c>
      <c r="F92" s="75">
        <v>210</v>
      </c>
      <c r="G92" s="75">
        <v>50</v>
      </c>
      <c r="H92" s="58">
        <f t="shared" si="4"/>
        <v>160</v>
      </c>
      <c r="I92" s="14" t="s">
        <v>3809</v>
      </c>
      <c r="J92" s="75">
        <v>170</v>
      </c>
      <c r="K92" s="75">
        <v>40</v>
      </c>
      <c r="L92" s="14" t="s">
        <v>252</v>
      </c>
      <c r="M92" s="75"/>
      <c r="N92" s="14"/>
      <c r="O92" s="14"/>
    </row>
    <row r="93" spans="1:15" x14ac:dyDescent="0.25">
      <c r="A93" s="86">
        <v>45584</v>
      </c>
      <c r="B93" s="55" t="s">
        <v>3531</v>
      </c>
      <c r="C93" s="55" t="s">
        <v>43</v>
      </c>
      <c r="D93" s="75">
        <f t="shared" si="5"/>
        <v>304.5454545454545</v>
      </c>
      <c r="E93" s="75">
        <f t="shared" si="3"/>
        <v>30.45454545454545</v>
      </c>
      <c r="F93" s="75">
        <v>335</v>
      </c>
      <c r="G93" s="75">
        <v>50</v>
      </c>
      <c r="H93" s="58">
        <f t="shared" si="4"/>
        <v>285</v>
      </c>
      <c r="I93" s="14" t="s">
        <v>3852</v>
      </c>
      <c r="J93" s="75">
        <v>270</v>
      </c>
      <c r="K93" s="75">
        <v>20</v>
      </c>
      <c r="L93" s="14" t="s">
        <v>252</v>
      </c>
      <c r="M93" s="75">
        <v>45</v>
      </c>
      <c r="N93" s="14" t="s">
        <v>45</v>
      </c>
      <c r="O93" s="14"/>
    </row>
    <row r="94" spans="1:15" x14ac:dyDescent="0.25">
      <c r="A94" s="86">
        <v>45584</v>
      </c>
      <c r="B94" s="55" t="s">
        <v>3532</v>
      </c>
      <c r="C94" s="55" t="s">
        <v>43</v>
      </c>
      <c r="D94" s="75">
        <f t="shared" si="5"/>
        <v>199.99999999999997</v>
      </c>
      <c r="E94" s="75">
        <f t="shared" si="3"/>
        <v>19.999999999999996</v>
      </c>
      <c r="F94" s="75">
        <v>220</v>
      </c>
      <c r="G94" s="75">
        <v>50</v>
      </c>
      <c r="H94" s="58">
        <f t="shared" si="4"/>
        <v>170</v>
      </c>
      <c r="I94" s="14" t="s">
        <v>3853</v>
      </c>
      <c r="J94" s="75">
        <v>220</v>
      </c>
      <c r="K94" s="75"/>
      <c r="L94" s="14"/>
      <c r="M94" s="75"/>
      <c r="N94" s="14"/>
      <c r="O94" s="14"/>
    </row>
    <row r="95" spans="1:15" x14ac:dyDescent="0.25">
      <c r="A95" s="86">
        <v>45584</v>
      </c>
      <c r="B95" s="55" t="s">
        <v>3533</v>
      </c>
      <c r="C95" s="55" t="s">
        <v>43</v>
      </c>
      <c r="D95" s="75">
        <f t="shared" si="5"/>
        <v>286.36363636363632</v>
      </c>
      <c r="E95" s="75">
        <f t="shared" si="3"/>
        <v>28.63636363636363</v>
      </c>
      <c r="F95" s="75">
        <v>315</v>
      </c>
      <c r="G95" s="75">
        <v>50</v>
      </c>
      <c r="H95" s="58">
        <f t="shared" si="4"/>
        <v>265</v>
      </c>
      <c r="I95" s="14" t="s">
        <v>3832</v>
      </c>
      <c r="J95" s="75">
        <v>270</v>
      </c>
      <c r="K95" s="75"/>
      <c r="L95" s="14"/>
      <c r="M95" s="75">
        <v>45</v>
      </c>
      <c r="N95" s="14" t="s">
        <v>3855</v>
      </c>
      <c r="O95" s="14"/>
    </row>
    <row r="96" spans="1:15" x14ac:dyDescent="0.25">
      <c r="A96" s="86">
        <v>45584</v>
      </c>
      <c r="B96" s="55" t="s">
        <v>3534</v>
      </c>
      <c r="C96" s="55" t="s">
        <v>43</v>
      </c>
      <c r="D96" s="75">
        <f t="shared" si="5"/>
        <v>199.99999999999997</v>
      </c>
      <c r="E96" s="75">
        <f t="shared" si="3"/>
        <v>19.999999999999996</v>
      </c>
      <c r="F96" s="75">
        <v>220</v>
      </c>
      <c r="G96" s="75">
        <v>50</v>
      </c>
      <c r="H96" s="58">
        <f t="shared" si="4"/>
        <v>170</v>
      </c>
      <c r="I96" s="14" t="s">
        <v>3854</v>
      </c>
      <c r="J96" s="75">
        <v>220</v>
      </c>
      <c r="K96" s="75"/>
      <c r="L96" s="14"/>
      <c r="M96" s="75"/>
      <c r="N96" s="14"/>
      <c r="O96" s="14"/>
    </row>
    <row r="97" spans="1:15" x14ac:dyDescent="0.25">
      <c r="A97" s="86">
        <v>45584</v>
      </c>
      <c r="B97" s="55" t="s">
        <v>3535</v>
      </c>
      <c r="C97" s="55" t="s">
        <v>43</v>
      </c>
      <c r="D97" s="75">
        <f t="shared" si="5"/>
        <v>290.90909090909088</v>
      </c>
      <c r="E97" s="75">
        <f t="shared" si="3"/>
        <v>29.09090909090909</v>
      </c>
      <c r="F97" s="75">
        <v>320</v>
      </c>
      <c r="G97" s="75">
        <v>50</v>
      </c>
      <c r="H97" s="58">
        <f t="shared" si="4"/>
        <v>270</v>
      </c>
      <c r="I97" s="14" t="s">
        <v>3856</v>
      </c>
      <c r="J97" s="75">
        <v>270</v>
      </c>
      <c r="K97" s="75">
        <v>50</v>
      </c>
      <c r="L97" s="14" t="s">
        <v>252</v>
      </c>
      <c r="M97" s="75"/>
      <c r="N97" s="14"/>
      <c r="O97" s="14"/>
    </row>
    <row r="98" spans="1:15" x14ac:dyDescent="0.25">
      <c r="A98" s="86">
        <v>45584</v>
      </c>
      <c r="B98" s="55" t="s">
        <v>3536</v>
      </c>
      <c r="C98" s="55" t="s">
        <v>43</v>
      </c>
      <c r="D98" s="75">
        <f t="shared" si="5"/>
        <v>199.99999999999997</v>
      </c>
      <c r="E98" s="75">
        <f t="shared" si="3"/>
        <v>19.999999999999996</v>
      </c>
      <c r="F98" s="75">
        <v>220</v>
      </c>
      <c r="G98" s="75">
        <v>50</v>
      </c>
      <c r="H98" s="58">
        <f t="shared" si="4"/>
        <v>170</v>
      </c>
      <c r="I98" s="14" t="s">
        <v>3857</v>
      </c>
      <c r="J98" s="75">
        <v>170</v>
      </c>
      <c r="K98" s="75"/>
      <c r="L98" s="14"/>
      <c r="M98" s="75"/>
      <c r="N98" s="14"/>
      <c r="O98" s="14"/>
    </row>
    <row r="99" spans="1:15" x14ac:dyDescent="0.25">
      <c r="A99" s="86">
        <v>45584</v>
      </c>
      <c r="B99" s="55" t="s">
        <v>3537</v>
      </c>
      <c r="C99" s="55" t="s">
        <v>43</v>
      </c>
      <c r="D99" s="75">
        <f t="shared" si="5"/>
        <v>172.72727272727272</v>
      </c>
      <c r="E99" s="75">
        <f t="shared" si="3"/>
        <v>17.272727272727273</v>
      </c>
      <c r="F99" s="75">
        <v>190</v>
      </c>
      <c r="G99" s="75">
        <v>190</v>
      </c>
      <c r="H99" s="58">
        <f t="shared" si="4"/>
        <v>0</v>
      </c>
      <c r="I99" s="14" t="s">
        <v>3858</v>
      </c>
      <c r="J99" s="75">
        <v>190</v>
      </c>
      <c r="K99" s="75"/>
      <c r="L99" s="14"/>
      <c r="M99" s="75"/>
      <c r="N99" s="14"/>
      <c r="O99" s="14"/>
    </row>
    <row r="100" spans="1:15" x14ac:dyDescent="0.25">
      <c r="A100" s="86">
        <v>45584</v>
      </c>
      <c r="B100" s="55" t="s">
        <v>3538</v>
      </c>
      <c r="C100" s="55" t="s">
        <v>43</v>
      </c>
      <c r="D100" s="75">
        <f t="shared" si="5"/>
        <v>154.54545454545453</v>
      </c>
      <c r="E100" s="75">
        <f t="shared" si="3"/>
        <v>15.454545454545453</v>
      </c>
      <c r="F100" s="75">
        <v>170</v>
      </c>
      <c r="G100" s="75">
        <v>50</v>
      </c>
      <c r="H100" s="58">
        <f t="shared" si="4"/>
        <v>120</v>
      </c>
      <c r="I100" s="14" t="s">
        <v>3859</v>
      </c>
      <c r="J100" s="75">
        <v>170</v>
      </c>
      <c r="K100" s="75"/>
      <c r="L100" s="14"/>
      <c r="M100" s="75"/>
      <c r="N100" s="14"/>
      <c r="O100" s="14"/>
    </row>
    <row r="101" spans="1:15" x14ac:dyDescent="0.25">
      <c r="A101" s="86">
        <v>45584</v>
      </c>
      <c r="B101" s="55" t="s">
        <v>3539</v>
      </c>
      <c r="C101" s="55" t="s">
        <v>43</v>
      </c>
      <c r="D101" s="75">
        <f t="shared" si="5"/>
        <v>190.90909090909091</v>
      </c>
      <c r="E101" s="75">
        <f t="shared" si="3"/>
        <v>19.09090909090909</v>
      </c>
      <c r="F101" s="75">
        <v>210</v>
      </c>
      <c r="G101" s="75">
        <v>50</v>
      </c>
      <c r="H101" s="58">
        <f t="shared" si="4"/>
        <v>160</v>
      </c>
      <c r="I101" s="14" t="s">
        <v>3860</v>
      </c>
      <c r="J101" s="75">
        <v>170</v>
      </c>
      <c r="K101" s="75">
        <v>40</v>
      </c>
      <c r="L101" s="14" t="s">
        <v>252</v>
      </c>
      <c r="M101" s="75"/>
      <c r="N101" s="14"/>
      <c r="O101" s="14"/>
    </row>
    <row r="102" spans="1:15" x14ac:dyDescent="0.25">
      <c r="A102" s="86">
        <v>45584</v>
      </c>
      <c r="B102" s="55" t="s">
        <v>3540</v>
      </c>
      <c r="C102" s="55" t="s">
        <v>43</v>
      </c>
      <c r="D102" s="75">
        <f t="shared" si="5"/>
        <v>172.72727272727272</v>
      </c>
      <c r="E102" s="75">
        <f t="shared" si="3"/>
        <v>17.272727272727273</v>
      </c>
      <c r="F102" s="75">
        <v>190</v>
      </c>
      <c r="G102" s="75">
        <v>50</v>
      </c>
      <c r="H102" s="58">
        <f t="shared" si="4"/>
        <v>140</v>
      </c>
      <c r="I102" s="14" t="s">
        <v>3861</v>
      </c>
      <c r="J102" s="75">
        <v>170</v>
      </c>
      <c r="K102" s="75">
        <v>20</v>
      </c>
      <c r="L102" s="14" t="s">
        <v>252</v>
      </c>
      <c r="M102" s="75"/>
      <c r="N102" s="14"/>
      <c r="O102" s="14"/>
    </row>
    <row r="103" spans="1:15" x14ac:dyDescent="0.25">
      <c r="A103" s="86">
        <v>45584</v>
      </c>
      <c r="B103" s="55" t="s">
        <v>3541</v>
      </c>
      <c r="C103" s="55" t="s">
        <v>43</v>
      </c>
      <c r="D103" s="75">
        <f t="shared" si="5"/>
        <v>154.54545454545453</v>
      </c>
      <c r="E103" s="75">
        <f t="shared" si="3"/>
        <v>15.454545454545453</v>
      </c>
      <c r="F103" s="75">
        <v>170</v>
      </c>
      <c r="G103" s="75">
        <v>50</v>
      </c>
      <c r="H103" s="58">
        <f t="shared" si="4"/>
        <v>120</v>
      </c>
      <c r="I103" s="14" t="s">
        <v>3795</v>
      </c>
      <c r="J103" s="75">
        <v>170</v>
      </c>
      <c r="K103" s="75"/>
      <c r="L103" s="14"/>
      <c r="M103" s="75"/>
      <c r="N103" s="14"/>
      <c r="O103" s="14"/>
    </row>
    <row r="104" spans="1:15" x14ac:dyDescent="0.25">
      <c r="A104" s="86">
        <v>45584</v>
      </c>
      <c r="B104" s="55" t="s">
        <v>3542</v>
      </c>
      <c r="C104" s="55" t="s">
        <v>43</v>
      </c>
      <c r="D104" s="75">
        <f t="shared" si="5"/>
        <v>154.54545454545453</v>
      </c>
      <c r="E104" s="75">
        <f t="shared" si="3"/>
        <v>15.454545454545453</v>
      </c>
      <c r="F104" s="75">
        <v>170</v>
      </c>
      <c r="G104" s="75">
        <v>50</v>
      </c>
      <c r="H104" s="58">
        <f t="shared" si="4"/>
        <v>120</v>
      </c>
      <c r="I104" s="14" t="s">
        <v>3862</v>
      </c>
      <c r="J104" s="75">
        <v>170</v>
      </c>
      <c r="K104" s="75"/>
      <c r="L104" s="14"/>
      <c r="M104" s="75"/>
      <c r="N104" s="14"/>
      <c r="O104" s="14"/>
    </row>
    <row r="105" spans="1:15" x14ac:dyDescent="0.25">
      <c r="A105" s="86">
        <v>45584</v>
      </c>
      <c r="B105" s="55" t="s">
        <v>3543</v>
      </c>
      <c r="C105" s="55" t="s">
        <v>43</v>
      </c>
      <c r="D105" s="75">
        <f t="shared" si="5"/>
        <v>154.54545454545453</v>
      </c>
      <c r="E105" s="75">
        <f t="shared" si="3"/>
        <v>15.454545454545453</v>
      </c>
      <c r="F105" s="75">
        <v>170</v>
      </c>
      <c r="G105" s="75">
        <v>50</v>
      </c>
      <c r="H105" s="58">
        <f t="shared" si="4"/>
        <v>120</v>
      </c>
      <c r="I105" s="14" t="s">
        <v>3863</v>
      </c>
      <c r="J105" s="75">
        <v>170</v>
      </c>
      <c r="K105" s="75"/>
      <c r="L105" s="14"/>
      <c r="M105" s="75"/>
      <c r="N105" s="14"/>
      <c r="O105" s="14"/>
    </row>
    <row r="106" spans="1:15" x14ac:dyDescent="0.25">
      <c r="A106" s="86">
        <v>45584</v>
      </c>
      <c r="B106" s="55" t="s">
        <v>3544</v>
      </c>
      <c r="C106" s="55" t="s">
        <v>43</v>
      </c>
      <c r="D106" s="75">
        <f t="shared" si="5"/>
        <v>154.54545454545453</v>
      </c>
      <c r="E106" s="75">
        <f t="shared" si="3"/>
        <v>15.454545454545453</v>
      </c>
      <c r="F106" s="75">
        <v>170</v>
      </c>
      <c r="G106" s="75">
        <v>50</v>
      </c>
      <c r="H106" s="58">
        <f t="shared" si="4"/>
        <v>120</v>
      </c>
      <c r="I106" s="14" t="s">
        <v>3798</v>
      </c>
      <c r="J106" s="75">
        <v>170</v>
      </c>
      <c r="K106" s="75"/>
      <c r="L106" s="14"/>
      <c r="M106" s="75"/>
      <c r="N106" s="14"/>
      <c r="O106" s="14"/>
    </row>
    <row r="107" spans="1:15" x14ac:dyDescent="0.25">
      <c r="A107" s="86">
        <v>45585</v>
      </c>
      <c r="B107" s="55" t="s">
        <v>3545</v>
      </c>
      <c r="C107" s="55" t="s">
        <v>43</v>
      </c>
      <c r="D107" s="75">
        <f t="shared" si="5"/>
        <v>127.27272727272727</v>
      </c>
      <c r="E107" s="75">
        <f t="shared" si="3"/>
        <v>12.727272727272727</v>
      </c>
      <c r="F107" s="75">
        <v>140</v>
      </c>
      <c r="G107" s="75"/>
      <c r="H107" s="58">
        <f t="shared" si="4"/>
        <v>140</v>
      </c>
      <c r="I107" s="14" t="s">
        <v>603</v>
      </c>
      <c r="J107" s="75">
        <v>140</v>
      </c>
      <c r="K107" s="75"/>
      <c r="L107" s="14"/>
      <c r="M107" s="75"/>
      <c r="N107" s="14"/>
      <c r="O107" s="14"/>
    </row>
    <row r="108" spans="1:15" x14ac:dyDescent="0.25">
      <c r="A108" s="86">
        <v>45585</v>
      </c>
      <c r="B108" s="55" t="s">
        <v>3546</v>
      </c>
      <c r="C108" s="55" t="s">
        <v>43</v>
      </c>
      <c r="D108" s="75">
        <f t="shared" si="5"/>
        <v>327.27272727272725</v>
      </c>
      <c r="E108" s="75">
        <f t="shared" si="3"/>
        <v>32.727272727272727</v>
      </c>
      <c r="F108" s="75">
        <v>360</v>
      </c>
      <c r="G108" s="75">
        <v>50</v>
      </c>
      <c r="H108" s="58">
        <f t="shared" si="4"/>
        <v>310</v>
      </c>
      <c r="I108" s="14" t="s">
        <v>3864</v>
      </c>
      <c r="J108" s="75">
        <v>220</v>
      </c>
      <c r="K108" s="75">
        <v>40</v>
      </c>
      <c r="L108" s="14" t="s">
        <v>252</v>
      </c>
      <c r="M108" s="75">
        <v>100</v>
      </c>
      <c r="N108" s="14" t="s">
        <v>3865</v>
      </c>
      <c r="O108" s="14"/>
    </row>
    <row r="109" spans="1:15" x14ac:dyDescent="0.25">
      <c r="A109" s="86">
        <v>45586</v>
      </c>
      <c r="B109" s="55" t="s">
        <v>3547</v>
      </c>
      <c r="C109" s="55" t="s">
        <v>43</v>
      </c>
      <c r="D109" s="75">
        <f t="shared" si="5"/>
        <v>272.72727272727269</v>
      </c>
      <c r="E109" s="75">
        <f t="shared" si="3"/>
        <v>27.27272727272727</v>
      </c>
      <c r="F109" s="75">
        <v>300</v>
      </c>
      <c r="G109" s="75">
        <v>50</v>
      </c>
      <c r="H109" s="58">
        <f t="shared" si="4"/>
        <v>250</v>
      </c>
      <c r="I109" s="14" t="s">
        <v>3866</v>
      </c>
      <c r="J109" s="75">
        <v>220</v>
      </c>
      <c r="K109" s="75">
        <v>80</v>
      </c>
      <c r="L109" s="14" t="s">
        <v>252</v>
      </c>
      <c r="M109" s="75"/>
      <c r="N109" s="14"/>
      <c r="O109" s="14"/>
    </row>
    <row r="110" spans="1:15" x14ac:dyDescent="0.25">
      <c r="A110" s="86">
        <v>45586</v>
      </c>
      <c r="B110" s="55" t="s">
        <v>3548</v>
      </c>
      <c r="C110" s="55" t="s">
        <v>43</v>
      </c>
      <c r="D110" s="75">
        <f t="shared" si="5"/>
        <v>154.54545454545453</v>
      </c>
      <c r="E110" s="75">
        <f t="shared" si="3"/>
        <v>15.454545454545453</v>
      </c>
      <c r="F110" s="75">
        <v>170</v>
      </c>
      <c r="G110" s="75">
        <v>50</v>
      </c>
      <c r="H110" s="58">
        <f t="shared" si="4"/>
        <v>120</v>
      </c>
      <c r="I110" s="14" t="s">
        <v>3867</v>
      </c>
      <c r="J110" s="75">
        <v>170</v>
      </c>
      <c r="K110" s="75"/>
      <c r="L110" s="14"/>
      <c r="M110" s="75"/>
      <c r="N110" s="14"/>
      <c r="O110" s="14"/>
    </row>
    <row r="111" spans="1:15" x14ac:dyDescent="0.25">
      <c r="A111" s="86">
        <v>45619</v>
      </c>
      <c r="B111" s="55" t="s">
        <v>3549</v>
      </c>
      <c r="C111" s="55" t="s">
        <v>43</v>
      </c>
      <c r="D111" s="75">
        <f t="shared" si="5"/>
        <v>304.5454545454545</v>
      </c>
      <c r="E111" s="75">
        <f t="shared" si="3"/>
        <v>30.45454545454545</v>
      </c>
      <c r="F111" s="75">
        <v>335</v>
      </c>
      <c r="G111" s="75">
        <v>50</v>
      </c>
      <c r="H111" s="58">
        <f t="shared" si="4"/>
        <v>285</v>
      </c>
      <c r="I111" s="14" t="s">
        <v>3876</v>
      </c>
      <c r="J111" s="75">
        <v>270</v>
      </c>
      <c r="K111" s="75">
        <v>20</v>
      </c>
      <c r="L111" s="14" t="s">
        <v>252</v>
      </c>
      <c r="M111" s="75">
        <v>45</v>
      </c>
      <c r="N111" s="14" t="s">
        <v>45</v>
      </c>
      <c r="O111" s="14"/>
    </row>
    <row r="112" spans="1:15" x14ac:dyDescent="0.25">
      <c r="A112" s="86">
        <v>45619</v>
      </c>
      <c r="B112" s="55" t="s">
        <v>3550</v>
      </c>
      <c r="C112" s="55" t="s">
        <v>43</v>
      </c>
      <c r="D112" s="75">
        <f t="shared" si="5"/>
        <v>163.63636363636363</v>
      </c>
      <c r="E112" s="75">
        <f t="shared" si="3"/>
        <v>16.363636363636363</v>
      </c>
      <c r="F112" s="75">
        <v>180</v>
      </c>
      <c r="G112" s="75"/>
      <c r="H112" s="58">
        <f t="shared" si="4"/>
        <v>180</v>
      </c>
      <c r="I112" s="14" t="s">
        <v>603</v>
      </c>
      <c r="J112" s="75">
        <v>180</v>
      </c>
      <c r="K112" s="75"/>
      <c r="L112" s="14"/>
      <c r="M112" s="75"/>
      <c r="N112" s="14"/>
      <c r="O112" s="14"/>
    </row>
    <row r="113" spans="1:15" x14ac:dyDescent="0.25">
      <c r="A113" s="86">
        <v>45620</v>
      </c>
      <c r="B113" s="262" t="s">
        <v>3551</v>
      </c>
      <c r="C113" s="55" t="s">
        <v>43</v>
      </c>
      <c r="D113" s="75">
        <f t="shared" si="5"/>
        <v>518.18181818181813</v>
      </c>
      <c r="E113" s="75">
        <f t="shared" si="3"/>
        <v>51.818181818181813</v>
      </c>
      <c r="F113" s="75">
        <v>570</v>
      </c>
      <c r="G113" s="75"/>
      <c r="H113" s="58">
        <f t="shared" si="4"/>
        <v>570</v>
      </c>
      <c r="I113" s="14"/>
      <c r="J113" s="75">
        <v>570</v>
      </c>
      <c r="K113" s="75"/>
      <c r="L113" s="14"/>
      <c r="M113" s="75"/>
      <c r="N113" s="14"/>
      <c r="O113" s="14"/>
    </row>
    <row r="114" spans="1:15" x14ac:dyDescent="0.25">
      <c r="A114" s="86">
        <v>45589</v>
      </c>
      <c r="B114" s="55" t="s">
        <v>3552</v>
      </c>
      <c r="C114" s="55" t="s">
        <v>43</v>
      </c>
      <c r="D114" s="75">
        <f t="shared" si="5"/>
        <v>154.54545454545453</v>
      </c>
      <c r="E114" s="75">
        <f t="shared" si="3"/>
        <v>15.454545454545453</v>
      </c>
      <c r="F114" s="75">
        <v>170</v>
      </c>
      <c r="G114" s="75">
        <v>50</v>
      </c>
      <c r="H114" s="58">
        <f t="shared" si="4"/>
        <v>120</v>
      </c>
      <c r="I114" s="14" t="s">
        <v>3877</v>
      </c>
      <c r="J114" s="75">
        <v>170</v>
      </c>
      <c r="K114" s="75"/>
      <c r="L114" s="14"/>
      <c r="M114" s="75"/>
      <c r="N114" s="14"/>
      <c r="O114" s="14"/>
    </row>
    <row r="115" spans="1:15" x14ac:dyDescent="0.25">
      <c r="A115" s="86">
        <v>45590</v>
      </c>
      <c r="B115" s="55" t="s">
        <v>3553</v>
      </c>
      <c r="C115" s="55" t="s">
        <v>43</v>
      </c>
      <c r="D115" s="75">
        <f t="shared" si="5"/>
        <v>222.72727272727272</v>
      </c>
      <c r="E115" s="75">
        <f t="shared" si="3"/>
        <v>22.27272727272727</v>
      </c>
      <c r="F115" s="75">
        <v>245</v>
      </c>
      <c r="G115" s="75">
        <v>50</v>
      </c>
      <c r="H115" s="58">
        <f t="shared" si="4"/>
        <v>195</v>
      </c>
      <c r="I115" s="14" t="s">
        <v>3878</v>
      </c>
      <c r="J115" s="75">
        <v>170</v>
      </c>
      <c r="K115" s="75">
        <v>30</v>
      </c>
      <c r="L115" s="14" t="s">
        <v>252</v>
      </c>
      <c r="M115" s="75">
        <v>45</v>
      </c>
      <c r="N115" s="14" t="s">
        <v>45</v>
      </c>
      <c r="O115" s="14"/>
    </row>
    <row r="116" spans="1:15" x14ac:dyDescent="0.25">
      <c r="A116" s="86">
        <v>45590</v>
      </c>
      <c r="B116" s="55" t="s">
        <v>3554</v>
      </c>
      <c r="C116" s="55" t="s">
        <v>43</v>
      </c>
      <c r="D116" s="75">
        <f t="shared" si="5"/>
        <v>222.72727272727272</v>
      </c>
      <c r="E116" s="75">
        <f t="shared" si="3"/>
        <v>22.27272727272727</v>
      </c>
      <c r="F116" s="75">
        <v>245</v>
      </c>
      <c r="G116" s="75">
        <v>50</v>
      </c>
      <c r="H116" s="58">
        <f t="shared" si="4"/>
        <v>195</v>
      </c>
      <c r="I116" s="14" t="s">
        <v>3879</v>
      </c>
      <c r="J116" s="75">
        <v>170</v>
      </c>
      <c r="K116" s="75">
        <v>30</v>
      </c>
      <c r="L116" s="14" t="s">
        <v>252</v>
      </c>
      <c r="M116" s="75">
        <v>45</v>
      </c>
      <c r="N116" s="14" t="s">
        <v>45</v>
      </c>
      <c r="O116" s="14"/>
    </row>
    <row r="117" spans="1:15" x14ac:dyDescent="0.25">
      <c r="A117" s="86">
        <v>45590</v>
      </c>
      <c r="B117" s="55" t="s">
        <v>3555</v>
      </c>
      <c r="C117" s="55" t="s">
        <v>43</v>
      </c>
      <c r="D117" s="75">
        <f t="shared" si="5"/>
        <v>163.63636363636363</v>
      </c>
      <c r="E117" s="75">
        <f t="shared" si="3"/>
        <v>16.363636363636363</v>
      </c>
      <c r="F117" s="75">
        <v>180</v>
      </c>
      <c r="G117" s="75"/>
      <c r="H117" s="58">
        <f t="shared" si="4"/>
        <v>180</v>
      </c>
      <c r="I117" s="14" t="s">
        <v>603</v>
      </c>
      <c r="J117" s="75">
        <v>180</v>
      </c>
      <c r="K117" s="75"/>
      <c r="L117" s="14"/>
      <c r="M117" s="75"/>
      <c r="N117" s="14"/>
      <c r="O117" s="14"/>
    </row>
    <row r="118" spans="1:15" x14ac:dyDescent="0.25">
      <c r="A118" s="86">
        <v>45591</v>
      </c>
      <c r="B118" s="55" t="s">
        <v>3556</v>
      </c>
      <c r="C118" s="55" t="s">
        <v>43</v>
      </c>
      <c r="D118" s="75">
        <f t="shared" si="5"/>
        <v>481.81818181818176</v>
      </c>
      <c r="E118" s="75">
        <f t="shared" si="3"/>
        <v>48.18181818181818</v>
      </c>
      <c r="F118" s="75">
        <v>530</v>
      </c>
      <c r="G118" s="75">
        <v>100</v>
      </c>
      <c r="H118" s="58">
        <f t="shared" si="4"/>
        <v>430</v>
      </c>
      <c r="I118" s="14" t="s">
        <v>3880</v>
      </c>
      <c r="J118" s="75">
        <v>530</v>
      </c>
      <c r="K118" s="75"/>
      <c r="L118" s="14"/>
      <c r="M118" s="75"/>
      <c r="N118" s="14"/>
      <c r="O118" s="14"/>
    </row>
    <row r="119" spans="1:15" x14ac:dyDescent="0.25">
      <c r="A119" s="86">
        <v>45591</v>
      </c>
      <c r="B119" s="55" t="s">
        <v>3557</v>
      </c>
      <c r="C119" s="55" t="s">
        <v>43</v>
      </c>
      <c r="D119" s="75">
        <f t="shared" si="5"/>
        <v>245.45454545454544</v>
      </c>
      <c r="E119" s="75">
        <f t="shared" si="3"/>
        <v>24.545454545454547</v>
      </c>
      <c r="F119" s="75">
        <v>270</v>
      </c>
      <c r="G119" s="75">
        <v>50</v>
      </c>
      <c r="H119" s="58">
        <f t="shared" si="4"/>
        <v>220</v>
      </c>
      <c r="I119" s="14" t="s">
        <v>3881</v>
      </c>
      <c r="J119" s="75">
        <v>270</v>
      </c>
      <c r="K119" s="75"/>
      <c r="L119" s="14"/>
      <c r="M119" s="75"/>
      <c r="N119" s="14"/>
      <c r="O119" s="14"/>
    </row>
    <row r="120" spans="1:15" x14ac:dyDescent="0.25">
      <c r="A120" s="86">
        <v>45591</v>
      </c>
      <c r="B120" s="55" t="s">
        <v>3558</v>
      </c>
      <c r="C120" s="55" t="s">
        <v>43</v>
      </c>
      <c r="D120" s="75">
        <f t="shared" si="5"/>
        <v>536.36363636363637</v>
      </c>
      <c r="E120" s="75">
        <f t="shared" si="3"/>
        <v>53.63636363636364</v>
      </c>
      <c r="F120" s="75">
        <v>590</v>
      </c>
      <c r="G120" s="75">
        <v>50</v>
      </c>
      <c r="H120" s="58">
        <f t="shared" si="4"/>
        <v>540</v>
      </c>
      <c r="I120" s="14" t="s">
        <v>3882</v>
      </c>
      <c r="J120" s="75">
        <v>270</v>
      </c>
      <c r="K120" s="75"/>
      <c r="L120" s="14"/>
      <c r="M120" s="75">
        <v>270</v>
      </c>
      <c r="N120" s="14" t="s">
        <v>420</v>
      </c>
      <c r="O120" s="14"/>
    </row>
    <row r="121" spans="1:15" x14ac:dyDescent="0.25">
      <c r="A121" s="86">
        <v>45591</v>
      </c>
      <c r="B121" s="55" t="s">
        <v>3559</v>
      </c>
      <c r="C121" s="55" t="s">
        <v>43</v>
      </c>
      <c r="D121" s="75">
        <f t="shared" si="5"/>
        <v>245.45454545454544</v>
      </c>
      <c r="E121" s="75">
        <f t="shared" si="3"/>
        <v>24.545454545454547</v>
      </c>
      <c r="F121" s="75">
        <v>270</v>
      </c>
      <c r="G121" s="75">
        <v>50</v>
      </c>
      <c r="H121" s="58">
        <f t="shared" si="4"/>
        <v>220</v>
      </c>
      <c r="I121" s="14" t="s">
        <v>3883</v>
      </c>
      <c r="J121" s="75">
        <v>270</v>
      </c>
      <c r="K121" s="75"/>
      <c r="L121" s="14"/>
      <c r="M121" s="75"/>
      <c r="N121" s="14"/>
      <c r="O121" s="14"/>
    </row>
    <row r="122" spans="1:15" x14ac:dyDescent="0.25">
      <c r="A122" s="86">
        <v>45591</v>
      </c>
      <c r="B122" s="55" t="s">
        <v>3560</v>
      </c>
      <c r="C122" s="55" t="s">
        <v>43</v>
      </c>
      <c r="D122" s="75">
        <f t="shared" si="5"/>
        <v>245.45454545454544</v>
      </c>
      <c r="E122" s="75">
        <f t="shared" si="3"/>
        <v>24.545454545454547</v>
      </c>
      <c r="F122" s="75">
        <v>270</v>
      </c>
      <c r="G122" s="75">
        <v>50</v>
      </c>
      <c r="H122" s="58">
        <f t="shared" si="4"/>
        <v>220</v>
      </c>
      <c r="I122" s="14" t="s">
        <v>3884</v>
      </c>
      <c r="J122" s="75">
        <v>270</v>
      </c>
      <c r="K122" s="75"/>
      <c r="L122" s="14"/>
      <c r="M122" s="75"/>
      <c r="N122" s="14"/>
      <c r="O122" s="14"/>
    </row>
    <row r="123" spans="1:15" x14ac:dyDescent="0.25">
      <c r="A123" s="86">
        <v>45591</v>
      </c>
      <c r="B123" s="55" t="s">
        <v>3561</v>
      </c>
      <c r="C123" s="55" t="s">
        <v>43</v>
      </c>
      <c r="D123" s="75">
        <f t="shared" si="5"/>
        <v>154.54545454545453</v>
      </c>
      <c r="E123" s="75">
        <f t="shared" si="3"/>
        <v>15.454545454545453</v>
      </c>
      <c r="F123" s="75">
        <v>170</v>
      </c>
      <c r="G123" s="75">
        <v>50</v>
      </c>
      <c r="H123" s="58">
        <f t="shared" si="4"/>
        <v>120</v>
      </c>
      <c r="I123" s="14" t="s">
        <v>3885</v>
      </c>
      <c r="J123" s="75">
        <v>170</v>
      </c>
      <c r="K123" s="75"/>
      <c r="L123" s="14"/>
      <c r="M123" s="75"/>
      <c r="N123" s="14"/>
      <c r="O123" s="14"/>
    </row>
    <row r="124" spans="1:15" x14ac:dyDescent="0.25">
      <c r="A124" s="86">
        <v>45591</v>
      </c>
      <c r="B124" s="55" t="s">
        <v>3562</v>
      </c>
      <c r="C124" s="55" t="s">
        <v>43</v>
      </c>
      <c r="D124" s="75">
        <f t="shared" si="5"/>
        <v>127.27272727272727</v>
      </c>
      <c r="E124" s="75">
        <f t="shared" si="3"/>
        <v>12.727272727272727</v>
      </c>
      <c r="F124" s="75">
        <v>140</v>
      </c>
      <c r="G124" s="75"/>
      <c r="H124" s="58">
        <f t="shared" si="4"/>
        <v>140</v>
      </c>
      <c r="I124" s="14" t="s">
        <v>603</v>
      </c>
      <c r="J124" s="75">
        <v>140</v>
      </c>
      <c r="K124" s="75"/>
      <c r="L124" s="14"/>
      <c r="M124" s="75"/>
      <c r="N124" s="14"/>
      <c r="O124" s="14"/>
    </row>
    <row r="125" spans="1:15" x14ac:dyDescent="0.25">
      <c r="A125" s="86">
        <v>45591</v>
      </c>
      <c r="B125" s="55" t="s">
        <v>3563</v>
      </c>
      <c r="C125" s="55" t="s">
        <v>43</v>
      </c>
      <c r="D125" s="75">
        <f t="shared" si="5"/>
        <v>190.90909090909091</v>
      </c>
      <c r="E125" s="75">
        <f t="shared" si="3"/>
        <v>19.09090909090909</v>
      </c>
      <c r="F125" s="75">
        <v>210</v>
      </c>
      <c r="G125" s="75">
        <v>210</v>
      </c>
      <c r="H125" s="58">
        <f t="shared" si="4"/>
        <v>0</v>
      </c>
      <c r="I125" s="14" t="s">
        <v>2752</v>
      </c>
      <c r="J125" s="75">
        <v>170</v>
      </c>
      <c r="K125" s="75">
        <v>40</v>
      </c>
      <c r="L125" s="14" t="s">
        <v>252</v>
      </c>
      <c r="M125" s="75"/>
      <c r="N125" s="14"/>
      <c r="O125" s="14"/>
    </row>
    <row r="126" spans="1:15" x14ac:dyDescent="0.25">
      <c r="A126" s="86">
        <v>45591</v>
      </c>
      <c r="B126" s="55" t="s">
        <v>3564</v>
      </c>
      <c r="C126" s="55" t="s">
        <v>43</v>
      </c>
      <c r="D126" s="75">
        <f t="shared" si="5"/>
        <v>154.54545454545453</v>
      </c>
      <c r="E126" s="75">
        <f t="shared" si="3"/>
        <v>15.454545454545453</v>
      </c>
      <c r="F126" s="75">
        <v>170</v>
      </c>
      <c r="G126" s="75">
        <v>50</v>
      </c>
      <c r="H126" s="58">
        <f t="shared" si="4"/>
        <v>120</v>
      </c>
      <c r="I126" s="187" t="s">
        <v>3886</v>
      </c>
      <c r="J126" s="75">
        <v>170</v>
      </c>
      <c r="K126" s="75"/>
      <c r="L126" s="14"/>
      <c r="M126" s="75"/>
      <c r="N126" s="14"/>
      <c r="O126" s="14"/>
    </row>
    <row r="127" spans="1:15" x14ac:dyDescent="0.25">
      <c r="A127" s="86">
        <v>45591</v>
      </c>
      <c r="B127" s="55" t="s">
        <v>3565</v>
      </c>
      <c r="C127" s="55" t="s">
        <v>43</v>
      </c>
      <c r="D127" s="75">
        <f t="shared" si="5"/>
        <v>154.54545454545453</v>
      </c>
      <c r="E127" s="75">
        <f t="shared" si="3"/>
        <v>15.454545454545453</v>
      </c>
      <c r="F127" s="75">
        <v>170</v>
      </c>
      <c r="G127" s="75">
        <v>50</v>
      </c>
      <c r="H127" s="58">
        <f t="shared" si="4"/>
        <v>120</v>
      </c>
      <c r="I127" s="14" t="s">
        <v>3887</v>
      </c>
      <c r="J127" s="75">
        <v>170</v>
      </c>
      <c r="K127" s="75"/>
      <c r="L127" s="14"/>
      <c r="M127" s="75"/>
      <c r="N127" s="14"/>
      <c r="O127" s="14"/>
    </row>
    <row r="128" spans="1:15" x14ac:dyDescent="0.25">
      <c r="A128" s="86">
        <v>45591</v>
      </c>
      <c r="B128" s="55" t="s">
        <v>3566</v>
      </c>
      <c r="C128" s="55" t="s">
        <v>43</v>
      </c>
      <c r="D128" s="75">
        <f t="shared" si="5"/>
        <v>245.45454545454544</v>
      </c>
      <c r="E128" s="75">
        <f t="shared" si="3"/>
        <v>24.545454545454547</v>
      </c>
      <c r="F128" s="75">
        <v>270</v>
      </c>
      <c r="G128" s="75">
        <v>270</v>
      </c>
      <c r="H128" s="58">
        <f t="shared" si="4"/>
        <v>0</v>
      </c>
      <c r="I128" s="14" t="s">
        <v>3888</v>
      </c>
      <c r="J128" s="75">
        <v>270</v>
      </c>
      <c r="K128" s="75"/>
      <c r="L128" s="14"/>
      <c r="M128" s="75"/>
      <c r="N128" s="14"/>
      <c r="O128" s="14"/>
    </row>
    <row r="129" spans="1:15" x14ac:dyDescent="0.25">
      <c r="A129" s="86">
        <v>45591</v>
      </c>
      <c r="B129" s="55" t="s">
        <v>3567</v>
      </c>
      <c r="C129" s="55" t="s">
        <v>43</v>
      </c>
      <c r="D129" s="75">
        <f t="shared" si="5"/>
        <v>199.99999999999997</v>
      </c>
      <c r="E129" s="75">
        <f t="shared" si="3"/>
        <v>19.999999999999996</v>
      </c>
      <c r="F129" s="75">
        <v>220</v>
      </c>
      <c r="G129" s="75"/>
      <c r="H129" s="58">
        <f t="shared" si="4"/>
        <v>220</v>
      </c>
      <c r="I129" s="14" t="s">
        <v>603</v>
      </c>
      <c r="J129" s="75">
        <v>220</v>
      </c>
      <c r="K129" s="75"/>
      <c r="L129" s="14"/>
      <c r="M129" s="75"/>
      <c r="N129" s="14"/>
      <c r="O129" s="14"/>
    </row>
    <row r="130" spans="1:15" x14ac:dyDescent="0.25">
      <c r="A130" s="86">
        <v>45591</v>
      </c>
      <c r="B130" s="55" t="s">
        <v>3568</v>
      </c>
      <c r="C130" s="55" t="s">
        <v>43</v>
      </c>
      <c r="D130" s="75">
        <f t="shared" si="5"/>
        <v>881.81818181818176</v>
      </c>
      <c r="E130" s="75">
        <f t="shared" si="3"/>
        <v>88.181818181818187</v>
      </c>
      <c r="F130" s="75">
        <v>970</v>
      </c>
      <c r="G130" s="75">
        <v>100</v>
      </c>
      <c r="H130" s="58">
        <f t="shared" si="4"/>
        <v>870</v>
      </c>
      <c r="I130" s="14" t="s">
        <v>2752</v>
      </c>
      <c r="J130" s="75">
        <v>970</v>
      </c>
      <c r="K130" s="75"/>
      <c r="L130" s="14"/>
      <c r="M130" s="75"/>
      <c r="N130" s="14"/>
      <c r="O130" s="14"/>
    </row>
    <row r="131" spans="1:15" x14ac:dyDescent="0.25">
      <c r="A131" s="86">
        <v>45591</v>
      </c>
      <c r="B131" s="55" t="s">
        <v>3569</v>
      </c>
      <c r="C131" s="55" t="s">
        <v>43</v>
      </c>
      <c r="D131" s="75">
        <f t="shared" si="5"/>
        <v>245.45454545454544</v>
      </c>
      <c r="E131" s="75">
        <f t="shared" ref="E131:E148" si="6">D131*10/100</f>
        <v>24.545454545454547</v>
      </c>
      <c r="F131" s="75">
        <v>270</v>
      </c>
      <c r="G131" s="75">
        <v>50</v>
      </c>
      <c r="H131" s="58">
        <f t="shared" ref="H131:H148" si="7">F131-G131</f>
        <v>220</v>
      </c>
      <c r="I131" s="14" t="s">
        <v>3889</v>
      </c>
      <c r="J131" s="75">
        <v>270</v>
      </c>
      <c r="K131" s="75"/>
      <c r="L131" s="14"/>
      <c r="M131" s="75"/>
      <c r="N131" s="14"/>
      <c r="O131" s="14"/>
    </row>
    <row r="132" spans="1:15" x14ac:dyDescent="0.25">
      <c r="A132" s="86">
        <v>45591</v>
      </c>
      <c r="B132" s="55" t="s">
        <v>3570</v>
      </c>
      <c r="C132" s="55" t="s">
        <v>43</v>
      </c>
      <c r="D132" s="75">
        <f t="shared" ref="D132:D148" si="8">F132/1.1</f>
        <v>240.90909090909088</v>
      </c>
      <c r="E132" s="75">
        <f t="shared" si="6"/>
        <v>24.09090909090909</v>
      </c>
      <c r="F132" s="75">
        <v>265</v>
      </c>
      <c r="G132" s="75">
        <v>50</v>
      </c>
      <c r="H132" s="58">
        <f t="shared" si="7"/>
        <v>215</v>
      </c>
      <c r="I132" s="14" t="s">
        <v>3890</v>
      </c>
      <c r="J132" s="75">
        <v>220</v>
      </c>
      <c r="K132" s="75"/>
      <c r="L132" s="14"/>
      <c r="M132" s="75">
        <v>45</v>
      </c>
      <c r="N132" s="14" t="s">
        <v>45</v>
      </c>
      <c r="O132" s="14"/>
    </row>
    <row r="133" spans="1:15" x14ac:dyDescent="0.25">
      <c r="A133" s="86">
        <v>45591</v>
      </c>
      <c r="B133" s="55" t="s">
        <v>3571</v>
      </c>
      <c r="C133" s="55" t="s">
        <v>43</v>
      </c>
      <c r="D133" s="75">
        <f t="shared" si="8"/>
        <v>199.99999999999997</v>
      </c>
      <c r="E133" s="75">
        <f t="shared" si="6"/>
        <v>19.999999999999996</v>
      </c>
      <c r="F133" s="75">
        <v>220</v>
      </c>
      <c r="G133" s="75">
        <v>50</v>
      </c>
      <c r="H133" s="58">
        <f t="shared" si="7"/>
        <v>170</v>
      </c>
      <c r="I133" s="14" t="s">
        <v>3891</v>
      </c>
      <c r="J133" s="75">
        <v>220</v>
      </c>
      <c r="K133" s="75"/>
      <c r="L133" s="14"/>
      <c r="M133" s="75"/>
      <c r="N133" s="14"/>
      <c r="O133" s="14"/>
    </row>
    <row r="134" spans="1:15" x14ac:dyDescent="0.25">
      <c r="A134" s="86">
        <v>45591</v>
      </c>
      <c r="B134" s="55" t="s">
        <v>3572</v>
      </c>
      <c r="C134" s="55" t="s">
        <v>43</v>
      </c>
      <c r="D134" s="75">
        <f t="shared" si="8"/>
        <v>245.45454545454544</v>
      </c>
      <c r="E134" s="75">
        <f t="shared" si="6"/>
        <v>24.545454545454547</v>
      </c>
      <c r="F134" s="75">
        <v>270</v>
      </c>
      <c r="G134" s="75">
        <v>50</v>
      </c>
      <c r="H134" s="58">
        <f t="shared" si="7"/>
        <v>220</v>
      </c>
      <c r="I134" s="14" t="s">
        <v>3892</v>
      </c>
      <c r="J134" s="75">
        <v>270</v>
      </c>
      <c r="K134" s="75"/>
      <c r="L134" s="14"/>
      <c r="M134" s="75"/>
      <c r="N134" s="14"/>
      <c r="O134" s="14"/>
    </row>
    <row r="135" spans="1:15" x14ac:dyDescent="0.25">
      <c r="A135" s="86">
        <v>45591</v>
      </c>
      <c r="B135" s="55" t="s">
        <v>3573</v>
      </c>
      <c r="C135" s="55" t="s">
        <v>43</v>
      </c>
      <c r="D135" s="75">
        <f t="shared" si="8"/>
        <v>572.72727272727263</v>
      </c>
      <c r="E135" s="75">
        <f t="shared" si="6"/>
        <v>57.272727272727259</v>
      </c>
      <c r="F135" s="75">
        <v>630</v>
      </c>
      <c r="G135" s="75">
        <v>100</v>
      </c>
      <c r="H135" s="58">
        <f t="shared" si="7"/>
        <v>530</v>
      </c>
      <c r="I135" s="14" t="s">
        <v>2752</v>
      </c>
      <c r="J135" s="75">
        <v>630</v>
      </c>
      <c r="K135" s="75"/>
      <c r="L135" s="14"/>
      <c r="M135" s="75"/>
      <c r="N135" s="14"/>
      <c r="O135" s="14"/>
    </row>
    <row r="136" spans="1:15" x14ac:dyDescent="0.25">
      <c r="A136" s="86">
        <v>45591</v>
      </c>
      <c r="B136" s="55" t="s">
        <v>3574</v>
      </c>
      <c r="C136" s="55" t="s">
        <v>43</v>
      </c>
      <c r="D136" s="75">
        <f t="shared" si="8"/>
        <v>127.27272727272727</v>
      </c>
      <c r="E136" s="75">
        <f t="shared" si="6"/>
        <v>12.727272727272727</v>
      </c>
      <c r="F136" s="75">
        <v>140</v>
      </c>
      <c r="G136" s="75">
        <v>50</v>
      </c>
      <c r="H136" s="58">
        <f t="shared" si="7"/>
        <v>90</v>
      </c>
      <c r="I136" s="14" t="s">
        <v>3893</v>
      </c>
      <c r="J136" s="75">
        <v>140</v>
      </c>
      <c r="K136" s="75"/>
      <c r="L136" s="14"/>
      <c r="M136" s="75"/>
      <c r="N136" s="14"/>
      <c r="O136" s="14"/>
    </row>
    <row r="137" spans="1:15" x14ac:dyDescent="0.25">
      <c r="A137" s="86">
        <v>45591</v>
      </c>
      <c r="B137" s="55" t="s">
        <v>3575</v>
      </c>
      <c r="C137" s="55" t="s">
        <v>43</v>
      </c>
      <c r="D137" s="75">
        <f t="shared" si="8"/>
        <v>154.54545454545453</v>
      </c>
      <c r="E137" s="75">
        <f t="shared" si="6"/>
        <v>15.454545454545453</v>
      </c>
      <c r="F137" s="75">
        <v>170</v>
      </c>
      <c r="G137" s="75"/>
      <c r="H137" s="58">
        <f t="shared" si="7"/>
        <v>170</v>
      </c>
      <c r="I137" s="14" t="s">
        <v>1040</v>
      </c>
      <c r="J137" s="75">
        <v>170</v>
      </c>
      <c r="K137" s="75"/>
      <c r="L137" s="14"/>
      <c r="M137" s="75"/>
      <c r="N137" s="14"/>
      <c r="O137" s="14"/>
    </row>
    <row r="138" spans="1:15" x14ac:dyDescent="0.25">
      <c r="A138" s="86">
        <v>45591</v>
      </c>
      <c r="B138" s="55" t="s">
        <v>3576</v>
      </c>
      <c r="C138" s="55" t="s">
        <v>43</v>
      </c>
      <c r="D138" s="75">
        <f t="shared" si="8"/>
        <v>154.54545454545453</v>
      </c>
      <c r="E138" s="75">
        <f t="shared" si="6"/>
        <v>15.454545454545453</v>
      </c>
      <c r="F138" s="75">
        <v>170</v>
      </c>
      <c r="G138" s="75"/>
      <c r="H138" s="58">
        <f t="shared" si="7"/>
        <v>170</v>
      </c>
      <c r="I138" s="14" t="s">
        <v>3894</v>
      </c>
      <c r="J138" s="75">
        <v>170</v>
      </c>
      <c r="K138" s="75"/>
      <c r="L138" s="14"/>
      <c r="M138" s="75"/>
      <c r="N138" s="14"/>
      <c r="O138" s="14"/>
    </row>
    <row r="139" spans="1:15" x14ac:dyDescent="0.25">
      <c r="A139" s="86">
        <v>45591</v>
      </c>
      <c r="B139" s="55" t="s">
        <v>3577</v>
      </c>
      <c r="C139" s="55" t="s">
        <v>43</v>
      </c>
      <c r="D139" s="75">
        <f t="shared" si="8"/>
        <v>195.45454545454544</v>
      </c>
      <c r="E139" s="75">
        <f t="shared" si="6"/>
        <v>19.545454545454547</v>
      </c>
      <c r="F139" s="75">
        <v>215</v>
      </c>
      <c r="G139" s="75">
        <v>50</v>
      </c>
      <c r="H139" s="58">
        <f t="shared" si="7"/>
        <v>165</v>
      </c>
      <c r="I139" s="14" t="s">
        <v>3895</v>
      </c>
      <c r="J139" s="75">
        <v>170</v>
      </c>
      <c r="K139" s="75"/>
      <c r="L139" s="14"/>
      <c r="M139" s="75">
        <v>45</v>
      </c>
      <c r="N139" s="14" t="s">
        <v>45</v>
      </c>
      <c r="O139" s="14"/>
    </row>
    <row r="140" spans="1:15" x14ac:dyDescent="0.25">
      <c r="A140" s="86">
        <v>45591</v>
      </c>
      <c r="B140" s="55" t="s">
        <v>3578</v>
      </c>
      <c r="C140" s="55" t="s">
        <v>43</v>
      </c>
      <c r="D140" s="75">
        <f t="shared" si="8"/>
        <v>172.72727272727272</v>
      </c>
      <c r="E140" s="75">
        <f t="shared" si="6"/>
        <v>17.272727272727273</v>
      </c>
      <c r="F140" s="75">
        <v>190</v>
      </c>
      <c r="G140" s="75">
        <v>50</v>
      </c>
      <c r="H140" s="58">
        <f t="shared" si="7"/>
        <v>140</v>
      </c>
      <c r="I140" s="14" t="s">
        <v>3896</v>
      </c>
      <c r="J140" s="75">
        <v>170</v>
      </c>
      <c r="K140" s="75">
        <v>20</v>
      </c>
      <c r="L140" s="14" t="s">
        <v>252</v>
      </c>
      <c r="M140" s="75"/>
      <c r="N140" s="14"/>
      <c r="O140" s="14"/>
    </row>
    <row r="141" spans="1:15" x14ac:dyDescent="0.25">
      <c r="A141" s="86">
        <v>45592</v>
      </c>
      <c r="B141" s="55" t="s">
        <v>3579</v>
      </c>
      <c r="C141" s="55" t="s">
        <v>43</v>
      </c>
      <c r="D141" s="75">
        <f t="shared" si="8"/>
        <v>127.27272727272727</v>
      </c>
      <c r="E141" s="75">
        <f t="shared" si="6"/>
        <v>12.727272727272727</v>
      </c>
      <c r="F141" s="75">
        <v>140</v>
      </c>
      <c r="G141" s="75"/>
      <c r="H141" s="58">
        <f t="shared" si="7"/>
        <v>140</v>
      </c>
      <c r="I141" s="14" t="s">
        <v>603</v>
      </c>
      <c r="J141" s="75">
        <v>140</v>
      </c>
      <c r="K141" s="75"/>
      <c r="L141" s="14"/>
      <c r="M141" s="75"/>
      <c r="N141" s="14"/>
      <c r="O141" s="14"/>
    </row>
    <row r="142" spans="1:15" x14ac:dyDescent="0.25">
      <c r="A142" s="86">
        <v>45592</v>
      </c>
      <c r="B142" s="55" t="s">
        <v>3580</v>
      </c>
      <c r="C142" s="55" t="s">
        <v>43</v>
      </c>
      <c r="D142" s="75">
        <f t="shared" si="8"/>
        <v>145.45454545454544</v>
      </c>
      <c r="E142" s="75">
        <f t="shared" si="6"/>
        <v>14.545454545454545</v>
      </c>
      <c r="F142" s="75">
        <v>160</v>
      </c>
      <c r="G142" s="75"/>
      <c r="H142" s="58">
        <f t="shared" si="7"/>
        <v>160</v>
      </c>
      <c r="I142" s="14" t="s">
        <v>603</v>
      </c>
      <c r="J142" s="75">
        <v>160</v>
      </c>
      <c r="K142" s="75"/>
      <c r="L142" s="14"/>
      <c r="M142" s="75"/>
      <c r="N142" s="14"/>
      <c r="O142" s="14"/>
    </row>
    <row r="143" spans="1:15" x14ac:dyDescent="0.25">
      <c r="A143" s="86">
        <v>45594</v>
      </c>
      <c r="B143" s="262" t="s">
        <v>3581</v>
      </c>
      <c r="C143" s="55" t="s">
        <v>43</v>
      </c>
      <c r="D143" s="75">
        <f t="shared" si="8"/>
        <v>1090</v>
      </c>
      <c r="E143" s="75">
        <f t="shared" si="6"/>
        <v>109</v>
      </c>
      <c r="F143" s="75">
        <v>1199</v>
      </c>
      <c r="G143" s="75">
        <v>1199</v>
      </c>
      <c r="H143" s="58">
        <f t="shared" si="7"/>
        <v>0</v>
      </c>
      <c r="I143" s="14" t="s">
        <v>3921</v>
      </c>
      <c r="J143" s="75">
        <v>1199</v>
      </c>
      <c r="K143" s="75"/>
      <c r="L143" s="14"/>
      <c r="M143" s="75"/>
      <c r="N143" s="14"/>
      <c r="O143" s="14"/>
    </row>
    <row r="144" spans="1:15" x14ac:dyDescent="0.25">
      <c r="A144" s="86">
        <v>45594</v>
      </c>
      <c r="B144" s="55" t="s">
        <v>3582</v>
      </c>
      <c r="C144" s="55" t="s">
        <v>43</v>
      </c>
      <c r="D144" s="75">
        <f t="shared" si="8"/>
        <v>154.54545454545453</v>
      </c>
      <c r="E144" s="75">
        <f t="shared" si="6"/>
        <v>15.454545454545453</v>
      </c>
      <c r="F144" s="75">
        <v>170</v>
      </c>
      <c r="G144" s="75">
        <v>50</v>
      </c>
      <c r="H144" s="58">
        <f t="shared" si="7"/>
        <v>120</v>
      </c>
      <c r="I144" s="14" t="s">
        <v>3922</v>
      </c>
      <c r="J144" s="75">
        <v>170</v>
      </c>
      <c r="K144" s="75"/>
      <c r="L144" s="14"/>
      <c r="M144" s="75"/>
      <c r="N144" s="14"/>
      <c r="O144" s="14"/>
    </row>
    <row r="145" spans="1:15" x14ac:dyDescent="0.25">
      <c r="A145" s="86">
        <v>45594</v>
      </c>
      <c r="B145" s="55" t="s">
        <v>3583</v>
      </c>
      <c r="C145" s="55" t="s">
        <v>43</v>
      </c>
      <c r="D145" s="75">
        <f t="shared" si="8"/>
        <v>286.36363636363632</v>
      </c>
      <c r="E145" s="75">
        <f t="shared" si="6"/>
        <v>28.63636363636363</v>
      </c>
      <c r="F145" s="75">
        <v>315</v>
      </c>
      <c r="G145" s="75">
        <v>315</v>
      </c>
      <c r="H145" s="58">
        <f t="shared" si="7"/>
        <v>0</v>
      </c>
      <c r="I145" s="14" t="s">
        <v>3923</v>
      </c>
      <c r="J145" s="75">
        <v>270</v>
      </c>
      <c r="K145" s="75"/>
      <c r="L145" s="14"/>
      <c r="M145" s="75">
        <v>45</v>
      </c>
      <c r="N145" s="14" t="s">
        <v>45</v>
      </c>
      <c r="O145" s="14"/>
    </row>
    <row r="146" spans="1:15" x14ac:dyDescent="0.25">
      <c r="A146" s="86">
        <v>45596</v>
      </c>
      <c r="B146" s="55" t="s">
        <v>3584</v>
      </c>
      <c r="C146" s="55" t="s">
        <v>43</v>
      </c>
      <c r="D146" s="75">
        <f t="shared" si="8"/>
        <v>277.27272727272725</v>
      </c>
      <c r="E146" s="75">
        <f t="shared" si="6"/>
        <v>27.727272727272727</v>
      </c>
      <c r="F146" s="75">
        <v>305</v>
      </c>
      <c r="G146" s="75">
        <v>50</v>
      </c>
      <c r="H146" s="58">
        <f t="shared" si="7"/>
        <v>255</v>
      </c>
      <c r="I146" s="14" t="s">
        <v>3924</v>
      </c>
      <c r="J146" s="75">
        <v>260</v>
      </c>
      <c r="K146" s="75"/>
      <c r="L146" s="14"/>
      <c r="M146" s="75">
        <v>45</v>
      </c>
      <c r="N146" s="14" t="s">
        <v>45</v>
      </c>
      <c r="O146" s="14"/>
    </row>
    <row r="147" spans="1:15" x14ac:dyDescent="0.25">
      <c r="A147" s="86">
        <v>45596</v>
      </c>
      <c r="B147" s="55" t="s">
        <v>3585</v>
      </c>
      <c r="C147" s="55" t="s">
        <v>43</v>
      </c>
      <c r="D147" s="75">
        <f t="shared" si="8"/>
        <v>218.18181818181816</v>
      </c>
      <c r="E147" s="75">
        <f t="shared" si="6"/>
        <v>21.818181818181817</v>
      </c>
      <c r="F147" s="75">
        <v>240</v>
      </c>
      <c r="G147" s="75"/>
      <c r="H147" s="58">
        <f t="shared" si="7"/>
        <v>240</v>
      </c>
      <c r="I147" s="14" t="s">
        <v>3925</v>
      </c>
      <c r="J147" s="75">
        <v>240</v>
      </c>
      <c r="K147" s="75"/>
      <c r="L147" s="14"/>
      <c r="M147" s="75"/>
      <c r="N147" s="14"/>
      <c r="O147" s="14"/>
    </row>
    <row r="148" spans="1:15" x14ac:dyDescent="0.25">
      <c r="A148" s="86">
        <v>45596</v>
      </c>
      <c r="B148" s="55" t="s">
        <v>3586</v>
      </c>
      <c r="C148" s="55" t="s">
        <v>43</v>
      </c>
      <c r="D148" s="75">
        <f t="shared" si="8"/>
        <v>127.27272727272727</v>
      </c>
      <c r="E148" s="75">
        <f t="shared" si="6"/>
        <v>12.727272727272727</v>
      </c>
      <c r="F148" s="75">
        <v>140</v>
      </c>
      <c r="G148" s="75"/>
      <c r="H148" s="58">
        <f t="shared" si="7"/>
        <v>140</v>
      </c>
      <c r="I148" s="14" t="s">
        <v>603</v>
      </c>
      <c r="J148" s="75">
        <v>140</v>
      </c>
      <c r="K148" s="75"/>
      <c r="L148" s="14"/>
      <c r="M148" s="75"/>
      <c r="N148" s="14"/>
      <c r="O148" s="14"/>
    </row>
    <row r="149" spans="1:15" x14ac:dyDescent="0.25">
      <c r="G149" s="175">
        <f>SUM(G3:G148)</f>
        <v>9909</v>
      </c>
    </row>
  </sheetData>
  <mergeCells count="14">
    <mergeCell ref="F1:F2"/>
    <mergeCell ref="A1:A2"/>
    <mergeCell ref="B1:B2"/>
    <mergeCell ref="C1:C2"/>
    <mergeCell ref="D1:D2"/>
    <mergeCell ref="E1:E2"/>
    <mergeCell ref="N1:N2"/>
    <mergeCell ref="O1:O2"/>
    <mergeCell ref="G1:H1"/>
    <mergeCell ref="I1:I2"/>
    <mergeCell ref="J1:J2"/>
    <mergeCell ref="K1:K2"/>
    <mergeCell ref="L1:L2"/>
    <mergeCell ref="M1:M2"/>
  </mergeCells>
  <phoneticPr fontId="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B346-C4BC-41AD-8146-3340E1E5F7F1}">
  <dimension ref="A1:O102"/>
  <sheetViews>
    <sheetView topLeftCell="A58" workbookViewId="0">
      <selection activeCell="B92" sqref="B92"/>
    </sheetView>
  </sheetViews>
  <sheetFormatPr baseColWidth="10" defaultRowHeight="15" x14ac:dyDescent="0.25"/>
  <cols>
    <col min="2" max="2" width="28" customWidth="1"/>
    <col min="3" max="3" width="36" customWidth="1"/>
    <col min="4" max="4" width="15.5703125" customWidth="1"/>
    <col min="5" max="5" width="52.42578125" customWidth="1"/>
    <col min="6" max="6" width="20" customWidth="1"/>
    <col min="11" max="11" width="14.5703125" customWidth="1"/>
  </cols>
  <sheetData>
    <row r="1" spans="1:13" x14ac:dyDescent="0.25">
      <c r="A1" t="s">
        <v>0</v>
      </c>
      <c r="B1" s="1">
        <v>45597</v>
      </c>
    </row>
    <row r="3" spans="1:13" x14ac:dyDescent="0.2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3" x14ac:dyDescent="0.25">
      <c r="A4" s="208">
        <v>45597</v>
      </c>
      <c r="B4" s="209" t="s">
        <v>4034</v>
      </c>
      <c r="C4" s="230" t="s">
        <v>12</v>
      </c>
      <c r="D4" s="210" t="s">
        <v>13</v>
      </c>
      <c r="E4" s="211" t="s">
        <v>14</v>
      </c>
      <c r="F4" s="212">
        <v>1650</v>
      </c>
      <c r="G4" s="212"/>
      <c r="H4" s="212"/>
      <c r="I4" s="9">
        <f>G4+H4</f>
        <v>0</v>
      </c>
      <c r="J4" s="17"/>
      <c r="K4" s="9">
        <f>F4+I4-J4</f>
        <v>1650</v>
      </c>
      <c r="L4" t="s">
        <v>41</v>
      </c>
    </row>
    <row r="5" spans="1:13" x14ac:dyDescent="0.25">
      <c r="A5" s="405">
        <v>45598</v>
      </c>
      <c r="B5" s="408" t="s">
        <v>4035</v>
      </c>
      <c r="C5" s="401" t="s">
        <v>4036</v>
      </c>
      <c r="D5" s="401" t="s">
        <v>4037</v>
      </c>
      <c r="E5" s="403" t="s">
        <v>281</v>
      </c>
      <c r="F5" s="151">
        <v>35.799999999999997</v>
      </c>
      <c r="G5" s="151">
        <v>7.52</v>
      </c>
      <c r="H5" s="151"/>
      <c r="I5" s="333">
        <f>G5+H6+H7+H8</f>
        <v>23.349999999999998</v>
      </c>
      <c r="J5" s="97"/>
      <c r="K5" s="333">
        <f>F5+F6+F7+F8+I5</f>
        <v>246.54</v>
      </c>
      <c r="M5" s="379" t="s">
        <v>267</v>
      </c>
    </row>
    <row r="6" spans="1:13" x14ac:dyDescent="0.25">
      <c r="A6" s="406"/>
      <c r="B6" s="409"/>
      <c r="C6" s="411"/>
      <c r="D6" s="411"/>
      <c r="E6" s="389"/>
      <c r="F6" s="290">
        <v>150.01</v>
      </c>
      <c r="G6" s="290"/>
      <c r="H6" s="290">
        <v>15</v>
      </c>
      <c r="I6" s="376"/>
      <c r="J6" s="97"/>
      <c r="K6" s="376"/>
      <c r="M6" s="379"/>
    </row>
    <row r="7" spans="1:13" x14ac:dyDescent="0.25">
      <c r="A7" s="406"/>
      <c r="B7" s="409"/>
      <c r="C7" s="411"/>
      <c r="D7" s="411"/>
      <c r="E7" s="389"/>
      <c r="F7" s="290">
        <v>1.45</v>
      </c>
      <c r="G7" s="290"/>
      <c r="H7" s="290">
        <v>0.11</v>
      </c>
      <c r="I7" s="376"/>
      <c r="J7" s="97"/>
      <c r="K7" s="376"/>
      <c r="L7" s="257">
        <v>7.4999999999999997E-2</v>
      </c>
      <c r="M7" s="379"/>
    </row>
    <row r="8" spans="1:13" x14ac:dyDescent="0.25">
      <c r="A8" s="407"/>
      <c r="B8" s="410"/>
      <c r="C8" s="402"/>
      <c r="D8" s="402"/>
      <c r="E8" s="404"/>
      <c r="F8" s="276">
        <v>35.93</v>
      </c>
      <c r="G8" s="276"/>
      <c r="H8" s="276">
        <v>0.72</v>
      </c>
      <c r="I8" s="334"/>
      <c r="J8" s="50"/>
      <c r="K8" s="334"/>
      <c r="L8" s="289">
        <v>0.02</v>
      </c>
      <c r="M8" s="379"/>
    </row>
    <row r="9" spans="1:13" x14ac:dyDescent="0.25">
      <c r="A9" s="214">
        <v>45599</v>
      </c>
      <c r="B9" s="214" t="s">
        <v>4038</v>
      </c>
      <c r="C9" s="214" t="s">
        <v>3171</v>
      </c>
      <c r="D9" s="214" t="s">
        <v>16</v>
      </c>
      <c r="E9" s="214" t="s">
        <v>17</v>
      </c>
      <c r="F9" s="276">
        <v>60.01</v>
      </c>
      <c r="G9" s="276">
        <v>9.99</v>
      </c>
      <c r="H9" s="276"/>
      <c r="I9" s="9">
        <f t="shared" ref="I9:I60" si="0">G9+H9</f>
        <v>9.99</v>
      </c>
      <c r="J9" s="50"/>
      <c r="K9" s="9">
        <f t="shared" ref="K9:K85" si="1">F9+I9-J9</f>
        <v>70</v>
      </c>
      <c r="L9" t="s">
        <v>42</v>
      </c>
    </row>
    <row r="10" spans="1:13" x14ac:dyDescent="0.25">
      <c r="A10" s="214">
        <v>45601</v>
      </c>
      <c r="B10" s="214" t="s">
        <v>4039</v>
      </c>
      <c r="C10" s="214" t="s">
        <v>3427</v>
      </c>
      <c r="D10" s="214" t="s">
        <v>24</v>
      </c>
      <c r="E10" s="214" t="s">
        <v>25</v>
      </c>
      <c r="F10" s="253">
        <v>22.91</v>
      </c>
      <c r="G10" s="253"/>
      <c r="H10" s="253">
        <v>2.29</v>
      </c>
      <c r="I10" s="9">
        <f t="shared" si="0"/>
        <v>2.29</v>
      </c>
      <c r="J10" s="50"/>
      <c r="K10" s="9">
        <f t="shared" si="1"/>
        <v>25.2</v>
      </c>
      <c r="L10" t="s">
        <v>42</v>
      </c>
    </row>
    <row r="11" spans="1:13" x14ac:dyDescent="0.25">
      <c r="A11" s="214">
        <v>45603</v>
      </c>
      <c r="B11" s="216" t="s">
        <v>4044</v>
      </c>
      <c r="C11" s="231" t="s">
        <v>4049</v>
      </c>
      <c r="D11" s="214" t="s">
        <v>4045</v>
      </c>
      <c r="E11" s="214" t="s">
        <v>4046</v>
      </c>
      <c r="F11" s="253">
        <v>1000</v>
      </c>
      <c r="G11" s="253">
        <v>210</v>
      </c>
      <c r="H11" s="253"/>
      <c r="I11" s="9">
        <f t="shared" si="0"/>
        <v>210</v>
      </c>
      <c r="J11" s="50"/>
      <c r="K11" s="9">
        <f t="shared" si="1"/>
        <v>1210</v>
      </c>
      <c r="L11" t="s">
        <v>4047</v>
      </c>
    </row>
    <row r="12" spans="1:13" x14ac:dyDescent="0.25">
      <c r="A12" s="214">
        <v>45597</v>
      </c>
      <c r="B12" s="216" t="s">
        <v>4048</v>
      </c>
      <c r="C12" s="231" t="s">
        <v>4050</v>
      </c>
      <c r="D12" s="214" t="s">
        <v>4051</v>
      </c>
      <c r="E12" s="214" t="s">
        <v>4052</v>
      </c>
      <c r="F12" s="253">
        <v>180</v>
      </c>
      <c r="G12" s="253">
        <v>37.799999999999997</v>
      </c>
      <c r="H12" s="253"/>
      <c r="I12" s="9">
        <f t="shared" si="0"/>
        <v>37.799999999999997</v>
      </c>
      <c r="J12" s="50"/>
      <c r="K12" s="9">
        <f t="shared" si="1"/>
        <v>217.8</v>
      </c>
      <c r="L12" t="s">
        <v>41</v>
      </c>
    </row>
    <row r="13" spans="1:13" x14ac:dyDescent="0.25">
      <c r="A13" s="214">
        <v>45606</v>
      </c>
      <c r="B13" s="216" t="s">
        <v>4053</v>
      </c>
      <c r="C13" s="231" t="s">
        <v>4054</v>
      </c>
      <c r="D13" s="214" t="s">
        <v>4055</v>
      </c>
      <c r="E13" s="214" t="s">
        <v>17</v>
      </c>
      <c r="F13" s="253">
        <v>16.53</v>
      </c>
      <c r="G13" s="253">
        <v>3.47</v>
      </c>
      <c r="H13" s="253"/>
      <c r="I13" s="9">
        <f t="shared" si="0"/>
        <v>3.47</v>
      </c>
      <c r="J13" s="97"/>
      <c r="K13" s="9">
        <f t="shared" si="1"/>
        <v>20</v>
      </c>
      <c r="L13" t="s">
        <v>42</v>
      </c>
    </row>
    <row r="14" spans="1:13" x14ac:dyDescent="0.25">
      <c r="A14" s="214">
        <v>45607</v>
      </c>
      <c r="B14" s="216" t="s">
        <v>4056</v>
      </c>
      <c r="C14" s="231" t="s">
        <v>4057</v>
      </c>
      <c r="D14" s="214" t="s">
        <v>4058</v>
      </c>
      <c r="E14" s="214" t="s">
        <v>4059</v>
      </c>
      <c r="F14" s="200">
        <v>37.19</v>
      </c>
      <c r="G14" s="200">
        <v>7.81</v>
      </c>
      <c r="H14" s="200"/>
      <c r="I14" s="9">
        <f t="shared" si="0"/>
        <v>7.81</v>
      </c>
      <c r="J14" s="50"/>
      <c r="K14" s="9">
        <f t="shared" si="1"/>
        <v>45</v>
      </c>
      <c r="L14" t="s">
        <v>42</v>
      </c>
    </row>
    <row r="15" spans="1:13" x14ac:dyDescent="0.25">
      <c r="A15" s="381">
        <v>45607</v>
      </c>
      <c r="B15" s="392" t="s">
        <v>4076</v>
      </c>
      <c r="C15" s="381" t="s">
        <v>4077</v>
      </c>
      <c r="D15" s="381" t="s">
        <v>23</v>
      </c>
      <c r="E15" s="386" t="s">
        <v>281</v>
      </c>
      <c r="F15" s="278">
        <v>18.34</v>
      </c>
      <c r="G15" s="278">
        <v>3.65</v>
      </c>
      <c r="H15" s="200"/>
      <c r="I15" s="333">
        <f>G15+H16+H17</f>
        <v>6.05</v>
      </c>
      <c r="J15" s="50"/>
      <c r="K15" s="333">
        <f>I15+F15+F16+F17</f>
        <v>66.73</v>
      </c>
    </row>
    <row r="16" spans="1:13" x14ac:dyDescent="0.25">
      <c r="A16" s="382"/>
      <c r="B16" s="396"/>
      <c r="C16" s="382"/>
      <c r="D16" s="382"/>
      <c r="E16" s="390"/>
      <c r="F16" s="280">
        <v>19.39</v>
      </c>
      <c r="G16" s="280"/>
      <c r="H16" s="290">
        <v>1.94</v>
      </c>
      <c r="I16" s="376"/>
      <c r="J16" s="50"/>
      <c r="K16" s="376"/>
      <c r="L16" t="s">
        <v>42</v>
      </c>
    </row>
    <row r="17" spans="1:13" x14ac:dyDescent="0.25">
      <c r="A17" s="383"/>
      <c r="B17" s="393"/>
      <c r="C17" s="383"/>
      <c r="D17" s="383"/>
      <c r="E17" s="387"/>
      <c r="F17" s="281">
        <v>22.95</v>
      </c>
      <c r="G17" s="281"/>
      <c r="H17" s="291">
        <v>0.46</v>
      </c>
      <c r="I17" s="334"/>
      <c r="J17" s="50"/>
      <c r="K17" s="334"/>
      <c r="M17" s="289">
        <v>0.02</v>
      </c>
    </row>
    <row r="18" spans="1:13" x14ac:dyDescent="0.25">
      <c r="A18" s="214">
        <v>45607</v>
      </c>
      <c r="B18" s="14" t="s">
        <v>4102</v>
      </c>
      <c r="C18" s="292" t="s">
        <v>292</v>
      </c>
      <c r="D18" s="36" t="s">
        <v>293</v>
      </c>
      <c r="E18" s="14" t="s">
        <v>792</v>
      </c>
      <c r="F18" s="276">
        <v>140.88</v>
      </c>
      <c r="G18" s="276">
        <v>29.58</v>
      </c>
      <c r="H18" s="276"/>
      <c r="I18" s="9">
        <f t="shared" si="0"/>
        <v>29.58</v>
      </c>
      <c r="J18" s="50"/>
      <c r="K18" s="9">
        <f t="shared" si="1"/>
        <v>170.45999999999998</v>
      </c>
      <c r="L18" t="s">
        <v>3300</v>
      </c>
    </row>
    <row r="19" spans="1:13" x14ac:dyDescent="0.25">
      <c r="A19" s="214">
        <v>45609</v>
      </c>
      <c r="B19" s="14" t="s">
        <v>4103</v>
      </c>
      <c r="C19" s="292" t="s">
        <v>292</v>
      </c>
      <c r="D19" s="36" t="s">
        <v>293</v>
      </c>
      <c r="E19" s="14" t="s">
        <v>792</v>
      </c>
      <c r="F19" s="253">
        <v>27.56</v>
      </c>
      <c r="G19" s="253">
        <v>3.62</v>
      </c>
      <c r="H19" s="253"/>
      <c r="I19" s="9">
        <f t="shared" si="0"/>
        <v>3.62</v>
      </c>
      <c r="J19" s="50"/>
      <c r="K19" s="9">
        <f t="shared" si="1"/>
        <v>31.18</v>
      </c>
      <c r="L19" t="s">
        <v>3300</v>
      </c>
    </row>
    <row r="20" spans="1:13" x14ac:dyDescent="0.25">
      <c r="A20" s="214">
        <v>45609</v>
      </c>
      <c r="B20" s="216" t="s">
        <v>4104</v>
      </c>
      <c r="C20" s="28" t="s">
        <v>829</v>
      </c>
      <c r="D20" s="35" t="s">
        <v>830</v>
      </c>
      <c r="E20" s="29" t="s">
        <v>797</v>
      </c>
      <c r="F20" s="253">
        <v>656.93</v>
      </c>
      <c r="G20" s="253">
        <v>137.94999999999999</v>
      </c>
      <c r="H20" s="253"/>
      <c r="I20" s="9">
        <f t="shared" si="0"/>
        <v>137.94999999999999</v>
      </c>
      <c r="J20" s="50"/>
      <c r="K20" s="9">
        <f t="shared" si="1"/>
        <v>794.87999999999988</v>
      </c>
      <c r="L20" t="s">
        <v>267</v>
      </c>
    </row>
    <row r="21" spans="1:13" x14ac:dyDescent="0.25">
      <c r="A21" s="214">
        <v>45609</v>
      </c>
      <c r="B21" s="216" t="s">
        <v>4105</v>
      </c>
      <c r="C21" s="28" t="s">
        <v>829</v>
      </c>
      <c r="D21" s="35" t="s">
        <v>830</v>
      </c>
      <c r="E21" s="29" t="s">
        <v>797</v>
      </c>
      <c r="F21" s="253">
        <v>475.34</v>
      </c>
      <c r="G21" s="253">
        <v>99.82</v>
      </c>
      <c r="H21" s="253"/>
      <c r="I21" s="9">
        <f t="shared" si="0"/>
        <v>99.82</v>
      </c>
      <c r="J21" s="50"/>
      <c r="K21" s="9">
        <f t="shared" si="1"/>
        <v>575.16</v>
      </c>
      <c r="L21" t="s">
        <v>267</v>
      </c>
    </row>
    <row r="22" spans="1:13" x14ac:dyDescent="0.25">
      <c r="A22" s="214">
        <v>45609</v>
      </c>
      <c r="B22" s="216" t="s">
        <v>4106</v>
      </c>
      <c r="C22" s="231" t="s">
        <v>527</v>
      </c>
      <c r="D22" s="214" t="s">
        <v>20</v>
      </c>
      <c r="E22" s="214" t="s">
        <v>17</v>
      </c>
      <c r="F22" s="200">
        <v>41.32</v>
      </c>
      <c r="G22" s="200">
        <v>8.68</v>
      </c>
      <c r="H22" s="200"/>
      <c r="I22" s="9">
        <f t="shared" si="0"/>
        <v>8.68</v>
      </c>
      <c r="J22" s="50"/>
      <c r="K22" s="9">
        <f t="shared" si="1"/>
        <v>50</v>
      </c>
      <c r="L22" t="s">
        <v>267</v>
      </c>
    </row>
    <row r="23" spans="1:13" x14ac:dyDescent="0.25">
      <c r="A23" s="381">
        <v>45609</v>
      </c>
      <c r="B23" s="392" t="s">
        <v>4107</v>
      </c>
      <c r="C23" s="381" t="s">
        <v>310</v>
      </c>
      <c r="D23" s="381" t="s">
        <v>311</v>
      </c>
      <c r="E23" s="386" t="s">
        <v>281</v>
      </c>
      <c r="F23" s="278">
        <v>20.91</v>
      </c>
      <c r="G23" s="278">
        <v>4.3899999999999997</v>
      </c>
      <c r="H23" s="200"/>
      <c r="I23" s="333">
        <f>G23+H24+H25</f>
        <v>9.44</v>
      </c>
      <c r="J23" s="50"/>
      <c r="K23" s="333">
        <f>F23+F24+F25+I23</f>
        <v>91.91</v>
      </c>
    </row>
    <row r="24" spans="1:13" x14ac:dyDescent="0.25">
      <c r="A24" s="382"/>
      <c r="B24" s="396"/>
      <c r="C24" s="382"/>
      <c r="D24" s="382"/>
      <c r="E24" s="390"/>
      <c r="F24" s="280">
        <v>47.69</v>
      </c>
      <c r="G24" s="280"/>
      <c r="H24" s="290">
        <v>4.7699999999999996</v>
      </c>
      <c r="I24" s="376"/>
      <c r="J24" s="50"/>
      <c r="K24" s="376"/>
    </row>
    <row r="25" spans="1:13" x14ac:dyDescent="0.25">
      <c r="A25" s="383"/>
      <c r="B25" s="393"/>
      <c r="C25" s="383"/>
      <c r="D25" s="383"/>
      <c r="E25" s="387"/>
      <c r="F25" s="280">
        <v>13.87</v>
      </c>
      <c r="G25" s="280"/>
      <c r="H25" s="227">
        <v>0.28000000000000003</v>
      </c>
      <c r="I25" s="334"/>
      <c r="J25" s="50"/>
      <c r="K25" s="334"/>
      <c r="L25" t="s">
        <v>267</v>
      </c>
      <c r="M25" s="289">
        <v>0.02</v>
      </c>
    </row>
    <row r="26" spans="1:13" x14ac:dyDescent="0.25">
      <c r="A26" s="381">
        <v>45609</v>
      </c>
      <c r="B26" s="392" t="s">
        <v>4108</v>
      </c>
      <c r="C26" s="401" t="s">
        <v>4109</v>
      </c>
      <c r="D26" s="401" t="s">
        <v>4110</v>
      </c>
      <c r="E26" s="403" t="s">
        <v>4111</v>
      </c>
      <c r="F26" s="278">
        <v>46.73</v>
      </c>
      <c r="G26" s="278">
        <v>10.23</v>
      </c>
      <c r="H26" s="200"/>
      <c r="I26" s="333">
        <f>G26+H27+H28</f>
        <v>10.799999999999999</v>
      </c>
      <c r="J26" s="50"/>
      <c r="K26" s="333">
        <f>I26+F26+F27+F28</f>
        <v>63.859999999999992</v>
      </c>
    </row>
    <row r="27" spans="1:13" x14ac:dyDescent="0.25">
      <c r="A27" s="382"/>
      <c r="B27" s="396"/>
      <c r="C27" s="411"/>
      <c r="D27" s="411"/>
      <c r="E27" s="389"/>
      <c r="F27" s="280">
        <v>3.72</v>
      </c>
      <c r="G27" s="280"/>
      <c r="H27" s="290">
        <v>0.37</v>
      </c>
      <c r="I27" s="376"/>
      <c r="J27" s="50"/>
      <c r="K27" s="376"/>
    </row>
    <row r="28" spans="1:13" x14ac:dyDescent="0.25">
      <c r="A28" s="383"/>
      <c r="B28" s="393"/>
      <c r="C28" s="402"/>
      <c r="D28" s="402"/>
      <c r="E28" s="404"/>
      <c r="F28" s="281">
        <v>2.61</v>
      </c>
      <c r="G28" s="281"/>
      <c r="H28" s="291">
        <v>0.2</v>
      </c>
      <c r="I28" s="334"/>
      <c r="J28" s="50"/>
      <c r="K28" s="334"/>
      <c r="L28" t="s">
        <v>267</v>
      </c>
      <c r="M28" s="257">
        <v>7.4999999999999997E-2</v>
      </c>
    </row>
    <row r="29" spans="1:13" x14ac:dyDescent="0.25">
      <c r="A29" s="214">
        <v>45613</v>
      </c>
      <c r="B29" s="216" t="s">
        <v>4112</v>
      </c>
      <c r="C29" s="231" t="s">
        <v>576</v>
      </c>
      <c r="D29" s="214" t="s">
        <v>577</v>
      </c>
      <c r="E29" s="214" t="s">
        <v>578</v>
      </c>
      <c r="F29" s="276">
        <v>66.914000000000001</v>
      </c>
      <c r="G29" s="276">
        <v>14.68</v>
      </c>
      <c r="H29" s="276"/>
      <c r="I29" s="9">
        <f t="shared" si="0"/>
        <v>14.68</v>
      </c>
      <c r="J29" s="50"/>
      <c r="K29" s="9">
        <f t="shared" si="1"/>
        <v>81.593999999999994</v>
      </c>
      <c r="L29" t="s">
        <v>42</v>
      </c>
    </row>
    <row r="30" spans="1:13" x14ac:dyDescent="0.25">
      <c r="A30" s="214">
        <v>45613</v>
      </c>
      <c r="B30" s="216" t="s">
        <v>4113</v>
      </c>
      <c r="C30" s="109" t="s">
        <v>322</v>
      </c>
      <c r="D30" s="108" t="s">
        <v>323</v>
      </c>
      <c r="E30" s="110" t="s">
        <v>17</v>
      </c>
      <c r="F30" s="253">
        <v>16.53</v>
      </c>
      <c r="G30" s="253">
        <v>3.47</v>
      </c>
      <c r="H30" s="253"/>
      <c r="I30" s="9">
        <f t="shared" si="0"/>
        <v>3.47</v>
      </c>
      <c r="J30" s="50"/>
      <c r="K30" s="9">
        <f t="shared" si="1"/>
        <v>20</v>
      </c>
      <c r="L30" t="s">
        <v>42</v>
      </c>
    </row>
    <row r="31" spans="1:13" x14ac:dyDescent="0.25">
      <c r="A31" s="214">
        <v>45613</v>
      </c>
      <c r="B31" s="216" t="s">
        <v>4114</v>
      </c>
      <c r="C31" s="231" t="s">
        <v>2193</v>
      </c>
      <c r="D31" s="214" t="s">
        <v>271</v>
      </c>
      <c r="E31" s="214" t="s">
        <v>17</v>
      </c>
      <c r="F31" s="253">
        <v>63.1</v>
      </c>
      <c r="G31" s="253">
        <v>13.25</v>
      </c>
      <c r="H31" s="253"/>
      <c r="I31" s="9">
        <f t="shared" si="0"/>
        <v>13.25</v>
      </c>
      <c r="J31" s="50"/>
      <c r="K31" s="9">
        <f t="shared" si="1"/>
        <v>76.349999999999994</v>
      </c>
      <c r="L31" t="s">
        <v>267</v>
      </c>
    </row>
    <row r="32" spans="1:13" x14ac:dyDescent="0.25">
      <c r="A32" s="214">
        <v>45614</v>
      </c>
      <c r="B32" s="216" t="s">
        <v>4115</v>
      </c>
      <c r="C32" s="231" t="s">
        <v>3134</v>
      </c>
      <c r="D32" s="216" t="s">
        <v>280</v>
      </c>
      <c r="E32" s="214" t="s">
        <v>281</v>
      </c>
      <c r="F32" s="200">
        <v>25.99</v>
      </c>
      <c r="G32" s="200">
        <v>5.46</v>
      </c>
      <c r="H32" s="200"/>
      <c r="I32" s="9">
        <f t="shared" si="0"/>
        <v>5.46</v>
      </c>
      <c r="J32" s="50"/>
      <c r="K32" s="9">
        <f t="shared" si="1"/>
        <v>31.45</v>
      </c>
      <c r="L32" t="s">
        <v>42</v>
      </c>
    </row>
    <row r="33" spans="1:13" x14ac:dyDescent="0.25">
      <c r="A33" s="381">
        <v>45615</v>
      </c>
      <c r="B33" s="392" t="s">
        <v>4116</v>
      </c>
      <c r="C33" s="381" t="s">
        <v>4077</v>
      </c>
      <c r="D33" s="381" t="s">
        <v>23</v>
      </c>
      <c r="E33" s="386" t="s">
        <v>281</v>
      </c>
      <c r="F33" s="278">
        <v>2.84</v>
      </c>
      <c r="G33" s="278">
        <v>0.6</v>
      </c>
      <c r="H33" s="200"/>
      <c r="I33" s="333">
        <f>G33+H34+H35</f>
        <v>4.59</v>
      </c>
      <c r="J33" s="91"/>
      <c r="K33" s="333">
        <f>F33+F34+F35+G33+H34+H35</f>
        <v>54.79</v>
      </c>
    </row>
    <row r="34" spans="1:13" x14ac:dyDescent="0.25">
      <c r="A34" s="382"/>
      <c r="B34" s="396"/>
      <c r="C34" s="382"/>
      <c r="D34" s="382"/>
      <c r="E34" s="390"/>
      <c r="F34" s="280">
        <v>38.049999999999997</v>
      </c>
      <c r="G34" s="280"/>
      <c r="H34" s="290">
        <v>3.8</v>
      </c>
      <c r="I34" s="376"/>
      <c r="J34" s="283"/>
      <c r="K34" s="376"/>
      <c r="L34" t="s">
        <v>267</v>
      </c>
    </row>
    <row r="35" spans="1:13" x14ac:dyDescent="0.25">
      <c r="A35" s="383"/>
      <c r="B35" s="393"/>
      <c r="C35" s="383"/>
      <c r="D35" s="383"/>
      <c r="E35" s="387"/>
      <c r="F35" s="281">
        <v>9.31</v>
      </c>
      <c r="G35" s="281"/>
      <c r="H35" s="291">
        <v>0.19</v>
      </c>
      <c r="I35" s="334"/>
      <c r="J35" s="50"/>
      <c r="K35" s="334"/>
      <c r="M35" s="289">
        <v>0.02</v>
      </c>
    </row>
    <row r="36" spans="1:13" x14ac:dyDescent="0.25">
      <c r="A36" s="214">
        <v>45611</v>
      </c>
      <c r="B36" s="216" t="s">
        <v>4118</v>
      </c>
      <c r="C36" s="231" t="s">
        <v>4049</v>
      </c>
      <c r="D36" s="214" t="s">
        <v>4045</v>
      </c>
      <c r="E36" s="214" t="s">
        <v>4046</v>
      </c>
      <c r="F36" s="276">
        <v>650</v>
      </c>
      <c r="G36" s="276">
        <v>136.5</v>
      </c>
      <c r="H36" s="276"/>
      <c r="I36" s="9">
        <f t="shared" si="0"/>
        <v>136.5</v>
      </c>
      <c r="J36" s="50"/>
      <c r="K36" s="9">
        <f t="shared" si="1"/>
        <v>786.5</v>
      </c>
      <c r="L36" t="s">
        <v>41</v>
      </c>
    </row>
    <row r="37" spans="1:13" x14ac:dyDescent="0.25">
      <c r="A37" s="214">
        <v>45615</v>
      </c>
      <c r="B37" s="216" t="s">
        <v>4119</v>
      </c>
      <c r="C37" s="231" t="s">
        <v>3427</v>
      </c>
      <c r="D37" s="214" t="s">
        <v>24</v>
      </c>
      <c r="E37" s="214" t="s">
        <v>25</v>
      </c>
      <c r="F37" s="200">
        <v>30.54</v>
      </c>
      <c r="G37" s="200"/>
      <c r="H37" s="200">
        <v>3.05</v>
      </c>
      <c r="I37" s="9">
        <f t="shared" si="0"/>
        <v>3.05</v>
      </c>
      <c r="J37" s="91"/>
      <c r="K37" s="9">
        <f t="shared" si="1"/>
        <v>33.589999999999996</v>
      </c>
      <c r="L37" t="s">
        <v>42</v>
      </c>
    </row>
    <row r="38" spans="1:13" x14ac:dyDescent="0.25">
      <c r="A38" s="381">
        <v>45616</v>
      </c>
      <c r="B38" s="392" t="s">
        <v>4120</v>
      </c>
      <c r="C38" s="381" t="s">
        <v>4077</v>
      </c>
      <c r="D38" s="381" t="s">
        <v>23</v>
      </c>
      <c r="E38" s="386" t="s">
        <v>281</v>
      </c>
      <c r="F38" s="278">
        <v>26.75</v>
      </c>
      <c r="G38" s="278">
        <v>5.63</v>
      </c>
      <c r="H38" s="200"/>
      <c r="I38" s="394">
        <f>G38+H39+H40+H41</f>
        <v>30.089999999999996</v>
      </c>
      <c r="J38" s="91"/>
      <c r="K38" s="333">
        <f>I38+F38+F39+F40+F41</f>
        <v>340.35</v>
      </c>
    </row>
    <row r="39" spans="1:13" x14ac:dyDescent="0.25">
      <c r="A39" s="382"/>
      <c r="B39" s="396"/>
      <c r="C39" s="382"/>
      <c r="D39" s="382"/>
      <c r="E39" s="390"/>
      <c r="F39" s="280">
        <v>232.41</v>
      </c>
      <c r="G39" s="280"/>
      <c r="H39" s="290">
        <v>23.24</v>
      </c>
      <c r="I39" s="412"/>
      <c r="J39" s="284"/>
      <c r="K39" s="376"/>
    </row>
    <row r="40" spans="1:13" x14ac:dyDescent="0.25">
      <c r="A40" s="382"/>
      <c r="B40" s="396"/>
      <c r="C40" s="382"/>
      <c r="D40" s="382"/>
      <c r="E40" s="390"/>
      <c r="F40" s="280">
        <v>3.63</v>
      </c>
      <c r="G40" s="280"/>
      <c r="H40" s="290">
        <v>0.27</v>
      </c>
      <c r="I40" s="412"/>
      <c r="J40" s="284"/>
      <c r="K40" s="376"/>
      <c r="L40" t="s">
        <v>267</v>
      </c>
      <c r="M40" s="257">
        <v>7.4999999999999997E-2</v>
      </c>
    </row>
    <row r="41" spans="1:13" x14ac:dyDescent="0.25">
      <c r="A41" s="383"/>
      <c r="B41" s="393"/>
      <c r="C41" s="383"/>
      <c r="D41" s="383"/>
      <c r="E41" s="387"/>
      <c r="F41" s="280">
        <v>47.47</v>
      </c>
      <c r="G41" s="280"/>
      <c r="H41" s="290">
        <v>0.95</v>
      </c>
      <c r="I41" s="412"/>
      <c r="J41" s="284"/>
      <c r="K41" s="376"/>
      <c r="M41" s="289">
        <v>0.02</v>
      </c>
    </row>
    <row r="42" spans="1:13" x14ac:dyDescent="0.25">
      <c r="A42" s="381">
        <v>45618</v>
      </c>
      <c r="B42" s="392" t="s">
        <v>4121</v>
      </c>
      <c r="C42" s="381" t="s">
        <v>4122</v>
      </c>
      <c r="D42" s="381" t="s">
        <v>4123</v>
      </c>
      <c r="E42" s="386" t="s">
        <v>4124</v>
      </c>
      <c r="F42" s="200">
        <v>10.75</v>
      </c>
      <c r="G42" s="295">
        <v>2.2599999999999998</v>
      </c>
      <c r="H42" s="295"/>
      <c r="I42" s="413">
        <f>G42+H43</f>
        <v>27.439999999999998</v>
      </c>
      <c r="J42" s="296"/>
      <c r="K42" s="413">
        <f>I42+F42+F43</f>
        <v>290.01</v>
      </c>
    </row>
    <row r="43" spans="1:13" x14ac:dyDescent="0.25">
      <c r="A43" s="383"/>
      <c r="B43" s="393"/>
      <c r="C43" s="383"/>
      <c r="D43" s="383"/>
      <c r="E43" s="387"/>
      <c r="F43" s="276">
        <v>251.82</v>
      </c>
      <c r="G43" s="294"/>
      <c r="H43" s="294">
        <v>25.18</v>
      </c>
      <c r="I43" s="414"/>
      <c r="J43" s="297"/>
      <c r="K43" s="414"/>
      <c r="L43" t="s">
        <v>267</v>
      </c>
    </row>
    <row r="44" spans="1:13" x14ac:dyDescent="0.25">
      <c r="A44" s="214">
        <v>45619</v>
      </c>
      <c r="B44" s="216" t="s">
        <v>4125</v>
      </c>
      <c r="C44" s="231" t="s">
        <v>4126</v>
      </c>
      <c r="D44" s="214" t="s">
        <v>21</v>
      </c>
      <c r="E44" s="214" t="s">
        <v>266</v>
      </c>
      <c r="F44" s="276">
        <v>112.64</v>
      </c>
      <c r="G44" s="276">
        <v>23.65</v>
      </c>
      <c r="H44" s="276"/>
      <c r="I44" s="256">
        <f t="shared" si="0"/>
        <v>23.65</v>
      </c>
      <c r="J44" s="283"/>
      <c r="K44" s="256">
        <f t="shared" si="1"/>
        <v>136.29</v>
      </c>
      <c r="L44" t="s">
        <v>4127</v>
      </c>
    </row>
    <row r="45" spans="1:13" ht="30" x14ac:dyDescent="0.25">
      <c r="A45" s="214">
        <v>45619</v>
      </c>
      <c r="B45" s="216" t="s">
        <v>4128</v>
      </c>
      <c r="C45" s="231" t="s">
        <v>4129</v>
      </c>
      <c r="D45" s="214" t="s">
        <v>545</v>
      </c>
      <c r="E45" s="214" t="s">
        <v>17</v>
      </c>
      <c r="F45" s="253">
        <v>91.7</v>
      </c>
      <c r="G45" s="253">
        <v>19.260000000000002</v>
      </c>
      <c r="H45" s="253"/>
      <c r="I45" s="9">
        <f t="shared" si="0"/>
        <v>19.260000000000002</v>
      </c>
      <c r="J45" s="50"/>
      <c r="K45" s="9">
        <f t="shared" si="1"/>
        <v>110.96000000000001</v>
      </c>
      <c r="L45" t="s">
        <v>267</v>
      </c>
    </row>
    <row r="46" spans="1:13" x14ac:dyDescent="0.25">
      <c r="A46" s="214">
        <v>45615</v>
      </c>
      <c r="B46" s="216" t="s">
        <v>510</v>
      </c>
      <c r="C46" s="231" t="s">
        <v>4169</v>
      </c>
      <c r="D46" s="214" t="s">
        <v>693</v>
      </c>
      <c r="E46" s="214" t="s">
        <v>4170</v>
      </c>
      <c r="F46" s="253">
        <v>272.73</v>
      </c>
      <c r="G46" s="253">
        <v>27.27</v>
      </c>
      <c r="H46" s="253"/>
      <c r="I46" s="9">
        <f t="shared" si="0"/>
        <v>27.27</v>
      </c>
      <c r="J46" s="50"/>
      <c r="K46" s="9">
        <f t="shared" si="1"/>
        <v>300</v>
      </c>
      <c r="L46" t="s">
        <v>41</v>
      </c>
    </row>
    <row r="47" spans="1:13" x14ac:dyDescent="0.25">
      <c r="A47" s="214">
        <v>45616</v>
      </c>
      <c r="B47" s="216" t="s">
        <v>4373</v>
      </c>
      <c r="C47" s="214" t="s">
        <v>3676</v>
      </c>
      <c r="D47" s="214" t="s">
        <v>712</v>
      </c>
      <c r="E47" s="214" t="s">
        <v>560</v>
      </c>
      <c r="F47" s="253">
        <v>57.36</v>
      </c>
      <c r="G47" s="253">
        <v>12.05</v>
      </c>
      <c r="H47" s="253"/>
      <c r="I47" s="9">
        <f t="shared" si="0"/>
        <v>12.05</v>
      </c>
      <c r="J47" s="50"/>
      <c r="K47" s="9">
        <f t="shared" si="1"/>
        <v>69.41</v>
      </c>
      <c r="L47" t="s">
        <v>41</v>
      </c>
    </row>
    <row r="48" spans="1:13" x14ac:dyDescent="0.25">
      <c r="A48" s="214">
        <v>45623</v>
      </c>
      <c r="B48" s="216" t="s">
        <v>4375</v>
      </c>
      <c r="C48" s="214" t="s">
        <v>4376</v>
      </c>
      <c r="D48" s="214" t="s">
        <v>271</v>
      </c>
      <c r="E48" s="214" t="s">
        <v>17</v>
      </c>
      <c r="F48" s="253">
        <v>57.85</v>
      </c>
      <c r="G48" s="253">
        <v>12.15</v>
      </c>
      <c r="H48" s="253"/>
      <c r="I48" s="9">
        <f t="shared" si="0"/>
        <v>12.15</v>
      </c>
      <c r="J48" s="50"/>
      <c r="K48" s="9">
        <f t="shared" si="1"/>
        <v>70</v>
      </c>
      <c r="L48" t="s">
        <v>267</v>
      </c>
    </row>
    <row r="49" spans="1:13" x14ac:dyDescent="0.25">
      <c r="A49" s="214">
        <v>45625</v>
      </c>
      <c r="B49" s="216" t="s">
        <v>4377</v>
      </c>
      <c r="C49" s="231" t="s">
        <v>400</v>
      </c>
      <c r="D49" s="214" t="s">
        <v>401</v>
      </c>
      <c r="E49" s="214" t="s">
        <v>578</v>
      </c>
      <c r="F49" s="253">
        <v>12</v>
      </c>
      <c r="G49" s="253">
        <v>2.52</v>
      </c>
      <c r="H49" s="253"/>
      <c r="I49" s="9">
        <f t="shared" si="0"/>
        <v>2.52</v>
      </c>
      <c r="J49" s="50"/>
      <c r="K49" s="9">
        <f t="shared" si="1"/>
        <v>14.52</v>
      </c>
      <c r="L49" t="s">
        <v>267</v>
      </c>
    </row>
    <row r="50" spans="1:13" x14ac:dyDescent="0.25">
      <c r="A50" s="214">
        <v>45625</v>
      </c>
      <c r="B50" s="216" t="s">
        <v>4378</v>
      </c>
      <c r="C50" s="231" t="s">
        <v>4379</v>
      </c>
      <c r="D50" s="214" t="s">
        <v>2113</v>
      </c>
      <c r="E50" s="214" t="s">
        <v>4380</v>
      </c>
      <c r="F50" s="253">
        <v>32.04</v>
      </c>
      <c r="G50" s="253">
        <v>6.73</v>
      </c>
      <c r="H50" s="253">
        <v>4.18</v>
      </c>
      <c r="I50" s="9">
        <f t="shared" si="0"/>
        <v>10.91</v>
      </c>
      <c r="J50" s="50"/>
      <c r="K50" s="9">
        <f t="shared" si="1"/>
        <v>42.95</v>
      </c>
      <c r="L50" s="9" t="s">
        <v>267</v>
      </c>
      <c r="M50" t="s">
        <v>2329</v>
      </c>
    </row>
    <row r="51" spans="1:13" x14ac:dyDescent="0.25">
      <c r="A51" s="214">
        <v>45626</v>
      </c>
      <c r="B51" s="216" t="s">
        <v>4381</v>
      </c>
      <c r="C51" s="214" t="s">
        <v>3171</v>
      </c>
      <c r="D51" s="214" t="s">
        <v>16</v>
      </c>
      <c r="E51" s="214" t="s">
        <v>17</v>
      </c>
      <c r="F51" s="253">
        <v>69.040000000000006</v>
      </c>
      <c r="G51" s="253">
        <v>14.5</v>
      </c>
      <c r="H51" s="253"/>
      <c r="I51" s="9">
        <f t="shared" si="0"/>
        <v>14.5</v>
      </c>
      <c r="J51" s="50"/>
      <c r="K51" s="9">
        <f t="shared" si="1"/>
        <v>83.54</v>
      </c>
      <c r="L51" t="s">
        <v>42</v>
      </c>
    </row>
    <row r="52" spans="1:13" x14ac:dyDescent="0.25">
      <c r="A52" s="214">
        <v>45608</v>
      </c>
      <c r="B52" s="216" t="s">
        <v>4462</v>
      </c>
      <c r="C52" s="214" t="s">
        <v>4376</v>
      </c>
      <c r="D52" s="214" t="s">
        <v>271</v>
      </c>
      <c r="E52" s="214" t="s">
        <v>17</v>
      </c>
      <c r="F52" s="253">
        <v>24.79</v>
      </c>
      <c r="G52" s="253">
        <v>5.21</v>
      </c>
      <c r="H52" s="253"/>
      <c r="I52" s="9">
        <f t="shared" si="0"/>
        <v>5.21</v>
      </c>
      <c r="J52" s="50"/>
      <c r="K52" s="9">
        <f t="shared" si="1"/>
        <v>30</v>
      </c>
      <c r="L52" t="s">
        <v>42</v>
      </c>
    </row>
    <row r="53" spans="1:13" x14ac:dyDescent="0.25">
      <c r="A53" s="214">
        <v>45609</v>
      </c>
      <c r="B53" s="216" t="s">
        <v>4104</v>
      </c>
      <c r="C53" s="28" t="s">
        <v>829</v>
      </c>
      <c r="D53" s="35" t="s">
        <v>830</v>
      </c>
      <c r="E53" s="29" t="s">
        <v>4515</v>
      </c>
      <c r="F53" s="253">
        <v>656.93</v>
      </c>
      <c r="G53" s="253">
        <v>137.94999999999999</v>
      </c>
      <c r="H53" s="253"/>
      <c r="I53" s="9">
        <f t="shared" si="0"/>
        <v>137.94999999999999</v>
      </c>
      <c r="J53" s="50"/>
      <c r="K53" s="9">
        <f t="shared" si="1"/>
        <v>794.87999999999988</v>
      </c>
      <c r="L53" t="s">
        <v>267</v>
      </c>
    </row>
    <row r="54" spans="1:13" x14ac:dyDescent="0.25">
      <c r="A54" s="214">
        <v>45609</v>
      </c>
      <c r="B54" s="216" t="s">
        <v>4105</v>
      </c>
      <c r="C54" s="28" t="s">
        <v>829</v>
      </c>
      <c r="D54" s="35" t="s">
        <v>830</v>
      </c>
      <c r="E54" s="29" t="s">
        <v>797</v>
      </c>
      <c r="F54" s="253">
        <v>475.34</v>
      </c>
      <c r="G54" s="253">
        <v>99.82</v>
      </c>
      <c r="H54" s="253"/>
      <c r="I54" s="9">
        <f t="shared" si="0"/>
        <v>99.82</v>
      </c>
      <c r="J54" s="50"/>
      <c r="K54" s="9">
        <f t="shared" si="1"/>
        <v>575.16</v>
      </c>
      <c r="L54" t="s">
        <v>267</v>
      </c>
    </row>
    <row r="55" spans="1:13" x14ac:dyDescent="0.25">
      <c r="A55" s="214">
        <v>45598</v>
      </c>
      <c r="B55" s="216" t="s">
        <v>4533</v>
      </c>
      <c r="C55" s="29" t="s">
        <v>302</v>
      </c>
      <c r="D55" s="35" t="s">
        <v>386</v>
      </c>
      <c r="E55" s="14" t="s">
        <v>304</v>
      </c>
      <c r="F55" s="253">
        <v>16</v>
      </c>
      <c r="G55" s="253">
        <v>3.36</v>
      </c>
      <c r="H55" s="253"/>
      <c r="I55" s="9">
        <f t="shared" si="0"/>
        <v>3.36</v>
      </c>
      <c r="J55" s="50"/>
      <c r="K55" s="9">
        <f t="shared" si="1"/>
        <v>19.36</v>
      </c>
      <c r="L55" t="s">
        <v>295</v>
      </c>
    </row>
    <row r="56" spans="1:13" x14ac:dyDescent="0.25">
      <c r="A56" s="214">
        <v>45607</v>
      </c>
      <c r="B56" s="216" t="s">
        <v>4534</v>
      </c>
      <c r="C56" s="29" t="s">
        <v>302</v>
      </c>
      <c r="D56" s="35" t="s">
        <v>386</v>
      </c>
      <c r="E56" s="14" t="s">
        <v>304</v>
      </c>
      <c r="F56" s="253">
        <v>28</v>
      </c>
      <c r="G56" s="253">
        <v>5.88</v>
      </c>
      <c r="H56" s="253"/>
      <c r="I56" s="9">
        <f t="shared" si="0"/>
        <v>5.88</v>
      </c>
      <c r="J56" s="50"/>
      <c r="K56" s="9">
        <f t="shared" si="1"/>
        <v>33.880000000000003</v>
      </c>
      <c r="L56" t="s">
        <v>295</v>
      </c>
    </row>
    <row r="57" spans="1:13" x14ac:dyDescent="0.25">
      <c r="A57" s="214">
        <v>45612</v>
      </c>
      <c r="B57" s="216" t="s">
        <v>4535</v>
      </c>
      <c r="C57" s="29" t="s">
        <v>302</v>
      </c>
      <c r="D57" s="35" t="s">
        <v>386</v>
      </c>
      <c r="E57" s="14" t="s">
        <v>304</v>
      </c>
      <c r="F57" s="253">
        <v>23.75</v>
      </c>
      <c r="G57" s="253">
        <v>4.99</v>
      </c>
      <c r="H57" s="253"/>
      <c r="I57" s="9">
        <f t="shared" si="0"/>
        <v>4.99</v>
      </c>
      <c r="J57" s="50"/>
      <c r="K57" s="9">
        <f t="shared" si="1"/>
        <v>28.740000000000002</v>
      </c>
      <c r="L57" t="s">
        <v>295</v>
      </c>
    </row>
    <row r="58" spans="1:13" x14ac:dyDescent="0.25">
      <c r="A58" s="214">
        <v>45615</v>
      </c>
      <c r="B58" s="216" t="s">
        <v>4536</v>
      </c>
      <c r="C58" s="29" t="s">
        <v>302</v>
      </c>
      <c r="D58" s="35" t="s">
        <v>386</v>
      </c>
      <c r="E58" s="14" t="s">
        <v>304</v>
      </c>
      <c r="F58" s="253">
        <v>29.99</v>
      </c>
      <c r="G58" s="253">
        <v>6.3</v>
      </c>
      <c r="H58" s="253"/>
      <c r="I58" s="9">
        <f t="shared" si="0"/>
        <v>6.3</v>
      </c>
      <c r="J58" s="50"/>
      <c r="K58" s="9">
        <f t="shared" si="1"/>
        <v>36.29</v>
      </c>
      <c r="L58" t="s">
        <v>295</v>
      </c>
    </row>
    <row r="59" spans="1:13" x14ac:dyDescent="0.25">
      <c r="A59" s="86">
        <v>45615</v>
      </c>
      <c r="B59" s="310" t="s">
        <v>4537</v>
      </c>
      <c r="C59" s="29" t="s">
        <v>302</v>
      </c>
      <c r="D59" s="35" t="s">
        <v>386</v>
      </c>
      <c r="E59" s="14" t="s">
        <v>304</v>
      </c>
      <c r="F59" s="97">
        <v>41.99</v>
      </c>
      <c r="G59" s="97">
        <v>8.82</v>
      </c>
      <c r="H59" s="97"/>
      <c r="I59" s="9">
        <f t="shared" si="0"/>
        <v>8.82</v>
      </c>
      <c r="J59" s="50"/>
      <c r="K59" s="9">
        <f t="shared" si="1"/>
        <v>50.81</v>
      </c>
      <c r="L59" t="s">
        <v>295</v>
      </c>
    </row>
    <row r="60" spans="1:13" x14ac:dyDescent="0.25">
      <c r="A60" s="86">
        <v>45618</v>
      </c>
      <c r="B60" s="310" t="s">
        <v>4538</v>
      </c>
      <c r="C60" s="29" t="s">
        <v>302</v>
      </c>
      <c r="D60" s="35" t="s">
        <v>386</v>
      </c>
      <c r="E60" s="14" t="s">
        <v>304</v>
      </c>
      <c r="F60" s="97">
        <v>41.99</v>
      </c>
      <c r="G60" s="97">
        <v>8.82</v>
      </c>
      <c r="H60" s="97"/>
      <c r="I60" s="9">
        <f t="shared" si="0"/>
        <v>8.82</v>
      </c>
      <c r="J60" s="50"/>
      <c r="K60" s="9">
        <f t="shared" si="1"/>
        <v>50.81</v>
      </c>
      <c r="L60" t="s">
        <v>295</v>
      </c>
    </row>
    <row r="61" spans="1:13" x14ac:dyDescent="0.25">
      <c r="A61" s="86">
        <v>45621</v>
      </c>
      <c r="B61" s="111" t="s">
        <v>4539</v>
      </c>
      <c r="C61" s="28" t="s">
        <v>698</v>
      </c>
      <c r="D61" s="35" t="s">
        <v>289</v>
      </c>
      <c r="E61" s="29" t="s">
        <v>699</v>
      </c>
      <c r="F61" s="97">
        <v>172.42</v>
      </c>
      <c r="G61" s="97">
        <v>36.21</v>
      </c>
      <c r="H61" s="127">
        <v>38</v>
      </c>
      <c r="I61" s="9">
        <f t="shared" ref="I61:I84" si="2">G61+H61</f>
        <v>74.210000000000008</v>
      </c>
      <c r="J61" s="50"/>
      <c r="K61" s="9">
        <f t="shared" si="1"/>
        <v>246.63</v>
      </c>
      <c r="L61" t="s">
        <v>295</v>
      </c>
      <c r="M61" s="182" t="s">
        <v>4541</v>
      </c>
    </row>
    <row r="62" spans="1:13" x14ac:dyDescent="0.25">
      <c r="A62" s="86">
        <v>45621</v>
      </c>
      <c r="B62" s="111" t="s">
        <v>4540</v>
      </c>
      <c r="C62" s="28" t="s">
        <v>3155</v>
      </c>
      <c r="D62" s="35" t="s">
        <v>2384</v>
      </c>
      <c r="E62" s="29" t="s">
        <v>699</v>
      </c>
      <c r="F62" s="97">
        <v>62.81</v>
      </c>
      <c r="G62" s="97">
        <v>13.19</v>
      </c>
      <c r="H62" s="97"/>
      <c r="I62" s="9">
        <f t="shared" si="2"/>
        <v>13.19</v>
      </c>
      <c r="J62" s="50"/>
      <c r="K62" s="9">
        <f t="shared" si="1"/>
        <v>76</v>
      </c>
      <c r="L62" t="s">
        <v>295</v>
      </c>
    </row>
    <row r="63" spans="1:13" x14ac:dyDescent="0.25">
      <c r="A63" s="86">
        <v>45616</v>
      </c>
      <c r="B63" s="111" t="s">
        <v>4542</v>
      </c>
      <c r="C63" s="28" t="s">
        <v>815</v>
      </c>
      <c r="D63" s="35" t="s">
        <v>387</v>
      </c>
      <c r="E63" s="29" t="s">
        <v>389</v>
      </c>
      <c r="F63" s="97">
        <v>387.6</v>
      </c>
      <c r="G63" s="97">
        <v>81.400000000000006</v>
      </c>
      <c r="H63" s="97"/>
      <c r="I63" s="9">
        <f t="shared" si="2"/>
        <v>81.400000000000006</v>
      </c>
      <c r="J63" s="50"/>
      <c r="K63" s="9">
        <f t="shared" si="1"/>
        <v>469</v>
      </c>
      <c r="L63" t="s">
        <v>295</v>
      </c>
    </row>
    <row r="64" spans="1:13" x14ac:dyDescent="0.25">
      <c r="A64" s="86">
        <v>45606</v>
      </c>
      <c r="B64" s="111" t="s">
        <v>4562</v>
      </c>
      <c r="C64" s="110" t="s">
        <v>3171</v>
      </c>
      <c r="D64" s="108" t="s">
        <v>16</v>
      </c>
      <c r="E64" s="110" t="s">
        <v>17</v>
      </c>
      <c r="F64" s="97">
        <v>46.45</v>
      </c>
      <c r="G64" s="97">
        <v>9.75</v>
      </c>
      <c r="H64" s="97"/>
      <c r="I64" s="9">
        <f t="shared" si="2"/>
        <v>9.75</v>
      </c>
      <c r="J64" s="50"/>
      <c r="K64" s="9">
        <f t="shared" si="1"/>
        <v>56.2</v>
      </c>
      <c r="L64" t="s">
        <v>42</v>
      </c>
    </row>
    <row r="65" spans="1:15" x14ac:dyDescent="0.25">
      <c r="A65" s="86">
        <v>45613</v>
      </c>
      <c r="B65" s="111" t="s">
        <v>4563</v>
      </c>
      <c r="C65" s="110" t="s">
        <v>4376</v>
      </c>
      <c r="D65" s="108" t="s">
        <v>271</v>
      </c>
      <c r="E65" s="110" t="s">
        <v>17</v>
      </c>
      <c r="F65" s="97">
        <v>59.07</v>
      </c>
      <c r="G65" s="97">
        <v>12.41</v>
      </c>
      <c r="H65" s="97"/>
      <c r="I65" s="9">
        <f t="shared" si="2"/>
        <v>12.41</v>
      </c>
      <c r="J65" s="50"/>
      <c r="K65" s="9">
        <f t="shared" si="1"/>
        <v>71.48</v>
      </c>
      <c r="L65" t="s">
        <v>42</v>
      </c>
    </row>
    <row r="66" spans="1:15" x14ac:dyDescent="0.25">
      <c r="A66" s="86">
        <v>45613</v>
      </c>
      <c r="B66" s="111" t="s">
        <v>4564</v>
      </c>
      <c r="C66" s="110" t="s">
        <v>3171</v>
      </c>
      <c r="D66" s="108" t="s">
        <v>16</v>
      </c>
      <c r="E66" s="110" t="s">
        <v>17</v>
      </c>
      <c r="F66" s="97">
        <v>100.91</v>
      </c>
      <c r="G66" s="97">
        <v>21.19</v>
      </c>
      <c r="H66" s="97"/>
      <c r="I66" s="9">
        <f t="shared" si="2"/>
        <v>21.19</v>
      </c>
      <c r="J66" s="254"/>
      <c r="K66" s="9">
        <f t="shared" si="1"/>
        <v>122.1</v>
      </c>
      <c r="L66" t="s">
        <v>42</v>
      </c>
    </row>
    <row r="67" spans="1:15" x14ac:dyDescent="0.25">
      <c r="A67" s="86">
        <v>45620</v>
      </c>
      <c r="B67" s="111" t="s">
        <v>4565</v>
      </c>
      <c r="C67" s="110" t="s">
        <v>3171</v>
      </c>
      <c r="D67" s="108" t="s">
        <v>16</v>
      </c>
      <c r="E67" s="110" t="s">
        <v>17</v>
      </c>
      <c r="F67" s="97">
        <v>82.65</v>
      </c>
      <c r="G67" s="97">
        <v>17.36</v>
      </c>
      <c r="H67" s="97"/>
      <c r="I67" s="9">
        <f t="shared" si="2"/>
        <v>17.36</v>
      </c>
      <c r="J67" s="31"/>
      <c r="K67" s="9">
        <f t="shared" si="1"/>
        <v>100.01</v>
      </c>
      <c r="L67" t="s">
        <v>42</v>
      </c>
    </row>
    <row r="68" spans="1:15" x14ac:dyDescent="0.25">
      <c r="A68" s="86">
        <v>45620</v>
      </c>
      <c r="B68" s="111" t="s">
        <v>4566</v>
      </c>
      <c r="C68" s="110" t="s">
        <v>3171</v>
      </c>
      <c r="D68" s="108" t="s">
        <v>16</v>
      </c>
      <c r="E68" s="110" t="s">
        <v>17</v>
      </c>
      <c r="F68" s="97">
        <v>45.96</v>
      </c>
      <c r="G68" s="97">
        <v>9.65</v>
      </c>
      <c r="H68" s="97"/>
      <c r="I68" s="9">
        <f t="shared" si="2"/>
        <v>9.65</v>
      </c>
      <c r="J68" s="31"/>
      <c r="K68" s="9">
        <f t="shared" si="1"/>
        <v>55.61</v>
      </c>
      <c r="L68" t="s">
        <v>42</v>
      </c>
    </row>
    <row r="69" spans="1:15" x14ac:dyDescent="0.25">
      <c r="A69" s="86">
        <v>45626</v>
      </c>
      <c r="B69" s="111" t="s">
        <v>4567</v>
      </c>
      <c r="C69" s="110" t="s">
        <v>3171</v>
      </c>
      <c r="D69" s="108" t="s">
        <v>16</v>
      </c>
      <c r="E69" s="110" t="s">
        <v>17</v>
      </c>
      <c r="F69" s="97">
        <v>74.38</v>
      </c>
      <c r="G69" s="97">
        <v>15.62</v>
      </c>
      <c r="H69" s="97"/>
      <c r="I69" s="9">
        <f t="shared" si="2"/>
        <v>15.62</v>
      </c>
      <c r="J69" s="31"/>
      <c r="K69" s="9">
        <f t="shared" si="1"/>
        <v>90</v>
      </c>
      <c r="L69" t="s">
        <v>42</v>
      </c>
    </row>
    <row r="70" spans="1:15" x14ac:dyDescent="0.25">
      <c r="A70" s="86">
        <v>45626</v>
      </c>
      <c r="B70" s="111" t="s">
        <v>4568</v>
      </c>
      <c r="C70" s="29" t="s">
        <v>715</v>
      </c>
      <c r="D70" s="35" t="s">
        <v>542</v>
      </c>
      <c r="E70" s="29" t="s">
        <v>17</v>
      </c>
      <c r="F70" s="97">
        <v>2036.76</v>
      </c>
      <c r="G70" s="97">
        <v>427.72</v>
      </c>
      <c r="H70" s="97"/>
      <c r="I70" s="9">
        <f t="shared" si="2"/>
        <v>427.72</v>
      </c>
      <c r="J70" s="31"/>
      <c r="K70" s="9">
        <f t="shared" si="1"/>
        <v>2464.48</v>
      </c>
      <c r="L70" t="s">
        <v>42</v>
      </c>
    </row>
    <row r="71" spans="1:15" x14ac:dyDescent="0.25">
      <c r="A71" s="86" t="s">
        <v>4606</v>
      </c>
      <c r="B71" s="258" t="s">
        <v>1474</v>
      </c>
      <c r="C71" s="28" t="s">
        <v>1412</v>
      </c>
      <c r="D71" s="36" t="s">
        <v>1414</v>
      </c>
      <c r="E71" s="29" t="s">
        <v>827</v>
      </c>
      <c r="F71" s="97">
        <v>745.45</v>
      </c>
      <c r="G71" s="97">
        <f>F71*21/100</f>
        <v>156.5445</v>
      </c>
      <c r="H71" s="97"/>
      <c r="I71" s="9">
        <f t="shared" si="2"/>
        <v>156.5445</v>
      </c>
      <c r="J71" s="31"/>
      <c r="K71" s="9">
        <f t="shared" si="1"/>
        <v>901.99450000000002</v>
      </c>
      <c r="L71" t="s">
        <v>41</v>
      </c>
    </row>
    <row r="72" spans="1:15" x14ac:dyDescent="0.25">
      <c r="A72" s="33">
        <v>45597</v>
      </c>
      <c r="B72" s="34" t="s">
        <v>4610</v>
      </c>
      <c r="C72" s="28" t="s">
        <v>1101</v>
      </c>
      <c r="D72" s="35" t="s">
        <v>1102</v>
      </c>
      <c r="E72" s="29" t="s">
        <v>1105</v>
      </c>
      <c r="F72" s="30">
        <v>900</v>
      </c>
      <c r="G72" s="30">
        <v>189</v>
      </c>
      <c r="H72" s="97"/>
      <c r="I72" s="9">
        <f t="shared" si="2"/>
        <v>189</v>
      </c>
      <c r="J72" s="31"/>
      <c r="K72" s="9">
        <f t="shared" si="1"/>
        <v>1089</v>
      </c>
      <c r="L72" t="s">
        <v>3743</v>
      </c>
      <c r="O72" s="196" t="s">
        <v>3707</v>
      </c>
    </row>
    <row r="73" spans="1:15" x14ac:dyDescent="0.25">
      <c r="A73" s="33">
        <v>45621</v>
      </c>
      <c r="B73" s="34" t="s">
        <v>4609</v>
      </c>
      <c r="C73" s="28" t="s">
        <v>1101</v>
      </c>
      <c r="D73" s="35" t="s">
        <v>1102</v>
      </c>
      <c r="E73" s="29" t="s">
        <v>827</v>
      </c>
      <c r="F73" s="22">
        <v>595.04</v>
      </c>
      <c r="G73" s="22">
        <f>F73*21/100</f>
        <v>124.9584</v>
      </c>
      <c r="H73" s="97"/>
      <c r="I73" s="9">
        <f t="shared" si="2"/>
        <v>124.9584</v>
      </c>
      <c r="J73" s="23"/>
      <c r="K73" s="9">
        <f t="shared" si="1"/>
        <v>719.99839999999995</v>
      </c>
      <c r="L73" t="s">
        <v>4648</v>
      </c>
    </row>
    <row r="74" spans="1:15" x14ac:dyDescent="0.25">
      <c r="A74" s="86">
        <v>45608</v>
      </c>
      <c r="B74" s="111" t="s">
        <v>4624</v>
      </c>
      <c r="C74" s="110" t="s">
        <v>4625</v>
      </c>
      <c r="D74" s="108" t="s">
        <v>1973</v>
      </c>
      <c r="E74" s="110" t="s">
        <v>4626</v>
      </c>
      <c r="F74" s="97">
        <v>700</v>
      </c>
      <c r="G74" s="97">
        <v>147</v>
      </c>
      <c r="H74" s="97"/>
      <c r="I74" s="9">
        <f t="shared" si="2"/>
        <v>147</v>
      </c>
      <c r="J74" s="31"/>
      <c r="K74" s="9">
        <f t="shared" si="1"/>
        <v>847</v>
      </c>
      <c r="L74" t="s">
        <v>41</v>
      </c>
    </row>
    <row r="75" spans="1:15" x14ac:dyDescent="0.25">
      <c r="A75" s="86">
        <v>45602</v>
      </c>
      <c r="B75" s="111" t="s">
        <v>4627</v>
      </c>
      <c r="C75" s="110" t="s">
        <v>3171</v>
      </c>
      <c r="D75" s="108" t="s">
        <v>16</v>
      </c>
      <c r="E75" s="110" t="s">
        <v>17</v>
      </c>
      <c r="F75" s="97">
        <v>24.79</v>
      </c>
      <c r="G75" s="97">
        <v>5.21</v>
      </c>
      <c r="H75" s="97"/>
      <c r="I75" s="9">
        <f t="shared" si="2"/>
        <v>5.21</v>
      </c>
      <c r="J75" s="31"/>
      <c r="K75" s="9">
        <f t="shared" si="1"/>
        <v>30</v>
      </c>
      <c r="L75" t="s">
        <v>42</v>
      </c>
    </row>
    <row r="76" spans="1:15" x14ac:dyDescent="0.25">
      <c r="A76" s="104">
        <v>45616</v>
      </c>
      <c r="B76" s="213" t="s">
        <v>4633</v>
      </c>
      <c r="C76" s="107" t="s">
        <v>4631</v>
      </c>
      <c r="D76" s="105" t="s">
        <v>3685</v>
      </c>
      <c r="E76" s="107" t="s">
        <v>4632</v>
      </c>
      <c r="F76" s="16">
        <v>5000</v>
      </c>
      <c r="G76" s="16">
        <v>1050</v>
      </c>
      <c r="H76" s="16"/>
      <c r="I76" s="9">
        <f t="shared" si="2"/>
        <v>1050</v>
      </c>
      <c r="J76" s="31"/>
      <c r="K76" s="9">
        <f t="shared" si="1"/>
        <v>6050</v>
      </c>
      <c r="L76" t="s">
        <v>4634</v>
      </c>
      <c r="M76" t="s">
        <v>4635</v>
      </c>
    </row>
    <row r="77" spans="1:15" x14ac:dyDescent="0.25">
      <c r="A77" s="33"/>
      <c r="B77" s="34"/>
      <c r="C77" s="29"/>
      <c r="D77" s="101"/>
      <c r="E77" s="103"/>
      <c r="F77" s="22"/>
      <c r="G77" s="22"/>
      <c r="H77" s="22"/>
      <c r="I77" s="9">
        <f t="shared" si="2"/>
        <v>0</v>
      </c>
      <c r="J77" s="31"/>
      <c r="K77" s="9">
        <f t="shared" si="1"/>
        <v>0</v>
      </c>
    </row>
    <row r="78" spans="1:15" x14ac:dyDescent="0.25">
      <c r="A78" s="86"/>
      <c r="B78" s="55"/>
      <c r="C78" s="232"/>
      <c r="D78" s="14"/>
      <c r="E78" s="14"/>
      <c r="F78" s="146"/>
      <c r="G78" s="146"/>
      <c r="H78" s="146"/>
      <c r="I78" s="9">
        <f t="shared" si="2"/>
        <v>0</v>
      </c>
      <c r="J78" s="146"/>
      <c r="K78" s="9">
        <f t="shared" si="1"/>
        <v>0</v>
      </c>
    </row>
    <row r="79" spans="1:15" x14ac:dyDescent="0.25">
      <c r="A79" s="33"/>
      <c r="B79" s="34"/>
      <c r="C79" s="233"/>
      <c r="D79" s="105"/>
      <c r="E79" s="107"/>
      <c r="F79" s="22"/>
      <c r="G79" s="22"/>
      <c r="H79" s="22"/>
      <c r="I79" s="9">
        <f t="shared" si="2"/>
        <v>0</v>
      </c>
      <c r="J79" s="23"/>
      <c r="K79" s="9">
        <f t="shared" si="1"/>
        <v>0</v>
      </c>
    </row>
    <row r="80" spans="1:15" x14ac:dyDescent="0.25">
      <c r="A80" s="38"/>
      <c r="B80" s="34"/>
      <c r="C80" s="29"/>
      <c r="D80" s="35"/>
      <c r="E80" s="29"/>
      <c r="F80" s="22"/>
      <c r="G80" s="22"/>
      <c r="H80" s="22"/>
      <c r="I80" s="9">
        <f t="shared" si="2"/>
        <v>0</v>
      </c>
      <c r="J80" s="23"/>
      <c r="K80" s="9">
        <f t="shared" si="1"/>
        <v>0</v>
      </c>
    </row>
    <row r="81" spans="1:11" x14ac:dyDescent="0.25">
      <c r="A81" s="33"/>
      <c r="B81" s="112"/>
      <c r="C81" s="29"/>
      <c r="D81" s="35"/>
      <c r="E81" s="29"/>
      <c r="F81" s="22"/>
      <c r="G81" s="22"/>
      <c r="H81" s="22"/>
      <c r="I81" s="9">
        <f t="shared" si="2"/>
        <v>0</v>
      </c>
      <c r="J81" s="23"/>
      <c r="K81" s="9">
        <f t="shared" si="1"/>
        <v>0</v>
      </c>
    </row>
    <row r="82" spans="1:11" x14ac:dyDescent="0.25">
      <c r="A82" s="33"/>
      <c r="B82" s="34"/>
      <c r="C82" s="28"/>
      <c r="D82" s="35"/>
      <c r="E82" s="29"/>
      <c r="F82" s="22"/>
      <c r="G82" s="22"/>
      <c r="H82" s="22"/>
      <c r="I82" s="9">
        <f t="shared" si="2"/>
        <v>0</v>
      </c>
      <c r="J82" s="23"/>
      <c r="K82" s="9">
        <f t="shared" si="1"/>
        <v>0</v>
      </c>
    </row>
    <row r="83" spans="1:11" x14ac:dyDescent="0.25">
      <c r="A83" s="33"/>
      <c r="B83" s="34"/>
      <c r="C83" s="28"/>
      <c r="D83" s="35"/>
      <c r="E83" s="29"/>
      <c r="F83" s="22"/>
      <c r="G83" s="22"/>
      <c r="H83" s="22"/>
      <c r="I83" s="9">
        <f t="shared" si="2"/>
        <v>0</v>
      </c>
      <c r="J83" s="23"/>
      <c r="K83" s="9">
        <f t="shared" si="1"/>
        <v>0</v>
      </c>
    </row>
    <row r="84" spans="1:11" x14ac:dyDescent="0.25">
      <c r="A84" s="33"/>
      <c r="B84" s="34"/>
      <c r="C84" s="28"/>
      <c r="D84" s="35"/>
      <c r="E84" s="29"/>
      <c r="F84" s="22"/>
      <c r="G84" s="22"/>
      <c r="H84" s="22"/>
      <c r="I84" s="9">
        <f t="shared" si="2"/>
        <v>0</v>
      </c>
      <c r="J84" s="23"/>
      <c r="K84" s="9">
        <f t="shared" si="1"/>
        <v>0</v>
      </c>
    </row>
    <row r="85" spans="1:11" x14ac:dyDescent="0.25">
      <c r="A85" s="33"/>
      <c r="B85" s="34"/>
      <c r="C85" s="28"/>
      <c r="D85" s="35"/>
      <c r="E85" s="29"/>
      <c r="F85" s="22">
        <f>SUM(F5:F84)</f>
        <v>17632.604000000003</v>
      </c>
      <c r="G85" s="22">
        <f>SUM(G5:G84)</f>
        <v>3472.8528999999999</v>
      </c>
      <c r="H85" s="30"/>
      <c r="I85" s="207">
        <f>G85+H85</f>
        <v>3472.8528999999999</v>
      </c>
      <c r="J85" s="31"/>
      <c r="K85" s="9">
        <f t="shared" si="1"/>
        <v>21105.456900000005</v>
      </c>
    </row>
    <row r="88" spans="1:11" ht="15.75" thickBot="1" x14ac:dyDescent="0.3"/>
    <row r="89" spans="1:11" x14ac:dyDescent="0.25">
      <c r="A89" s="44" t="s">
        <v>1</v>
      </c>
      <c r="B89" s="45" t="s">
        <v>2</v>
      </c>
      <c r="C89" s="46" t="s">
        <v>26</v>
      </c>
      <c r="D89" s="46" t="s">
        <v>4</v>
      </c>
      <c r="E89" s="46" t="s">
        <v>5</v>
      </c>
      <c r="F89" s="46" t="s">
        <v>6</v>
      </c>
      <c r="G89" s="46" t="s">
        <v>7</v>
      </c>
      <c r="H89" s="46" t="s">
        <v>8</v>
      </c>
      <c r="I89" s="46" t="s">
        <v>9</v>
      </c>
      <c r="J89" s="47" t="s">
        <v>10</v>
      </c>
      <c r="K89" s="2" t="s">
        <v>11</v>
      </c>
    </row>
    <row r="90" spans="1:11" x14ac:dyDescent="0.25">
      <c r="A90" s="184">
        <v>45597</v>
      </c>
      <c r="B90" s="51" t="s">
        <v>4130</v>
      </c>
      <c r="C90" s="14" t="s">
        <v>2448</v>
      </c>
      <c r="D90" s="14" t="s">
        <v>2449</v>
      </c>
      <c r="E90" s="14" t="s">
        <v>2450</v>
      </c>
      <c r="F90" s="60">
        <v>1400</v>
      </c>
      <c r="G90" s="30">
        <f>F90*21/100</f>
        <v>294</v>
      </c>
      <c r="H90" s="30">
        <v>0</v>
      </c>
      <c r="I90" s="30">
        <f t="shared" ref="I90:I99" si="3">G90+H90</f>
        <v>294</v>
      </c>
      <c r="J90" s="31">
        <v>266</v>
      </c>
      <c r="K90" s="50">
        <f t="shared" ref="K90:K99" si="4">F90+I90-J90</f>
        <v>1428</v>
      </c>
    </row>
    <row r="91" spans="1:11" x14ac:dyDescent="0.25">
      <c r="A91" s="184">
        <v>45612</v>
      </c>
      <c r="B91" s="51" t="s">
        <v>3941</v>
      </c>
      <c r="C91" s="231" t="s">
        <v>826</v>
      </c>
      <c r="D91" s="214" t="s">
        <v>693</v>
      </c>
      <c r="E91" s="183" t="s">
        <v>4133</v>
      </c>
      <c r="F91" s="60">
        <v>640</v>
      </c>
      <c r="G91" s="30">
        <v>0</v>
      </c>
      <c r="H91" s="30">
        <f>F91*10/100</f>
        <v>64</v>
      </c>
      <c r="I91" s="30">
        <f t="shared" si="3"/>
        <v>64</v>
      </c>
      <c r="J91" s="31"/>
      <c r="K91" s="50">
        <f t="shared" si="4"/>
        <v>704</v>
      </c>
    </row>
    <row r="92" spans="1:11" x14ac:dyDescent="0.25">
      <c r="A92" s="184">
        <v>45612</v>
      </c>
      <c r="B92" s="51" t="s">
        <v>3942</v>
      </c>
      <c r="C92" s="28" t="s">
        <v>1101</v>
      </c>
      <c r="D92" s="29" t="s">
        <v>1102</v>
      </c>
      <c r="E92" s="183" t="s">
        <v>4134</v>
      </c>
      <c r="F92" s="30">
        <v>7909</v>
      </c>
      <c r="G92" s="30">
        <v>0</v>
      </c>
      <c r="H92" s="30">
        <f t="shared" ref="H92:H101" si="5">F92*10/100</f>
        <v>790.9</v>
      </c>
      <c r="I92" s="30">
        <f t="shared" si="3"/>
        <v>790.9</v>
      </c>
      <c r="J92" s="31"/>
      <c r="K92" s="50">
        <f t="shared" si="4"/>
        <v>8699.9</v>
      </c>
    </row>
    <row r="93" spans="1:11" x14ac:dyDescent="0.25">
      <c r="A93" s="298">
        <v>45612</v>
      </c>
      <c r="B93" s="51" t="s">
        <v>3943</v>
      </c>
      <c r="C93" s="299" t="s">
        <v>4136</v>
      </c>
      <c r="D93" s="55" t="s">
        <v>4137</v>
      </c>
      <c r="E93" s="300" t="s">
        <v>4133</v>
      </c>
      <c r="F93" s="301">
        <v>1150</v>
      </c>
      <c r="G93" s="30">
        <v>0</v>
      </c>
      <c r="H93" s="30">
        <f t="shared" si="5"/>
        <v>115</v>
      </c>
      <c r="I93" s="301">
        <f t="shared" si="3"/>
        <v>115</v>
      </c>
      <c r="J93" s="286"/>
      <c r="K93" s="56">
        <f t="shared" si="4"/>
        <v>1265</v>
      </c>
    </row>
    <row r="94" spans="1:11" x14ac:dyDescent="0.25">
      <c r="A94" s="184">
        <v>45612</v>
      </c>
      <c r="B94" s="288" t="s">
        <v>3944</v>
      </c>
      <c r="C94" s="293" t="s">
        <v>826</v>
      </c>
      <c r="D94" s="222" t="s">
        <v>693</v>
      </c>
      <c r="E94" s="302" t="s">
        <v>4133</v>
      </c>
      <c r="F94" s="83">
        <v>1000</v>
      </c>
      <c r="G94" s="30">
        <v>0</v>
      </c>
      <c r="H94" s="30">
        <f t="shared" si="5"/>
        <v>100</v>
      </c>
      <c r="I94" s="30">
        <f t="shared" si="3"/>
        <v>100</v>
      </c>
      <c r="J94" s="31"/>
      <c r="K94" s="50">
        <f t="shared" si="4"/>
        <v>1100</v>
      </c>
    </row>
    <row r="95" spans="1:11" x14ac:dyDescent="0.25">
      <c r="A95" s="184">
        <v>45624</v>
      </c>
      <c r="B95" s="287" t="s">
        <v>3988</v>
      </c>
      <c r="C95" s="14" t="s">
        <v>4167</v>
      </c>
      <c r="D95" s="287" t="s">
        <v>4168</v>
      </c>
      <c r="E95" s="302" t="s">
        <v>4133</v>
      </c>
      <c r="F95" s="50">
        <v>840</v>
      </c>
      <c r="G95" s="60"/>
      <c r="H95" s="30">
        <f t="shared" si="5"/>
        <v>84</v>
      </c>
      <c r="I95" s="30">
        <f t="shared" si="3"/>
        <v>84</v>
      </c>
      <c r="J95" s="31"/>
      <c r="K95" s="50">
        <f t="shared" si="4"/>
        <v>924</v>
      </c>
    </row>
    <row r="96" spans="1:11" x14ac:dyDescent="0.25">
      <c r="A96" s="184"/>
      <c r="B96" s="161"/>
      <c r="C96" s="303"/>
      <c r="D96" s="303"/>
      <c r="E96" s="183"/>
      <c r="F96" s="304"/>
      <c r="G96" s="30">
        <f t="shared" ref="G96:G101" si="6">F96*21/100</f>
        <v>0</v>
      </c>
      <c r="H96" s="30">
        <f t="shared" si="5"/>
        <v>0</v>
      </c>
      <c r="I96" s="30">
        <f t="shared" si="3"/>
        <v>0</v>
      </c>
      <c r="J96" s="31"/>
      <c r="K96" s="50">
        <f t="shared" si="4"/>
        <v>0</v>
      </c>
    </row>
    <row r="97" spans="1:11" x14ac:dyDescent="0.25">
      <c r="A97" s="184"/>
      <c r="B97" s="36"/>
      <c r="C97" s="161"/>
      <c r="D97" s="14"/>
      <c r="E97" s="183"/>
      <c r="F97" s="30"/>
      <c r="G97" s="30">
        <f t="shared" si="6"/>
        <v>0</v>
      </c>
      <c r="H97" s="30">
        <f t="shared" si="5"/>
        <v>0</v>
      </c>
      <c r="I97" s="30">
        <f t="shared" si="3"/>
        <v>0</v>
      </c>
      <c r="J97" s="31"/>
      <c r="K97" s="50">
        <f t="shared" si="4"/>
        <v>0</v>
      </c>
    </row>
    <row r="98" spans="1:11" x14ac:dyDescent="0.25">
      <c r="A98" s="184"/>
      <c r="B98" s="36"/>
      <c r="C98" s="161"/>
      <c r="D98" s="14"/>
      <c r="E98" s="183"/>
      <c r="F98" s="30"/>
      <c r="G98" s="30">
        <f t="shared" si="6"/>
        <v>0</v>
      </c>
      <c r="H98" s="30">
        <f t="shared" si="5"/>
        <v>0</v>
      </c>
      <c r="I98" s="30"/>
      <c r="J98" s="31"/>
      <c r="K98" s="50"/>
    </row>
    <row r="99" spans="1:11" x14ac:dyDescent="0.25">
      <c r="A99" s="184"/>
      <c r="B99" s="36"/>
      <c r="C99" s="161"/>
      <c r="D99" s="14"/>
      <c r="E99" s="183"/>
      <c r="F99" s="30"/>
      <c r="G99" s="30">
        <f t="shared" si="6"/>
        <v>0</v>
      </c>
      <c r="H99" s="30">
        <f t="shared" si="5"/>
        <v>0</v>
      </c>
      <c r="I99" s="30">
        <f t="shared" si="3"/>
        <v>0</v>
      </c>
      <c r="J99" s="31"/>
      <c r="K99" s="50">
        <f t="shared" si="4"/>
        <v>0</v>
      </c>
    </row>
    <row r="100" spans="1:11" x14ac:dyDescent="0.25">
      <c r="A100" s="184"/>
      <c r="B100" s="36"/>
      <c r="C100" s="161"/>
      <c r="D100" s="14"/>
      <c r="E100" s="183"/>
      <c r="F100" s="30"/>
      <c r="G100" s="30">
        <f t="shared" si="6"/>
        <v>0</v>
      </c>
      <c r="H100" s="30">
        <f t="shared" si="5"/>
        <v>0</v>
      </c>
      <c r="I100" s="30"/>
      <c r="J100" s="31"/>
      <c r="K100" s="50"/>
    </row>
    <row r="101" spans="1:11" x14ac:dyDescent="0.25">
      <c r="A101" s="184"/>
      <c r="B101" s="36"/>
      <c r="C101" s="161"/>
      <c r="D101" s="14"/>
      <c r="E101" s="183"/>
      <c r="F101" s="30"/>
      <c r="G101" s="30">
        <f t="shared" si="6"/>
        <v>0</v>
      </c>
      <c r="H101" s="30">
        <f t="shared" si="5"/>
        <v>0</v>
      </c>
      <c r="I101" s="30"/>
      <c r="J101" s="31"/>
      <c r="K101" s="50"/>
    </row>
    <row r="102" spans="1:11" x14ac:dyDescent="0.25">
      <c r="A102" s="319" t="s">
        <v>11</v>
      </c>
      <c r="B102" s="319"/>
      <c r="C102" s="319"/>
      <c r="D102" s="321"/>
      <c r="E102" s="319"/>
      <c r="F102" s="40">
        <f>SUM(F90:F101)</f>
        <v>12939</v>
      </c>
      <c r="G102" s="41">
        <f>SUM(G90:G101)</f>
        <v>294</v>
      </c>
      <c r="H102" s="36"/>
      <c r="I102" s="40">
        <f>SUM(I90:I101)</f>
        <v>1447.9</v>
      </c>
      <c r="J102" s="164">
        <f>SUM(J90:J101)</f>
        <v>266</v>
      </c>
      <c r="K102" s="160">
        <f>SUM(K90:K101)</f>
        <v>14120.9</v>
      </c>
    </row>
  </sheetData>
  <mergeCells count="51">
    <mergeCell ref="I38:I41"/>
    <mergeCell ref="K38:K41"/>
    <mergeCell ref="A42:A43"/>
    <mergeCell ref="B42:B43"/>
    <mergeCell ref="C42:C43"/>
    <mergeCell ref="D42:D43"/>
    <mergeCell ref="E42:E43"/>
    <mergeCell ref="I42:I43"/>
    <mergeCell ref="K42:K43"/>
    <mergeCell ref="A38:A41"/>
    <mergeCell ref="B38:B41"/>
    <mergeCell ref="C38:C41"/>
    <mergeCell ref="D38:D41"/>
    <mergeCell ref="E38:E41"/>
    <mergeCell ref="I33:I35"/>
    <mergeCell ref="K33:K35"/>
    <mergeCell ref="A33:A35"/>
    <mergeCell ref="B33:B35"/>
    <mergeCell ref="C33:C35"/>
    <mergeCell ref="D33:D35"/>
    <mergeCell ref="E33:E35"/>
    <mergeCell ref="K23:K25"/>
    <mergeCell ref="B23:B25"/>
    <mergeCell ref="A23:A25"/>
    <mergeCell ref="A26:A28"/>
    <mergeCell ref="B26:B28"/>
    <mergeCell ref="C26:C28"/>
    <mergeCell ref="D26:D28"/>
    <mergeCell ref="E26:E28"/>
    <mergeCell ref="I26:I28"/>
    <mergeCell ref="K26:K28"/>
    <mergeCell ref="C23:C25"/>
    <mergeCell ref="D23:D25"/>
    <mergeCell ref="E23:E25"/>
    <mergeCell ref="I23:I25"/>
    <mergeCell ref="I5:I8"/>
    <mergeCell ref="K5:K8"/>
    <mergeCell ref="M5:M8"/>
    <mergeCell ref="A102:E102"/>
    <mergeCell ref="A5:A8"/>
    <mergeCell ref="B5:B8"/>
    <mergeCell ref="C5:C8"/>
    <mergeCell ref="D5:D8"/>
    <mergeCell ref="E5:E8"/>
    <mergeCell ref="E15:E17"/>
    <mergeCell ref="I15:I17"/>
    <mergeCell ref="K15:K17"/>
    <mergeCell ref="A15:A17"/>
    <mergeCell ref="B15:B17"/>
    <mergeCell ref="C15:C17"/>
    <mergeCell ref="D15:D17"/>
  </mergeCells>
  <phoneticPr fontId="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29BF-7F07-454E-84D1-57D8CCCD8685}">
  <dimension ref="A1:O164"/>
  <sheetViews>
    <sheetView topLeftCell="A153" workbookViewId="0">
      <selection activeCell="G3" sqref="G3:G161"/>
    </sheetView>
  </sheetViews>
  <sheetFormatPr baseColWidth="10" defaultRowHeight="15" x14ac:dyDescent="0.25"/>
  <cols>
    <col min="2" max="2" width="18.140625" customWidth="1"/>
    <col min="3" max="3" width="37.140625" customWidth="1"/>
    <col min="9" max="9" width="15.5703125" customWidth="1"/>
  </cols>
  <sheetData>
    <row r="1" spans="1:15" x14ac:dyDescent="0.25">
      <c r="A1" s="319" t="s">
        <v>1</v>
      </c>
      <c r="B1" s="319" t="s">
        <v>2</v>
      </c>
      <c r="C1" s="319" t="s">
        <v>32</v>
      </c>
      <c r="D1" s="319" t="s">
        <v>33</v>
      </c>
      <c r="E1" s="319" t="s">
        <v>408</v>
      </c>
      <c r="F1" s="319" t="s">
        <v>11</v>
      </c>
      <c r="G1" s="319" t="s">
        <v>34</v>
      </c>
      <c r="H1" s="319"/>
      <c r="I1" s="319" t="s">
        <v>35</v>
      </c>
      <c r="J1" s="319" t="s">
        <v>36</v>
      </c>
      <c r="K1" s="319" t="s">
        <v>37</v>
      </c>
      <c r="L1" s="319" t="s">
        <v>38</v>
      </c>
      <c r="M1" s="319" t="s">
        <v>37</v>
      </c>
      <c r="N1" s="320" t="s">
        <v>38</v>
      </c>
      <c r="O1" s="319" t="s">
        <v>40</v>
      </c>
    </row>
    <row r="2" spans="1:15" x14ac:dyDescent="0.25">
      <c r="A2" s="320"/>
      <c r="B2" s="320"/>
      <c r="C2" s="320"/>
      <c r="D2" s="320"/>
      <c r="E2" s="320"/>
      <c r="F2" s="320"/>
      <c r="G2" s="52" t="s">
        <v>41</v>
      </c>
      <c r="H2" s="53" t="s">
        <v>42</v>
      </c>
      <c r="I2" s="320"/>
      <c r="J2" s="320"/>
      <c r="K2" s="320"/>
      <c r="L2" s="320"/>
      <c r="M2" s="320"/>
      <c r="N2" s="323"/>
      <c r="O2" s="320"/>
    </row>
    <row r="3" spans="1:15" x14ac:dyDescent="0.25">
      <c r="A3" s="86">
        <v>45597</v>
      </c>
      <c r="B3" s="55" t="s">
        <v>3587</v>
      </c>
      <c r="C3" s="55" t="s">
        <v>43</v>
      </c>
      <c r="D3" s="75">
        <f>F3/1.1</f>
        <v>190.90909090909091</v>
      </c>
      <c r="E3" s="75">
        <f t="shared" ref="E3:E66" si="0">D3*10/100</f>
        <v>19.09090909090909</v>
      </c>
      <c r="F3" s="75">
        <v>210</v>
      </c>
      <c r="G3" s="75">
        <v>50</v>
      </c>
      <c r="H3" s="58">
        <f t="shared" ref="H3:H66" si="1">F3-G3</f>
        <v>160</v>
      </c>
      <c r="I3" s="14" t="s">
        <v>4008</v>
      </c>
      <c r="J3" s="75">
        <v>170</v>
      </c>
      <c r="K3" s="75">
        <v>40</v>
      </c>
      <c r="L3" s="14" t="s">
        <v>252</v>
      </c>
      <c r="M3" s="14"/>
      <c r="N3" s="14"/>
      <c r="O3" s="14"/>
    </row>
    <row r="4" spans="1:15" x14ac:dyDescent="0.25">
      <c r="A4" s="86">
        <v>45597</v>
      </c>
      <c r="B4" s="55" t="s">
        <v>3588</v>
      </c>
      <c r="C4" s="55" t="s">
        <v>43</v>
      </c>
      <c r="D4" s="75">
        <f t="shared" ref="D4:D67" si="2">F4/1.1</f>
        <v>154.54545454545453</v>
      </c>
      <c r="E4" s="75">
        <f t="shared" si="0"/>
        <v>15.454545454545453</v>
      </c>
      <c r="F4" s="75">
        <v>170</v>
      </c>
      <c r="G4" s="75">
        <v>50</v>
      </c>
      <c r="H4" s="58">
        <f t="shared" si="1"/>
        <v>120</v>
      </c>
      <c r="I4" s="14" t="s">
        <v>2752</v>
      </c>
      <c r="J4" s="75">
        <v>170</v>
      </c>
      <c r="K4" s="75"/>
      <c r="L4" s="14"/>
      <c r="M4" s="75"/>
      <c r="N4" s="14"/>
      <c r="O4" s="14"/>
    </row>
    <row r="5" spans="1:15" x14ac:dyDescent="0.25">
      <c r="A5" s="86">
        <v>45597</v>
      </c>
      <c r="B5" s="55" t="s">
        <v>3589</v>
      </c>
      <c r="C5" s="55" t="s">
        <v>43</v>
      </c>
      <c r="D5" s="75">
        <f t="shared" si="2"/>
        <v>172.72727272727272</v>
      </c>
      <c r="E5" s="75">
        <f t="shared" si="0"/>
        <v>17.272727272727273</v>
      </c>
      <c r="F5" s="75">
        <v>190</v>
      </c>
      <c r="G5" s="75">
        <v>50</v>
      </c>
      <c r="H5" s="58">
        <f t="shared" si="1"/>
        <v>140</v>
      </c>
      <c r="I5" s="14" t="s">
        <v>4009</v>
      </c>
      <c r="J5" s="75">
        <v>170</v>
      </c>
      <c r="K5" s="75">
        <v>20</v>
      </c>
      <c r="L5" s="14" t="s">
        <v>252</v>
      </c>
      <c r="M5" s="75"/>
      <c r="N5" s="14"/>
      <c r="O5" s="14"/>
    </row>
    <row r="6" spans="1:15" x14ac:dyDescent="0.25">
      <c r="A6" s="86">
        <v>45597</v>
      </c>
      <c r="B6" s="55" t="s">
        <v>3590</v>
      </c>
      <c r="C6" s="55" t="s">
        <v>43</v>
      </c>
      <c r="D6" s="75">
        <f t="shared" si="2"/>
        <v>263.63636363636363</v>
      </c>
      <c r="E6" s="75">
        <f t="shared" si="0"/>
        <v>26.36363636363636</v>
      </c>
      <c r="F6" s="75">
        <v>290</v>
      </c>
      <c r="G6" s="75">
        <v>100</v>
      </c>
      <c r="H6" s="58">
        <f t="shared" si="1"/>
        <v>190</v>
      </c>
      <c r="I6" s="14" t="s">
        <v>4010</v>
      </c>
      <c r="J6" s="75">
        <v>270</v>
      </c>
      <c r="K6" s="75">
        <v>20</v>
      </c>
      <c r="L6" s="14" t="s">
        <v>252</v>
      </c>
      <c r="M6" s="75"/>
      <c r="N6" s="14"/>
      <c r="O6" s="14"/>
    </row>
    <row r="7" spans="1:15" x14ac:dyDescent="0.25">
      <c r="A7" s="86">
        <v>45597</v>
      </c>
      <c r="B7" s="55" t="s">
        <v>3591</v>
      </c>
      <c r="C7" s="55" t="s">
        <v>43</v>
      </c>
      <c r="D7" s="75">
        <f t="shared" si="2"/>
        <v>613.63636363636363</v>
      </c>
      <c r="E7" s="75">
        <f t="shared" si="0"/>
        <v>61.36363636363636</v>
      </c>
      <c r="F7" s="75">
        <v>675</v>
      </c>
      <c r="G7" s="75">
        <v>75</v>
      </c>
      <c r="H7" s="58">
        <f t="shared" si="1"/>
        <v>600</v>
      </c>
      <c r="I7" s="14" t="s">
        <v>4011</v>
      </c>
      <c r="J7" s="75">
        <v>570</v>
      </c>
      <c r="K7" s="75">
        <v>60</v>
      </c>
      <c r="L7" s="14" t="s">
        <v>252</v>
      </c>
      <c r="M7" s="75"/>
      <c r="N7" s="14"/>
      <c r="O7" s="14"/>
    </row>
    <row r="8" spans="1:15" x14ac:dyDescent="0.25">
      <c r="A8" s="86">
        <v>45597</v>
      </c>
      <c r="B8" s="55" t="s">
        <v>3592</v>
      </c>
      <c r="C8" s="55" t="s">
        <v>43</v>
      </c>
      <c r="D8" s="75">
        <f t="shared" si="2"/>
        <v>199.99999999999997</v>
      </c>
      <c r="E8" s="75">
        <f t="shared" si="0"/>
        <v>19.999999999999996</v>
      </c>
      <c r="F8" s="75">
        <v>220</v>
      </c>
      <c r="G8" s="75">
        <v>50</v>
      </c>
      <c r="H8" s="58">
        <f t="shared" si="1"/>
        <v>170</v>
      </c>
      <c r="I8" s="14" t="s">
        <v>4012</v>
      </c>
      <c r="J8" s="75">
        <v>220</v>
      </c>
      <c r="K8" s="75"/>
      <c r="L8" s="14"/>
      <c r="M8" s="75"/>
      <c r="N8" s="14"/>
      <c r="O8" s="14"/>
    </row>
    <row r="9" spans="1:15" x14ac:dyDescent="0.25">
      <c r="A9" s="86">
        <v>45597</v>
      </c>
      <c r="B9" s="55" t="s">
        <v>3593</v>
      </c>
      <c r="C9" s="55" t="s">
        <v>43</v>
      </c>
      <c r="D9" s="75">
        <f t="shared" si="2"/>
        <v>199.99999999999997</v>
      </c>
      <c r="E9" s="75">
        <f t="shared" si="0"/>
        <v>19.999999999999996</v>
      </c>
      <c r="F9" s="75">
        <v>220</v>
      </c>
      <c r="G9" s="75">
        <v>50</v>
      </c>
      <c r="H9" s="58">
        <f t="shared" si="1"/>
        <v>170</v>
      </c>
      <c r="I9" s="14" t="s">
        <v>4013</v>
      </c>
      <c r="J9" s="75">
        <v>220</v>
      </c>
      <c r="K9" s="75"/>
      <c r="L9" s="14"/>
      <c r="M9" s="75"/>
      <c r="N9" s="14"/>
      <c r="O9" s="14"/>
    </row>
    <row r="10" spans="1:15" x14ac:dyDescent="0.25">
      <c r="A10" s="86">
        <v>45597</v>
      </c>
      <c r="B10" s="55" t="s">
        <v>3594</v>
      </c>
      <c r="C10" s="55" t="s">
        <v>43</v>
      </c>
      <c r="D10" s="75">
        <f t="shared" si="2"/>
        <v>345.45454545454544</v>
      </c>
      <c r="E10" s="75">
        <f t="shared" si="0"/>
        <v>34.545454545454547</v>
      </c>
      <c r="F10" s="75">
        <v>380</v>
      </c>
      <c r="G10" s="75">
        <v>50</v>
      </c>
      <c r="H10" s="58">
        <f t="shared" si="1"/>
        <v>330</v>
      </c>
      <c r="I10" s="14" t="s">
        <v>4014</v>
      </c>
      <c r="J10" s="75">
        <v>220</v>
      </c>
      <c r="K10" s="75"/>
      <c r="L10" s="14"/>
      <c r="M10" s="75">
        <v>160</v>
      </c>
      <c r="N10" s="14" t="s">
        <v>1319</v>
      </c>
      <c r="O10" s="14"/>
    </row>
    <row r="11" spans="1:15" x14ac:dyDescent="0.25">
      <c r="A11" s="86">
        <v>45598</v>
      </c>
      <c r="B11" s="55" t="s">
        <v>3595</v>
      </c>
      <c r="C11" s="55" t="s">
        <v>43</v>
      </c>
      <c r="D11" s="75">
        <f t="shared" si="2"/>
        <v>190.90909090909091</v>
      </c>
      <c r="E11" s="75">
        <f t="shared" si="0"/>
        <v>19.09090909090909</v>
      </c>
      <c r="F11" s="75">
        <v>210</v>
      </c>
      <c r="G11" s="75">
        <v>50</v>
      </c>
      <c r="H11" s="58">
        <f t="shared" si="1"/>
        <v>160</v>
      </c>
      <c r="I11" s="14" t="s">
        <v>4015</v>
      </c>
      <c r="J11" s="75">
        <v>170</v>
      </c>
      <c r="K11" s="75">
        <v>40</v>
      </c>
      <c r="L11" s="14" t="s">
        <v>252</v>
      </c>
      <c r="M11" s="75"/>
      <c r="N11" s="14"/>
      <c r="O11" s="14"/>
    </row>
    <row r="12" spans="1:15" x14ac:dyDescent="0.25">
      <c r="A12" s="86">
        <v>45598</v>
      </c>
      <c r="B12" s="55" t="s">
        <v>3596</v>
      </c>
      <c r="C12" s="55" t="s">
        <v>43</v>
      </c>
      <c r="D12" s="75">
        <f t="shared" si="2"/>
        <v>145.45454545454544</v>
      </c>
      <c r="E12" s="75">
        <f t="shared" si="0"/>
        <v>14.545454545454545</v>
      </c>
      <c r="F12" s="75">
        <v>160</v>
      </c>
      <c r="G12" s="75"/>
      <c r="H12" s="58">
        <f t="shared" si="1"/>
        <v>160</v>
      </c>
      <c r="I12" s="14" t="s">
        <v>603</v>
      </c>
      <c r="J12" s="75">
        <v>160</v>
      </c>
      <c r="K12" s="75"/>
      <c r="L12" s="14"/>
      <c r="M12" s="75"/>
      <c r="N12" s="14"/>
      <c r="O12" s="14"/>
    </row>
    <row r="13" spans="1:15" x14ac:dyDescent="0.25">
      <c r="A13" s="86">
        <v>45598</v>
      </c>
      <c r="B13" s="55" t="s">
        <v>3597</v>
      </c>
      <c r="C13" s="55" t="s">
        <v>43</v>
      </c>
      <c r="D13" s="75">
        <f t="shared" si="2"/>
        <v>172.72727272727272</v>
      </c>
      <c r="E13" s="75">
        <f t="shared" si="0"/>
        <v>17.272727272727273</v>
      </c>
      <c r="F13" s="75">
        <v>190</v>
      </c>
      <c r="G13" s="75">
        <v>50</v>
      </c>
      <c r="H13" s="58">
        <f t="shared" si="1"/>
        <v>140</v>
      </c>
      <c r="I13" s="14" t="s">
        <v>685</v>
      </c>
      <c r="J13" s="75">
        <v>170</v>
      </c>
      <c r="K13" s="75">
        <v>20</v>
      </c>
      <c r="L13" s="14" t="s">
        <v>252</v>
      </c>
      <c r="M13" s="75"/>
      <c r="N13" s="14"/>
      <c r="O13" s="14"/>
    </row>
    <row r="14" spans="1:15" x14ac:dyDescent="0.25">
      <c r="A14" s="86">
        <v>45598</v>
      </c>
      <c r="B14" s="55" t="s">
        <v>3598</v>
      </c>
      <c r="C14" s="55" t="s">
        <v>43</v>
      </c>
      <c r="D14" s="75">
        <f t="shared" si="2"/>
        <v>181.81818181818181</v>
      </c>
      <c r="E14" s="75">
        <f t="shared" si="0"/>
        <v>18.18181818181818</v>
      </c>
      <c r="F14" s="75">
        <v>200</v>
      </c>
      <c r="G14" s="75"/>
      <c r="H14" s="58">
        <f t="shared" si="1"/>
        <v>200</v>
      </c>
      <c r="I14" s="14" t="s">
        <v>603</v>
      </c>
      <c r="J14" s="75">
        <v>200</v>
      </c>
      <c r="K14" s="75"/>
      <c r="L14" s="14"/>
      <c r="M14" s="75"/>
      <c r="N14" s="14"/>
      <c r="O14" s="14"/>
    </row>
    <row r="15" spans="1:15" x14ac:dyDescent="0.25">
      <c r="A15" s="86">
        <v>45598</v>
      </c>
      <c r="B15" s="55" t="s">
        <v>3599</v>
      </c>
      <c r="C15" s="55" t="s">
        <v>43</v>
      </c>
      <c r="D15" s="75">
        <f t="shared" si="2"/>
        <v>199.99999999999997</v>
      </c>
      <c r="E15" s="75">
        <f t="shared" si="0"/>
        <v>19.999999999999996</v>
      </c>
      <c r="F15" s="75">
        <v>220</v>
      </c>
      <c r="G15" s="75">
        <v>50</v>
      </c>
      <c r="H15" s="58">
        <f t="shared" si="1"/>
        <v>170</v>
      </c>
      <c r="I15" s="14" t="s">
        <v>4016</v>
      </c>
      <c r="J15" s="255">
        <v>220</v>
      </c>
      <c r="K15" s="75"/>
      <c r="L15" s="14"/>
      <c r="M15" s="75"/>
      <c r="N15" s="14"/>
      <c r="O15" s="75"/>
    </row>
    <row r="16" spans="1:15" x14ac:dyDescent="0.25">
      <c r="A16" s="86">
        <v>45598</v>
      </c>
      <c r="B16" s="55" t="s">
        <v>3600</v>
      </c>
      <c r="C16" s="55" t="s">
        <v>43</v>
      </c>
      <c r="D16" s="75">
        <f t="shared" si="2"/>
        <v>272.72727272727269</v>
      </c>
      <c r="E16" s="75">
        <f t="shared" si="0"/>
        <v>27.27272727272727</v>
      </c>
      <c r="F16" s="75">
        <v>300</v>
      </c>
      <c r="G16" s="75">
        <v>50</v>
      </c>
      <c r="H16" s="58">
        <f t="shared" si="1"/>
        <v>250</v>
      </c>
      <c r="I16" s="14" t="s">
        <v>4017</v>
      </c>
      <c r="J16" s="75">
        <v>270</v>
      </c>
      <c r="K16" s="75">
        <v>30</v>
      </c>
      <c r="L16" s="14" t="s">
        <v>252</v>
      </c>
      <c r="M16" s="75"/>
      <c r="N16" s="14"/>
      <c r="O16" s="75"/>
    </row>
    <row r="17" spans="1:15" x14ac:dyDescent="0.25">
      <c r="A17" s="86">
        <v>45598</v>
      </c>
      <c r="B17" s="55" t="s">
        <v>3601</v>
      </c>
      <c r="C17" s="55" t="s">
        <v>43</v>
      </c>
      <c r="D17" s="75">
        <f t="shared" si="2"/>
        <v>272.72727272727269</v>
      </c>
      <c r="E17" s="75">
        <f t="shared" si="0"/>
        <v>27.27272727272727</v>
      </c>
      <c r="F17" s="75">
        <v>300</v>
      </c>
      <c r="G17" s="75">
        <v>50</v>
      </c>
      <c r="H17" s="58">
        <f t="shared" si="1"/>
        <v>250</v>
      </c>
      <c r="I17" s="14" t="s">
        <v>4018</v>
      </c>
      <c r="J17" s="75">
        <v>270</v>
      </c>
      <c r="K17" s="75">
        <v>30</v>
      </c>
      <c r="L17" s="14" t="s">
        <v>252</v>
      </c>
      <c r="M17" s="75"/>
      <c r="N17" s="14"/>
      <c r="O17" s="75"/>
    </row>
    <row r="18" spans="1:15" x14ac:dyDescent="0.25">
      <c r="A18" s="86">
        <v>45598</v>
      </c>
      <c r="B18" s="55" t="s">
        <v>3602</v>
      </c>
      <c r="C18" s="55" t="s">
        <v>43</v>
      </c>
      <c r="D18" s="75">
        <f t="shared" si="2"/>
        <v>181.81818181818181</v>
      </c>
      <c r="E18" s="75">
        <f t="shared" si="0"/>
        <v>18.18181818181818</v>
      </c>
      <c r="F18" s="75">
        <v>200</v>
      </c>
      <c r="G18" s="75"/>
      <c r="H18" s="58">
        <f t="shared" si="1"/>
        <v>200</v>
      </c>
      <c r="I18" s="14" t="s">
        <v>603</v>
      </c>
      <c r="J18" s="75">
        <v>200</v>
      </c>
      <c r="K18" s="75"/>
      <c r="L18" s="14"/>
      <c r="M18" s="75"/>
      <c r="N18" s="14"/>
      <c r="O18" s="75"/>
    </row>
    <row r="19" spans="1:15" x14ac:dyDescent="0.25">
      <c r="A19" s="86">
        <v>45598</v>
      </c>
      <c r="B19" s="55" t="s">
        <v>3603</v>
      </c>
      <c r="C19" s="55" t="s">
        <v>43</v>
      </c>
      <c r="D19" s="75">
        <f t="shared" si="2"/>
        <v>363.63636363636363</v>
      </c>
      <c r="E19" s="75">
        <f t="shared" si="0"/>
        <v>36.36363636363636</v>
      </c>
      <c r="F19" s="75">
        <v>400</v>
      </c>
      <c r="G19" s="75">
        <v>50</v>
      </c>
      <c r="H19" s="58">
        <f t="shared" si="1"/>
        <v>350</v>
      </c>
      <c r="I19" s="14" t="s">
        <v>4019</v>
      </c>
      <c r="J19" s="75">
        <v>400</v>
      </c>
      <c r="K19" s="75"/>
      <c r="L19" s="14"/>
      <c r="M19" s="75"/>
      <c r="N19" s="14"/>
      <c r="O19" s="75"/>
    </row>
    <row r="20" spans="1:15" x14ac:dyDescent="0.25">
      <c r="A20" s="86">
        <v>45598</v>
      </c>
      <c r="B20" s="55" t="s">
        <v>3604</v>
      </c>
      <c r="C20" s="55" t="s">
        <v>43</v>
      </c>
      <c r="D20" s="75">
        <f t="shared" si="2"/>
        <v>190.90909090909091</v>
      </c>
      <c r="E20" s="75">
        <f t="shared" si="0"/>
        <v>19.09090909090909</v>
      </c>
      <c r="F20" s="75">
        <v>210</v>
      </c>
      <c r="G20" s="75">
        <v>50</v>
      </c>
      <c r="H20" s="58">
        <f t="shared" si="1"/>
        <v>160</v>
      </c>
      <c r="I20" s="14" t="s">
        <v>4020</v>
      </c>
      <c r="J20" s="75">
        <v>170</v>
      </c>
      <c r="K20" s="75">
        <v>40</v>
      </c>
      <c r="L20" s="14" t="s">
        <v>252</v>
      </c>
      <c r="M20" s="75"/>
      <c r="N20" s="14"/>
      <c r="O20" s="75"/>
    </row>
    <row r="21" spans="1:15" x14ac:dyDescent="0.25">
      <c r="A21" s="86">
        <v>45598</v>
      </c>
      <c r="B21" s="55" t="s">
        <v>3605</v>
      </c>
      <c r="C21" s="55" t="s">
        <v>43</v>
      </c>
      <c r="D21" s="75">
        <f t="shared" si="2"/>
        <v>127.27272727272727</v>
      </c>
      <c r="E21" s="75">
        <f t="shared" si="0"/>
        <v>12.727272727272727</v>
      </c>
      <c r="F21" s="75">
        <v>140</v>
      </c>
      <c r="G21" s="75"/>
      <c r="H21" s="58">
        <f t="shared" si="1"/>
        <v>140</v>
      </c>
      <c r="I21" s="14" t="s">
        <v>603</v>
      </c>
      <c r="J21" s="75">
        <v>140</v>
      </c>
      <c r="K21" s="75"/>
      <c r="L21" s="14"/>
      <c r="M21" s="75"/>
      <c r="N21" s="14"/>
      <c r="O21" s="75"/>
    </row>
    <row r="22" spans="1:15" x14ac:dyDescent="0.25">
      <c r="A22" s="86">
        <v>45598</v>
      </c>
      <c r="B22" s="55" t="s">
        <v>3606</v>
      </c>
      <c r="C22" s="55" t="s">
        <v>43</v>
      </c>
      <c r="D22" s="75">
        <f t="shared" si="2"/>
        <v>195.45454545454544</v>
      </c>
      <c r="E22" s="75">
        <f t="shared" si="0"/>
        <v>19.545454545454547</v>
      </c>
      <c r="F22" s="75">
        <v>215</v>
      </c>
      <c r="G22" s="75">
        <v>50</v>
      </c>
      <c r="H22" s="58">
        <f t="shared" si="1"/>
        <v>165</v>
      </c>
      <c r="I22" s="187" t="s">
        <v>4021</v>
      </c>
      <c r="J22" s="75">
        <v>170</v>
      </c>
      <c r="K22" s="75"/>
      <c r="L22" s="14"/>
      <c r="M22" s="75">
        <v>45</v>
      </c>
      <c r="N22" s="14" t="s">
        <v>45</v>
      </c>
      <c r="O22" s="14"/>
    </row>
    <row r="23" spans="1:15" x14ac:dyDescent="0.25">
      <c r="A23" s="86">
        <v>45598</v>
      </c>
      <c r="B23" s="55" t="s">
        <v>3607</v>
      </c>
      <c r="C23" s="55" t="s">
        <v>43</v>
      </c>
      <c r="D23" s="75">
        <f t="shared" si="2"/>
        <v>172.72727272727272</v>
      </c>
      <c r="E23" s="75">
        <f t="shared" si="0"/>
        <v>17.272727272727273</v>
      </c>
      <c r="F23" s="75">
        <v>190</v>
      </c>
      <c r="G23" s="75">
        <v>50</v>
      </c>
      <c r="H23" s="58">
        <f t="shared" si="1"/>
        <v>140</v>
      </c>
      <c r="I23" s="14" t="s">
        <v>4022</v>
      </c>
      <c r="J23" s="75">
        <v>170</v>
      </c>
      <c r="K23" s="75">
        <v>20</v>
      </c>
      <c r="L23" s="14" t="s">
        <v>252</v>
      </c>
      <c r="M23" s="75"/>
      <c r="N23" s="14"/>
      <c r="O23" s="14"/>
    </row>
    <row r="24" spans="1:15" x14ac:dyDescent="0.25">
      <c r="A24" s="86">
        <v>45600</v>
      </c>
      <c r="B24" s="55" t="s">
        <v>3608</v>
      </c>
      <c r="C24" s="55" t="s">
        <v>43</v>
      </c>
      <c r="D24" s="75">
        <f t="shared" si="2"/>
        <v>154.54545454545453</v>
      </c>
      <c r="E24" s="75">
        <f t="shared" si="0"/>
        <v>15.454545454545453</v>
      </c>
      <c r="F24" s="75">
        <v>170</v>
      </c>
      <c r="G24" s="75">
        <v>50</v>
      </c>
      <c r="H24" s="58">
        <f t="shared" si="1"/>
        <v>120</v>
      </c>
      <c r="I24" s="14" t="s">
        <v>4040</v>
      </c>
      <c r="J24" s="75">
        <v>170</v>
      </c>
      <c r="K24" s="75"/>
      <c r="L24" s="14"/>
      <c r="M24" s="75"/>
      <c r="N24" s="14"/>
      <c r="O24" s="14"/>
    </row>
    <row r="25" spans="1:15" x14ac:dyDescent="0.25">
      <c r="A25" s="86">
        <v>45600</v>
      </c>
      <c r="B25" s="55" t="s">
        <v>3609</v>
      </c>
      <c r="C25" s="55" t="s">
        <v>43</v>
      </c>
      <c r="D25" s="75">
        <f t="shared" si="2"/>
        <v>154.54545454545453</v>
      </c>
      <c r="E25" s="75">
        <f t="shared" si="0"/>
        <v>15.454545454545453</v>
      </c>
      <c r="F25" s="75">
        <v>170</v>
      </c>
      <c r="G25" s="75">
        <v>50</v>
      </c>
      <c r="H25" s="58">
        <f t="shared" si="1"/>
        <v>120</v>
      </c>
      <c r="I25" s="14" t="s">
        <v>4041</v>
      </c>
      <c r="J25" s="75">
        <v>170</v>
      </c>
      <c r="K25" s="75"/>
      <c r="L25" s="14"/>
      <c r="M25" s="75"/>
      <c r="N25" s="14"/>
      <c r="O25" s="14"/>
    </row>
    <row r="26" spans="1:15" x14ac:dyDescent="0.25">
      <c r="A26" s="86">
        <v>45602</v>
      </c>
      <c r="B26" s="55" t="s">
        <v>3610</v>
      </c>
      <c r="C26" s="55" t="s">
        <v>43</v>
      </c>
      <c r="D26" s="75">
        <f t="shared" si="2"/>
        <v>154.54545454545453</v>
      </c>
      <c r="E26" s="75">
        <f t="shared" si="0"/>
        <v>15.454545454545453</v>
      </c>
      <c r="F26" s="75">
        <v>170</v>
      </c>
      <c r="G26" s="75">
        <v>70</v>
      </c>
      <c r="H26" s="58">
        <f t="shared" si="1"/>
        <v>100</v>
      </c>
      <c r="I26" s="14" t="s">
        <v>4042</v>
      </c>
      <c r="J26" s="75">
        <v>170</v>
      </c>
      <c r="K26" s="75"/>
      <c r="L26" s="14"/>
      <c r="M26" s="75"/>
      <c r="N26" s="14"/>
      <c r="O26" s="14"/>
    </row>
    <row r="27" spans="1:15" x14ac:dyDescent="0.25">
      <c r="A27" s="86">
        <v>45602</v>
      </c>
      <c r="B27" s="55" t="s">
        <v>3611</v>
      </c>
      <c r="C27" s="55" t="s">
        <v>43</v>
      </c>
      <c r="D27" s="75">
        <f t="shared" si="2"/>
        <v>172.72727272727272</v>
      </c>
      <c r="E27" s="75">
        <f t="shared" si="0"/>
        <v>17.272727272727273</v>
      </c>
      <c r="F27" s="75">
        <v>190</v>
      </c>
      <c r="G27" s="75">
        <v>50</v>
      </c>
      <c r="H27" s="58">
        <f t="shared" si="1"/>
        <v>140</v>
      </c>
      <c r="I27" s="14" t="s">
        <v>4043</v>
      </c>
      <c r="J27" s="75">
        <v>170</v>
      </c>
      <c r="K27" s="75">
        <v>20</v>
      </c>
      <c r="L27" s="14" t="s">
        <v>252</v>
      </c>
      <c r="M27" s="75"/>
      <c r="N27" s="14"/>
      <c r="O27" s="14"/>
    </row>
    <row r="28" spans="1:15" x14ac:dyDescent="0.25">
      <c r="A28" s="86">
        <v>45603</v>
      </c>
      <c r="B28" s="55" t="s">
        <v>3612</v>
      </c>
      <c r="C28" s="55" t="s">
        <v>43</v>
      </c>
      <c r="D28" s="75">
        <f t="shared" si="2"/>
        <v>163.63636363636363</v>
      </c>
      <c r="E28" s="75">
        <f t="shared" si="0"/>
        <v>16.363636363636363</v>
      </c>
      <c r="F28" s="75">
        <v>180</v>
      </c>
      <c r="G28" s="75"/>
      <c r="H28" s="58">
        <f t="shared" si="1"/>
        <v>180</v>
      </c>
      <c r="I28" s="14" t="s">
        <v>603</v>
      </c>
      <c r="J28" s="75">
        <v>180</v>
      </c>
      <c r="K28" s="75"/>
      <c r="L28" s="14"/>
      <c r="M28" s="75"/>
      <c r="N28" s="14"/>
      <c r="O28" s="14"/>
    </row>
    <row r="29" spans="1:15" x14ac:dyDescent="0.25">
      <c r="A29" s="86">
        <v>45604</v>
      </c>
      <c r="B29" s="55" t="s">
        <v>3613</v>
      </c>
      <c r="C29" s="55" t="s">
        <v>43</v>
      </c>
      <c r="D29" s="75">
        <f t="shared" si="2"/>
        <v>154.54545454545453</v>
      </c>
      <c r="E29" s="75">
        <f t="shared" si="0"/>
        <v>15.454545454545453</v>
      </c>
      <c r="F29" s="75">
        <v>170</v>
      </c>
      <c r="G29" s="75">
        <v>50</v>
      </c>
      <c r="H29" s="58">
        <f t="shared" si="1"/>
        <v>120</v>
      </c>
      <c r="I29" s="14" t="s">
        <v>4060</v>
      </c>
      <c r="J29" s="75">
        <v>170</v>
      </c>
      <c r="K29" s="75"/>
      <c r="L29" s="14"/>
      <c r="M29" s="75"/>
      <c r="N29" s="14"/>
      <c r="O29" s="14"/>
    </row>
    <row r="30" spans="1:15" x14ac:dyDescent="0.25">
      <c r="A30" s="86">
        <v>45604</v>
      </c>
      <c r="B30" s="55" t="s">
        <v>3614</v>
      </c>
      <c r="C30" s="55" t="s">
        <v>43</v>
      </c>
      <c r="D30" s="75">
        <f t="shared" si="2"/>
        <v>127.27272727272727</v>
      </c>
      <c r="E30" s="75">
        <f t="shared" si="0"/>
        <v>12.727272727272727</v>
      </c>
      <c r="F30" s="75">
        <v>140</v>
      </c>
      <c r="G30" s="75"/>
      <c r="H30" s="58">
        <f t="shared" si="1"/>
        <v>140</v>
      </c>
      <c r="I30" s="14" t="s">
        <v>603</v>
      </c>
      <c r="J30" s="75">
        <v>140</v>
      </c>
      <c r="K30" s="75"/>
      <c r="L30" s="14"/>
      <c r="M30" s="75"/>
      <c r="N30" s="14"/>
      <c r="O30" s="14"/>
    </row>
    <row r="31" spans="1:15" x14ac:dyDescent="0.25">
      <c r="A31" s="86">
        <v>45604</v>
      </c>
      <c r="B31" s="55" t="s">
        <v>3615</v>
      </c>
      <c r="C31" s="55" t="s">
        <v>43</v>
      </c>
      <c r="D31" s="75">
        <f t="shared" si="2"/>
        <v>127.27272727272727</v>
      </c>
      <c r="E31" s="75">
        <f t="shared" si="0"/>
        <v>12.727272727272727</v>
      </c>
      <c r="F31" s="75">
        <v>140</v>
      </c>
      <c r="G31" s="75"/>
      <c r="H31" s="58">
        <f t="shared" si="1"/>
        <v>140</v>
      </c>
      <c r="I31" s="14" t="s">
        <v>603</v>
      </c>
      <c r="J31" s="75">
        <v>140</v>
      </c>
      <c r="K31" s="75"/>
      <c r="L31" s="14"/>
      <c r="M31" s="75"/>
      <c r="N31" s="14"/>
      <c r="O31" s="14"/>
    </row>
    <row r="32" spans="1:15" x14ac:dyDescent="0.25">
      <c r="A32" s="86">
        <v>45604</v>
      </c>
      <c r="B32" s="55" t="s">
        <v>3616</v>
      </c>
      <c r="C32" s="55" t="s">
        <v>43</v>
      </c>
      <c r="D32" s="75">
        <f t="shared" si="2"/>
        <v>199.99999999999997</v>
      </c>
      <c r="E32" s="75">
        <f t="shared" si="0"/>
        <v>19.999999999999996</v>
      </c>
      <c r="F32" s="75">
        <v>220</v>
      </c>
      <c r="G32" s="75"/>
      <c r="H32" s="58">
        <f t="shared" si="1"/>
        <v>220</v>
      </c>
      <c r="I32" s="14" t="s">
        <v>603</v>
      </c>
      <c r="J32" s="75">
        <v>220</v>
      </c>
      <c r="K32" s="75"/>
      <c r="L32" s="14"/>
      <c r="M32" s="75"/>
      <c r="N32" s="14"/>
      <c r="O32" s="14"/>
    </row>
    <row r="33" spans="1:15" x14ac:dyDescent="0.25">
      <c r="A33" s="86">
        <v>45605</v>
      </c>
      <c r="B33" s="55" t="s">
        <v>3617</v>
      </c>
      <c r="C33" s="55" t="s">
        <v>43</v>
      </c>
      <c r="D33" s="75">
        <f t="shared" si="2"/>
        <v>999.99999999999989</v>
      </c>
      <c r="E33" s="75">
        <f t="shared" si="0"/>
        <v>99.999999999999986</v>
      </c>
      <c r="F33" s="75">
        <v>1100</v>
      </c>
      <c r="G33" s="75">
        <v>100</v>
      </c>
      <c r="H33" s="58">
        <f t="shared" si="1"/>
        <v>1000</v>
      </c>
      <c r="I33" s="14" t="s">
        <v>4061</v>
      </c>
      <c r="J33" s="75">
        <v>1100</v>
      </c>
      <c r="K33" s="75"/>
      <c r="L33" s="14"/>
      <c r="M33" s="75"/>
      <c r="N33" s="14"/>
      <c r="O33" s="14"/>
    </row>
    <row r="34" spans="1:15" x14ac:dyDescent="0.25">
      <c r="A34" s="86">
        <v>45605</v>
      </c>
      <c r="B34" s="55" t="s">
        <v>3618</v>
      </c>
      <c r="C34" s="55" t="s">
        <v>43</v>
      </c>
      <c r="D34" s="75">
        <f t="shared" si="2"/>
        <v>286.36363636363632</v>
      </c>
      <c r="E34" s="75">
        <f t="shared" si="0"/>
        <v>28.63636363636363</v>
      </c>
      <c r="F34" s="75">
        <v>315</v>
      </c>
      <c r="G34" s="75">
        <v>50</v>
      </c>
      <c r="H34" s="58">
        <f t="shared" si="1"/>
        <v>265</v>
      </c>
      <c r="I34" s="14" t="s">
        <v>4062</v>
      </c>
      <c r="J34" s="75">
        <v>270</v>
      </c>
      <c r="K34" s="75"/>
      <c r="L34" s="14"/>
      <c r="M34" s="75">
        <v>45</v>
      </c>
      <c r="N34" s="14" t="s">
        <v>45</v>
      </c>
      <c r="O34" s="14"/>
    </row>
    <row r="35" spans="1:15" x14ac:dyDescent="0.25">
      <c r="A35" s="86">
        <v>45605</v>
      </c>
      <c r="B35" s="55" t="s">
        <v>3619</v>
      </c>
      <c r="C35" s="55" t="s">
        <v>43</v>
      </c>
      <c r="D35" s="75">
        <f t="shared" si="2"/>
        <v>245.45454545454544</v>
      </c>
      <c r="E35" s="75">
        <f t="shared" si="0"/>
        <v>24.545454545454547</v>
      </c>
      <c r="F35" s="75">
        <v>270</v>
      </c>
      <c r="G35" s="75">
        <v>50</v>
      </c>
      <c r="H35" s="58">
        <f t="shared" si="1"/>
        <v>220</v>
      </c>
      <c r="I35" s="14" t="s">
        <v>4063</v>
      </c>
      <c r="J35" s="75">
        <v>270</v>
      </c>
      <c r="K35" s="75"/>
      <c r="L35" s="14"/>
      <c r="M35" s="75"/>
      <c r="N35" s="14"/>
      <c r="O35" s="14"/>
    </row>
    <row r="36" spans="1:15" x14ac:dyDescent="0.25">
      <c r="A36" s="86">
        <v>45605</v>
      </c>
      <c r="B36" s="55" t="s">
        <v>3620</v>
      </c>
      <c r="C36" s="55" t="s">
        <v>43</v>
      </c>
      <c r="D36" s="75">
        <f t="shared" si="2"/>
        <v>127.27272727272727</v>
      </c>
      <c r="E36" s="75">
        <f t="shared" si="0"/>
        <v>12.727272727272727</v>
      </c>
      <c r="F36" s="75">
        <v>140</v>
      </c>
      <c r="G36" s="75"/>
      <c r="H36" s="58">
        <f t="shared" si="1"/>
        <v>140</v>
      </c>
      <c r="I36" s="14" t="s">
        <v>603</v>
      </c>
      <c r="J36" s="75">
        <v>140</v>
      </c>
      <c r="K36" s="75"/>
      <c r="L36" s="14"/>
      <c r="M36" s="75"/>
      <c r="N36" s="14"/>
      <c r="O36" s="14"/>
    </row>
    <row r="37" spans="1:15" x14ac:dyDescent="0.25">
      <c r="A37" s="86">
        <v>45605</v>
      </c>
      <c r="B37" s="55" t="s">
        <v>3621</v>
      </c>
      <c r="C37" s="55" t="s">
        <v>43</v>
      </c>
      <c r="D37" s="75">
        <f t="shared" si="2"/>
        <v>231.81818181818181</v>
      </c>
      <c r="E37" s="75">
        <f t="shared" si="0"/>
        <v>23.18181818181818</v>
      </c>
      <c r="F37" s="75">
        <v>255</v>
      </c>
      <c r="G37" s="75">
        <v>50</v>
      </c>
      <c r="H37" s="58">
        <f t="shared" si="1"/>
        <v>205</v>
      </c>
      <c r="I37" s="14" t="s">
        <v>4064</v>
      </c>
      <c r="J37" s="75">
        <v>170</v>
      </c>
      <c r="K37" s="75">
        <v>40</v>
      </c>
      <c r="L37" s="14" t="s">
        <v>252</v>
      </c>
      <c r="M37" s="75">
        <v>45</v>
      </c>
      <c r="N37" s="14" t="s">
        <v>45</v>
      </c>
      <c r="O37" s="14"/>
    </row>
    <row r="38" spans="1:15" x14ac:dyDescent="0.25">
      <c r="A38" s="86">
        <v>45605</v>
      </c>
      <c r="B38" s="55" t="s">
        <v>3622</v>
      </c>
      <c r="C38" s="55" t="s">
        <v>43</v>
      </c>
      <c r="D38" s="75">
        <f t="shared" si="2"/>
        <v>172.72727272727272</v>
      </c>
      <c r="E38" s="75">
        <f t="shared" si="0"/>
        <v>17.272727272727273</v>
      </c>
      <c r="F38" s="75">
        <v>190</v>
      </c>
      <c r="G38" s="75">
        <v>50</v>
      </c>
      <c r="H38" s="58">
        <f t="shared" si="1"/>
        <v>140</v>
      </c>
      <c r="I38" s="14" t="s">
        <v>4065</v>
      </c>
      <c r="J38" s="75">
        <v>170</v>
      </c>
      <c r="K38" s="75">
        <v>20</v>
      </c>
      <c r="L38" s="14" t="s">
        <v>252</v>
      </c>
      <c r="M38" s="75"/>
      <c r="N38" s="14"/>
      <c r="O38" s="14"/>
    </row>
    <row r="39" spans="1:15" x14ac:dyDescent="0.25">
      <c r="A39" s="86">
        <v>45605</v>
      </c>
      <c r="B39" s="55" t="s">
        <v>3623</v>
      </c>
      <c r="C39" s="55" t="s">
        <v>43</v>
      </c>
      <c r="D39" s="75">
        <f t="shared" si="2"/>
        <v>127.27272727272727</v>
      </c>
      <c r="E39" s="75">
        <f t="shared" si="0"/>
        <v>12.727272727272727</v>
      </c>
      <c r="F39" s="75">
        <v>140</v>
      </c>
      <c r="G39" s="75">
        <v>50</v>
      </c>
      <c r="H39" s="58">
        <f t="shared" si="1"/>
        <v>90</v>
      </c>
      <c r="I39" s="14" t="s">
        <v>4066</v>
      </c>
      <c r="J39" s="75">
        <v>140</v>
      </c>
      <c r="K39" s="75"/>
      <c r="L39" s="14"/>
      <c r="M39" s="75"/>
      <c r="N39" s="14"/>
      <c r="O39" s="14"/>
    </row>
    <row r="40" spans="1:15" x14ac:dyDescent="0.25">
      <c r="A40" s="86">
        <v>45605</v>
      </c>
      <c r="B40" s="55" t="s">
        <v>3624</v>
      </c>
      <c r="C40" s="55" t="s">
        <v>43</v>
      </c>
      <c r="D40" s="75">
        <f t="shared" si="2"/>
        <v>127.27272727272727</v>
      </c>
      <c r="E40" s="75">
        <f t="shared" si="0"/>
        <v>12.727272727272727</v>
      </c>
      <c r="F40" s="75">
        <v>140</v>
      </c>
      <c r="G40" s="75">
        <v>50</v>
      </c>
      <c r="H40" s="58">
        <f t="shared" si="1"/>
        <v>90</v>
      </c>
      <c r="I40" s="14" t="s">
        <v>4067</v>
      </c>
      <c r="J40" s="75">
        <v>140</v>
      </c>
      <c r="K40" s="75"/>
      <c r="L40" s="14"/>
      <c r="M40" s="75"/>
      <c r="N40" s="14"/>
      <c r="O40" s="14"/>
    </row>
    <row r="41" spans="1:15" x14ac:dyDescent="0.25">
      <c r="A41" s="86">
        <v>45605</v>
      </c>
      <c r="B41" s="55" t="s">
        <v>3625</v>
      </c>
      <c r="C41" s="55" t="s">
        <v>43</v>
      </c>
      <c r="D41" s="75">
        <f t="shared" si="2"/>
        <v>154.54545454545453</v>
      </c>
      <c r="E41" s="75">
        <f t="shared" si="0"/>
        <v>15.454545454545453</v>
      </c>
      <c r="F41" s="75">
        <v>170</v>
      </c>
      <c r="G41" s="75">
        <v>50</v>
      </c>
      <c r="H41" s="58">
        <f t="shared" si="1"/>
        <v>120</v>
      </c>
      <c r="I41" s="14" t="s">
        <v>4068</v>
      </c>
      <c r="J41" s="75">
        <v>170</v>
      </c>
      <c r="K41" s="75"/>
      <c r="L41" s="14"/>
      <c r="M41" s="75"/>
      <c r="N41" s="14"/>
      <c r="O41" s="14"/>
    </row>
    <row r="42" spans="1:15" x14ac:dyDescent="0.25">
      <c r="A42" s="86">
        <v>45605</v>
      </c>
      <c r="B42" s="55" t="s">
        <v>3626</v>
      </c>
      <c r="C42" s="55" t="s">
        <v>43</v>
      </c>
      <c r="D42" s="75">
        <f t="shared" si="2"/>
        <v>195.45454545454544</v>
      </c>
      <c r="E42" s="75">
        <f t="shared" si="0"/>
        <v>19.545454545454547</v>
      </c>
      <c r="F42" s="75">
        <v>215</v>
      </c>
      <c r="G42" s="75">
        <v>50</v>
      </c>
      <c r="H42" s="58">
        <f t="shared" si="1"/>
        <v>165</v>
      </c>
      <c r="I42" s="14" t="s">
        <v>4069</v>
      </c>
      <c r="J42" s="75">
        <v>170</v>
      </c>
      <c r="K42" s="75"/>
      <c r="L42" s="14"/>
      <c r="M42" s="75">
        <v>45</v>
      </c>
      <c r="N42" s="14" t="s">
        <v>45</v>
      </c>
      <c r="O42" s="14"/>
    </row>
    <row r="43" spans="1:15" x14ac:dyDescent="0.25">
      <c r="A43" s="86">
        <v>45605</v>
      </c>
      <c r="B43" s="55" t="s">
        <v>3627</v>
      </c>
      <c r="C43" s="55" t="s">
        <v>43</v>
      </c>
      <c r="D43" s="75">
        <f t="shared" si="2"/>
        <v>190.90909090909091</v>
      </c>
      <c r="E43" s="75">
        <f t="shared" si="0"/>
        <v>19.09090909090909</v>
      </c>
      <c r="F43" s="75">
        <v>210</v>
      </c>
      <c r="G43" s="75">
        <v>50</v>
      </c>
      <c r="H43" s="58">
        <f t="shared" si="1"/>
        <v>160</v>
      </c>
      <c r="I43" s="14" t="s">
        <v>4070</v>
      </c>
      <c r="J43" s="75">
        <v>170</v>
      </c>
      <c r="K43" s="75">
        <v>40</v>
      </c>
      <c r="L43" s="14" t="s">
        <v>252</v>
      </c>
      <c r="M43" s="75"/>
      <c r="N43" s="14"/>
      <c r="O43" s="14"/>
    </row>
    <row r="44" spans="1:15" x14ac:dyDescent="0.25">
      <c r="A44" s="86">
        <v>45605</v>
      </c>
      <c r="B44" s="55" t="s">
        <v>3628</v>
      </c>
      <c r="C44" s="55" t="s">
        <v>43</v>
      </c>
      <c r="D44" s="75">
        <f t="shared" si="2"/>
        <v>418.18181818181813</v>
      </c>
      <c r="E44" s="75">
        <f t="shared" si="0"/>
        <v>41.818181818181813</v>
      </c>
      <c r="F44" s="75">
        <v>460</v>
      </c>
      <c r="G44" s="75">
        <v>150</v>
      </c>
      <c r="H44" s="58">
        <f t="shared" si="1"/>
        <v>310</v>
      </c>
      <c r="I44" s="187" t="s">
        <v>4071</v>
      </c>
      <c r="J44" s="75">
        <v>460</v>
      </c>
      <c r="K44" s="75"/>
      <c r="L44" s="14"/>
      <c r="M44" s="75"/>
      <c r="N44" s="14"/>
      <c r="O44" s="14"/>
    </row>
    <row r="45" spans="1:15" x14ac:dyDescent="0.25">
      <c r="A45" s="86">
        <v>45605</v>
      </c>
      <c r="B45" s="55" t="s">
        <v>3629</v>
      </c>
      <c r="C45" s="55" t="s">
        <v>43</v>
      </c>
      <c r="D45" s="75">
        <f t="shared" si="2"/>
        <v>199.99999999999997</v>
      </c>
      <c r="E45" s="75">
        <f t="shared" si="0"/>
        <v>19.999999999999996</v>
      </c>
      <c r="F45" s="75">
        <v>220</v>
      </c>
      <c r="G45" s="75">
        <v>50</v>
      </c>
      <c r="H45" s="58">
        <f t="shared" si="1"/>
        <v>170</v>
      </c>
      <c r="I45" s="14" t="s">
        <v>4072</v>
      </c>
      <c r="J45" s="75">
        <v>220</v>
      </c>
      <c r="K45" s="75"/>
      <c r="L45" s="14"/>
      <c r="M45" s="75"/>
      <c r="N45" s="14"/>
      <c r="O45" s="14"/>
    </row>
    <row r="46" spans="1:15" x14ac:dyDescent="0.25">
      <c r="A46" s="86">
        <v>45605</v>
      </c>
      <c r="B46" s="55" t="s">
        <v>3630</v>
      </c>
      <c r="C46" s="55" t="s">
        <v>43</v>
      </c>
      <c r="D46" s="75">
        <f t="shared" si="2"/>
        <v>199.99999999999997</v>
      </c>
      <c r="E46" s="75">
        <f t="shared" si="0"/>
        <v>19.999999999999996</v>
      </c>
      <c r="F46" s="75">
        <v>220</v>
      </c>
      <c r="G46" s="75">
        <v>50</v>
      </c>
      <c r="H46" s="58">
        <f t="shared" si="1"/>
        <v>170</v>
      </c>
      <c r="I46" s="14" t="s">
        <v>4073</v>
      </c>
      <c r="J46" s="75">
        <v>220</v>
      </c>
      <c r="K46" s="75"/>
      <c r="L46" s="14"/>
      <c r="M46" s="75"/>
      <c r="N46" s="14"/>
      <c r="O46" s="14"/>
    </row>
    <row r="47" spans="1:15" x14ac:dyDescent="0.25">
      <c r="A47" s="86">
        <v>45605</v>
      </c>
      <c r="B47" s="55" t="s">
        <v>3631</v>
      </c>
      <c r="C47" s="55" t="s">
        <v>43</v>
      </c>
      <c r="D47" s="75">
        <f t="shared" si="2"/>
        <v>254.54545454545453</v>
      </c>
      <c r="E47" s="75">
        <f t="shared" si="0"/>
        <v>25.454545454545453</v>
      </c>
      <c r="F47" s="75">
        <v>280</v>
      </c>
      <c r="G47" s="75"/>
      <c r="H47" s="58">
        <f t="shared" si="1"/>
        <v>280</v>
      </c>
      <c r="I47" s="14" t="s">
        <v>4074</v>
      </c>
      <c r="J47" s="75">
        <v>280</v>
      </c>
      <c r="K47" s="75"/>
      <c r="L47" s="14"/>
      <c r="M47" s="75"/>
      <c r="N47" s="14"/>
      <c r="O47" s="14"/>
    </row>
    <row r="48" spans="1:15" x14ac:dyDescent="0.25">
      <c r="A48" s="86">
        <v>45605</v>
      </c>
      <c r="B48" s="55" t="s">
        <v>3632</v>
      </c>
      <c r="C48" s="55" t="s">
        <v>43</v>
      </c>
      <c r="D48" s="75">
        <f t="shared" si="2"/>
        <v>245.45454545454544</v>
      </c>
      <c r="E48" s="75">
        <f t="shared" si="0"/>
        <v>24.545454545454547</v>
      </c>
      <c r="F48" s="75">
        <v>270</v>
      </c>
      <c r="G48" s="75">
        <v>50</v>
      </c>
      <c r="H48" s="58">
        <f t="shared" si="1"/>
        <v>220</v>
      </c>
      <c r="I48" s="14" t="s">
        <v>4075</v>
      </c>
      <c r="J48" s="75">
        <v>270</v>
      </c>
      <c r="K48" s="75"/>
      <c r="L48" s="14"/>
      <c r="M48" s="75"/>
      <c r="N48" s="14"/>
      <c r="O48" s="14"/>
    </row>
    <row r="49" spans="1:15" x14ac:dyDescent="0.25">
      <c r="A49" s="86">
        <v>45611</v>
      </c>
      <c r="B49" s="55" t="s">
        <v>3633</v>
      </c>
      <c r="C49" s="55" t="s">
        <v>43</v>
      </c>
      <c r="D49" s="75">
        <f t="shared" si="2"/>
        <v>145.45454545454544</v>
      </c>
      <c r="E49" s="75">
        <f t="shared" si="0"/>
        <v>14.545454545454545</v>
      </c>
      <c r="F49" s="75">
        <v>160</v>
      </c>
      <c r="G49" s="75"/>
      <c r="H49" s="58">
        <f t="shared" si="1"/>
        <v>160</v>
      </c>
      <c r="I49" s="14" t="s">
        <v>603</v>
      </c>
      <c r="J49" s="75">
        <v>160</v>
      </c>
      <c r="K49" s="75"/>
      <c r="L49" s="14"/>
      <c r="M49" s="75"/>
      <c r="N49" s="14"/>
      <c r="O49" s="14"/>
    </row>
    <row r="50" spans="1:15" x14ac:dyDescent="0.25">
      <c r="A50" s="86">
        <v>45611</v>
      </c>
      <c r="B50" s="55" t="s">
        <v>3634</v>
      </c>
      <c r="C50" s="55" t="s">
        <v>43</v>
      </c>
      <c r="D50" s="75">
        <f t="shared" si="2"/>
        <v>190.90909090909091</v>
      </c>
      <c r="E50" s="75">
        <f t="shared" si="0"/>
        <v>19.09090909090909</v>
      </c>
      <c r="F50" s="75">
        <v>210</v>
      </c>
      <c r="G50" s="75">
        <v>50</v>
      </c>
      <c r="H50" s="58">
        <f t="shared" si="1"/>
        <v>160</v>
      </c>
      <c r="I50" s="14" t="s">
        <v>4078</v>
      </c>
      <c r="J50" s="75">
        <v>170</v>
      </c>
      <c r="K50" s="75">
        <v>30</v>
      </c>
      <c r="L50" s="14" t="s">
        <v>252</v>
      </c>
      <c r="M50" s="75"/>
      <c r="N50" s="14"/>
      <c r="O50" s="14"/>
    </row>
    <row r="51" spans="1:15" x14ac:dyDescent="0.25">
      <c r="A51" s="86">
        <v>45611</v>
      </c>
      <c r="B51" s="55" t="s">
        <v>3635</v>
      </c>
      <c r="C51" s="55" t="s">
        <v>43</v>
      </c>
      <c r="D51" s="75">
        <f t="shared" si="2"/>
        <v>318.18181818181813</v>
      </c>
      <c r="E51" s="75">
        <f t="shared" si="0"/>
        <v>31.818181818181809</v>
      </c>
      <c r="F51" s="75">
        <v>350</v>
      </c>
      <c r="G51" s="75">
        <v>50</v>
      </c>
      <c r="H51" s="58">
        <f t="shared" si="1"/>
        <v>300</v>
      </c>
      <c r="I51" s="14" t="s">
        <v>4079</v>
      </c>
      <c r="J51" s="75">
        <v>170</v>
      </c>
      <c r="K51" s="75">
        <v>20</v>
      </c>
      <c r="L51" s="14" t="s">
        <v>252</v>
      </c>
      <c r="M51" s="75">
        <v>160</v>
      </c>
      <c r="N51" s="14" t="s">
        <v>1319</v>
      </c>
      <c r="O51" s="14"/>
    </row>
    <row r="52" spans="1:15" x14ac:dyDescent="0.25">
      <c r="A52" s="86">
        <v>45611</v>
      </c>
      <c r="B52" s="55" t="s">
        <v>3636</v>
      </c>
      <c r="C52" s="55" t="s">
        <v>43</v>
      </c>
      <c r="D52" s="75">
        <f t="shared" si="2"/>
        <v>154.54545454545453</v>
      </c>
      <c r="E52" s="75">
        <f t="shared" si="0"/>
        <v>15.454545454545453</v>
      </c>
      <c r="F52" s="75">
        <v>170</v>
      </c>
      <c r="G52" s="75">
        <v>50</v>
      </c>
      <c r="H52" s="58">
        <f t="shared" si="1"/>
        <v>120</v>
      </c>
      <c r="I52" s="14" t="s">
        <v>4080</v>
      </c>
      <c r="J52" s="75">
        <v>170</v>
      </c>
      <c r="K52" s="75"/>
      <c r="L52" s="14"/>
      <c r="M52" s="75"/>
      <c r="N52" s="14"/>
      <c r="O52" s="75"/>
    </row>
    <row r="53" spans="1:15" x14ac:dyDescent="0.25">
      <c r="A53" s="86">
        <v>45611</v>
      </c>
      <c r="B53" s="55" t="s">
        <v>3637</v>
      </c>
      <c r="C53" s="55" t="s">
        <v>43</v>
      </c>
      <c r="D53" s="75">
        <f t="shared" si="2"/>
        <v>172.72727272727272</v>
      </c>
      <c r="E53" s="75">
        <f t="shared" si="0"/>
        <v>17.272727272727273</v>
      </c>
      <c r="F53" s="75">
        <v>190</v>
      </c>
      <c r="G53" s="75">
        <v>50</v>
      </c>
      <c r="H53" s="58">
        <f t="shared" si="1"/>
        <v>140</v>
      </c>
      <c r="I53" s="14" t="s">
        <v>4081</v>
      </c>
      <c r="J53" s="75">
        <v>170</v>
      </c>
      <c r="K53" s="75">
        <v>20</v>
      </c>
      <c r="L53" s="14" t="s">
        <v>252</v>
      </c>
      <c r="M53" s="75"/>
      <c r="N53" s="14"/>
      <c r="O53" s="14"/>
    </row>
    <row r="54" spans="1:15" x14ac:dyDescent="0.25">
      <c r="A54" s="86">
        <v>45611</v>
      </c>
      <c r="B54" s="55" t="s">
        <v>3638</v>
      </c>
      <c r="C54" s="55" t="s">
        <v>43</v>
      </c>
      <c r="D54" s="75">
        <f t="shared" si="2"/>
        <v>127.27272727272727</v>
      </c>
      <c r="E54" s="75">
        <f t="shared" si="0"/>
        <v>12.727272727272727</v>
      </c>
      <c r="F54" s="75">
        <v>140</v>
      </c>
      <c r="G54" s="75"/>
      <c r="H54" s="58">
        <f t="shared" si="1"/>
        <v>140</v>
      </c>
      <c r="I54" s="14" t="s">
        <v>603</v>
      </c>
      <c r="J54" s="75">
        <v>140</v>
      </c>
      <c r="K54" s="75"/>
      <c r="L54" s="14"/>
      <c r="M54" s="75"/>
      <c r="N54" s="14"/>
      <c r="O54" s="14"/>
    </row>
    <row r="55" spans="1:15" x14ac:dyDescent="0.25">
      <c r="A55" s="86">
        <v>45612</v>
      </c>
      <c r="B55" s="55" t="s">
        <v>3639</v>
      </c>
      <c r="C55" s="55" t="s">
        <v>43</v>
      </c>
      <c r="D55" s="75">
        <f t="shared" si="2"/>
        <v>222.72727272727272</v>
      </c>
      <c r="E55" s="75">
        <f t="shared" si="0"/>
        <v>22.27272727272727</v>
      </c>
      <c r="F55" s="75">
        <v>245</v>
      </c>
      <c r="G55" s="75">
        <v>50</v>
      </c>
      <c r="H55" s="58">
        <f t="shared" si="1"/>
        <v>195</v>
      </c>
      <c r="I55" s="14" t="s">
        <v>4082</v>
      </c>
      <c r="J55" s="75">
        <v>170</v>
      </c>
      <c r="K55" s="75">
        <v>30</v>
      </c>
      <c r="L55" s="14" t="s">
        <v>252</v>
      </c>
      <c r="M55" s="75">
        <v>45</v>
      </c>
      <c r="N55" s="14" t="s">
        <v>45</v>
      </c>
      <c r="O55" s="14"/>
    </row>
    <row r="56" spans="1:15" x14ac:dyDescent="0.25">
      <c r="A56" s="86">
        <v>45612</v>
      </c>
      <c r="B56" s="55" t="s">
        <v>3640</v>
      </c>
      <c r="C56" s="55" t="s">
        <v>43</v>
      </c>
      <c r="D56" s="75">
        <f t="shared" si="2"/>
        <v>154.54545454545453</v>
      </c>
      <c r="E56" s="75">
        <f t="shared" si="0"/>
        <v>15.454545454545453</v>
      </c>
      <c r="F56" s="75">
        <v>170</v>
      </c>
      <c r="G56" s="75">
        <v>50</v>
      </c>
      <c r="H56" s="58">
        <f t="shared" si="1"/>
        <v>120</v>
      </c>
      <c r="I56" s="14" t="s">
        <v>4083</v>
      </c>
      <c r="J56" s="75">
        <v>170</v>
      </c>
      <c r="K56" s="75"/>
      <c r="L56" s="14"/>
      <c r="M56" s="75"/>
      <c r="N56" s="14"/>
      <c r="O56" s="14"/>
    </row>
    <row r="57" spans="1:15" x14ac:dyDescent="0.25">
      <c r="A57" s="86">
        <v>45612</v>
      </c>
      <c r="B57" s="55" t="s">
        <v>3641</v>
      </c>
      <c r="C57" s="55" t="s">
        <v>43</v>
      </c>
      <c r="D57" s="75">
        <f t="shared" si="2"/>
        <v>154.54545454545453</v>
      </c>
      <c r="E57" s="75">
        <f t="shared" si="0"/>
        <v>15.454545454545453</v>
      </c>
      <c r="F57" s="75">
        <v>170</v>
      </c>
      <c r="G57" s="75">
        <v>50</v>
      </c>
      <c r="H57" s="58">
        <f t="shared" si="1"/>
        <v>120</v>
      </c>
      <c r="I57" s="14" t="s">
        <v>4084</v>
      </c>
      <c r="J57" s="75">
        <v>170</v>
      </c>
      <c r="K57" s="75"/>
      <c r="L57" s="14"/>
      <c r="M57" s="75"/>
      <c r="N57" s="14"/>
      <c r="O57" s="14"/>
    </row>
    <row r="58" spans="1:15" x14ac:dyDescent="0.25">
      <c r="A58" s="86">
        <v>45612</v>
      </c>
      <c r="B58" s="55" t="s">
        <v>3642</v>
      </c>
      <c r="C58" s="55" t="s">
        <v>43</v>
      </c>
      <c r="D58" s="75">
        <f t="shared" si="2"/>
        <v>190.90909090909091</v>
      </c>
      <c r="E58" s="75">
        <f t="shared" si="0"/>
        <v>19.09090909090909</v>
      </c>
      <c r="F58" s="75">
        <v>210</v>
      </c>
      <c r="G58" s="75">
        <v>50</v>
      </c>
      <c r="H58" s="58">
        <f t="shared" si="1"/>
        <v>160</v>
      </c>
      <c r="I58" s="14" t="s">
        <v>4085</v>
      </c>
      <c r="J58" s="75">
        <v>170</v>
      </c>
      <c r="K58" s="75">
        <v>40</v>
      </c>
      <c r="L58" s="14" t="s">
        <v>252</v>
      </c>
      <c r="M58" s="75"/>
      <c r="N58" s="14"/>
      <c r="O58" s="14"/>
    </row>
    <row r="59" spans="1:15" x14ac:dyDescent="0.25">
      <c r="A59" s="86">
        <v>45612</v>
      </c>
      <c r="B59" s="55" t="s">
        <v>3643</v>
      </c>
      <c r="C59" s="55" t="s">
        <v>43</v>
      </c>
      <c r="D59" s="75">
        <f t="shared" si="2"/>
        <v>190.90909090909091</v>
      </c>
      <c r="E59" s="75">
        <f t="shared" si="0"/>
        <v>19.09090909090909</v>
      </c>
      <c r="F59" s="75">
        <v>210</v>
      </c>
      <c r="G59" s="75">
        <v>50</v>
      </c>
      <c r="H59" s="58">
        <f t="shared" si="1"/>
        <v>160</v>
      </c>
      <c r="I59" s="14" t="s">
        <v>4086</v>
      </c>
      <c r="J59" s="75">
        <v>170</v>
      </c>
      <c r="K59" s="75">
        <v>40</v>
      </c>
      <c r="L59" s="14" t="s">
        <v>252</v>
      </c>
      <c r="M59" s="75"/>
      <c r="N59" s="14"/>
      <c r="O59" s="14"/>
    </row>
    <row r="60" spans="1:15" x14ac:dyDescent="0.25">
      <c r="A60" s="86">
        <v>45612</v>
      </c>
      <c r="B60" s="55" t="s">
        <v>3644</v>
      </c>
      <c r="C60" s="55" t="s">
        <v>43</v>
      </c>
      <c r="D60" s="75">
        <f t="shared" si="2"/>
        <v>181.81818181818181</v>
      </c>
      <c r="E60" s="75">
        <f t="shared" si="0"/>
        <v>18.18181818181818</v>
      </c>
      <c r="F60" s="75">
        <v>200</v>
      </c>
      <c r="G60" s="75">
        <v>50</v>
      </c>
      <c r="H60" s="58">
        <f t="shared" si="1"/>
        <v>150</v>
      </c>
      <c r="I60" s="14" t="s">
        <v>4087</v>
      </c>
      <c r="J60" s="75">
        <v>170</v>
      </c>
      <c r="K60" s="75">
        <v>30</v>
      </c>
      <c r="L60" s="14" t="s">
        <v>252</v>
      </c>
      <c r="M60" s="75"/>
      <c r="N60" s="14"/>
      <c r="O60" s="14"/>
    </row>
    <row r="61" spans="1:15" x14ac:dyDescent="0.25">
      <c r="A61" s="86">
        <v>45612</v>
      </c>
      <c r="B61" s="55" t="s">
        <v>3645</v>
      </c>
      <c r="C61" s="55" t="s">
        <v>43</v>
      </c>
      <c r="D61" s="75">
        <f t="shared" si="2"/>
        <v>213.63636363636363</v>
      </c>
      <c r="E61" s="75">
        <f t="shared" si="0"/>
        <v>21.36363636363636</v>
      </c>
      <c r="F61" s="75">
        <v>235</v>
      </c>
      <c r="G61" s="75">
        <v>50</v>
      </c>
      <c r="H61" s="58">
        <f t="shared" si="1"/>
        <v>185</v>
      </c>
      <c r="I61" s="14" t="s">
        <v>4088</v>
      </c>
      <c r="J61" s="75">
        <v>170</v>
      </c>
      <c r="K61" s="75">
        <v>20</v>
      </c>
      <c r="L61" s="14" t="s">
        <v>252</v>
      </c>
      <c r="M61" s="75">
        <v>45</v>
      </c>
      <c r="N61" s="14" t="s">
        <v>45</v>
      </c>
      <c r="O61" s="14"/>
    </row>
    <row r="62" spans="1:15" x14ac:dyDescent="0.25">
      <c r="A62" s="86">
        <v>45612</v>
      </c>
      <c r="B62" s="55" t="s">
        <v>3646</v>
      </c>
      <c r="C62" s="55" t="s">
        <v>43</v>
      </c>
      <c r="D62" s="75">
        <f t="shared" si="2"/>
        <v>195.45454545454544</v>
      </c>
      <c r="E62" s="75">
        <f t="shared" si="0"/>
        <v>19.545454545454547</v>
      </c>
      <c r="F62" s="75">
        <v>215</v>
      </c>
      <c r="G62" s="75">
        <v>50</v>
      </c>
      <c r="H62" s="58">
        <f t="shared" si="1"/>
        <v>165</v>
      </c>
      <c r="I62" s="14" t="s">
        <v>4089</v>
      </c>
      <c r="J62" s="75">
        <v>170</v>
      </c>
      <c r="K62" s="75"/>
      <c r="L62" s="14"/>
      <c r="M62" s="75">
        <v>45</v>
      </c>
      <c r="N62" s="14" t="s">
        <v>45</v>
      </c>
      <c r="O62" s="14"/>
    </row>
    <row r="63" spans="1:15" x14ac:dyDescent="0.25">
      <c r="A63" s="86">
        <v>45612</v>
      </c>
      <c r="B63" s="55" t="s">
        <v>3647</v>
      </c>
      <c r="C63" s="55" t="s">
        <v>43</v>
      </c>
      <c r="D63" s="75">
        <f t="shared" si="2"/>
        <v>154.54545454545453</v>
      </c>
      <c r="E63" s="75">
        <f t="shared" si="0"/>
        <v>15.454545454545453</v>
      </c>
      <c r="F63" s="75">
        <v>170</v>
      </c>
      <c r="G63" s="75">
        <v>50</v>
      </c>
      <c r="H63" s="58">
        <f t="shared" si="1"/>
        <v>120</v>
      </c>
      <c r="I63" s="14" t="s">
        <v>4090</v>
      </c>
      <c r="J63" s="75">
        <v>170</v>
      </c>
      <c r="K63" s="75"/>
      <c r="L63" s="14"/>
      <c r="M63" s="75"/>
      <c r="N63" s="14"/>
      <c r="O63" s="14"/>
    </row>
    <row r="64" spans="1:15" x14ac:dyDescent="0.25">
      <c r="A64" s="86">
        <v>45612</v>
      </c>
      <c r="B64" s="55" t="s">
        <v>3648</v>
      </c>
      <c r="C64" s="55" t="s">
        <v>43</v>
      </c>
      <c r="D64" s="75">
        <f t="shared" si="2"/>
        <v>127.27272727272727</v>
      </c>
      <c r="E64" s="75">
        <f t="shared" si="0"/>
        <v>12.727272727272727</v>
      </c>
      <c r="F64" s="75">
        <v>140</v>
      </c>
      <c r="G64" s="75"/>
      <c r="H64" s="58">
        <f t="shared" si="1"/>
        <v>140</v>
      </c>
      <c r="I64" s="14" t="s">
        <v>603</v>
      </c>
      <c r="J64" s="75">
        <v>140</v>
      </c>
      <c r="K64" s="75"/>
      <c r="L64" s="14"/>
      <c r="M64" s="75"/>
      <c r="N64" s="14"/>
      <c r="O64" s="14"/>
    </row>
    <row r="65" spans="1:15" x14ac:dyDescent="0.25">
      <c r="A65" s="86">
        <v>45612</v>
      </c>
      <c r="B65" s="55" t="s">
        <v>3649</v>
      </c>
      <c r="C65" s="55" t="s">
        <v>43</v>
      </c>
      <c r="D65" s="75">
        <f t="shared" si="2"/>
        <v>154.54545454545453</v>
      </c>
      <c r="E65" s="75">
        <f t="shared" si="0"/>
        <v>15.454545454545453</v>
      </c>
      <c r="F65" s="75">
        <v>170</v>
      </c>
      <c r="G65" s="75">
        <v>50</v>
      </c>
      <c r="H65" s="58">
        <f t="shared" si="1"/>
        <v>120</v>
      </c>
      <c r="I65" s="14" t="s">
        <v>2752</v>
      </c>
      <c r="J65" s="75">
        <v>170</v>
      </c>
      <c r="K65" s="75"/>
      <c r="L65" s="14"/>
      <c r="M65" s="75"/>
      <c r="N65" s="14"/>
      <c r="O65" s="14"/>
    </row>
    <row r="66" spans="1:15" x14ac:dyDescent="0.25">
      <c r="A66" s="86">
        <v>45612</v>
      </c>
      <c r="B66" s="55" t="s">
        <v>3650</v>
      </c>
      <c r="C66" s="55" t="s">
        <v>43</v>
      </c>
      <c r="D66" s="75">
        <f t="shared" si="2"/>
        <v>445.45454545454544</v>
      </c>
      <c r="E66" s="75">
        <f t="shared" si="0"/>
        <v>44.54545454545454</v>
      </c>
      <c r="F66" s="75">
        <v>490</v>
      </c>
      <c r="G66" s="75"/>
      <c r="H66" s="58">
        <f t="shared" si="1"/>
        <v>490</v>
      </c>
      <c r="I66" s="14" t="s">
        <v>4091</v>
      </c>
      <c r="J66" s="75">
        <v>490</v>
      </c>
      <c r="K66" s="75"/>
      <c r="L66" s="14"/>
      <c r="M66" s="75"/>
      <c r="N66" s="14"/>
      <c r="O66" s="14"/>
    </row>
    <row r="67" spans="1:15" x14ac:dyDescent="0.25">
      <c r="A67" s="86">
        <v>45612</v>
      </c>
      <c r="B67" s="55" t="s">
        <v>3926</v>
      </c>
      <c r="C67" s="55" t="s">
        <v>43</v>
      </c>
      <c r="D67" s="75">
        <f t="shared" si="2"/>
        <v>199.99999999999997</v>
      </c>
      <c r="E67" s="75">
        <f t="shared" ref="E67:E130" si="3">D67*10/100</f>
        <v>19.999999999999996</v>
      </c>
      <c r="F67" s="75">
        <v>220</v>
      </c>
      <c r="G67" s="75">
        <v>50</v>
      </c>
      <c r="H67" s="58">
        <f t="shared" ref="H67:H130" si="4">F67-G67</f>
        <v>170</v>
      </c>
      <c r="I67" s="14" t="s">
        <v>4090</v>
      </c>
      <c r="J67" s="75">
        <v>220</v>
      </c>
      <c r="K67" s="75"/>
      <c r="L67" s="14"/>
      <c r="M67" s="75"/>
      <c r="N67" s="14"/>
      <c r="O67" s="14"/>
    </row>
    <row r="68" spans="1:15" x14ac:dyDescent="0.25">
      <c r="A68" s="86">
        <v>45612</v>
      </c>
      <c r="B68" s="55" t="s">
        <v>3927</v>
      </c>
      <c r="C68" s="55" t="s">
        <v>43</v>
      </c>
      <c r="D68" s="75">
        <f t="shared" ref="D68:D131" si="5">F68/1.1</f>
        <v>199.99999999999997</v>
      </c>
      <c r="E68" s="75">
        <f t="shared" si="3"/>
        <v>19.999999999999996</v>
      </c>
      <c r="F68" s="75">
        <v>220</v>
      </c>
      <c r="G68" s="75">
        <v>50</v>
      </c>
      <c r="H68" s="58">
        <f t="shared" si="4"/>
        <v>170</v>
      </c>
      <c r="I68" s="14" t="s">
        <v>4092</v>
      </c>
      <c r="J68" s="75">
        <v>220</v>
      </c>
      <c r="K68" s="75"/>
      <c r="L68" s="14"/>
      <c r="M68" s="75"/>
      <c r="N68" s="14"/>
      <c r="O68" s="14"/>
    </row>
    <row r="69" spans="1:15" x14ac:dyDescent="0.25">
      <c r="A69" s="86">
        <v>45612</v>
      </c>
      <c r="B69" s="55" t="s">
        <v>3928</v>
      </c>
      <c r="C69" s="55" t="s">
        <v>43</v>
      </c>
      <c r="D69" s="75">
        <f t="shared" si="5"/>
        <v>199.99999999999997</v>
      </c>
      <c r="E69" s="75">
        <f t="shared" si="3"/>
        <v>19.999999999999996</v>
      </c>
      <c r="F69" s="75">
        <v>220</v>
      </c>
      <c r="G69" s="75">
        <v>50</v>
      </c>
      <c r="H69" s="58">
        <f t="shared" si="4"/>
        <v>170</v>
      </c>
      <c r="I69" s="14" t="s">
        <v>4093</v>
      </c>
      <c r="J69" s="75">
        <v>220</v>
      </c>
      <c r="K69" s="75"/>
      <c r="L69" s="14"/>
      <c r="M69" s="75"/>
      <c r="N69" s="14"/>
      <c r="O69" s="14"/>
    </row>
    <row r="70" spans="1:15" x14ac:dyDescent="0.25">
      <c r="A70" s="86">
        <v>45612</v>
      </c>
      <c r="B70" s="55" t="s">
        <v>3929</v>
      </c>
      <c r="C70" s="55" t="s">
        <v>43</v>
      </c>
      <c r="D70" s="75">
        <f t="shared" si="5"/>
        <v>245.45454545454544</v>
      </c>
      <c r="E70" s="75">
        <f t="shared" si="3"/>
        <v>24.545454545454547</v>
      </c>
      <c r="F70" s="75">
        <v>270</v>
      </c>
      <c r="G70" s="75">
        <v>50</v>
      </c>
      <c r="H70" s="58">
        <f t="shared" si="4"/>
        <v>220</v>
      </c>
      <c r="I70" s="14" t="s">
        <v>4094</v>
      </c>
      <c r="J70" s="75">
        <v>270</v>
      </c>
      <c r="K70" s="75"/>
      <c r="L70" s="14"/>
      <c r="M70" s="75"/>
      <c r="N70" s="14"/>
      <c r="O70" s="14"/>
    </row>
    <row r="71" spans="1:15" x14ac:dyDescent="0.25">
      <c r="A71" s="86">
        <v>45612</v>
      </c>
      <c r="B71" s="55" t="s">
        <v>3930</v>
      </c>
      <c r="C71" s="55" t="s">
        <v>43</v>
      </c>
      <c r="D71" s="75">
        <f t="shared" si="5"/>
        <v>199.99999999999997</v>
      </c>
      <c r="E71" s="75">
        <f t="shared" si="3"/>
        <v>19.999999999999996</v>
      </c>
      <c r="F71" s="75">
        <v>220</v>
      </c>
      <c r="G71" s="75">
        <v>50</v>
      </c>
      <c r="H71" s="58">
        <f t="shared" si="4"/>
        <v>170</v>
      </c>
      <c r="I71" s="14" t="s">
        <v>4095</v>
      </c>
      <c r="J71" s="75">
        <v>220</v>
      </c>
      <c r="K71" s="75"/>
      <c r="L71" s="14"/>
      <c r="M71" s="75"/>
      <c r="N71" s="14"/>
      <c r="O71" s="14"/>
    </row>
    <row r="72" spans="1:15" x14ac:dyDescent="0.25">
      <c r="A72" s="86">
        <v>45612</v>
      </c>
      <c r="B72" s="55" t="s">
        <v>3931</v>
      </c>
      <c r="C72" s="55" t="s">
        <v>43</v>
      </c>
      <c r="D72" s="75">
        <f t="shared" si="5"/>
        <v>509.09090909090907</v>
      </c>
      <c r="E72" s="75">
        <f t="shared" si="3"/>
        <v>50.909090909090907</v>
      </c>
      <c r="F72" s="75">
        <v>560</v>
      </c>
      <c r="G72" s="75">
        <v>50</v>
      </c>
      <c r="H72" s="58">
        <f t="shared" si="4"/>
        <v>510</v>
      </c>
      <c r="I72" s="14" t="s">
        <v>2752</v>
      </c>
      <c r="J72" s="75">
        <v>560</v>
      </c>
      <c r="K72" s="75"/>
      <c r="L72" s="14"/>
      <c r="M72" s="75"/>
      <c r="N72" s="14"/>
      <c r="O72" s="14"/>
    </row>
    <row r="73" spans="1:15" x14ac:dyDescent="0.25">
      <c r="A73" s="86">
        <v>45612</v>
      </c>
      <c r="B73" s="55" t="s">
        <v>3932</v>
      </c>
      <c r="C73" s="55" t="s">
        <v>43</v>
      </c>
      <c r="D73" s="75">
        <f t="shared" si="5"/>
        <v>163.63636363636363</v>
      </c>
      <c r="E73" s="75">
        <f t="shared" si="3"/>
        <v>16.363636363636363</v>
      </c>
      <c r="F73" s="75">
        <v>180</v>
      </c>
      <c r="G73" s="75">
        <v>50</v>
      </c>
      <c r="H73" s="58">
        <f t="shared" si="4"/>
        <v>130</v>
      </c>
      <c r="I73" s="14" t="s">
        <v>4096</v>
      </c>
      <c r="J73" s="75">
        <v>180</v>
      </c>
      <c r="K73" s="75"/>
      <c r="L73" s="14"/>
      <c r="M73" s="75"/>
      <c r="N73" s="14"/>
      <c r="O73" s="14"/>
    </row>
    <row r="74" spans="1:15" x14ac:dyDescent="0.25">
      <c r="A74" s="86">
        <v>45612</v>
      </c>
      <c r="B74" s="55" t="s">
        <v>3933</v>
      </c>
      <c r="C74" s="55" t="s">
        <v>43</v>
      </c>
      <c r="D74" s="75">
        <f t="shared" si="5"/>
        <v>199.99999999999997</v>
      </c>
      <c r="E74" s="75">
        <f t="shared" si="3"/>
        <v>19.999999999999996</v>
      </c>
      <c r="F74" s="75">
        <v>220</v>
      </c>
      <c r="G74" s="75">
        <v>50</v>
      </c>
      <c r="H74" s="58">
        <f t="shared" si="4"/>
        <v>170</v>
      </c>
      <c r="I74" s="14" t="s">
        <v>1887</v>
      </c>
      <c r="J74" s="75">
        <v>220</v>
      </c>
      <c r="K74" s="75"/>
      <c r="L74" s="14"/>
      <c r="M74" s="75"/>
      <c r="N74" s="14"/>
      <c r="O74" s="14"/>
    </row>
    <row r="75" spans="1:15" x14ac:dyDescent="0.25">
      <c r="A75" s="86">
        <v>45612</v>
      </c>
      <c r="B75" s="55" t="s">
        <v>3934</v>
      </c>
      <c r="C75" s="55" t="s">
        <v>43</v>
      </c>
      <c r="D75" s="75">
        <f t="shared" si="5"/>
        <v>300</v>
      </c>
      <c r="E75" s="75">
        <f t="shared" si="3"/>
        <v>30</v>
      </c>
      <c r="F75" s="75">
        <v>330</v>
      </c>
      <c r="G75" s="75">
        <v>50</v>
      </c>
      <c r="H75" s="58">
        <f t="shared" si="4"/>
        <v>280</v>
      </c>
      <c r="I75" s="14" t="s">
        <v>4097</v>
      </c>
      <c r="J75" s="75">
        <v>270</v>
      </c>
      <c r="K75" s="75">
        <v>60</v>
      </c>
      <c r="L75" s="14" t="s">
        <v>252</v>
      </c>
      <c r="M75" s="75"/>
      <c r="N75" s="14"/>
      <c r="O75" s="14"/>
    </row>
    <row r="76" spans="1:15" x14ac:dyDescent="0.25">
      <c r="A76" s="86">
        <v>45612</v>
      </c>
      <c r="B76" s="55" t="s">
        <v>3935</v>
      </c>
      <c r="C76" s="55" t="s">
        <v>43</v>
      </c>
      <c r="D76" s="75">
        <f t="shared" si="5"/>
        <v>245.45454545454544</v>
      </c>
      <c r="E76" s="75">
        <f t="shared" si="3"/>
        <v>24.545454545454547</v>
      </c>
      <c r="F76" s="75">
        <v>270</v>
      </c>
      <c r="G76" s="75">
        <v>50</v>
      </c>
      <c r="H76" s="58">
        <f t="shared" si="4"/>
        <v>220</v>
      </c>
      <c r="I76" s="14" t="s">
        <v>4098</v>
      </c>
      <c r="J76" s="75">
        <v>270</v>
      </c>
      <c r="K76" s="75"/>
      <c r="L76" s="14"/>
      <c r="M76" s="75"/>
      <c r="N76" s="14"/>
      <c r="O76" s="14"/>
    </row>
    <row r="77" spans="1:15" x14ac:dyDescent="0.25">
      <c r="A77" s="86">
        <v>45612</v>
      </c>
      <c r="B77" s="55" t="s">
        <v>3936</v>
      </c>
      <c r="C77" s="55" t="s">
        <v>43</v>
      </c>
      <c r="D77" s="75">
        <f t="shared" si="5"/>
        <v>63.636363636363633</v>
      </c>
      <c r="E77" s="75">
        <f t="shared" si="3"/>
        <v>6.3636363636363633</v>
      </c>
      <c r="F77" s="75">
        <v>70</v>
      </c>
      <c r="G77" s="75"/>
      <c r="H77" s="58">
        <f t="shared" si="4"/>
        <v>70</v>
      </c>
      <c r="I77" s="14" t="s">
        <v>2752</v>
      </c>
      <c r="J77" s="75">
        <v>70</v>
      </c>
      <c r="K77" s="75"/>
      <c r="L77" s="14"/>
      <c r="M77" s="75"/>
      <c r="N77" s="14"/>
      <c r="O77" s="14"/>
    </row>
    <row r="78" spans="1:15" x14ac:dyDescent="0.25">
      <c r="A78" s="86">
        <v>45612</v>
      </c>
      <c r="B78" s="55" t="s">
        <v>3937</v>
      </c>
      <c r="C78" s="55" t="s">
        <v>43</v>
      </c>
      <c r="D78" s="75">
        <f t="shared" si="5"/>
        <v>199.99999999999997</v>
      </c>
      <c r="E78" s="75">
        <f t="shared" si="3"/>
        <v>19.999999999999996</v>
      </c>
      <c r="F78" s="75">
        <v>220</v>
      </c>
      <c r="G78" s="75">
        <v>50</v>
      </c>
      <c r="H78" s="58">
        <f t="shared" si="4"/>
        <v>170</v>
      </c>
      <c r="I78" s="14" t="s">
        <v>4099</v>
      </c>
      <c r="J78" s="75">
        <v>220</v>
      </c>
      <c r="K78" s="75"/>
      <c r="L78" s="14"/>
      <c r="M78" s="75"/>
      <c r="N78" s="14"/>
      <c r="O78" s="14"/>
    </row>
    <row r="79" spans="1:15" x14ac:dyDescent="0.25">
      <c r="A79" s="86">
        <v>45612</v>
      </c>
      <c r="B79" s="55" t="s">
        <v>3938</v>
      </c>
      <c r="C79" s="55" t="s">
        <v>43</v>
      </c>
      <c r="D79" s="75">
        <f t="shared" si="5"/>
        <v>199.99999999999997</v>
      </c>
      <c r="E79" s="75">
        <f t="shared" si="3"/>
        <v>19.999999999999996</v>
      </c>
      <c r="F79" s="75">
        <v>220</v>
      </c>
      <c r="G79" s="75">
        <v>50</v>
      </c>
      <c r="H79" s="58">
        <f t="shared" si="4"/>
        <v>170</v>
      </c>
      <c r="I79" s="14" t="s">
        <v>4100</v>
      </c>
      <c r="J79" s="75">
        <v>220</v>
      </c>
      <c r="K79" s="75"/>
      <c r="L79" s="14"/>
      <c r="M79" s="75"/>
      <c r="N79" s="14"/>
      <c r="O79" s="14"/>
    </row>
    <row r="80" spans="1:15" x14ac:dyDescent="0.25">
      <c r="A80" s="86">
        <v>45612</v>
      </c>
      <c r="B80" s="55" t="s">
        <v>3939</v>
      </c>
      <c r="C80" s="55" t="s">
        <v>43</v>
      </c>
      <c r="D80" s="75">
        <f t="shared" si="5"/>
        <v>199.99999999999997</v>
      </c>
      <c r="E80" s="75">
        <f t="shared" si="3"/>
        <v>19.999999999999996</v>
      </c>
      <c r="F80" s="75">
        <v>220</v>
      </c>
      <c r="G80" s="75">
        <v>50</v>
      </c>
      <c r="H80" s="58">
        <f t="shared" si="4"/>
        <v>170</v>
      </c>
      <c r="I80" s="14" t="s">
        <v>4101</v>
      </c>
      <c r="J80" s="75">
        <v>220</v>
      </c>
      <c r="K80" s="75"/>
      <c r="L80" s="14"/>
      <c r="M80" s="75"/>
      <c r="N80" s="14"/>
      <c r="O80" s="14"/>
    </row>
    <row r="81" spans="1:15" x14ac:dyDescent="0.25">
      <c r="A81" s="86">
        <v>45612</v>
      </c>
      <c r="B81" s="55" t="s">
        <v>3940</v>
      </c>
      <c r="C81" s="55" t="s">
        <v>43</v>
      </c>
      <c r="D81" s="75">
        <f t="shared" si="5"/>
        <v>199.99999999999997</v>
      </c>
      <c r="E81" s="75">
        <f t="shared" si="3"/>
        <v>19.999999999999996</v>
      </c>
      <c r="F81" s="75">
        <v>220</v>
      </c>
      <c r="G81" s="75"/>
      <c r="H81" s="58">
        <f t="shared" si="4"/>
        <v>220</v>
      </c>
      <c r="I81" s="14" t="s">
        <v>603</v>
      </c>
      <c r="J81" s="75">
        <v>220</v>
      </c>
      <c r="K81" s="75"/>
      <c r="L81" s="14"/>
      <c r="M81" s="75"/>
      <c r="N81" s="14"/>
      <c r="O81" s="14"/>
    </row>
    <row r="82" spans="1:15" x14ac:dyDescent="0.25">
      <c r="A82" s="261">
        <v>45612</v>
      </c>
      <c r="B82" s="262" t="s">
        <v>3941</v>
      </c>
      <c r="C82" s="262" t="s">
        <v>43</v>
      </c>
      <c r="D82" s="75">
        <f t="shared" si="5"/>
        <v>640</v>
      </c>
      <c r="E82" s="75">
        <f t="shared" si="3"/>
        <v>64</v>
      </c>
      <c r="F82" s="75">
        <v>704</v>
      </c>
      <c r="G82" s="75"/>
      <c r="H82" s="58">
        <f t="shared" si="4"/>
        <v>704</v>
      </c>
      <c r="I82" s="14" t="s">
        <v>4131</v>
      </c>
      <c r="J82" s="75"/>
      <c r="K82" s="75"/>
      <c r="L82" s="14"/>
      <c r="M82" s="75"/>
      <c r="N82" s="14"/>
      <c r="O82" s="14"/>
    </row>
    <row r="83" spans="1:15" x14ac:dyDescent="0.25">
      <c r="A83" s="261">
        <v>45612</v>
      </c>
      <c r="B83" s="262" t="s">
        <v>3942</v>
      </c>
      <c r="C83" s="262" t="s">
        <v>43</v>
      </c>
      <c r="D83" s="75">
        <f t="shared" si="5"/>
        <v>7908.9999999999991</v>
      </c>
      <c r="E83" s="75">
        <f t="shared" si="3"/>
        <v>790.89999999999986</v>
      </c>
      <c r="F83" s="75">
        <v>8699.9</v>
      </c>
      <c r="G83" s="75"/>
      <c r="H83" s="58">
        <f t="shared" si="4"/>
        <v>8699.9</v>
      </c>
      <c r="I83" s="14" t="s">
        <v>4135</v>
      </c>
      <c r="J83" s="75"/>
      <c r="K83" s="75"/>
      <c r="L83" s="14"/>
      <c r="M83" s="75"/>
      <c r="N83" s="14"/>
      <c r="O83" s="14"/>
    </row>
    <row r="84" spans="1:15" x14ac:dyDescent="0.25">
      <c r="A84" s="261">
        <v>45612</v>
      </c>
      <c r="B84" s="262" t="s">
        <v>3943</v>
      </c>
      <c r="C84" s="262" t="s">
        <v>43</v>
      </c>
      <c r="D84" s="75">
        <f t="shared" si="5"/>
        <v>1150</v>
      </c>
      <c r="E84" s="75">
        <f t="shared" si="3"/>
        <v>115</v>
      </c>
      <c r="F84" s="75">
        <v>1265</v>
      </c>
      <c r="G84" s="75"/>
      <c r="H84" s="58">
        <f t="shared" si="4"/>
        <v>1265</v>
      </c>
      <c r="I84" s="14" t="s">
        <v>4136</v>
      </c>
      <c r="J84" s="75"/>
      <c r="K84" s="75"/>
      <c r="L84" s="14"/>
      <c r="M84" s="75"/>
      <c r="N84" s="14"/>
      <c r="O84" s="14"/>
    </row>
    <row r="85" spans="1:15" x14ac:dyDescent="0.25">
      <c r="A85" s="261">
        <v>45612</v>
      </c>
      <c r="B85" s="262" t="s">
        <v>3944</v>
      </c>
      <c r="C85" s="262" t="s">
        <v>43</v>
      </c>
      <c r="D85" s="75">
        <f t="shared" si="5"/>
        <v>999.99999999999989</v>
      </c>
      <c r="E85" s="75">
        <f t="shared" si="3"/>
        <v>99.999999999999986</v>
      </c>
      <c r="F85" s="75">
        <v>1100</v>
      </c>
      <c r="G85" s="75"/>
      <c r="H85" s="58">
        <f t="shared" si="4"/>
        <v>1100</v>
      </c>
      <c r="I85" s="14" t="s">
        <v>4138</v>
      </c>
      <c r="J85" s="75"/>
      <c r="K85" s="75"/>
      <c r="L85" s="14"/>
      <c r="M85" s="75"/>
      <c r="N85" s="14"/>
      <c r="O85" s="14"/>
    </row>
    <row r="86" spans="1:15" x14ac:dyDescent="0.25">
      <c r="A86" s="86">
        <v>45614</v>
      </c>
      <c r="B86" s="55" t="s">
        <v>3945</v>
      </c>
      <c r="C86" s="55" t="s">
        <v>43</v>
      </c>
      <c r="D86" s="75">
        <f t="shared" si="5"/>
        <v>154.54545454545453</v>
      </c>
      <c r="E86" s="75">
        <f t="shared" si="3"/>
        <v>15.454545454545453</v>
      </c>
      <c r="F86" s="75">
        <v>170</v>
      </c>
      <c r="G86" s="75">
        <v>50</v>
      </c>
      <c r="H86" s="58">
        <f t="shared" si="4"/>
        <v>120</v>
      </c>
      <c r="I86" s="14" t="s">
        <v>4139</v>
      </c>
      <c r="J86" s="75">
        <v>170</v>
      </c>
      <c r="K86" s="75"/>
      <c r="L86" s="14"/>
      <c r="M86" s="75"/>
      <c r="N86" s="14"/>
      <c r="O86" s="14"/>
    </row>
    <row r="87" spans="1:15" x14ac:dyDescent="0.25">
      <c r="A87" s="86">
        <v>45617</v>
      </c>
      <c r="B87" s="55" t="s">
        <v>3946</v>
      </c>
      <c r="C87" s="55" t="s">
        <v>43</v>
      </c>
      <c r="D87" s="75">
        <f t="shared" si="5"/>
        <v>172.72727272727272</v>
      </c>
      <c r="E87" s="75">
        <f t="shared" si="3"/>
        <v>17.272727272727273</v>
      </c>
      <c r="F87" s="75">
        <v>190</v>
      </c>
      <c r="G87" s="75"/>
      <c r="H87" s="58">
        <f t="shared" si="4"/>
        <v>190</v>
      </c>
      <c r="I87" s="14" t="s">
        <v>4140</v>
      </c>
      <c r="J87" s="75">
        <v>190</v>
      </c>
      <c r="K87" s="75"/>
      <c r="L87" s="14"/>
      <c r="M87" s="75"/>
      <c r="N87" s="14"/>
      <c r="O87" s="14"/>
    </row>
    <row r="88" spans="1:15" x14ac:dyDescent="0.25">
      <c r="A88" s="86">
        <v>45617</v>
      </c>
      <c r="B88" s="55" t="s">
        <v>3947</v>
      </c>
      <c r="C88" s="55" t="s">
        <v>43</v>
      </c>
      <c r="D88" s="75">
        <f t="shared" si="5"/>
        <v>313.63636363636363</v>
      </c>
      <c r="E88" s="75">
        <f t="shared" si="3"/>
        <v>31.36363636363636</v>
      </c>
      <c r="F88" s="75">
        <v>345</v>
      </c>
      <c r="G88" s="75">
        <v>50</v>
      </c>
      <c r="H88" s="58">
        <f t="shared" si="4"/>
        <v>295</v>
      </c>
      <c r="I88" s="14" t="s">
        <v>4141</v>
      </c>
      <c r="J88" s="75">
        <v>270</v>
      </c>
      <c r="K88" s="75">
        <v>30</v>
      </c>
      <c r="L88" s="14" t="s">
        <v>252</v>
      </c>
      <c r="M88" s="75">
        <v>45</v>
      </c>
      <c r="N88" s="14" t="s">
        <v>45</v>
      </c>
      <c r="O88" s="14"/>
    </row>
    <row r="89" spans="1:15" x14ac:dyDescent="0.25">
      <c r="A89" s="86">
        <v>45618</v>
      </c>
      <c r="B89" s="55" t="s">
        <v>3948</v>
      </c>
      <c r="C89" s="55" t="s">
        <v>43</v>
      </c>
      <c r="D89" s="75">
        <f t="shared" si="5"/>
        <v>154.54545454545453</v>
      </c>
      <c r="E89" s="75">
        <f t="shared" si="3"/>
        <v>15.454545454545453</v>
      </c>
      <c r="F89" s="75">
        <v>170</v>
      </c>
      <c r="G89" s="75"/>
      <c r="H89" s="58">
        <f t="shared" si="4"/>
        <v>170</v>
      </c>
      <c r="I89" s="14" t="s">
        <v>603</v>
      </c>
      <c r="J89" s="75">
        <v>170</v>
      </c>
      <c r="K89" s="75"/>
      <c r="L89" s="14"/>
      <c r="M89" s="75"/>
      <c r="N89" s="14"/>
      <c r="O89" s="14"/>
    </row>
    <row r="90" spans="1:15" x14ac:dyDescent="0.25">
      <c r="A90" s="86">
        <v>45618</v>
      </c>
      <c r="B90" s="55" t="s">
        <v>3949</v>
      </c>
      <c r="C90" s="55" t="s">
        <v>43</v>
      </c>
      <c r="D90" s="75">
        <f t="shared" si="5"/>
        <v>127.27272727272727</v>
      </c>
      <c r="E90" s="75">
        <f t="shared" si="3"/>
        <v>12.727272727272727</v>
      </c>
      <c r="F90" s="75">
        <v>140</v>
      </c>
      <c r="G90" s="75"/>
      <c r="H90" s="58">
        <f t="shared" si="4"/>
        <v>140</v>
      </c>
      <c r="I90" s="14" t="s">
        <v>603</v>
      </c>
      <c r="J90" s="75">
        <v>140</v>
      </c>
      <c r="K90" s="75"/>
      <c r="L90" s="14"/>
      <c r="M90" s="75"/>
      <c r="N90" s="14"/>
      <c r="O90" s="14"/>
    </row>
    <row r="91" spans="1:15" x14ac:dyDescent="0.25">
      <c r="A91" s="86">
        <v>45618</v>
      </c>
      <c r="B91" s="55" t="s">
        <v>3950</v>
      </c>
      <c r="C91" s="55" t="s">
        <v>43</v>
      </c>
      <c r="D91" s="75">
        <f t="shared" si="5"/>
        <v>195.45454545454544</v>
      </c>
      <c r="E91" s="75">
        <f t="shared" si="3"/>
        <v>19.545454545454547</v>
      </c>
      <c r="F91" s="75">
        <v>215</v>
      </c>
      <c r="G91" s="75">
        <v>50</v>
      </c>
      <c r="H91" s="58">
        <f t="shared" si="4"/>
        <v>165</v>
      </c>
      <c r="I91" s="14" t="s">
        <v>4142</v>
      </c>
      <c r="J91" s="75">
        <v>170</v>
      </c>
      <c r="K91" s="75"/>
      <c r="L91" s="14"/>
      <c r="M91" s="75">
        <v>45</v>
      </c>
      <c r="N91" s="14" t="s">
        <v>45</v>
      </c>
      <c r="O91" s="14"/>
    </row>
    <row r="92" spans="1:15" x14ac:dyDescent="0.25">
      <c r="A92" s="86">
        <v>45618</v>
      </c>
      <c r="B92" s="55" t="s">
        <v>3951</v>
      </c>
      <c r="C92" s="55" t="s">
        <v>43</v>
      </c>
      <c r="D92" s="75">
        <f t="shared" si="5"/>
        <v>172.72727272727272</v>
      </c>
      <c r="E92" s="75">
        <f t="shared" si="3"/>
        <v>17.272727272727273</v>
      </c>
      <c r="F92" s="75">
        <v>190</v>
      </c>
      <c r="G92" s="75"/>
      <c r="H92" s="58">
        <f t="shared" si="4"/>
        <v>190</v>
      </c>
      <c r="I92" s="14" t="s">
        <v>2752</v>
      </c>
      <c r="J92" s="75">
        <v>170</v>
      </c>
      <c r="K92" s="75">
        <v>20</v>
      </c>
      <c r="L92" s="14" t="s">
        <v>252</v>
      </c>
      <c r="M92" s="75"/>
      <c r="N92" s="14"/>
      <c r="O92" s="14"/>
    </row>
    <row r="93" spans="1:15" x14ac:dyDescent="0.25">
      <c r="A93" s="86">
        <v>45618</v>
      </c>
      <c r="B93" s="55" t="s">
        <v>3952</v>
      </c>
      <c r="C93" s="55" t="s">
        <v>43</v>
      </c>
      <c r="D93" s="75">
        <f t="shared" si="5"/>
        <v>154.54545454545453</v>
      </c>
      <c r="E93" s="75">
        <f t="shared" si="3"/>
        <v>15.454545454545453</v>
      </c>
      <c r="F93" s="75">
        <v>170</v>
      </c>
      <c r="G93" s="75">
        <v>50</v>
      </c>
      <c r="H93" s="58">
        <f t="shared" si="4"/>
        <v>120</v>
      </c>
      <c r="I93" s="14" t="s">
        <v>4143</v>
      </c>
      <c r="J93" s="75">
        <v>170</v>
      </c>
      <c r="K93" s="75"/>
      <c r="L93" s="14"/>
      <c r="M93" s="75"/>
      <c r="N93" s="14"/>
      <c r="O93" s="14"/>
    </row>
    <row r="94" spans="1:15" x14ac:dyDescent="0.25">
      <c r="A94" s="86">
        <v>45618</v>
      </c>
      <c r="B94" s="55" t="s">
        <v>3953</v>
      </c>
      <c r="C94" s="55" t="s">
        <v>43</v>
      </c>
      <c r="D94" s="75">
        <f t="shared" si="5"/>
        <v>154.54545454545453</v>
      </c>
      <c r="E94" s="75">
        <f t="shared" si="3"/>
        <v>15.454545454545453</v>
      </c>
      <c r="F94" s="75">
        <v>170</v>
      </c>
      <c r="G94" s="75"/>
      <c r="H94" s="58">
        <f t="shared" si="4"/>
        <v>170</v>
      </c>
      <c r="I94" s="14" t="s">
        <v>603</v>
      </c>
      <c r="J94" s="75">
        <v>170</v>
      </c>
      <c r="K94" s="75"/>
      <c r="L94" s="14"/>
      <c r="M94" s="75"/>
      <c r="N94" s="14"/>
      <c r="O94" s="14"/>
    </row>
    <row r="95" spans="1:15" x14ac:dyDescent="0.25">
      <c r="A95" s="86">
        <v>45618</v>
      </c>
      <c r="B95" s="55" t="s">
        <v>3954</v>
      </c>
      <c r="C95" s="55" t="s">
        <v>43</v>
      </c>
      <c r="D95" s="75">
        <f t="shared" si="5"/>
        <v>281.81818181818181</v>
      </c>
      <c r="E95" s="75">
        <f t="shared" si="3"/>
        <v>28.18181818181818</v>
      </c>
      <c r="F95" s="75">
        <v>310</v>
      </c>
      <c r="G95" s="75">
        <v>50</v>
      </c>
      <c r="H95" s="58">
        <f t="shared" si="4"/>
        <v>260</v>
      </c>
      <c r="I95" s="14" t="s">
        <v>4144</v>
      </c>
      <c r="J95" s="75">
        <v>270</v>
      </c>
      <c r="K95" s="75">
        <v>40</v>
      </c>
      <c r="L95" s="14" t="s">
        <v>252</v>
      </c>
      <c r="M95" s="75"/>
      <c r="N95" s="14"/>
      <c r="O95" s="14"/>
    </row>
    <row r="96" spans="1:15" x14ac:dyDescent="0.25">
      <c r="A96" s="86">
        <v>45618</v>
      </c>
      <c r="B96" s="55" t="s">
        <v>3955</v>
      </c>
      <c r="C96" s="55" t="s">
        <v>43</v>
      </c>
      <c r="D96" s="75">
        <f t="shared" si="5"/>
        <v>163.63636363636363</v>
      </c>
      <c r="E96" s="75">
        <f t="shared" si="3"/>
        <v>16.363636363636363</v>
      </c>
      <c r="F96" s="75">
        <v>180</v>
      </c>
      <c r="G96" s="75"/>
      <c r="H96" s="58">
        <f t="shared" si="4"/>
        <v>180</v>
      </c>
      <c r="I96" s="14" t="s">
        <v>603</v>
      </c>
      <c r="J96" s="75">
        <v>180</v>
      </c>
      <c r="K96" s="75"/>
      <c r="L96" s="14"/>
      <c r="M96" s="75"/>
      <c r="N96" s="14"/>
      <c r="O96" s="14"/>
    </row>
    <row r="97" spans="1:15" x14ac:dyDescent="0.25">
      <c r="A97" s="86">
        <v>45618</v>
      </c>
      <c r="B97" s="55" t="s">
        <v>3956</v>
      </c>
      <c r="C97" s="55" t="s">
        <v>43</v>
      </c>
      <c r="D97" s="75">
        <f t="shared" si="5"/>
        <v>322.72727272727269</v>
      </c>
      <c r="E97" s="75">
        <f t="shared" si="3"/>
        <v>32.272727272727273</v>
      </c>
      <c r="F97" s="75">
        <v>355</v>
      </c>
      <c r="G97" s="75">
        <v>50</v>
      </c>
      <c r="H97" s="58">
        <f t="shared" si="4"/>
        <v>305</v>
      </c>
      <c r="I97" s="14" t="s">
        <v>4145</v>
      </c>
      <c r="J97" s="75">
        <v>270</v>
      </c>
      <c r="K97" s="75">
        <v>40</v>
      </c>
      <c r="L97" s="14" t="s">
        <v>252</v>
      </c>
      <c r="M97" s="75">
        <v>45</v>
      </c>
      <c r="N97" s="14" t="s">
        <v>45</v>
      </c>
      <c r="O97" s="14"/>
    </row>
    <row r="98" spans="1:15" x14ac:dyDescent="0.25">
      <c r="A98" s="86">
        <v>45618</v>
      </c>
      <c r="B98" s="55" t="s">
        <v>3957</v>
      </c>
      <c r="C98" s="55" t="s">
        <v>43</v>
      </c>
      <c r="D98" s="75">
        <f t="shared" si="5"/>
        <v>199.99999999999997</v>
      </c>
      <c r="E98" s="75">
        <f t="shared" si="3"/>
        <v>19.999999999999996</v>
      </c>
      <c r="F98" s="75">
        <v>220</v>
      </c>
      <c r="G98" s="75"/>
      <c r="H98" s="58">
        <f t="shared" si="4"/>
        <v>220</v>
      </c>
      <c r="I98" s="14" t="s">
        <v>603</v>
      </c>
      <c r="J98" s="75">
        <v>220</v>
      </c>
      <c r="K98" s="75"/>
      <c r="L98" s="14"/>
      <c r="M98" s="75"/>
      <c r="N98" s="14"/>
      <c r="O98" s="14"/>
    </row>
    <row r="99" spans="1:15" x14ac:dyDescent="0.25">
      <c r="A99" s="86">
        <v>45618</v>
      </c>
      <c r="B99" s="55" t="s">
        <v>3958</v>
      </c>
      <c r="C99" s="55" t="s">
        <v>43</v>
      </c>
      <c r="D99" s="75">
        <f t="shared" si="5"/>
        <v>199.99999999999997</v>
      </c>
      <c r="E99" s="75">
        <f t="shared" si="3"/>
        <v>19.999999999999996</v>
      </c>
      <c r="F99" s="75">
        <v>220</v>
      </c>
      <c r="G99" s="75"/>
      <c r="H99" s="58">
        <f t="shared" si="4"/>
        <v>220</v>
      </c>
      <c r="I99" s="14" t="s">
        <v>603</v>
      </c>
      <c r="J99" s="75">
        <v>220</v>
      </c>
      <c r="K99" s="75"/>
      <c r="L99" s="14"/>
      <c r="M99" s="75"/>
      <c r="N99" s="14"/>
      <c r="O99" s="14"/>
    </row>
    <row r="100" spans="1:15" x14ac:dyDescent="0.25">
      <c r="A100" s="86">
        <v>45618</v>
      </c>
      <c r="B100" s="55" t="s">
        <v>3959</v>
      </c>
      <c r="C100" s="55" t="s">
        <v>43</v>
      </c>
      <c r="D100" s="75">
        <f t="shared" si="5"/>
        <v>236.36363636363635</v>
      </c>
      <c r="E100" s="75">
        <f t="shared" si="3"/>
        <v>23.636363636363637</v>
      </c>
      <c r="F100" s="75">
        <v>260</v>
      </c>
      <c r="G100" s="75">
        <v>50</v>
      </c>
      <c r="H100" s="58">
        <f t="shared" si="4"/>
        <v>210</v>
      </c>
      <c r="I100" s="14" t="s">
        <v>4146</v>
      </c>
      <c r="J100" s="75">
        <v>220</v>
      </c>
      <c r="K100" s="75">
        <v>40</v>
      </c>
      <c r="L100" s="14" t="s">
        <v>252</v>
      </c>
      <c r="M100" s="75"/>
      <c r="N100" s="14"/>
      <c r="O100" s="14"/>
    </row>
    <row r="101" spans="1:15" x14ac:dyDescent="0.25">
      <c r="A101" s="86">
        <v>45618</v>
      </c>
      <c r="B101" s="55" t="s">
        <v>3960</v>
      </c>
      <c r="C101" s="55" t="s">
        <v>43</v>
      </c>
      <c r="D101" s="75">
        <f t="shared" si="5"/>
        <v>199.99999999999997</v>
      </c>
      <c r="E101" s="75">
        <f t="shared" si="3"/>
        <v>19.999999999999996</v>
      </c>
      <c r="F101" s="75">
        <v>220</v>
      </c>
      <c r="G101" s="75">
        <v>50</v>
      </c>
      <c r="H101" s="58">
        <f t="shared" si="4"/>
        <v>170</v>
      </c>
      <c r="I101" s="14" t="s">
        <v>4147</v>
      </c>
      <c r="J101" s="75">
        <v>220</v>
      </c>
      <c r="K101" s="75"/>
      <c r="L101" s="14"/>
      <c r="M101" s="75"/>
      <c r="N101" s="14"/>
      <c r="O101" s="14"/>
    </row>
    <row r="102" spans="1:15" x14ac:dyDescent="0.25">
      <c r="A102" s="86">
        <v>45618</v>
      </c>
      <c r="B102" s="55" t="s">
        <v>3961</v>
      </c>
      <c r="C102" s="55" t="s">
        <v>43</v>
      </c>
      <c r="D102" s="75">
        <f t="shared" si="5"/>
        <v>163.63636363636363</v>
      </c>
      <c r="E102" s="75">
        <f t="shared" si="3"/>
        <v>16.363636363636363</v>
      </c>
      <c r="F102" s="75">
        <v>180</v>
      </c>
      <c r="G102" s="75"/>
      <c r="H102" s="58">
        <f t="shared" si="4"/>
        <v>180</v>
      </c>
      <c r="I102" s="14" t="s">
        <v>603</v>
      </c>
      <c r="J102" s="75">
        <v>180</v>
      </c>
      <c r="K102" s="75"/>
      <c r="L102" s="14"/>
      <c r="M102" s="75"/>
      <c r="N102" s="14"/>
      <c r="O102" s="14"/>
    </row>
    <row r="103" spans="1:15" x14ac:dyDescent="0.25">
      <c r="A103" s="86">
        <v>45619</v>
      </c>
      <c r="B103" s="55" t="s">
        <v>3962</v>
      </c>
      <c r="C103" s="55" t="s">
        <v>43</v>
      </c>
      <c r="D103" s="75">
        <f t="shared" si="5"/>
        <v>286.36363636363632</v>
      </c>
      <c r="E103" s="75">
        <f t="shared" si="3"/>
        <v>28.63636363636363</v>
      </c>
      <c r="F103" s="75">
        <v>315</v>
      </c>
      <c r="G103" s="75">
        <v>50</v>
      </c>
      <c r="H103" s="58">
        <f t="shared" si="4"/>
        <v>265</v>
      </c>
      <c r="I103" s="14" t="s">
        <v>4148</v>
      </c>
      <c r="J103" s="75">
        <v>270</v>
      </c>
      <c r="K103" s="75"/>
      <c r="L103" s="14"/>
      <c r="M103" s="75">
        <v>45</v>
      </c>
      <c r="N103" s="14" t="s">
        <v>45</v>
      </c>
      <c r="O103" s="14"/>
    </row>
    <row r="104" spans="1:15" x14ac:dyDescent="0.25">
      <c r="A104" s="86">
        <v>45619</v>
      </c>
      <c r="B104" s="55" t="s">
        <v>3963</v>
      </c>
      <c r="C104" s="55" t="s">
        <v>43</v>
      </c>
      <c r="D104" s="75">
        <f t="shared" si="5"/>
        <v>245.45454545454544</v>
      </c>
      <c r="E104" s="75">
        <f t="shared" si="3"/>
        <v>24.545454545454547</v>
      </c>
      <c r="F104" s="75">
        <v>270</v>
      </c>
      <c r="G104" s="75">
        <v>50</v>
      </c>
      <c r="H104" s="58">
        <f t="shared" si="4"/>
        <v>220</v>
      </c>
      <c r="I104" s="14" t="s">
        <v>4149</v>
      </c>
      <c r="J104" s="75">
        <v>270</v>
      </c>
      <c r="K104" s="75"/>
      <c r="L104" s="14"/>
      <c r="M104" s="75"/>
      <c r="N104" s="14"/>
      <c r="O104" s="14"/>
    </row>
    <row r="105" spans="1:15" x14ac:dyDescent="0.25">
      <c r="A105" s="86">
        <v>45619</v>
      </c>
      <c r="B105" s="55" t="s">
        <v>3964</v>
      </c>
      <c r="C105" s="55" t="s">
        <v>43</v>
      </c>
      <c r="D105" s="75">
        <f t="shared" si="5"/>
        <v>227.27272727272725</v>
      </c>
      <c r="E105" s="75">
        <f t="shared" si="3"/>
        <v>22.727272727272727</v>
      </c>
      <c r="F105" s="75">
        <v>250</v>
      </c>
      <c r="G105" s="75">
        <v>50</v>
      </c>
      <c r="H105" s="58">
        <f t="shared" si="4"/>
        <v>200</v>
      </c>
      <c r="I105" s="14" t="s">
        <v>4150</v>
      </c>
      <c r="J105" s="75">
        <v>220</v>
      </c>
      <c r="K105" s="75">
        <v>30</v>
      </c>
      <c r="L105" s="14" t="s">
        <v>252</v>
      </c>
      <c r="M105" s="75"/>
      <c r="N105" s="14"/>
      <c r="O105" s="14"/>
    </row>
    <row r="106" spans="1:15" x14ac:dyDescent="0.25">
      <c r="A106" s="86">
        <v>45619</v>
      </c>
      <c r="B106" s="55" t="s">
        <v>3965</v>
      </c>
      <c r="C106" s="55" t="s">
        <v>43</v>
      </c>
      <c r="D106" s="75">
        <f t="shared" si="5"/>
        <v>245.45454545454544</v>
      </c>
      <c r="E106" s="75">
        <f t="shared" si="3"/>
        <v>24.545454545454547</v>
      </c>
      <c r="F106" s="75">
        <v>270</v>
      </c>
      <c r="G106" s="75">
        <v>50</v>
      </c>
      <c r="H106" s="58">
        <f t="shared" si="4"/>
        <v>220</v>
      </c>
      <c r="I106" s="14" t="s">
        <v>4151</v>
      </c>
      <c r="J106" s="75">
        <v>270</v>
      </c>
      <c r="K106" s="75"/>
      <c r="L106" s="14"/>
      <c r="M106" s="75"/>
      <c r="N106" s="14"/>
      <c r="O106" s="14"/>
    </row>
    <row r="107" spans="1:15" x14ac:dyDescent="0.25">
      <c r="A107" s="86">
        <v>45619</v>
      </c>
      <c r="B107" s="55" t="s">
        <v>3966</v>
      </c>
      <c r="C107" s="55" t="s">
        <v>43</v>
      </c>
      <c r="D107" s="75">
        <f t="shared" si="5"/>
        <v>245.45454545454544</v>
      </c>
      <c r="E107" s="75">
        <f t="shared" si="3"/>
        <v>24.545454545454547</v>
      </c>
      <c r="F107" s="75">
        <v>270</v>
      </c>
      <c r="G107" s="75">
        <v>50</v>
      </c>
      <c r="H107" s="58">
        <f t="shared" si="4"/>
        <v>220</v>
      </c>
      <c r="I107" s="14" t="s">
        <v>4152</v>
      </c>
      <c r="J107" s="75">
        <v>270</v>
      </c>
      <c r="K107" s="75"/>
      <c r="L107" s="14"/>
      <c r="M107" s="75"/>
      <c r="N107" s="14"/>
      <c r="O107" s="14"/>
    </row>
    <row r="108" spans="1:15" x14ac:dyDescent="0.25">
      <c r="A108" s="86">
        <v>45619</v>
      </c>
      <c r="B108" s="55" t="s">
        <v>3967</v>
      </c>
      <c r="C108" s="55" t="s">
        <v>43</v>
      </c>
      <c r="D108" s="75">
        <f t="shared" si="5"/>
        <v>199.99999999999997</v>
      </c>
      <c r="E108" s="75">
        <f t="shared" si="3"/>
        <v>19.999999999999996</v>
      </c>
      <c r="F108" s="75">
        <v>220</v>
      </c>
      <c r="G108" s="75"/>
      <c r="H108" s="58">
        <f t="shared" si="4"/>
        <v>220</v>
      </c>
      <c r="I108" s="14" t="s">
        <v>603</v>
      </c>
      <c r="J108" s="75">
        <v>220</v>
      </c>
      <c r="K108" s="75"/>
      <c r="L108" s="14"/>
      <c r="M108" s="75"/>
      <c r="N108" s="14"/>
      <c r="O108" s="14"/>
    </row>
    <row r="109" spans="1:15" x14ac:dyDescent="0.25">
      <c r="A109" s="86">
        <v>45619</v>
      </c>
      <c r="B109" s="55" t="s">
        <v>3968</v>
      </c>
      <c r="C109" s="55" t="s">
        <v>43</v>
      </c>
      <c r="D109" s="75">
        <f t="shared" si="5"/>
        <v>154.54545454545453</v>
      </c>
      <c r="E109" s="75">
        <f t="shared" si="3"/>
        <v>15.454545454545453</v>
      </c>
      <c r="F109" s="75">
        <v>170</v>
      </c>
      <c r="G109" s="75">
        <v>50</v>
      </c>
      <c r="H109" s="58">
        <f t="shared" si="4"/>
        <v>120</v>
      </c>
      <c r="I109" s="14" t="s">
        <v>4153</v>
      </c>
      <c r="J109" s="75">
        <v>170</v>
      </c>
      <c r="K109" s="75"/>
      <c r="L109" s="14"/>
      <c r="M109" s="75"/>
      <c r="N109" s="14"/>
      <c r="O109" s="14"/>
    </row>
    <row r="110" spans="1:15" x14ac:dyDescent="0.25">
      <c r="A110" s="86">
        <v>45619</v>
      </c>
      <c r="B110" s="55" t="s">
        <v>3969</v>
      </c>
      <c r="C110" s="55" t="s">
        <v>43</v>
      </c>
      <c r="D110" s="75">
        <f t="shared" si="5"/>
        <v>154.54545454545453</v>
      </c>
      <c r="E110" s="75">
        <f t="shared" si="3"/>
        <v>15.454545454545453</v>
      </c>
      <c r="F110" s="75">
        <v>170</v>
      </c>
      <c r="G110" s="75">
        <v>50</v>
      </c>
      <c r="H110" s="58">
        <f t="shared" si="4"/>
        <v>120</v>
      </c>
      <c r="I110" s="14" t="s">
        <v>4154</v>
      </c>
      <c r="J110" s="75">
        <v>170</v>
      </c>
      <c r="K110" s="75"/>
      <c r="L110" s="14"/>
      <c r="M110" s="75"/>
      <c r="N110" s="14"/>
      <c r="O110" s="14"/>
    </row>
    <row r="111" spans="1:15" x14ac:dyDescent="0.25">
      <c r="A111" s="86">
        <v>45619</v>
      </c>
      <c r="B111" s="55" t="s">
        <v>3970</v>
      </c>
      <c r="C111" s="55" t="s">
        <v>43</v>
      </c>
      <c r="D111" s="75">
        <f t="shared" si="5"/>
        <v>154.54545454545453</v>
      </c>
      <c r="E111" s="75">
        <f t="shared" si="3"/>
        <v>15.454545454545453</v>
      </c>
      <c r="F111" s="75">
        <v>170</v>
      </c>
      <c r="G111" s="75">
        <v>50</v>
      </c>
      <c r="H111" s="58">
        <f t="shared" si="4"/>
        <v>120</v>
      </c>
      <c r="I111" s="14" t="s">
        <v>4155</v>
      </c>
      <c r="J111" s="75">
        <v>170</v>
      </c>
      <c r="K111" s="75"/>
      <c r="L111" s="14"/>
      <c r="M111" s="75"/>
      <c r="N111" s="14"/>
      <c r="O111" s="14"/>
    </row>
    <row r="112" spans="1:15" x14ac:dyDescent="0.25">
      <c r="A112" s="86">
        <v>45619</v>
      </c>
      <c r="B112" s="55" t="s">
        <v>3971</v>
      </c>
      <c r="C112" s="55" t="s">
        <v>43</v>
      </c>
      <c r="D112" s="75">
        <f t="shared" si="5"/>
        <v>172.72727272727272</v>
      </c>
      <c r="E112" s="75">
        <f t="shared" si="3"/>
        <v>17.272727272727273</v>
      </c>
      <c r="F112" s="75">
        <v>190</v>
      </c>
      <c r="G112" s="75">
        <v>50</v>
      </c>
      <c r="H112" s="58">
        <f t="shared" si="4"/>
        <v>140</v>
      </c>
      <c r="I112" s="14" t="s">
        <v>4156</v>
      </c>
      <c r="J112" s="75">
        <v>170</v>
      </c>
      <c r="K112" s="75">
        <v>20</v>
      </c>
      <c r="L112" s="14" t="s">
        <v>252</v>
      </c>
      <c r="M112" s="75"/>
      <c r="N112" s="14"/>
      <c r="O112" s="14"/>
    </row>
    <row r="113" spans="1:15" x14ac:dyDescent="0.25">
      <c r="A113" s="86">
        <v>45619</v>
      </c>
      <c r="B113" s="55" t="s">
        <v>3972</v>
      </c>
      <c r="C113" s="55" t="s">
        <v>43</v>
      </c>
      <c r="D113" s="75">
        <f t="shared" si="5"/>
        <v>154.54545454545453</v>
      </c>
      <c r="E113" s="75">
        <f t="shared" si="3"/>
        <v>15.454545454545453</v>
      </c>
      <c r="F113" s="75">
        <v>170</v>
      </c>
      <c r="G113" s="75"/>
      <c r="H113" s="58">
        <f t="shared" si="4"/>
        <v>170</v>
      </c>
      <c r="I113" s="14" t="s">
        <v>4152</v>
      </c>
      <c r="J113" s="75">
        <v>170</v>
      </c>
      <c r="K113" s="75"/>
      <c r="L113" s="14"/>
      <c r="M113" s="75"/>
      <c r="N113" s="14"/>
      <c r="O113" s="14"/>
    </row>
    <row r="114" spans="1:15" x14ac:dyDescent="0.25">
      <c r="A114" s="86">
        <v>45619</v>
      </c>
      <c r="B114" s="55" t="s">
        <v>3973</v>
      </c>
      <c r="C114" s="55" t="s">
        <v>43</v>
      </c>
      <c r="D114" s="75">
        <f t="shared" si="5"/>
        <v>218.18181818181816</v>
      </c>
      <c r="E114" s="75">
        <f t="shared" si="3"/>
        <v>21.818181818181817</v>
      </c>
      <c r="F114" s="75">
        <v>240</v>
      </c>
      <c r="G114" s="75"/>
      <c r="H114" s="58">
        <f t="shared" si="4"/>
        <v>240</v>
      </c>
      <c r="I114" s="14" t="s">
        <v>4157</v>
      </c>
      <c r="J114" s="75">
        <v>240</v>
      </c>
      <c r="K114" s="75"/>
      <c r="L114" s="14"/>
      <c r="M114" s="75"/>
      <c r="N114" s="14"/>
      <c r="O114" s="14"/>
    </row>
    <row r="115" spans="1:15" x14ac:dyDescent="0.25">
      <c r="A115" s="86">
        <v>45619</v>
      </c>
      <c r="B115" s="55" t="s">
        <v>3974</v>
      </c>
      <c r="C115" s="55" t="s">
        <v>43</v>
      </c>
      <c r="D115" s="75">
        <f t="shared" si="5"/>
        <v>181.81818181818181</v>
      </c>
      <c r="E115" s="75">
        <f t="shared" si="3"/>
        <v>18.18181818181818</v>
      </c>
      <c r="F115" s="75">
        <v>200</v>
      </c>
      <c r="G115" s="75"/>
      <c r="H115" s="58">
        <f t="shared" si="4"/>
        <v>200</v>
      </c>
      <c r="I115" s="14" t="s">
        <v>4158</v>
      </c>
      <c r="J115" s="75">
        <v>220</v>
      </c>
      <c r="K115" s="75"/>
      <c r="L115" s="14"/>
      <c r="M115" s="75"/>
      <c r="N115" s="14"/>
      <c r="O115" s="14"/>
    </row>
    <row r="116" spans="1:15" x14ac:dyDescent="0.25">
      <c r="A116" s="86">
        <v>45619</v>
      </c>
      <c r="B116" s="55" t="s">
        <v>3975</v>
      </c>
      <c r="C116" s="55" t="s">
        <v>43</v>
      </c>
      <c r="D116" s="75">
        <f t="shared" si="5"/>
        <v>154.54545454545453</v>
      </c>
      <c r="E116" s="75">
        <f t="shared" si="3"/>
        <v>15.454545454545453</v>
      </c>
      <c r="F116" s="75">
        <v>170</v>
      </c>
      <c r="G116" s="75">
        <v>50</v>
      </c>
      <c r="H116" s="58">
        <f t="shared" si="4"/>
        <v>120</v>
      </c>
      <c r="I116" s="14" t="s">
        <v>2752</v>
      </c>
      <c r="J116" s="75">
        <v>170</v>
      </c>
      <c r="K116" s="75"/>
      <c r="L116" s="14"/>
      <c r="M116" s="75"/>
      <c r="N116" s="14"/>
      <c r="O116" s="14"/>
    </row>
    <row r="117" spans="1:15" x14ac:dyDescent="0.25">
      <c r="A117" s="86">
        <v>45619</v>
      </c>
      <c r="B117" s="55" t="s">
        <v>3976</v>
      </c>
      <c r="C117" s="55" t="s">
        <v>43</v>
      </c>
      <c r="D117" s="75">
        <f t="shared" si="5"/>
        <v>209.09090909090907</v>
      </c>
      <c r="E117" s="75">
        <f t="shared" si="3"/>
        <v>20.909090909090907</v>
      </c>
      <c r="F117" s="75">
        <v>230</v>
      </c>
      <c r="G117" s="75">
        <v>50</v>
      </c>
      <c r="H117" s="58">
        <f t="shared" si="4"/>
        <v>180</v>
      </c>
      <c r="I117" s="14" t="s">
        <v>4159</v>
      </c>
      <c r="J117" s="75">
        <v>170</v>
      </c>
      <c r="K117" s="75">
        <v>60</v>
      </c>
      <c r="L117" s="14" t="s">
        <v>252</v>
      </c>
      <c r="M117" s="75"/>
      <c r="N117" s="14"/>
      <c r="O117" s="14"/>
    </row>
    <row r="118" spans="1:15" x14ac:dyDescent="0.25">
      <c r="A118" s="86">
        <v>45619</v>
      </c>
      <c r="B118" s="55" t="s">
        <v>3977</v>
      </c>
      <c r="C118" s="55" t="s">
        <v>43</v>
      </c>
      <c r="D118" s="75">
        <f t="shared" si="5"/>
        <v>127.27272727272727</v>
      </c>
      <c r="E118" s="75">
        <f t="shared" si="3"/>
        <v>12.727272727272727</v>
      </c>
      <c r="F118" s="75">
        <v>140</v>
      </c>
      <c r="G118" s="75"/>
      <c r="H118" s="58">
        <f t="shared" si="4"/>
        <v>140</v>
      </c>
      <c r="I118" s="14" t="s">
        <v>603</v>
      </c>
      <c r="J118" s="75">
        <v>140</v>
      </c>
      <c r="K118" s="75"/>
      <c r="L118" s="14"/>
      <c r="M118" s="75"/>
      <c r="N118" s="14"/>
      <c r="O118" s="14"/>
    </row>
    <row r="119" spans="1:15" x14ac:dyDescent="0.25">
      <c r="A119" s="86">
        <v>45619</v>
      </c>
      <c r="B119" s="55" t="s">
        <v>3978</v>
      </c>
      <c r="C119" s="55" t="s">
        <v>43</v>
      </c>
      <c r="D119" s="75">
        <f t="shared" si="5"/>
        <v>136.36363636363635</v>
      </c>
      <c r="E119" s="75">
        <f t="shared" si="3"/>
        <v>13.636363636363635</v>
      </c>
      <c r="F119" s="75">
        <v>150</v>
      </c>
      <c r="G119" s="75"/>
      <c r="H119" s="58">
        <f t="shared" si="4"/>
        <v>150</v>
      </c>
      <c r="I119" s="14" t="s">
        <v>4160</v>
      </c>
      <c r="J119" s="75">
        <v>150</v>
      </c>
      <c r="K119" s="75"/>
      <c r="L119" s="14"/>
      <c r="M119" s="75"/>
      <c r="N119" s="14"/>
      <c r="O119" s="14"/>
    </row>
    <row r="120" spans="1:15" x14ac:dyDescent="0.25">
      <c r="A120" s="86">
        <v>45619</v>
      </c>
      <c r="B120" s="55" t="s">
        <v>3979</v>
      </c>
      <c r="C120" s="55" t="s">
        <v>43</v>
      </c>
      <c r="D120" s="75">
        <f t="shared" si="5"/>
        <v>190.90909090909091</v>
      </c>
      <c r="E120" s="75">
        <f t="shared" si="3"/>
        <v>19.09090909090909</v>
      </c>
      <c r="F120" s="75">
        <v>210</v>
      </c>
      <c r="G120" s="75">
        <v>210</v>
      </c>
      <c r="H120" s="58">
        <f t="shared" si="4"/>
        <v>0</v>
      </c>
      <c r="I120" s="14" t="s">
        <v>2752</v>
      </c>
      <c r="J120" s="75">
        <v>170</v>
      </c>
      <c r="K120" s="75">
        <v>40</v>
      </c>
      <c r="L120" s="14" t="s">
        <v>252</v>
      </c>
      <c r="M120" s="75"/>
      <c r="N120" s="14"/>
      <c r="O120" s="14"/>
    </row>
    <row r="121" spans="1:15" x14ac:dyDescent="0.25">
      <c r="A121" s="86">
        <v>45619</v>
      </c>
      <c r="B121" s="55" t="s">
        <v>3980</v>
      </c>
      <c r="C121" s="55" t="s">
        <v>43</v>
      </c>
      <c r="D121" s="75">
        <f t="shared" si="5"/>
        <v>227.27272727272725</v>
      </c>
      <c r="E121" s="75">
        <f t="shared" si="3"/>
        <v>22.727272727272727</v>
      </c>
      <c r="F121" s="75">
        <v>250</v>
      </c>
      <c r="G121" s="75">
        <v>50</v>
      </c>
      <c r="H121" s="58">
        <f t="shared" si="4"/>
        <v>200</v>
      </c>
      <c r="I121" s="14" t="s">
        <v>4161</v>
      </c>
      <c r="J121" s="75">
        <v>220</v>
      </c>
      <c r="K121" s="75">
        <v>30</v>
      </c>
      <c r="L121" s="14" t="s">
        <v>252</v>
      </c>
      <c r="M121" s="75"/>
      <c r="N121" s="14"/>
      <c r="O121" s="14"/>
    </row>
    <row r="122" spans="1:15" x14ac:dyDescent="0.25">
      <c r="A122" s="86">
        <v>45619</v>
      </c>
      <c r="B122" s="55" t="s">
        <v>3981</v>
      </c>
      <c r="C122" s="55" t="s">
        <v>43</v>
      </c>
      <c r="D122" s="75">
        <f t="shared" si="5"/>
        <v>272.72727272727269</v>
      </c>
      <c r="E122" s="75">
        <f t="shared" si="3"/>
        <v>27.27272727272727</v>
      </c>
      <c r="F122" s="75">
        <v>300</v>
      </c>
      <c r="G122" s="75">
        <v>50</v>
      </c>
      <c r="H122" s="58">
        <f t="shared" si="4"/>
        <v>250</v>
      </c>
      <c r="I122" s="14" t="s">
        <v>4162</v>
      </c>
      <c r="J122" s="75">
        <v>270</v>
      </c>
      <c r="K122" s="75">
        <v>30</v>
      </c>
      <c r="L122" s="14" t="s">
        <v>252</v>
      </c>
      <c r="M122" s="75"/>
      <c r="N122" s="14"/>
      <c r="O122" s="14"/>
    </row>
    <row r="123" spans="1:15" x14ac:dyDescent="0.25">
      <c r="A123" s="86">
        <v>45619</v>
      </c>
      <c r="B123" s="55" t="s">
        <v>3982</v>
      </c>
      <c r="C123" s="55" t="s">
        <v>43</v>
      </c>
      <c r="D123" s="75">
        <f t="shared" si="5"/>
        <v>236.36363636363635</v>
      </c>
      <c r="E123" s="75">
        <f t="shared" si="3"/>
        <v>23.636363636363637</v>
      </c>
      <c r="F123" s="75">
        <v>260</v>
      </c>
      <c r="G123" s="75">
        <v>50</v>
      </c>
      <c r="H123" s="58">
        <f t="shared" si="4"/>
        <v>210</v>
      </c>
      <c r="I123" s="14" t="s">
        <v>4163</v>
      </c>
      <c r="J123" s="75">
        <v>220</v>
      </c>
      <c r="K123" s="75">
        <v>40</v>
      </c>
      <c r="L123" s="14" t="s">
        <v>252</v>
      </c>
      <c r="M123" s="75"/>
      <c r="N123" s="14"/>
      <c r="O123" s="14"/>
    </row>
    <row r="124" spans="1:15" x14ac:dyDescent="0.25">
      <c r="A124" s="86">
        <v>45619</v>
      </c>
      <c r="B124" s="55" t="s">
        <v>3983</v>
      </c>
      <c r="C124" s="55" t="s">
        <v>43</v>
      </c>
      <c r="D124" s="75">
        <f t="shared" si="5"/>
        <v>263.63636363636363</v>
      </c>
      <c r="E124" s="75">
        <f t="shared" si="3"/>
        <v>26.36363636363636</v>
      </c>
      <c r="F124" s="75">
        <v>290</v>
      </c>
      <c r="G124" s="75">
        <v>50</v>
      </c>
      <c r="H124" s="58">
        <f t="shared" si="4"/>
        <v>240</v>
      </c>
      <c r="I124" s="14" t="s">
        <v>4164</v>
      </c>
      <c r="J124" s="75">
        <v>270</v>
      </c>
      <c r="K124" s="75">
        <v>20</v>
      </c>
      <c r="L124" s="14" t="s">
        <v>252</v>
      </c>
      <c r="M124" s="75"/>
      <c r="N124" s="14"/>
      <c r="O124" s="14"/>
    </row>
    <row r="125" spans="1:15" x14ac:dyDescent="0.25">
      <c r="A125" s="86">
        <v>45619</v>
      </c>
      <c r="B125" s="55" t="s">
        <v>3984</v>
      </c>
      <c r="C125" s="55" t="s">
        <v>43</v>
      </c>
      <c r="D125" s="75">
        <f t="shared" si="5"/>
        <v>240.90909090909088</v>
      </c>
      <c r="E125" s="75">
        <f t="shared" si="3"/>
        <v>24.09090909090909</v>
      </c>
      <c r="F125" s="75">
        <v>265</v>
      </c>
      <c r="G125" s="75">
        <v>50</v>
      </c>
      <c r="H125" s="58">
        <f t="shared" si="4"/>
        <v>215</v>
      </c>
      <c r="I125" s="14" t="s">
        <v>4165</v>
      </c>
      <c r="J125" s="75">
        <v>220</v>
      </c>
      <c r="K125" s="75"/>
      <c r="L125" s="14"/>
      <c r="M125" s="75">
        <v>45</v>
      </c>
      <c r="N125" s="14" t="s">
        <v>45</v>
      </c>
      <c r="O125" s="14"/>
    </row>
    <row r="126" spans="1:15" x14ac:dyDescent="0.25">
      <c r="A126" s="86">
        <v>45619</v>
      </c>
      <c r="B126" s="55" t="s">
        <v>3985</v>
      </c>
      <c r="C126" s="55" t="s">
        <v>43</v>
      </c>
      <c r="D126" s="75">
        <f t="shared" si="5"/>
        <v>227.27272727272725</v>
      </c>
      <c r="E126" s="75">
        <f t="shared" si="3"/>
        <v>22.727272727272727</v>
      </c>
      <c r="F126" s="75">
        <v>250</v>
      </c>
      <c r="G126" s="75"/>
      <c r="H126" s="58">
        <f t="shared" si="4"/>
        <v>250</v>
      </c>
      <c r="I126" s="187" t="s">
        <v>2752</v>
      </c>
      <c r="J126" s="75">
        <v>250</v>
      </c>
      <c r="K126" s="75"/>
      <c r="L126" s="14"/>
      <c r="M126" s="75"/>
      <c r="N126" s="14"/>
      <c r="O126" s="14"/>
    </row>
    <row r="127" spans="1:15" x14ac:dyDescent="0.25">
      <c r="A127" s="86">
        <v>45620</v>
      </c>
      <c r="B127" s="55" t="s">
        <v>3986</v>
      </c>
      <c r="C127" s="55" t="s">
        <v>43</v>
      </c>
      <c r="D127" s="75">
        <f t="shared" si="5"/>
        <v>263.63636363636363</v>
      </c>
      <c r="E127" s="75">
        <f t="shared" si="3"/>
        <v>26.36363636363636</v>
      </c>
      <c r="F127" s="75">
        <v>290</v>
      </c>
      <c r="G127" s="75">
        <v>50</v>
      </c>
      <c r="H127" s="58">
        <f t="shared" si="4"/>
        <v>240</v>
      </c>
      <c r="I127" s="14" t="s">
        <v>4166</v>
      </c>
      <c r="J127" s="75">
        <v>270</v>
      </c>
      <c r="K127" s="75">
        <v>20</v>
      </c>
      <c r="L127" s="14" t="s">
        <v>252</v>
      </c>
      <c r="M127" s="75"/>
      <c r="N127" s="14"/>
      <c r="O127" s="14"/>
    </row>
    <row r="128" spans="1:15" x14ac:dyDescent="0.25">
      <c r="A128" s="86">
        <v>45620</v>
      </c>
      <c r="B128" s="55" t="s">
        <v>3987</v>
      </c>
      <c r="C128" s="55" t="s">
        <v>43</v>
      </c>
      <c r="D128" s="75">
        <f t="shared" si="5"/>
        <v>240.90909090909088</v>
      </c>
      <c r="E128" s="75">
        <f t="shared" si="3"/>
        <v>24.09090909090909</v>
      </c>
      <c r="F128" s="75">
        <v>265</v>
      </c>
      <c r="G128" s="75">
        <v>50</v>
      </c>
      <c r="H128" s="58">
        <f t="shared" si="4"/>
        <v>215</v>
      </c>
      <c r="I128" s="14" t="s">
        <v>2752</v>
      </c>
      <c r="J128" s="75">
        <v>220</v>
      </c>
      <c r="K128" s="75"/>
      <c r="L128" s="14"/>
      <c r="M128" s="75"/>
      <c r="N128" s="14"/>
      <c r="O128" s="14"/>
    </row>
    <row r="129" spans="1:15" x14ac:dyDescent="0.25">
      <c r="A129" s="261">
        <v>45624</v>
      </c>
      <c r="B129" s="262" t="s">
        <v>3988</v>
      </c>
      <c r="C129" s="262" t="s">
        <v>43</v>
      </c>
      <c r="D129" s="75">
        <f t="shared" si="5"/>
        <v>839.99999999999989</v>
      </c>
      <c r="E129" s="75">
        <f t="shared" si="3"/>
        <v>83.999999999999986</v>
      </c>
      <c r="F129" s="75">
        <v>924</v>
      </c>
      <c r="G129" s="75"/>
      <c r="H129" s="58">
        <f t="shared" si="4"/>
        <v>924</v>
      </c>
      <c r="I129" t="s">
        <v>4167</v>
      </c>
      <c r="J129" s="75"/>
      <c r="K129" s="75"/>
      <c r="L129" s="14"/>
      <c r="M129" s="75"/>
      <c r="N129" s="14"/>
      <c r="O129" s="14"/>
    </row>
    <row r="130" spans="1:15" x14ac:dyDescent="0.25">
      <c r="A130" s="86">
        <v>45625</v>
      </c>
      <c r="B130" s="55" t="s">
        <v>3989</v>
      </c>
      <c r="C130" s="55" t="s">
        <v>43</v>
      </c>
      <c r="D130" s="75">
        <f t="shared" si="5"/>
        <v>240.90909090909088</v>
      </c>
      <c r="E130" s="75">
        <f t="shared" si="3"/>
        <v>24.09090909090909</v>
      </c>
      <c r="F130" s="75">
        <v>265</v>
      </c>
      <c r="G130" s="75">
        <v>50</v>
      </c>
      <c r="H130" s="58">
        <f t="shared" si="4"/>
        <v>215</v>
      </c>
      <c r="I130" s="14" t="s">
        <v>4171</v>
      </c>
      <c r="J130" s="75">
        <v>220</v>
      </c>
      <c r="K130" s="75"/>
      <c r="L130" s="14"/>
      <c r="M130" s="75">
        <v>45</v>
      </c>
      <c r="N130" s="14" t="s">
        <v>45</v>
      </c>
      <c r="O130" s="14"/>
    </row>
    <row r="131" spans="1:15" x14ac:dyDescent="0.25">
      <c r="A131" s="86">
        <v>45625</v>
      </c>
      <c r="B131" s="55" t="s">
        <v>3990</v>
      </c>
      <c r="C131" s="55" t="s">
        <v>43</v>
      </c>
      <c r="D131" s="75">
        <f t="shared" si="5"/>
        <v>127.27272727272727</v>
      </c>
      <c r="E131" s="75">
        <f t="shared" ref="E131:E160" si="6">D131*10/100</f>
        <v>12.727272727272727</v>
      </c>
      <c r="F131" s="75">
        <v>140</v>
      </c>
      <c r="G131" s="75"/>
      <c r="H131" s="58">
        <f t="shared" ref="H131:H160" si="7">F131-G131</f>
        <v>140</v>
      </c>
      <c r="I131" s="14" t="s">
        <v>603</v>
      </c>
      <c r="J131" s="75">
        <v>170</v>
      </c>
      <c r="K131" s="75"/>
      <c r="L131" s="14"/>
      <c r="M131" s="75"/>
      <c r="N131" s="14"/>
      <c r="O131" s="14"/>
    </row>
    <row r="132" spans="1:15" x14ac:dyDescent="0.25">
      <c r="A132" s="86">
        <v>45625</v>
      </c>
      <c r="B132" s="55" t="s">
        <v>3991</v>
      </c>
      <c r="C132" s="55" t="s">
        <v>43</v>
      </c>
      <c r="D132" s="75">
        <f t="shared" ref="D132:D160" si="8">F132/1.1</f>
        <v>154.54545454545453</v>
      </c>
      <c r="E132" s="75">
        <f t="shared" si="6"/>
        <v>15.454545454545453</v>
      </c>
      <c r="F132" s="75">
        <v>170</v>
      </c>
      <c r="G132" s="75">
        <v>50</v>
      </c>
      <c r="H132" s="58">
        <f t="shared" si="7"/>
        <v>120</v>
      </c>
      <c r="I132" s="14" t="s">
        <v>4172</v>
      </c>
      <c r="J132" s="75">
        <v>170</v>
      </c>
      <c r="K132" s="75"/>
      <c r="L132" s="14"/>
      <c r="M132" s="75"/>
      <c r="N132" s="14"/>
      <c r="O132" s="14"/>
    </row>
    <row r="133" spans="1:15" x14ac:dyDescent="0.25">
      <c r="A133" s="86">
        <v>45625</v>
      </c>
      <c r="B133" s="55" t="s">
        <v>3992</v>
      </c>
      <c r="C133" s="55" t="s">
        <v>43</v>
      </c>
      <c r="D133" s="75">
        <f t="shared" si="8"/>
        <v>154.54545454545453</v>
      </c>
      <c r="E133" s="75">
        <f t="shared" si="6"/>
        <v>15.454545454545453</v>
      </c>
      <c r="F133" s="75">
        <v>170</v>
      </c>
      <c r="G133" s="75">
        <v>50</v>
      </c>
      <c r="H133" s="58">
        <f t="shared" si="7"/>
        <v>120</v>
      </c>
      <c r="I133" s="14" t="s">
        <v>4173</v>
      </c>
      <c r="J133" s="75">
        <v>170</v>
      </c>
      <c r="K133" s="75"/>
      <c r="L133" s="14"/>
      <c r="M133" s="75"/>
      <c r="N133" s="14"/>
      <c r="O133" s="14"/>
    </row>
    <row r="134" spans="1:15" x14ac:dyDescent="0.25">
      <c r="A134" s="86">
        <v>45625</v>
      </c>
      <c r="B134" s="55" t="s">
        <v>3993</v>
      </c>
      <c r="C134" s="55" t="s">
        <v>43</v>
      </c>
      <c r="D134" s="75">
        <f t="shared" si="8"/>
        <v>195.45454545454544</v>
      </c>
      <c r="E134" s="75">
        <f t="shared" si="6"/>
        <v>19.545454545454547</v>
      </c>
      <c r="F134" s="75">
        <v>215</v>
      </c>
      <c r="G134" s="75">
        <v>50</v>
      </c>
      <c r="H134" s="58">
        <f t="shared" si="7"/>
        <v>165</v>
      </c>
      <c r="I134" s="14" t="s">
        <v>4174</v>
      </c>
      <c r="J134" s="75">
        <v>170</v>
      </c>
      <c r="K134" s="75"/>
      <c r="L134" s="14"/>
      <c r="M134" s="75">
        <v>45</v>
      </c>
      <c r="N134" s="14" t="s">
        <v>45</v>
      </c>
      <c r="O134" s="14"/>
    </row>
    <row r="135" spans="1:15" x14ac:dyDescent="0.25">
      <c r="A135" s="86">
        <v>45625</v>
      </c>
      <c r="B135" s="55" t="s">
        <v>3994</v>
      </c>
      <c r="C135" s="55" t="s">
        <v>43</v>
      </c>
      <c r="D135" s="75">
        <f t="shared" si="8"/>
        <v>154.54545454545453</v>
      </c>
      <c r="E135" s="75">
        <f t="shared" si="6"/>
        <v>15.454545454545453</v>
      </c>
      <c r="F135" s="75">
        <v>170</v>
      </c>
      <c r="G135" s="75">
        <v>50</v>
      </c>
      <c r="H135" s="58">
        <f t="shared" si="7"/>
        <v>120</v>
      </c>
      <c r="I135" s="14" t="s">
        <v>4175</v>
      </c>
      <c r="J135" s="75">
        <v>170</v>
      </c>
      <c r="K135" s="75"/>
      <c r="L135" s="14"/>
      <c r="M135" s="75"/>
      <c r="N135" s="14"/>
      <c r="O135" s="14"/>
    </row>
    <row r="136" spans="1:15" x14ac:dyDescent="0.25">
      <c r="A136" s="86">
        <v>45625</v>
      </c>
      <c r="B136" s="55" t="s">
        <v>3995</v>
      </c>
      <c r="C136" s="55" t="s">
        <v>43</v>
      </c>
      <c r="D136" s="75">
        <f t="shared" si="8"/>
        <v>172.72727272727272</v>
      </c>
      <c r="E136" s="75">
        <f t="shared" si="6"/>
        <v>17.272727272727273</v>
      </c>
      <c r="F136" s="75">
        <v>190</v>
      </c>
      <c r="G136" s="75">
        <v>50</v>
      </c>
      <c r="H136" s="58">
        <f t="shared" si="7"/>
        <v>140</v>
      </c>
      <c r="I136" s="14" t="s">
        <v>4176</v>
      </c>
      <c r="J136" s="75">
        <v>170</v>
      </c>
      <c r="K136" s="75">
        <v>20</v>
      </c>
      <c r="L136" s="14" t="s">
        <v>252</v>
      </c>
      <c r="M136" s="75"/>
      <c r="N136" s="14"/>
      <c r="O136" s="14"/>
    </row>
    <row r="137" spans="1:15" x14ac:dyDescent="0.25">
      <c r="A137" s="86">
        <v>45625</v>
      </c>
      <c r="B137" s="55" t="s">
        <v>3996</v>
      </c>
      <c r="C137" s="55" t="s">
        <v>43</v>
      </c>
      <c r="D137" s="75">
        <f t="shared" si="8"/>
        <v>195.45454545454544</v>
      </c>
      <c r="E137" s="75">
        <f t="shared" si="6"/>
        <v>19.545454545454547</v>
      </c>
      <c r="F137" s="75">
        <v>215</v>
      </c>
      <c r="G137" s="75">
        <v>50</v>
      </c>
      <c r="H137" s="58">
        <f t="shared" si="7"/>
        <v>165</v>
      </c>
      <c r="I137" s="14" t="s">
        <v>4177</v>
      </c>
      <c r="J137" s="75">
        <v>170</v>
      </c>
      <c r="K137" s="75"/>
      <c r="L137" s="14"/>
      <c r="M137" s="75">
        <v>45</v>
      </c>
      <c r="N137" s="14" t="s">
        <v>45</v>
      </c>
      <c r="O137" s="14"/>
    </row>
    <row r="138" spans="1:15" x14ac:dyDescent="0.25">
      <c r="A138" s="86">
        <v>45625</v>
      </c>
      <c r="B138" s="55" t="s">
        <v>3997</v>
      </c>
      <c r="C138" s="55" t="s">
        <v>43</v>
      </c>
      <c r="D138" s="75">
        <f t="shared" si="8"/>
        <v>172.72727272727272</v>
      </c>
      <c r="E138" s="75">
        <f t="shared" si="6"/>
        <v>17.272727272727273</v>
      </c>
      <c r="F138" s="75">
        <v>190</v>
      </c>
      <c r="G138" s="75">
        <v>50</v>
      </c>
      <c r="H138" s="58">
        <f t="shared" si="7"/>
        <v>140</v>
      </c>
      <c r="I138" s="14" t="s">
        <v>4178</v>
      </c>
      <c r="J138" s="75">
        <v>170</v>
      </c>
      <c r="K138" s="75">
        <v>20</v>
      </c>
      <c r="L138" s="14" t="s">
        <v>252</v>
      </c>
      <c r="M138" s="75"/>
      <c r="N138" s="14"/>
      <c r="O138" s="14"/>
    </row>
    <row r="139" spans="1:15" x14ac:dyDescent="0.25">
      <c r="A139" s="86">
        <v>45625</v>
      </c>
      <c r="B139" s="55" t="s">
        <v>3998</v>
      </c>
      <c r="C139" s="55" t="s">
        <v>43</v>
      </c>
      <c r="D139" s="75">
        <f t="shared" si="8"/>
        <v>163.63636363636363</v>
      </c>
      <c r="E139" s="75">
        <f t="shared" si="6"/>
        <v>16.363636363636363</v>
      </c>
      <c r="F139" s="75">
        <v>180</v>
      </c>
      <c r="G139" s="75">
        <v>50</v>
      </c>
      <c r="H139" s="58">
        <f t="shared" si="7"/>
        <v>130</v>
      </c>
      <c r="I139" s="14" t="s">
        <v>4179</v>
      </c>
      <c r="J139" s="75">
        <v>180</v>
      </c>
      <c r="K139" s="75"/>
      <c r="L139" s="14"/>
      <c r="M139" s="75"/>
      <c r="N139" s="14"/>
      <c r="O139" s="14"/>
    </row>
    <row r="140" spans="1:15" x14ac:dyDescent="0.25">
      <c r="A140" s="86">
        <v>45625</v>
      </c>
      <c r="B140" s="55" t="s">
        <v>3999</v>
      </c>
      <c r="C140" s="55" t="s">
        <v>43</v>
      </c>
      <c r="D140" s="75">
        <f t="shared" si="8"/>
        <v>199.99999999999997</v>
      </c>
      <c r="E140" s="75">
        <f t="shared" si="6"/>
        <v>19.999999999999996</v>
      </c>
      <c r="F140" s="75">
        <v>220</v>
      </c>
      <c r="G140" s="75"/>
      <c r="H140" s="58">
        <f t="shared" si="7"/>
        <v>220</v>
      </c>
      <c r="I140" s="14" t="s">
        <v>603</v>
      </c>
      <c r="J140" s="75">
        <v>220</v>
      </c>
      <c r="K140" s="75"/>
      <c r="L140" s="14"/>
      <c r="M140" s="75"/>
      <c r="N140" s="14"/>
      <c r="O140" s="14"/>
    </row>
    <row r="141" spans="1:15" x14ac:dyDescent="0.25">
      <c r="A141" s="86">
        <v>45625</v>
      </c>
      <c r="B141" s="55" t="s">
        <v>4000</v>
      </c>
      <c r="C141" s="55" t="s">
        <v>43</v>
      </c>
      <c r="D141" s="75">
        <f t="shared" si="8"/>
        <v>181.81818181818181</v>
      </c>
      <c r="E141" s="75">
        <f t="shared" si="6"/>
        <v>18.18181818181818</v>
      </c>
      <c r="F141" s="75">
        <v>200</v>
      </c>
      <c r="G141" s="75"/>
      <c r="H141" s="58">
        <f t="shared" si="7"/>
        <v>200</v>
      </c>
      <c r="I141" s="14" t="s">
        <v>603</v>
      </c>
      <c r="J141" s="75">
        <v>200</v>
      </c>
      <c r="K141" s="75"/>
      <c r="L141" s="14"/>
      <c r="M141" s="75"/>
      <c r="N141" s="14"/>
      <c r="O141" s="14"/>
    </row>
    <row r="142" spans="1:15" x14ac:dyDescent="0.25">
      <c r="A142" s="86">
        <v>45625</v>
      </c>
      <c r="B142" s="55" t="s">
        <v>4001</v>
      </c>
      <c r="C142" s="55" t="s">
        <v>43</v>
      </c>
      <c r="D142" s="75">
        <f t="shared" si="8"/>
        <v>199.99999999999997</v>
      </c>
      <c r="E142" s="75">
        <f t="shared" si="6"/>
        <v>19.999999999999996</v>
      </c>
      <c r="F142" s="75">
        <v>220</v>
      </c>
      <c r="G142" s="75">
        <v>50</v>
      </c>
      <c r="H142" s="58">
        <f t="shared" si="7"/>
        <v>170</v>
      </c>
      <c r="I142" s="14" t="s">
        <v>4180</v>
      </c>
      <c r="J142" s="75">
        <v>220</v>
      </c>
      <c r="K142" s="75"/>
      <c r="L142" s="14"/>
      <c r="M142" s="75"/>
      <c r="N142" s="14"/>
      <c r="O142" s="14"/>
    </row>
    <row r="143" spans="1:15" x14ac:dyDescent="0.25">
      <c r="A143" s="86">
        <v>45626</v>
      </c>
      <c r="B143" s="55" t="s">
        <v>4002</v>
      </c>
      <c r="C143" s="55" t="s">
        <v>43</v>
      </c>
      <c r="D143" s="75">
        <f t="shared" si="8"/>
        <v>272.72727272727269</v>
      </c>
      <c r="E143" s="75">
        <f t="shared" si="6"/>
        <v>27.27272727272727</v>
      </c>
      <c r="F143" s="75">
        <v>300</v>
      </c>
      <c r="G143" s="75">
        <v>50</v>
      </c>
      <c r="H143" s="58">
        <f t="shared" si="7"/>
        <v>250</v>
      </c>
      <c r="I143" s="14" t="s">
        <v>4181</v>
      </c>
      <c r="J143" s="75">
        <v>270</v>
      </c>
      <c r="K143" s="75">
        <v>30</v>
      </c>
      <c r="L143" s="14" t="s">
        <v>252</v>
      </c>
      <c r="M143" s="75"/>
      <c r="N143" s="14"/>
      <c r="O143" s="14"/>
    </row>
    <row r="144" spans="1:15" x14ac:dyDescent="0.25">
      <c r="A144" s="86">
        <v>45626</v>
      </c>
      <c r="B144" s="55" t="s">
        <v>4003</v>
      </c>
      <c r="C144" s="55" t="s">
        <v>43</v>
      </c>
      <c r="D144" s="75">
        <f t="shared" si="8"/>
        <v>227.27272727272725</v>
      </c>
      <c r="E144" s="75">
        <f t="shared" si="6"/>
        <v>22.727272727272727</v>
      </c>
      <c r="F144" s="75">
        <v>250</v>
      </c>
      <c r="G144" s="75">
        <v>50</v>
      </c>
      <c r="H144" s="58">
        <f t="shared" si="7"/>
        <v>200</v>
      </c>
      <c r="I144" s="14" t="s">
        <v>4182</v>
      </c>
      <c r="J144" s="75">
        <v>220</v>
      </c>
      <c r="K144" s="75">
        <v>30</v>
      </c>
      <c r="L144" s="14" t="s">
        <v>252</v>
      </c>
      <c r="M144" s="75"/>
      <c r="N144" s="14"/>
      <c r="O144" s="14"/>
    </row>
    <row r="145" spans="1:15" x14ac:dyDescent="0.25">
      <c r="A145" s="86">
        <v>45626</v>
      </c>
      <c r="B145" s="55" t="s">
        <v>4004</v>
      </c>
      <c r="C145" s="55" t="s">
        <v>43</v>
      </c>
      <c r="D145" s="75">
        <f t="shared" si="8"/>
        <v>263.63636363636363</v>
      </c>
      <c r="E145" s="75">
        <f t="shared" si="6"/>
        <v>26.36363636363636</v>
      </c>
      <c r="F145" s="75">
        <v>290</v>
      </c>
      <c r="G145" s="75">
        <v>50</v>
      </c>
      <c r="H145" s="58">
        <f t="shared" si="7"/>
        <v>240</v>
      </c>
      <c r="I145" s="14" t="s">
        <v>4183</v>
      </c>
      <c r="J145" s="75">
        <v>270</v>
      </c>
      <c r="K145" s="75">
        <v>20</v>
      </c>
      <c r="L145" s="14" t="s">
        <v>252</v>
      </c>
      <c r="M145" s="75"/>
      <c r="N145" s="14"/>
      <c r="O145" s="14"/>
    </row>
    <row r="146" spans="1:15" x14ac:dyDescent="0.25">
      <c r="A146" s="86">
        <v>45626</v>
      </c>
      <c r="B146" s="55" t="s">
        <v>4005</v>
      </c>
      <c r="C146" s="55" t="s">
        <v>43</v>
      </c>
      <c r="D146" s="75">
        <f t="shared" si="8"/>
        <v>245.45454545454544</v>
      </c>
      <c r="E146" s="75">
        <f t="shared" si="6"/>
        <v>24.545454545454547</v>
      </c>
      <c r="F146" s="75">
        <v>270</v>
      </c>
      <c r="G146" s="75">
        <v>50</v>
      </c>
      <c r="H146" s="58">
        <f t="shared" si="7"/>
        <v>220</v>
      </c>
      <c r="I146" s="14" t="s">
        <v>4184</v>
      </c>
      <c r="J146" s="75">
        <v>270</v>
      </c>
      <c r="K146" s="75"/>
      <c r="L146" s="14"/>
      <c r="M146" s="75"/>
      <c r="N146" s="14"/>
      <c r="O146" s="14"/>
    </row>
    <row r="147" spans="1:15" x14ac:dyDescent="0.25">
      <c r="A147" s="86">
        <v>45626</v>
      </c>
      <c r="B147" s="55" t="s">
        <v>4006</v>
      </c>
      <c r="C147" s="55" t="s">
        <v>43</v>
      </c>
      <c r="D147" s="75">
        <f t="shared" si="8"/>
        <v>245.45454545454544</v>
      </c>
      <c r="E147" s="75">
        <f t="shared" si="6"/>
        <v>24.545454545454547</v>
      </c>
      <c r="F147" s="75">
        <v>270</v>
      </c>
      <c r="G147" s="75">
        <v>50</v>
      </c>
      <c r="H147" s="58">
        <f t="shared" si="7"/>
        <v>220</v>
      </c>
      <c r="I147" s="14" t="s">
        <v>4185</v>
      </c>
      <c r="J147" s="75">
        <v>270</v>
      </c>
      <c r="K147" s="75"/>
      <c r="L147" s="14"/>
      <c r="M147" s="75"/>
      <c r="N147" s="14"/>
      <c r="O147" s="14"/>
    </row>
    <row r="148" spans="1:15" x14ac:dyDescent="0.25">
      <c r="A148" s="86">
        <v>45626</v>
      </c>
      <c r="B148" s="55" t="s">
        <v>4007</v>
      </c>
      <c r="C148" s="55" t="s">
        <v>43</v>
      </c>
      <c r="D148" s="75">
        <f t="shared" si="8"/>
        <v>172.72727272727272</v>
      </c>
      <c r="E148" s="75">
        <f t="shared" si="6"/>
        <v>17.272727272727273</v>
      </c>
      <c r="F148" s="75">
        <v>190</v>
      </c>
      <c r="G148" s="75"/>
      <c r="H148" s="58">
        <f t="shared" si="7"/>
        <v>190</v>
      </c>
      <c r="I148" s="14" t="s">
        <v>4186</v>
      </c>
      <c r="J148" s="75">
        <v>190</v>
      </c>
      <c r="K148" s="75"/>
      <c r="L148" s="14"/>
      <c r="M148" s="75"/>
      <c r="N148" s="14"/>
      <c r="O148" s="14"/>
    </row>
    <row r="149" spans="1:15" x14ac:dyDescent="0.25">
      <c r="A149" s="86">
        <v>45626</v>
      </c>
      <c r="B149" s="55" t="s">
        <v>4199</v>
      </c>
      <c r="C149" s="55" t="s">
        <v>43</v>
      </c>
      <c r="D149" s="146">
        <f t="shared" si="8"/>
        <v>199.99999999999997</v>
      </c>
      <c r="E149" s="146">
        <f t="shared" si="6"/>
        <v>19.999999999999996</v>
      </c>
      <c r="F149" s="146">
        <v>220</v>
      </c>
      <c r="G149" s="146">
        <v>50</v>
      </c>
      <c r="H149" s="267">
        <f t="shared" si="7"/>
        <v>170</v>
      </c>
      <c r="I149" s="14" t="s">
        <v>4188</v>
      </c>
      <c r="J149" s="146">
        <v>220</v>
      </c>
      <c r="K149" s="14"/>
      <c r="L149" s="14"/>
      <c r="M149" s="14"/>
      <c r="N149" s="14"/>
      <c r="O149" s="14"/>
    </row>
    <row r="150" spans="1:15" x14ac:dyDescent="0.25">
      <c r="A150" s="86">
        <v>45626</v>
      </c>
      <c r="B150" s="55" t="s">
        <v>4200</v>
      </c>
      <c r="C150" s="55" t="s">
        <v>43</v>
      </c>
      <c r="D150" s="146">
        <f t="shared" si="8"/>
        <v>172.72727272727272</v>
      </c>
      <c r="E150" s="146">
        <f t="shared" si="6"/>
        <v>17.272727272727273</v>
      </c>
      <c r="F150" s="146">
        <v>190</v>
      </c>
      <c r="G150" s="14"/>
      <c r="H150" s="267">
        <f t="shared" si="7"/>
        <v>190</v>
      </c>
      <c r="I150" s="14" t="s">
        <v>4187</v>
      </c>
      <c r="J150" s="146">
        <v>190</v>
      </c>
      <c r="K150" s="14"/>
      <c r="L150" s="14"/>
      <c r="M150" s="14"/>
      <c r="N150" s="14"/>
      <c r="O150" s="14"/>
    </row>
    <row r="151" spans="1:15" x14ac:dyDescent="0.25">
      <c r="A151" s="86">
        <v>45626</v>
      </c>
      <c r="B151" s="55" t="s">
        <v>4201</v>
      </c>
      <c r="C151" s="55" t="s">
        <v>43</v>
      </c>
      <c r="D151" s="146">
        <f t="shared" si="8"/>
        <v>472.72727272727269</v>
      </c>
      <c r="E151" s="146">
        <f t="shared" si="6"/>
        <v>47.272727272727273</v>
      </c>
      <c r="F151" s="146">
        <v>520</v>
      </c>
      <c r="G151" s="146">
        <v>50</v>
      </c>
      <c r="H151" s="267">
        <f t="shared" si="7"/>
        <v>470</v>
      </c>
      <c r="I151" s="14" t="s">
        <v>4189</v>
      </c>
      <c r="J151" s="146">
        <v>520</v>
      </c>
      <c r="K151" s="14"/>
      <c r="L151" s="14"/>
      <c r="M151" s="14"/>
      <c r="N151" s="14"/>
      <c r="O151" s="14"/>
    </row>
    <row r="152" spans="1:15" x14ac:dyDescent="0.25">
      <c r="A152" s="86">
        <v>45626</v>
      </c>
      <c r="B152" s="55" t="s">
        <v>4202</v>
      </c>
      <c r="C152" s="55" t="s">
        <v>43</v>
      </c>
      <c r="D152" s="146">
        <f t="shared" si="8"/>
        <v>199.99999999999997</v>
      </c>
      <c r="E152" s="146">
        <f t="shared" si="6"/>
        <v>19.999999999999996</v>
      </c>
      <c r="F152" s="146">
        <v>220</v>
      </c>
      <c r="G152" s="146">
        <v>50</v>
      </c>
      <c r="H152" s="267">
        <f t="shared" si="7"/>
        <v>170</v>
      </c>
      <c r="I152" s="14" t="s">
        <v>4190</v>
      </c>
      <c r="J152" s="146">
        <v>170</v>
      </c>
      <c r="K152" s="146">
        <v>50</v>
      </c>
      <c r="L152" s="14" t="s">
        <v>252</v>
      </c>
      <c r="M152" s="14"/>
      <c r="N152" s="14"/>
      <c r="O152" s="14"/>
    </row>
    <row r="153" spans="1:15" x14ac:dyDescent="0.25">
      <c r="A153" s="86">
        <v>45626</v>
      </c>
      <c r="B153" s="55" t="s">
        <v>4203</v>
      </c>
      <c r="C153" s="55" t="s">
        <v>43</v>
      </c>
      <c r="D153" s="146">
        <f t="shared" si="8"/>
        <v>127.27272727272727</v>
      </c>
      <c r="E153" s="146">
        <f t="shared" si="6"/>
        <v>12.727272727272727</v>
      </c>
      <c r="F153" s="146">
        <v>140</v>
      </c>
      <c r="G153" s="146">
        <v>83</v>
      </c>
      <c r="H153" s="267">
        <f t="shared" si="7"/>
        <v>57</v>
      </c>
      <c r="I153" s="14" t="s">
        <v>4191</v>
      </c>
      <c r="J153" s="146">
        <v>140</v>
      </c>
      <c r="K153" s="14"/>
      <c r="L153" s="14"/>
      <c r="M153" s="14"/>
      <c r="N153" s="14"/>
      <c r="O153" s="14"/>
    </row>
    <row r="154" spans="1:15" x14ac:dyDescent="0.25">
      <c r="A154" s="86">
        <v>45626</v>
      </c>
      <c r="B154" s="55" t="s">
        <v>4204</v>
      </c>
      <c r="C154" s="55" t="s">
        <v>43</v>
      </c>
      <c r="D154" s="146">
        <f t="shared" si="8"/>
        <v>190.90909090909091</v>
      </c>
      <c r="E154" s="146">
        <f t="shared" si="6"/>
        <v>19.09090909090909</v>
      </c>
      <c r="F154" s="146">
        <v>210</v>
      </c>
      <c r="G154" s="146">
        <v>50</v>
      </c>
      <c r="H154" s="267">
        <f t="shared" si="7"/>
        <v>160</v>
      </c>
      <c r="I154" s="14" t="s">
        <v>4192</v>
      </c>
      <c r="J154" s="146">
        <v>170</v>
      </c>
      <c r="K154" s="146">
        <v>40</v>
      </c>
      <c r="L154" s="14" t="s">
        <v>252</v>
      </c>
      <c r="M154" s="14"/>
      <c r="N154" s="14"/>
      <c r="O154" s="14"/>
    </row>
    <row r="155" spans="1:15" x14ac:dyDescent="0.25">
      <c r="A155" s="86">
        <v>45626</v>
      </c>
      <c r="B155" s="55" t="s">
        <v>4205</v>
      </c>
      <c r="C155" s="55" t="s">
        <v>43</v>
      </c>
      <c r="D155" s="146">
        <f t="shared" si="8"/>
        <v>127.27272727272727</v>
      </c>
      <c r="E155" s="146">
        <f t="shared" si="6"/>
        <v>12.727272727272727</v>
      </c>
      <c r="F155" s="146">
        <v>140</v>
      </c>
      <c r="G155" s="146">
        <v>50</v>
      </c>
      <c r="H155" s="267">
        <f t="shared" si="7"/>
        <v>90</v>
      </c>
      <c r="I155" s="14" t="s">
        <v>4193</v>
      </c>
      <c r="J155" s="146">
        <v>140</v>
      </c>
      <c r="K155" s="14"/>
      <c r="L155" s="14"/>
      <c r="M155" s="14"/>
      <c r="N155" s="14"/>
      <c r="O155" s="14"/>
    </row>
    <row r="156" spans="1:15" x14ac:dyDescent="0.25">
      <c r="A156" s="86">
        <v>45626</v>
      </c>
      <c r="B156" s="55" t="s">
        <v>4206</v>
      </c>
      <c r="C156" s="55" t="s">
        <v>43</v>
      </c>
      <c r="D156" s="146">
        <f t="shared" si="8"/>
        <v>154.54545454545453</v>
      </c>
      <c r="E156" s="146">
        <f t="shared" si="6"/>
        <v>15.454545454545453</v>
      </c>
      <c r="F156" s="146">
        <v>170</v>
      </c>
      <c r="G156" s="146">
        <v>50</v>
      </c>
      <c r="H156" s="267">
        <f t="shared" si="7"/>
        <v>120</v>
      </c>
      <c r="I156" s="14" t="s">
        <v>4194</v>
      </c>
      <c r="J156" s="146">
        <v>170</v>
      </c>
      <c r="K156" s="14"/>
      <c r="L156" s="14"/>
      <c r="M156" s="14"/>
      <c r="N156" s="14"/>
      <c r="O156" s="14"/>
    </row>
    <row r="157" spans="1:15" x14ac:dyDescent="0.25">
      <c r="A157" s="86">
        <v>45626</v>
      </c>
      <c r="B157" s="55" t="s">
        <v>4207</v>
      </c>
      <c r="C157" s="55" t="s">
        <v>43</v>
      </c>
      <c r="D157" s="146">
        <f t="shared" si="8"/>
        <v>154.54545454545453</v>
      </c>
      <c r="E157" s="146">
        <f t="shared" si="6"/>
        <v>15.454545454545453</v>
      </c>
      <c r="F157" s="146">
        <v>170</v>
      </c>
      <c r="G157" s="146">
        <v>50</v>
      </c>
      <c r="H157" s="267">
        <f t="shared" si="7"/>
        <v>120</v>
      </c>
      <c r="I157" s="14" t="s">
        <v>4195</v>
      </c>
      <c r="J157" s="146">
        <v>170</v>
      </c>
      <c r="K157" s="14"/>
      <c r="L157" s="14"/>
      <c r="M157" s="14"/>
      <c r="N157" s="14"/>
      <c r="O157" s="14"/>
    </row>
    <row r="158" spans="1:15" x14ac:dyDescent="0.25">
      <c r="A158" s="86">
        <v>45626</v>
      </c>
      <c r="B158" s="55" t="s">
        <v>4208</v>
      </c>
      <c r="C158" s="55" t="s">
        <v>43</v>
      </c>
      <c r="D158" s="146">
        <f t="shared" si="8"/>
        <v>190.90909090909091</v>
      </c>
      <c r="E158" s="146">
        <f t="shared" si="6"/>
        <v>19.09090909090909</v>
      </c>
      <c r="F158" s="146">
        <v>210</v>
      </c>
      <c r="G158" s="146">
        <v>50</v>
      </c>
      <c r="H158" s="267">
        <f t="shared" si="7"/>
        <v>160</v>
      </c>
      <c r="I158" s="14" t="s">
        <v>4196</v>
      </c>
      <c r="J158" s="146">
        <v>170</v>
      </c>
      <c r="K158" s="146">
        <v>40</v>
      </c>
      <c r="L158" s="14" t="s">
        <v>252</v>
      </c>
      <c r="M158" s="14"/>
      <c r="N158" s="14"/>
      <c r="O158" s="14"/>
    </row>
    <row r="159" spans="1:15" x14ac:dyDescent="0.25">
      <c r="A159" s="86">
        <v>45626</v>
      </c>
      <c r="B159" s="55" t="s">
        <v>4209</v>
      </c>
      <c r="C159" s="55" t="s">
        <v>43</v>
      </c>
      <c r="D159" s="146">
        <f t="shared" si="8"/>
        <v>222.72727272727272</v>
      </c>
      <c r="E159" s="146">
        <f t="shared" si="6"/>
        <v>22.27272727272727</v>
      </c>
      <c r="F159" s="146">
        <v>245</v>
      </c>
      <c r="G159" s="146">
        <v>50</v>
      </c>
      <c r="H159" s="267">
        <f t="shared" si="7"/>
        <v>195</v>
      </c>
      <c r="I159" s="14" t="s">
        <v>4197</v>
      </c>
      <c r="J159" s="146">
        <v>220</v>
      </c>
      <c r="K159" s="146">
        <v>15</v>
      </c>
      <c r="L159" s="14" t="s">
        <v>252</v>
      </c>
      <c r="M159" s="14"/>
      <c r="N159" s="14"/>
      <c r="O159" s="14"/>
    </row>
    <row r="160" spans="1:15" x14ac:dyDescent="0.25">
      <c r="A160" s="86">
        <v>45626</v>
      </c>
      <c r="B160" s="55" t="s">
        <v>4210</v>
      </c>
      <c r="C160" s="55" t="s">
        <v>43</v>
      </c>
      <c r="D160" s="146">
        <f t="shared" si="8"/>
        <v>281.81818181818181</v>
      </c>
      <c r="E160" s="146">
        <f t="shared" si="6"/>
        <v>28.18181818181818</v>
      </c>
      <c r="F160" s="146">
        <v>310</v>
      </c>
      <c r="G160" s="146">
        <v>50</v>
      </c>
      <c r="H160" s="267">
        <f t="shared" si="7"/>
        <v>260</v>
      </c>
      <c r="I160" s="14" t="s">
        <v>4198</v>
      </c>
      <c r="J160" s="146">
        <v>270</v>
      </c>
      <c r="K160" s="146">
        <v>40</v>
      </c>
      <c r="L160" s="14" t="s">
        <v>252</v>
      </c>
      <c r="M160" s="14"/>
      <c r="N160" s="14"/>
      <c r="O160" s="14"/>
    </row>
    <row r="161" spans="1:7" x14ac:dyDescent="0.25">
      <c r="A161" s="38"/>
      <c r="G161" s="175">
        <f>SUM(G3:G160)</f>
        <v>6238</v>
      </c>
    </row>
    <row r="162" spans="1:7" x14ac:dyDescent="0.25">
      <c r="A162" s="38"/>
    </row>
    <row r="163" spans="1:7" x14ac:dyDescent="0.25">
      <c r="A163" s="38"/>
    </row>
    <row r="164" spans="1:7" x14ac:dyDescent="0.25">
      <c r="A164" s="38"/>
    </row>
  </sheetData>
  <mergeCells count="14">
    <mergeCell ref="N1:N2"/>
    <mergeCell ref="O1:O2"/>
    <mergeCell ref="G1:H1"/>
    <mergeCell ref="I1:I2"/>
    <mergeCell ref="J1:J2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26FC-CA9A-4277-8EAB-D95622CFE4D4}">
  <dimension ref="A1:O120"/>
  <sheetViews>
    <sheetView topLeftCell="A76" workbookViewId="0">
      <selection activeCell="I95" sqref="I95"/>
    </sheetView>
  </sheetViews>
  <sheetFormatPr baseColWidth="10" defaultRowHeight="15" x14ac:dyDescent="0.25"/>
  <cols>
    <col min="2" max="2" width="34.85546875" customWidth="1"/>
    <col min="3" max="3" width="32.28515625" customWidth="1"/>
    <col min="5" max="5" width="43.5703125" customWidth="1"/>
    <col min="6" max="6" width="12" bestFit="1" customWidth="1"/>
    <col min="11" max="11" width="16" customWidth="1"/>
  </cols>
  <sheetData>
    <row r="1" spans="1:13" x14ac:dyDescent="0.25">
      <c r="A1" t="s">
        <v>0</v>
      </c>
      <c r="B1" s="1">
        <v>45627</v>
      </c>
    </row>
    <row r="3" spans="1:13" ht="30" x14ac:dyDescent="0.2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3" x14ac:dyDescent="0.25">
      <c r="A4" s="208">
        <v>45627</v>
      </c>
      <c r="B4" s="209" t="s">
        <v>4034</v>
      </c>
      <c r="C4" s="230" t="s">
        <v>12</v>
      </c>
      <c r="D4" s="210" t="s">
        <v>13</v>
      </c>
      <c r="E4" s="211" t="s">
        <v>14</v>
      </c>
      <c r="F4" s="212">
        <v>1650</v>
      </c>
      <c r="G4" s="212"/>
      <c r="H4" s="212"/>
      <c r="I4" s="251">
        <f>G4+H4</f>
        <v>0</v>
      </c>
      <c r="J4" s="305"/>
      <c r="K4" s="251">
        <f>F4+I4-J4</f>
        <v>1650</v>
      </c>
      <c r="L4" t="s">
        <v>41</v>
      </c>
    </row>
    <row r="5" spans="1:13" ht="15" customHeight="1" x14ac:dyDescent="0.25">
      <c r="A5" s="306">
        <v>45627</v>
      </c>
      <c r="B5" s="253" t="s">
        <v>4382</v>
      </c>
      <c r="C5" s="253" t="s">
        <v>4383</v>
      </c>
      <c r="D5" s="253" t="s">
        <v>16</v>
      </c>
      <c r="E5" s="253" t="s">
        <v>17</v>
      </c>
      <c r="F5" s="253">
        <v>52.31</v>
      </c>
      <c r="G5" s="253">
        <v>10.99</v>
      </c>
      <c r="H5" s="253"/>
      <c r="I5" s="251">
        <f t="shared" ref="I5:I68" si="0">G5+H5</f>
        <v>10.99</v>
      </c>
      <c r="J5" s="253"/>
      <c r="K5" s="251">
        <f t="shared" ref="K5:K68" si="1">F5+I5-J5</f>
        <v>63.300000000000004</v>
      </c>
      <c r="L5" t="s">
        <v>42</v>
      </c>
    </row>
    <row r="6" spans="1:13" ht="15" customHeight="1" x14ac:dyDescent="0.25">
      <c r="A6" s="306">
        <v>45629</v>
      </c>
      <c r="B6" s="307" t="s">
        <v>4384</v>
      </c>
      <c r="C6" s="253" t="s">
        <v>2193</v>
      </c>
      <c r="D6" s="253" t="s">
        <v>271</v>
      </c>
      <c r="E6" s="253" t="s">
        <v>17</v>
      </c>
      <c r="F6" s="253">
        <v>47.07</v>
      </c>
      <c r="G6" s="253">
        <v>9.89</v>
      </c>
      <c r="H6" s="253"/>
      <c r="I6" s="251">
        <f t="shared" si="0"/>
        <v>9.89</v>
      </c>
      <c r="J6" s="253"/>
      <c r="K6" s="251">
        <f t="shared" si="1"/>
        <v>56.96</v>
      </c>
      <c r="L6" t="s">
        <v>267</v>
      </c>
    </row>
    <row r="7" spans="1:13" ht="15" customHeight="1" x14ac:dyDescent="0.25">
      <c r="A7" s="306">
        <v>45629</v>
      </c>
      <c r="B7" s="307" t="s">
        <v>4385</v>
      </c>
      <c r="C7" s="253" t="s">
        <v>2193</v>
      </c>
      <c r="D7" s="253" t="s">
        <v>271</v>
      </c>
      <c r="E7" s="253" t="s">
        <v>17</v>
      </c>
      <c r="F7" s="253">
        <v>41.32</v>
      </c>
      <c r="G7" s="253">
        <v>8.68</v>
      </c>
      <c r="H7" s="253"/>
      <c r="I7" s="251">
        <f t="shared" si="0"/>
        <v>8.68</v>
      </c>
      <c r="J7" s="253"/>
      <c r="K7" s="251">
        <f t="shared" si="1"/>
        <v>50</v>
      </c>
      <c r="L7" t="s">
        <v>267</v>
      </c>
    </row>
    <row r="8" spans="1:13" ht="15" customHeight="1" x14ac:dyDescent="0.25">
      <c r="A8" s="306">
        <v>45631</v>
      </c>
      <c r="B8" s="307">
        <v>102921</v>
      </c>
      <c r="C8" s="253" t="s">
        <v>4443</v>
      </c>
      <c r="D8" s="214" t="s">
        <v>401</v>
      </c>
      <c r="E8" s="214" t="s">
        <v>578</v>
      </c>
      <c r="F8" s="253">
        <v>46.72</v>
      </c>
      <c r="G8" s="253">
        <v>9.8140000000000001</v>
      </c>
      <c r="H8" s="253"/>
      <c r="I8" s="251">
        <f t="shared" si="0"/>
        <v>9.8140000000000001</v>
      </c>
      <c r="J8" s="253"/>
      <c r="K8" s="251">
        <f t="shared" si="1"/>
        <v>56.533999999999999</v>
      </c>
      <c r="L8" t="s">
        <v>267</v>
      </c>
    </row>
    <row r="9" spans="1:13" ht="15" customHeight="1" x14ac:dyDescent="0.25">
      <c r="A9" s="306">
        <v>45632</v>
      </c>
      <c r="B9" s="307" t="s">
        <v>4444</v>
      </c>
      <c r="C9" s="253" t="s">
        <v>4383</v>
      </c>
      <c r="D9" s="253" t="s">
        <v>16</v>
      </c>
      <c r="E9" s="253" t="s">
        <v>17</v>
      </c>
      <c r="F9" s="253">
        <v>58.21</v>
      </c>
      <c r="G9" s="253">
        <v>12.22</v>
      </c>
      <c r="H9" s="253"/>
      <c r="I9" s="251">
        <f t="shared" si="0"/>
        <v>12.22</v>
      </c>
      <c r="J9" s="253"/>
      <c r="K9" s="251">
        <f t="shared" si="1"/>
        <v>70.430000000000007</v>
      </c>
      <c r="L9" t="s">
        <v>42</v>
      </c>
    </row>
    <row r="10" spans="1:13" ht="15" customHeight="1" x14ac:dyDescent="0.25">
      <c r="A10" s="306">
        <v>45632</v>
      </c>
      <c r="B10" s="307" t="s">
        <v>4445</v>
      </c>
      <c r="C10" s="253" t="s">
        <v>551</v>
      </c>
      <c r="D10" s="253" t="s">
        <v>545</v>
      </c>
      <c r="E10" s="253" t="s">
        <v>17</v>
      </c>
      <c r="F10" s="253">
        <v>71.08</v>
      </c>
      <c r="G10" s="253">
        <v>16.93</v>
      </c>
      <c r="H10" s="253"/>
      <c r="I10" s="251">
        <f t="shared" si="0"/>
        <v>16.93</v>
      </c>
      <c r="J10" s="253"/>
      <c r="K10" s="251">
        <f t="shared" si="1"/>
        <v>88.009999999999991</v>
      </c>
      <c r="L10" t="s">
        <v>42</v>
      </c>
    </row>
    <row r="11" spans="1:13" ht="15" customHeight="1" x14ac:dyDescent="0.25">
      <c r="A11" s="306">
        <v>45633</v>
      </c>
      <c r="B11" s="307" t="s">
        <v>4446</v>
      </c>
      <c r="C11" s="253" t="s">
        <v>4383</v>
      </c>
      <c r="D11" s="253" t="s">
        <v>16</v>
      </c>
      <c r="E11" s="253" t="s">
        <v>17</v>
      </c>
      <c r="F11" s="253">
        <v>43.31</v>
      </c>
      <c r="G11" s="253">
        <v>9.1</v>
      </c>
      <c r="H11" s="253"/>
      <c r="I11" s="251">
        <f t="shared" si="0"/>
        <v>9.1</v>
      </c>
      <c r="J11" s="253"/>
      <c r="K11" s="251">
        <f t="shared" si="1"/>
        <v>52.410000000000004</v>
      </c>
      <c r="L11" t="s">
        <v>42</v>
      </c>
    </row>
    <row r="12" spans="1:13" ht="15" customHeight="1" x14ac:dyDescent="0.25">
      <c r="A12" s="306">
        <v>45636</v>
      </c>
      <c r="B12" s="307" t="s">
        <v>4447</v>
      </c>
      <c r="C12" s="253" t="s">
        <v>3130</v>
      </c>
      <c r="D12" s="253" t="s">
        <v>1870</v>
      </c>
      <c r="E12" s="253" t="s">
        <v>578</v>
      </c>
      <c r="F12" s="200">
        <v>39.020000000000003</v>
      </c>
      <c r="G12" s="200">
        <v>8.19</v>
      </c>
      <c r="H12" s="200"/>
      <c r="I12" s="251">
        <f t="shared" si="0"/>
        <v>8.19</v>
      </c>
      <c r="J12" s="253"/>
      <c r="K12" s="251">
        <f t="shared" si="1"/>
        <v>47.21</v>
      </c>
      <c r="L12" t="s">
        <v>267</v>
      </c>
    </row>
    <row r="13" spans="1:13" ht="15" customHeight="1" x14ac:dyDescent="0.25">
      <c r="A13" s="415">
        <v>45639</v>
      </c>
      <c r="B13" s="417" t="s">
        <v>4448</v>
      </c>
      <c r="C13" s="333" t="s">
        <v>310</v>
      </c>
      <c r="D13" s="333" t="s">
        <v>311</v>
      </c>
      <c r="E13" s="333" t="s">
        <v>4449</v>
      </c>
      <c r="F13" s="278">
        <v>20.079999999999998</v>
      </c>
      <c r="G13" s="278">
        <v>4.22</v>
      </c>
      <c r="H13" s="200"/>
      <c r="I13" s="333">
        <f>G13+H14+H15</f>
        <v>7.0600000000000005</v>
      </c>
      <c r="J13" s="253"/>
      <c r="K13" s="333">
        <f>F13+F14+F15+I13</f>
        <v>56.449999999999996</v>
      </c>
    </row>
    <row r="14" spans="1:13" ht="15" customHeight="1" x14ac:dyDescent="0.25">
      <c r="A14" s="420"/>
      <c r="B14" s="419"/>
      <c r="C14" s="376"/>
      <c r="D14" s="376"/>
      <c r="E14" s="376"/>
      <c r="F14" s="280">
        <v>26.05</v>
      </c>
      <c r="G14" s="280"/>
      <c r="H14" s="290">
        <v>2.6</v>
      </c>
      <c r="I14" s="376"/>
      <c r="J14" s="253"/>
      <c r="K14" s="376"/>
      <c r="L14" t="s">
        <v>267</v>
      </c>
    </row>
    <row r="15" spans="1:13" ht="15" customHeight="1" x14ac:dyDescent="0.25">
      <c r="A15" s="416"/>
      <c r="B15" s="418"/>
      <c r="C15" s="334"/>
      <c r="D15" s="334"/>
      <c r="E15" s="334"/>
      <c r="F15" s="281">
        <v>3.26</v>
      </c>
      <c r="G15" s="281"/>
      <c r="H15" s="308">
        <v>0.24</v>
      </c>
      <c r="I15" s="334"/>
      <c r="J15" s="253"/>
      <c r="K15" s="334"/>
      <c r="M15" s="257">
        <v>-7.4999999999999997E-2</v>
      </c>
    </row>
    <row r="16" spans="1:13" ht="15" customHeight="1" x14ac:dyDescent="0.25">
      <c r="A16" s="306">
        <v>45637</v>
      </c>
      <c r="B16" s="307" t="s">
        <v>4450</v>
      </c>
      <c r="C16" s="253" t="s">
        <v>3130</v>
      </c>
      <c r="D16" s="253" t="s">
        <v>1870</v>
      </c>
      <c r="E16" s="253" t="s">
        <v>402</v>
      </c>
      <c r="F16" s="276">
        <v>3.63</v>
      </c>
      <c r="G16" s="276">
        <v>0.76</v>
      </c>
      <c r="H16" s="276"/>
      <c r="I16" s="251">
        <f t="shared" si="0"/>
        <v>0.76</v>
      </c>
      <c r="J16" s="253"/>
      <c r="K16" s="251">
        <f t="shared" si="1"/>
        <v>4.3899999999999997</v>
      </c>
      <c r="L16" t="s">
        <v>267</v>
      </c>
    </row>
    <row r="17" spans="1:13" ht="15" customHeight="1" x14ac:dyDescent="0.25">
      <c r="A17" s="306">
        <v>45637</v>
      </c>
      <c r="B17" s="307" t="s">
        <v>4451</v>
      </c>
      <c r="C17" s="253" t="s">
        <v>3130</v>
      </c>
      <c r="D17" s="253" t="s">
        <v>1870</v>
      </c>
      <c r="E17" s="253" t="s">
        <v>402</v>
      </c>
      <c r="F17" s="253">
        <v>9.25</v>
      </c>
      <c r="G17" s="253">
        <v>1.94</v>
      </c>
      <c r="H17" s="253"/>
      <c r="I17" s="251">
        <f t="shared" si="0"/>
        <v>1.94</v>
      </c>
      <c r="J17" s="253"/>
      <c r="K17" s="251">
        <f t="shared" si="1"/>
        <v>11.19</v>
      </c>
      <c r="L17" t="s">
        <v>267</v>
      </c>
    </row>
    <row r="18" spans="1:13" ht="15" customHeight="1" x14ac:dyDescent="0.25">
      <c r="A18" s="306">
        <v>45639</v>
      </c>
      <c r="B18" s="307" t="s">
        <v>4452</v>
      </c>
      <c r="C18" s="253" t="s">
        <v>4453</v>
      </c>
      <c r="D18" s="253" t="s">
        <v>21</v>
      </c>
      <c r="E18" s="253" t="s">
        <v>266</v>
      </c>
      <c r="F18" s="253">
        <v>238.44</v>
      </c>
      <c r="G18" s="253">
        <v>50.07</v>
      </c>
      <c r="H18" s="253"/>
      <c r="I18" s="251">
        <f t="shared" si="0"/>
        <v>50.07</v>
      </c>
      <c r="J18" s="253"/>
      <c r="K18" s="251">
        <f t="shared" si="1"/>
        <v>288.51</v>
      </c>
      <c r="L18" t="s">
        <v>267</v>
      </c>
    </row>
    <row r="19" spans="1:13" ht="15" customHeight="1" x14ac:dyDescent="0.25">
      <c r="A19" s="306">
        <v>45640</v>
      </c>
      <c r="B19" s="307" t="s">
        <v>4454</v>
      </c>
      <c r="C19" s="253" t="s">
        <v>4455</v>
      </c>
      <c r="D19" s="253" t="s">
        <v>323</v>
      </c>
      <c r="E19" s="253" t="s">
        <v>17</v>
      </c>
      <c r="F19" s="253">
        <v>53.02</v>
      </c>
      <c r="G19" s="253">
        <v>11.14</v>
      </c>
      <c r="H19" s="253"/>
      <c r="I19" s="251">
        <f t="shared" si="0"/>
        <v>11.14</v>
      </c>
      <c r="J19" s="253"/>
      <c r="K19" s="251">
        <f t="shared" si="1"/>
        <v>64.16</v>
      </c>
      <c r="L19" t="s">
        <v>42</v>
      </c>
    </row>
    <row r="20" spans="1:13" ht="15" customHeight="1" x14ac:dyDescent="0.25">
      <c r="A20" s="306">
        <v>45640</v>
      </c>
      <c r="B20" s="307" t="s">
        <v>4456</v>
      </c>
      <c r="C20" s="253" t="s">
        <v>527</v>
      </c>
      <c r="D20" s="253" t="s">
        <v>20</v>
      </c>
      <c r="E20" s="253" t="s">
        <v>17</v>
      </c>
      <c r="F20" s="253">
        <v>69.650000000000006</v>
      </c>
      <c r="G20" s="253">
        <v>14.63</v>
      </c>
      <c r="H20" s="253"/>
      <c r="I20" s="251">
        <f t="shared" si="0"/>
        <v>14.63</v>
      </c>
      <c r="J20" s="253"/>
      <c r="K20" s="251">
        <f t="shared" si="1"/>
        <v>84.28</v>
      </c>
      <c r="L20" t="s">
        <v>42</v>
      </c>
    </row>
    <row r="21" spans="1:13" ht="15" customHeight="1" x14ac:dyDescent="0.25">
      <c r="A21" s="306">
        <v>45640</v>
      </c>
      <c r="B21" s="307" t="s">
        <v>4457</v>
      </c>
      <c r="C21" s="253" t="s">
        <v>4458</v>
      </c>
      <c r="D21" s="253" t="s">
        <v>4459</v>
      </c>
      <c r="E21" s="253" t="s">
        <v>17</v>
      </c>
      <c r="F21" s="253">
        <v>41.32</v>
      </c>
      <c r="G21" s="253">
        <v>8.68</v>
      </c>
      <c r="H21" s="253"/>
      <c r="I21" s="251">
        <f t="shared" si="0"/>
        <v>8.68</v>
      </c>
      <c r="J21" s="253"/>
      <c r="K21" s="251">
        <f t="shared" si="1"/>
        <v>50</v>
      </c>
      <c r="L21" t="s">
        <v>267</v>
      </c>
      <c r="M21" t="s">
        <v>4594</v>
      </c>
    </row>
    <row r="22" spans="1:13" ht="15" customHeight="1" x14ac:dyDescent="0.25">
      <c r="A22" s="306">
        <v>45643</v>
      </c>
      <c r="B22" s="307" t="s">
        <v>4460</v>
      </c>
      <c r="C22" s="253" t="s">
        <v>4461</v>
      </c>
      <c r="D22" s="253" t="s">
        <v>24</v>
      </c>
      <c r="E22" s="253" t="s">
        <v>25</v>
      </c>
      <c r="F22" s="253">
        <v>19.09</v>
      </c>
      <c r="G22" s="253"/>
      <c r="H22" s="253">
        <v>1.91</v>
      </c>
      <c r="I22" s="251">
        <f t="shared" si="0"/>
        <v>1.91</v>
      </c>
      <c r="J22" s="253"/>
      <c r="K22" s="251">
        <f t="shared" si="1"/>
        <v>21</v>
      </c>
      <c r="L22" t="s">
        <v>42</v>
      </c>
    </row>
    <row r="23" spans="1:13" ht="15" customHeight="1" x14ac:dyDescent="0.25">
      <c r="A23" s="306">
        <v>45643</v>
      </c>
      <c r="B23" s="307" t="s">
        <v>4493</v>
      </c>
      <c r="C23" s="253" t="s">
        <v>551</v>
      </c>
      <c r="D23" s="253" t="s">
        <v>545</v>
      </c>
      <c r="E23" s="253" t="s">
        <v>17</v>
      </c>
      <c r="F23" s="253">
        <v>46.6</v>
      </c>
      <c r="G23" s="253">
        <v>9.7899999999999991</v>
      </c>
      <c r="H23" s="253"/>
      <c r="I23" s="251">
        <f t="shared" si="0"/>
        <v>9.7899999999999991</v>
      </c>
      <c r="J23" s="253"/>
      <c r="K23" s="251">
        <f t="shared" si="1"/>
        <v>56.39</v>
      </c>
      <c r="L23" t="s">
        <v>42</v>
      </c>
    </row>
    <row r="24" spans="1:13" ht="15" customHeight="1" x14ac:dyDescent="0.25">
      <c r="A24" s="306">
        <v>45645</v>
      </c>
      <c r="B24" s="307" t="s">
        <v>4494</v>
      </c>
      <c r="C24" s="253" t="s">
        <v>551</v>
      </c>
      <c r="D24" s="253" t="s">
        <v>545</v>
      </c>
      <c r="E24" s="253" t="s">
        <v>17</v>
      </c>
      <c r="F24" s="253">
        <v>45.95</v>
      </c>
      <c r="G24" s="253">
        <v>9.65</v>
      </c>
      <c r="H24" s="253"/>
      <c r="I24" s="251">
        <f t="shared" si="0"/>
        <v>9.65</v>
      </c>
      <c r="J24" s="253"/>
      <c r="K24" s="251">
        <f t="shared" si="1"/>
        <v>55.6</v>
      </c>
      <c r="L24" t="s">
        <v>42</v>
      </c>
    </row>
    <row r="25" spans="1:13" ht="15" customHeight="1" x14ac:dyDescent="0.25">
      <c r="A25" s="306">
        <v>45647</v>
      </c>
      <c r="B25" s="307" t="s">
        <v>4495</v>
      </c>
      <c r="C25" s="253" t="s">
        <v>2193</v>
      </c>
      <c r="D25" s="253" t="s">
        <v>271</v>
      </c>
      <c r="E25" s="253" t="s">
        <v>17</v>
      </c>
      <c r="F25" s="253">
        <v>57.85</v>
      </c>
      <c r="G25" s="253">
        <v>12.15</v>
      </c>
      <c r="H25" s="253"/>
      <c r="I25" s="251">
        <f t="shared" si="0"/>
        <v>12.15</v>
      </c>
      <c r="J25" s="253"/>
      <c r="K25" s="251">
        <f t="shared" si="1"/>
        <v>70</v>
      </c>
      <c r="L25" t="s">
        <v>267</v>
      </c>
    </row>
    <row r="26" spans="1:13" ht="15" customHeight="1" x14ac:dyDescent="0.25">
      <c r="A26" s="306">
        <v>45648</v>
      </c>
      <c r="B26" s="307" t="s">
        <v>4496</v>
      </c>
      <c r="C26" s="253" t="s">
        <v>4383</v>
      </c>
      <c r="D26" s="253" t="s">
        <v>16</v>
      </c>
      <c r="E26" s="253" t="s">
        <v>17</v>
      </c>
      <c r="F26" s="253">
        <v>71.900000000000006</v>
      </c>
      <c r="G26" s="253">
        <v>15.1</v>
      </c>
      <c r="H26" s="253"/>
      <c r="I26" s="251">
        <f t="shared" si="0"/>
        <v>15.1</v>
      </c>
      <c r="J26" s="253"/>
      <c r="K26" s="251">
        <f t="shared" si="1"/>
        <v>87</v>
      </c>
      <c r="L26" t="s">
        <v>42</v>
      </c>
    </row>
    <row r="27" spans="1:13" ht="15" customHeight="1" x14ac:dyDescent="0.25">
      <c r="A27" s="306">
        <v>45639</v>
      </c>
      <c r="B27" s="307" t="s">
        <v>4516</v>
      </c>
      <c r="C27" s="28" t="s">
        <v>829</v>
      </c>
      <c r="D27" s="35" t="s">
        <v>830</v>
      </c>
      <c r="E27" s="29" t="s">
        <v>797</v>
      </c>
      <c r="F27" s="253">
        <v>674.33</v>
      </c>
      <c r="G27" s="253">
        <v>141.1</v>
      </c>
      <c r="H27" s="253"/>
      <c r="I27" s="251">
        <f t="shared" si="0"/>
        <v>141.1</v>
      </c>
      <c r="J27" s="253"/>
      <c r="K27" s="251">
        <f t="shared" si="1"/>
        <v>815.43000000000006</v>
      </c>
      <c r="L27" t="s">
        <v>267</v>
      </c>
    </row>
    <row r="28" spans="1:13" ht="15" customHeight="1" x14ac:dyDescent="0.25">
      <c r="A28" s="306">
        <v>45629</v>
      </c>
      <c r="B28" s="307" t="s">
        <v>4543</v>
      </c>
      <c r="C28" s="28" t="s">
        <v>385</v>
      </c>
      <c r="D28" s="35" t="s">
        <v>388</v>
      </c>
      <c r="E28" s="29" t="s">
        <v>389</v>
      </c>
      <c r="F28" s="253">
        <v>600</v>
      </c>
      <c r="G28" s="253">
        <v>126</v>
      </c>
      <c r="H28" s="253"/>
      <c r="I28" s="251">
        <f t="shared" si="0"/>
        <v>126</v>
      </c>
      <c r="J28" s="253"/>
      <c r="K28" s="251">
        <f t="shared" si="1"/>
        <v>726</v>
      </c>
      <c r="L28" t="s">
        <v>295</v>
      </c>
    </row>
    <row r="29" spans="1:13" ht="15" customHeight="1" x14ac:dyDescent="0.25">
      <c r="A29" s="306">
        <v>45628</v>
      </c>
      <c r="B29" s="307" t="s">
        <v>4544</v>
      </c>
      <c r="C29" s="29" t="s">
        <v>302</v>
      </c>
      <c r="D29" s="35" t="s">
        <v>386</v>
      </c>
      <c r="E29" s="14" t="s">
        <v>304</v>
      </c>
      <c r="F29" s="253">
        <v>16</v>
      </c>
      <c r="G29" s="253">
        <v>3.36</v>
      </c>
      <c r="H29" s="253"/>
      <c r="I29" s="251">
        <f t="shared" si="0"/>
        <v>3.36</v>
      </c>
      <c r="J29" s="253"/>
      <c r="K29" s="251">
        <f t="shared" si="1"/>
        <v>19.36</v>
      </c>
      <c r="L29" t="s">
        <v>295</v>
      </c>
    </row>
    <row r="30" spans="1:13" ht="15" customHeight="1" x14ac:dyDescent="0.25">
      <c r="A30" s="306">
        <v>45637</v>
      </c>
      <c r="B30" s="307" t="s">
        <v>4545</v>
      </c>
      <c r="C30" s="29" t="s">
        <v>302</v>
      </c>
      <c r="D30" s="35" t="s">
        <v>386</v>
      </c>
      <c r="E30" s="14" t="s">
        <v>304</v>
      </c>
      <c r="F30" s="253">
        <v>16</v>
      </c>
      <c r="G30" s="253">
        <v>3.36</v>
      </c>
      <c r="H30" s="253"/>
      <c r="I30" s="251">
        <f t="shared" si="0"/>
        <v>3.36</v>
      </c>
      <c r="J30" s="253"/>
      <c r="K30" s="251">
        <f t="shared" si="1"/>
        <v>19.36</v>
      </c>
      <c r="L30" t="s">
        <v>295</v>
      </c>
    </row>
    <row r="31" spans="1:13" ht="15" customHeight="1" x14ac:dyDescent="0.25">
      <c r="A31" s="306">
        <v>45642</v>
      </c>
      <c r="B31" s="307" t="s">
        <v>4546</v>
      </c>
      <c r="C31" s="29" t="s">
        <v>302</v>
      </c>
      <c r="D31" s="35" t="s">
        <v>386</v>
      </c>
      <c r="E31" s="14" t="s">
        <v>304</v>
      </c>
      <c r="F31" s="253">
        <v>23.75</v>
      </c>
      <c r="G31" s="253">
        <v>4.99</v>
      </c>
      <c r="H31" s="253"/>
      <c r="I31" s="251">
        <f t="shared" si="0"/>
        <v>4.99</v>
      </c>
      <c r="J31" s="253"/>
      <c r="K31" s="251">
        <f t="shared" si="1"/>
        <v>28.740000000000002</v>
      </c>
      <c r="L31" t="s">
        <v>295</v>
      </c>
    </row>
    <row r="32" spans="1:13" ht="15" customHeight="1" x14ac:dyDescent="0.25">
      <c r="A32" s="306">
        <v>45645</v>
      </c>
      <c r="B32" s="307" t="s">
        <v>4547</v>
      </c>
      <c r="C32" s="29" t="s">
        <v>302</v>
      </c>
      <c r="D32" s="35" t="s">
        <v>386</v>
      </c>
      <c r="E32" s="14" t="s">
        <v>304</v>
      </c>
      <c r="F32" s="253">
        <v>29.99</v>
      </c>
      <c r="G32" s="253">
        <v>6.3</v>
      </c>
      <c r="H32" s="253"/>
      <c r="I32" s="251">
        <f t="shared" si="0"/>
        <v>6.3</v>
      </c>
      <c r="J32" s="253"/>
      <c r="K32" s="251">
        <f t="shared" si="1"/>
        <v>36.29</v>
      </c>
      <c r="L32" t="s">
        <v>295</v>
      </c>
    </row>
    <row r="33" spans="1:14" ht="15" customHeight="1" x14ac:dyDescent="0.25">
      <c r="A33" s="306">
        <v>45645</v>
      </c>
      <c r="B33" s="307" t="s">
        <v>4548</v>
      </c>
      <c r="C33" s="29" t="s">
        <v>302</v>
      </c>
      <c r="D33" s="35" t="s">
        <v>386</v>
      </c>
      <c r="E33" s="14" t="s">
        <v>304</v>
      </c>
      <c r="F33" s="253">
        <v>29.99</v>
      </c>
      <c r="G33" s="253">
        <v>6.3</v>
      </c>
      <c r="H33" s="253"/>
      <c r="I33" s="251">
        <f t="shared" si="0"/>
        <v>6.3</v>
      </c>
      <c r="J33" s="253"/>
      <c r="K33" s="251">
        <f t="shared" si="1"/>
        <v>36.29</v>
      </c>
      <c r="L33" t="s">
        <v>295</v>
      </c>
    </row>
    <row r="34" spans="1:14" ht="15" customHeight="1" x14ac:dyDescent="0.25">
      <c r="A34" s="306">
        <v>45648</v>
      </c>
      <c r="B34" s="307" t="s">
        <v>4549</v>
      </c>
      <c r="C34" s="29" t="s">
        <v>302</v>
      </c>
      <c r="D34" s="35" t="s">
        <v>386</v>
      </c>
      <c r="E34" s="14" t="s">
        <v>304</v>
      </c>
      <c r="F34" s="253">
        <v>29.99</v>
      </c>
      <c r="G34" s="253">
        <v>6.3</v>
      </c>
      <c r="H34" s="253"/>
      <c r="I34" s="251">
        <f t="shared" si="0"/>
        <v>6.3</v>
      </c>
      <c r="J34" s="253"/>
      <c r="K34" s="251">
        <f t="shared" si="1"/>
        <v>36.29</v>
      </c>
      <c r="L34" t="s">
        <v>295</v>
      </c>
    </row>
    <row r="35" spans="1:14" ht="15" customHeight="1" x14ac:dyDescent="0.25">
      <c r="A35" s="306">
        <v>45639</v>
      </c>
      <c r="B35" s="307" t="s">
        <v>4516</v>
      </c>
      <c r="C35" s="28" t="s">
        <v>829</v>
      </c>
      <c r="D35" s="35" t="s">
        <v>830</v>
      </c>
      <c r="E35" s="29" t="s">
        <v>797</v>
      </c>
      <c r="F35" s="253">
        <v>674.33</v>
      </c>
      <c r="G35" s="253">
        <v>141.1</v>
      </c>
      <c r="H35" s="253"/>
      <c r="I35" s="251">
        <f t="shared" si="0"/>
        <v>141.1</v>
      </c>
      <c r="J35" s="253"/>
      <c r="K35" s="251">
        <f t="shared" si="1"/>
        <v>815.43000000000006</v>
      </c>
      <c r="L35" t="s">
        <v>267</v>
      </c>
    </row>
    <row r="36" spans="1:14" ht="15" customHeight="1" x14ac:dyDescent="0.25">
      <c r="A36" s="306">
        <v>45635</v>
      </c>
      <c r="B36" s="307" t="s">
        <v>4550</v>
      </c>
      <c r="C36" s="292" t="s">
        <v>292</v>
      </c>
      <c r="D36" s="36" t="s">
        <v>293</v>
      </c>
      <c r="E36" s="14" t="s">
        <v>4523</v>
      </c>
      <c r="F36" s="253">
        <v>142</v>
      </c>
      <c r="G36" s="253">
        <v>29.82</v>
      </c>
      <c r="H36" s="253"/>
      <c r="I36" s="251">
        <f t="shared" si="0"/>
        <v>29.82</v>
      </c>
      <c r="J36" s="253"/>
      <c r="K36" s="251">
        <f t="shared" si="1"/>
        <v>171.82</v>
      </c>
      <c r="L36" t="s">
        <v>295</v>
      </c>
    </row>
    <row r="37" spans="1:14" ht="15" customHeight="1" x14ac:dyDescent="0.25">
      <c r="A37" s="306">
        <v>45638</v>
      </c>
      <c r="B37" s="307" t="s">
        <v>4551</v>
      </c>
      <c r="C37" s="292" t="s">
        <v>292</v>
      </c>
      <c r="D37" s="36" t="s">
        <v>293</v>
      </c>
      <c r="E37" s="14" t="s">
        <v>4524</v>
      </c>
      <c r="F37" s="253">
        <v>22.7</v>
      </c>
      <c r="G37" s="253">
        <v>2.98</v>
      </c>
      <c r="H37" s="253"/>
      <c r="I37" s="251">
        <f t="shared" si="0"/>
        <v>2.98</v>
      </c>
      <c r="J37" s="253"/>
      <c r="K37" s="251">
        <f t="shared" si="1"/>
        <v>25.68</v>
      </c>
      <c r="L37" t="s">
        <v>295</v>
      </c>
    </row>
    <row r="38" spans="1:14" ht="15" customHeight="1" x14ac:dyDescent="0.25">
      <c r="A38" s="306">
        <v>45637</v>
      </c>
      <c r="B38" s="307" t="s">
        <v>4552</v>
      </c>
      <c r="C38" s="292" t="s">
        <v>292</v>
      </c>
      <c r="D38" s="36" t="s">
        <v>293</v>
      </c>
      <c r="E38" s="14" t="s">
        <v>4523</v>
      </c>
      <c r="F38" s="253">
        <v>209.53</v>
      </c>
      <c r="G38" s="253">
        <v>44</v>
      </c>
      <c r="H38" s="253"/>
      <c r="I38" s="251">
        <f t="shared" si="0"/>
        <v>44</v>
      </c>
      <c r="J38" s="253"/>
      <c r="K38" s="251">
        <f t="shared" si="1"/>
        <v>253.53</v>
      </c>
      <c r="L38" t="s">
        <v>295</v>
      </c>
    </row>
    <row r="39" spans="1:14" ht="15" customHeight="1" x14ac:dyDescent="0.25">
      <c r="A39" s="306">
        <v>45651</v>
      </c>
      <c r="B39" s="307" t="s">
        <v>4553</v>
      </c>
      <c r="C39" s="28" t="s">
        <v>698</v>
      </c>
      <c r="D39" s="35" t="s">
        <v>289</v>
      </c>
      <c r="E39" s="29" t="s">
        <v>699</v>
      </c>
      <c r="F39" s="253">
        <v>173.53</v>
      </c>
      <c r="G39" s="253">
        <v>36.44</v>
      </c>
      <c r="H39" s="250">
        <v>138</v>
      </c>
      <c r="I39" s="251">
        <f t="shared" si="0"/>
        <v>174.44</v>
      </c>
      <c r="J39" s="253"/>
      <c r="K39" s="251">
        <f t="shared" si="1"/>
        <v>347.97</v>
      </c>
      <c r="L39" t="s">
        <v>295</v>
      </c>
      <c r="N39" s="182" t="s">
        <v>4541</v>
      </c>
    </row>
    <row r="40" spans="1:14" ht="15" customHeight="1" x14ac:dyDescent="0.25">
      <c r="A40" s="306">
        <v>45651</v>
      </c>
      <c r="B40" s="307" t="s">
        <v>4554</v>
      </c>
      <c r="C40" s="28" t="s">
        <v>3155</v>
      </c>
      <c r="D40" s="35" t="s">
        <v>2384</v>
      </c>
      <c r="E40" s="29" t="s">
        <v>699</v>
      </c>
      <c r="F40" s="253">
        <v>66.27</v>
      </c>
      <c r="G40" s="253">
        <v>13.91</v>
      </c>
      <c r="H40" s="253"/>
      <c r="I40" s="251">
        <f t="shared" si="0"/>
        <v>13.91</v>
      </c>
      <c r="J40" s="253"/>
      <c r="K40" s="251">
        <f t="shared" si="1"/>
        <v>80.179999999999993</v>
      </c>
      <c r="L40" t="s">
        <v>295</v>
      </c>
    </row>
    <row r="41" spans="1:14" ht="15" customHeight="1" x14ac:dyDescent="0.25">
      <c r="A41" s="306">
        <v>45652</v>
      </c>
      <c r="B41" s="307" t="s">
        <v>4555</v>
      </c>
      <c r="C41" s="253" t="s">
        <v>4556</v>
      </c>
      <c r="D41" s="253" t="s">
        <v>1973</v>
      </c>
      <c r="E41" s="253" t="s">
        <v>4557</v>
      </c>
      <c r="F41" s="253">
        <v>1020.66</v>
      </c>
      <c r="G41" s="253">
        <v>214.34</v>
      </c>
      <c r="H41" s="253"/>
      <c r="I41" s="251">
        <f t="shared" si="0"/>
        <v>214.34</v>
      </c>
      <c r="J41" s="253"/>
      <c r="K41" s="251">
        <f t="shared" si="1"/>
        <v>1235</v>
      </c>
      <c r="L41" t="s">
        <v>41</v>
      </c>
    </row>
    <row r="42" spans="1:14" ht="15" customHeight="1" x14ac:dyDescent="0.25">
      <c r="A42" s="306">
        <v>45639</v>
      </c>
      <c r="B42" s="307" t="s">
        <v>4569</v>
      </c>
      <c r="C42" s="253" t="s">
        <v>1436</v>
      </c>
      <c r="D42" s="253" t="s">
        <v>280</v>
      </c>
      <c r="E42" s="253" t="s">
        <v>281</v>
      </c>
      <c r="F42" s="253">
        <v>14.55</v>
      </c>
      <c r="G42" s="253">
        <v>3.05</v>
      </c>
      <c r="H42" s="253"/>
      <c r="I42" s="251">
        <f t="shared" si="0"/>
        <v>3.05</v>
      </c>
      <c r="J42" s="253"/>
      <c r="K42" s="251">
        <f t="shared" si="1"/>
        <v>17.600000000000001</v>
      </c>
      <c r="L42" t="s">
        <v>42</v>
      </c>
    </row>
    <row r="43" spans="1:14" ht="15" customHeight="1" x14ac:dyDescent="0.25">
      <c r="A43" s="306">
        <v>45641</v>
      </c>
      <c r="B43" s="307" t="s">
        <v>4570</v>
      </c>
      <c r="C43" s="253" t="s">
        <v>551</v>
      </c>
      <c r="D43" s="253" t="s">
        <v>545</v>
      </c>
      <c r="E43" s="253" t="s">
        <v>17</v>
      </c>
      <c r="F43" s="253">
        <v>16.53</v>
      </c>
      <c r="G43" s="253">
        <v>3.47</v>
      </c>
      <c r="H43" s="253"/>
      <c r="I43" s="251">
        <f t="shared" si="0"/>
        <v>3.47</v>
      </c>
      <c r="J43" s="253"/>
      <c r="K43" s="251">
        <f t="shared" si="1"/>
        <v>20</v>
      </c>
      <c r="L43" t="s">
        <v>42</v>
      </c>
    </row>
    <row r="44" spans="1:14" ht="15" customHeight="1" x14ac:dyDescent="0.25">
      <c r="A44" s="306">
        <v>45645</v>
      </c>
      <c r="B44" s="307" t="s">
        <v>4571</v>
      </c>
      <c r="C44" s="253" t="s">
        <v>3434</v>
      </c>
      <c r="D44" s="253" t="s">
        <v>3435</v>
      </c>
      <c r="E44" s="253" t="s">
        <v>17</v>
      </c>
      <c r="F44" s="253">
        <v>28.93</v>
      </c>
      <c r="G44" s="253">
        <v>6.07</v>
      </c>
      <c r="H44" s="253"/>
      <c r="I44" s="251">
        <f t="shared" si="0"/>
        <v>6.07</v>
      </c>
      <c r="J44" s="253"/>
      <c r="K44" s="251">
        <f t="shared" si="1"/>
        <v>35</v>
      </c>
      <c r="L44" t="s">
        <v>4577</v>
      </c>
    </row>
    <row r="45" spans="1:14" ht="15" customHeight="1" x14ac:dyDescent="0.25">
      <c r="A45" s="306">
        <v>45646</v>
      </c>
      <c r="B45" s="307" t="s">
        <v>4572</v>
      </c>
      <c r="C45" s="253" t="s">
        <v>4573</v>
      </c>
      <c r="D45" s="253" t="s">
        <v>4574</v>
      </c>
      <c r="E45" s="253" t="s">
        <v>4575</v>
      </c>
      <c r="F45" s="253">
        <v>120.64</v>
      </c>
      <c r="G45" s="253"/>
      <c r="H45" s="253">
        <v>12.06</v>
      </c>
      <c r="I45" s="251">
        <f t="shared" si="0"/>
        <v>12.06</v>
      </c>
      <c r="J45" s="253"/>
      <c r="K45" s="251">
        <f t="shared" si="1"/>
        <v>132.69999999999999</v>
      </c>
      <c r="L45" t="s">
        <v>267</v>
      </c>
    </row>
    <row r="46" spans="1:14" ht="15" customHeight="1" x14ac:dyDescent="0.25">
      <c r="A46" s="306">
        <v>45647</v>
      </c>
      <c r="B46" s="307" t="s">
        <v>4576</v>
      </c>
      <c r="C46" s="253" t="s">
        <v>270</v>
      </c>
      <c r="D46" s="253" t="s">
        <v>271</v>
      </c>
      <c r="E46" s="253" t="s">
        <v>17</v>
      </c>
      <c r="F46" s="200">
        <v>62.04</v>
      </c>
      <c r="G46" s="200">
        <v>13.03</v>
      </c>
      <c r="H46" s="200"/>
      <c r="I46" s="251">
        <f t="shared" si="0"/>
        <v>13.03</v>
      </c>
      <c r="J46" s="253"/>
      <c r="K46" s="251">
        <f t="shared" si="1"/>
        <v>75.069999999999993</v>
      </c>
      <c r="L46" t="s">
        <v>267</v>
      </c>
    </row>
    <row r="47" spans="1:14" ht="15" customHeight="1" x14ac:dyDescent="0.25">
      <c r="A47" s="415">
        <v>45648</v>
      </c>
      <c r="B47" s="417" t="s">
        <v>4578</v>
      </c>
      <c r="C47" s="333" t="s">
        <v>4579</v>
      </c>
      <c r="D47" s="333" t="s">
        <v>4580</v>
      </c>
      <c r="E47" s="394" t="s">
        <v>281</v>
      </c>
      <c r="F47" s="278">
        <v>107.12</v>
      </c>
      <c r="G47" s="278">
        <v>22.49</v>
      </c>
      <c r="H47" s="200"/>
      <c r="I47" s="333">
        <f>G47+H48+H49+H50</f>
        <v>32.56</v>
      </c>
      <c r="J47" s="253"/>
      <c r="K47" s="333">
        <f>F47+F48+F49+F50+I47</f>
        <v>253.89999999999998</v>
      </c>
    </row>
    <row r="48" spans="1:14" ht="15" customHeight="1" x14ac:dyDescent="0.25">
      <c r="A48" s="420"/>
      <c r="B48" s="419"/>
      <c r="C48" s="376"/>
      <c r="D48" s="376"/>
      <c r="E48" s="412"/>
      <c r="F48" s="280">
        <v>97.02</v>
      </c>
      <c r="G48" s="280"/>
      <c r="H48" s="290">
        <v>9.6999999999999993</v>
      </c>
      <c r="I48" s="376"/>
      <c r="J48" s="253"/>
      <c r="K48" s="376"/>
      <c r="L48" t="s">
        <v>267</v>
      </c>
    </row>
    <row r="49" spans="1:15" ht="15" customHeight="1" x14ac:dyDescent="0.25">
      <c r="A49" s="420"/>
      <c r="B49" s="419"/>
      <c r="C49" s="376"/>
      <c r="D49" s="376"/>
      <c r="E49" s="412"/>
      <c r="F49" s="280">
        <v>15.67</v>
      </c>
      <c r="G49" s="280"/>
      <c r="H49" s="227">
        <v>0.31</v>
      </c>
      <c r="I49" s="376"/>
      <c r="J49" s="253"/>
      <c r="K49" s="376"/>
      <c r="N49" s="275">
        <v>7.0000000000000007E-2</v>
      </c>
    </row>
    <row r="50" spans="1:15" ht="15" customHeight="1" x14ac:dyDescent="0.25">
      <c r="A50" s="416"/>
      <c r="B50" s="418"/>
      <c r="C50" s="334"/>
      <c r="D50" s="334"/>
      <c r="E50" s="395"/>
      <c r="F50" s="281">
        <v>1.53</v>
      </c>
      <c r="G50" s="281"/>
      <c r="H50" s="291">
        <v>0.06</v>
      </c>
      <c r="I50" s="334"/>
      <c r="J50" s="253"/>
      <c r="K50" s="334"/>
      <c r="N50" s="275">
        <v>0.04</v>
      </c>
    </row>
    <row r="51" spans="1:15" ht="15" customHeight="1" x14ac:dyDescent="0.25">
      <c r="A51" s="306">
        <v>45649</v>
      </c>
      <c r="B51" s="307" t="s">
        <v>4581</v>
      </c>
      <c r="C51" s="253" t="s">
        <v>1436</v>
      </c>
      <c r="D51" s="253" t="s">
        <v>280</v>
      </c>
      <c r="E51" s="253" t="s">
        <v>281</v>
      </c>
      <c r="F51" s="276">
        <v>0.99</v>
      </c>
      <c r="G51" s="276">
        <v>0.21</v>
      </c>
      <c r="H51" s="276"/>
      <c r="I51" s="251">
        <f t="shared" si="0"/>
        <v>0.21</v>
      </c>
      <c r="J51" s="253"/>
      <c r="K51" s="251">
        <f t="shared" si="1"/>
        <v>1.2</v>
      </c>
      <c r="L51" t="s">
        <v>42</v>
      </c>
    </row>
    <row r="52" spans="1:15" ht="15" customHeight="1" x14ac:dyDescent="0.25">
      <c r="A52" s="306">
        <v>45653</v>
      </c>
      <c r="B52" s="307" t="s">
        <v>4582</v>
      </c>
      <c r="C52" s="253" t="s">
        <v>1436</v>
      </c>
      <c r="D52" s="253" t="s">
        <v>280</v>
      </c>
      <c r="E52" s="253" t="s">
        <v>281</v>
      </c>
      <c r="F52" s="200">
        <v>7.31</v>
      </c>
      <c r="G52" s="200">
        <v>1.54</v>
      </c>
      <c r="H52" s="200"/>
      <c r="I52" s="251">
        <f t="shared" si="0"/>
        <v>1.54</v>
      </c>
      <c r="J52" s="200"/>
      <c r="K52" s="251">
        <f t="shared" si="1"/>
        <v>8.85</v>
      </c>
      <c r="L52" t="s">
        <v>42</v>
      </c>
    </row>
    <row r="53" spans="1:15" ht="15" customHeight="1" x14ac:dyDescent="0.25">
      <c r="A53" s="415">
        <v>45651</v>
      </c>
      <c r="B53" s="417" t="s">
        <v>4590</v>
      </c>
      <c r="C53" s="333" t="s">
        <v>4591</v>
      </c>
      <c r="D53" s="333" t="s">
        <v>4592</v>
      </c>
      <c r="E53" s="394" t="s">
        <v>17</v>
      </c>
      <c r="F53" s="278">
        <v>72.56</v>
      </c>
      <c r="G53" s="278">
        <v>15.24</v>
      </c>
      <c r="H53" s="200"/>
      <c r="I53" s="421">
        <f>G53+H54</f>
        <v>15.93</v>
      </c>
      <c r="J53" s="200"/>
      <c r="K53" s="413">
        <f>I53+F53+F54</f>
        <v>95.4</v>
      </c>
      <c r="L53" t="s">
        <v>267</v>
      </c>
    </row>
    <row r="54" spans="1:15" ht="15" customHeight="1" x14ac:dyDescent="0.25">
      <c r="A54" s="416"/>
      <c r="B54" s="418"/>
      <c r="C54" s="334"/>
      <c r="D54" s="334"/>
      <c r="E54" s="395"/>
      <c r="F54" s="281">
        <v>6.91</v>
      </c>
      <c r="G54" s="281"/>
      <c r="H54" s="276">
        <v>0.69</v>
      </c>
      <c r="I54" s="422"/>
      <c r="J54" s="276"/>
      <c r="K54" s="414"/>
    </row>
    <row r="55" spans="1:15" ht="14.25" customHeight="1" x14ac:dyDescent="0.25">
      <c r="A55" s="306">
        <v>45655</v>
      </c>
      <c r="B55" s="307" t="s">
        <v>4593</v>
      </c>
      <c r="C55" s="253" t="s">
        <v>270</v>
      </c>
      <c r="D55" s="253" t="s">
        <v>271</v>
      </c>
      <c r="E55" s="253" t="s">
        <v>17</v>
      </c>
      <c r="F55" s="276">
        <v>57.85</v>
      </c>
      <c r="G55" s="276">
        <v>12.15</v>
      </c>
      <c r="H55" s="276"/>
      <c r="I55" s="251">
        <f t="shared" si="0"/>
        <v>12.15</v>
      </c>
      <c r="J55" s="276"/>
      <c r="K55" s="251">
        <f t="shared" si="1"/>
        <v>70</v>
      </c>
      <c r="L55" t="s">
        <v>267</v>
      </c>
    </row>
    <row r="56" spans="1:15" ht="15" customHeight="1" x14ac:dyDescent="0.25">
      <c r="A56" s="306">
        <v>45653</v>
      </c>
      <c r="B56" s="307" t="s">
        <v>4597</v>
      </c>
      <c r="C56" s="28" t="s">
        <v>2390</v>
      </c>
      <c r="D56" s="35" t="s">
        <v>2391</v>
      </c>
      <c r="E56" s="29" t="s">
        <v>2392</v>
      </c>
      <c r="F56" s="253">
        <v>63.29</v>
      </c>
      <c r="G56" s="253">
        <v>6.33</v>
      </c>
      <c r="H56" s="253"/>
      <c r="I56" s="251">
        <f t="shared" si="0"/>
        <v>6.33</v>
      </c>
      <c r="J56" s="253"/>
      <c r="K56" s="251">
        <f t="shared" si="1"/>
        <v>69.62</v>
      </c>
      <c r="L56" t="s">
        <v>4596</v>
      </c>
    </row>
    <row r="57" spans="1:15" ht="15" customHeight="1" x14ac:dyDescent="0.25">
      <c r="A57" s="306">
        <v>45992</v>
      </c>
      <c r="B57" s="307" t="s">
        <v>4598</v>
      </c>
      <c r="C57" s="231" t="s">
        <v>4050</v>
      </c>
      <c r="D57" s="214" t="s">
        <v>4051</v>
      </c>
      <c r="E57" s="214" t="s">
        <v>4052</v>
      </c>
      <c r="F57" s="253">
        <v>180</v>
      </c>
      <c r="G57" s="253">
        <v>37.799999999999997</v>
      </c>
      <c r="H57" s="253"/>
      <c r="I57" s="251">
        <f t="shared" si="0"/>
        <v>37.799999999999997</v>
      </c>
      <c r="J57" s="253"/>
      <c r="K57" s="251">
        <f t="shared" si="1"/>
        <v>217.8</v>
      </c>
      <c r="L57" t="s">
        <v>4599</v>
      </c>
    </row>
    <row r="58" spans="1:15" ht="15" customHeight="1" x14ac:dyDescent="0.25">
      <c r="A58" s="306">
        <v>45630</v>
      </c>
      <c r="B58" s="307" t="s">
        <v>4600</v>
      </c>
      <c r="C58" s="253" t="s">
        <v>4443</v>
      </c>
      <c r="D58" s="214" t="s">
        <v>401</v>
      </c>
      <c r="E58" s="214" t="s">
        <v>578</v>
      </c>
      <c r="F58" s="253">
        <v>167.07</v>
      </c>
      <c r="G58" s="253">
        <v>35.08</v>
      </c>
      <c r="H58" s="253"/>
      <c r="I58" s="251">
        <f t="shared" si="0"/>
        <v>35.08</v>
      </c>
      <c r="J58" s="253"/>
      <c r="K58" s="251">
        <f t="shared" si="1"/>
        <v>202.14999999999998</v>
      </c>
      <c r="L58" t="s">
        <v>267</v>
      </c>
    </row>
    <row r="59" spans="1:15" ht="15" customHeight="1" x14ac:dyDescent="0.25">
      <c r="A59" s="306">
        <v>45633</v>
      </c>
      <c r="B59" s="307" t="s">
        <v>4601</v>
      </c>
      <c r="C59" s="253" t="s">
        <v>4602</v>
      </c>
      <c r="D59" s="253" t="s">
        <v>4603</v>
      </c>
      <c r="E59" s="253" t="s">
        <v>4604</v>
      </c>
      <c r="F59" s="253">
        <v>345.45</v>
      </c>
      <c r="G59" s="253"/>
      <c r="H59" s="253">
        <v>34.549999999999997</v>
      </c>
      <c r="I59" s="251">
        <f t="shared" si="0"/>
        <v>34.549999999999997</v>
      </c>
      <c r="J59" s="253"/>
      <c r="K59" s="251">
        <f t="shared" si="1"/>
        <v>380</v>
      </c>
      <c r="L59" t="s">
        <v>267</v>
      </c>
    </row>
    <row r="60" spans="1:15" ht="15" customHeight="1" x14ac:dyDescent="0.25">
      <c r="A60" s="86">
        <v>45657</v>
      </c>
      <c r="B60" s="258" t="s">
        <v>4607</v>
      </c>
      <c r="C60" s="28" t="s">
        <v>1412</v>
      </c>
      <c r="D60" s="36" t="s">
        <v>1414</v>
      </c>
      <c r="E60" s="29" t="s">
        <v>827</v>
      </c>
      <c r="F60" s="253">
        <v>107.48</v>
      </c>
      <c r="G60" s="253">
        <f>F60*21/100</f>
        <v>22.570799999999998</v>
      </c>
      <c r="H60" s="253"/>
      <c r="I60" s="251">
        <f t="shared" si="0"/>
        <v>22.570799999999998</v>
      </c>
      <c r="J60" s="253"/>
      <c r="K60" s="251">
        <f t="shared" si="1"/>
        <v>130.05080000000001</v>
      </c>
      <c r="L60" t="s">
        <v>4608</v>
      </c>
    </row>
    <row r="61" spans="1:15" ht="15" customHeight="1" x14ac:dyDescent="0.25">
      <c r="A61" s="33">
        <v>45627</v>
      </c>
      <c r="B61" s="34" t="s">
        <v>4611</v>
      </c>
      <c r="C61" s="28" t="s">
        <v>1101</v>
      </c>
      <c r="D61" s="35" t="s">
        <v>1102</v>
      </c>
      <c r="E61" s="29" t="s">
        <v>1105</v>
      </c>
      <c r="F61" s="30">
        <v>900</v>
      </c>
      <c r="G61" s="30">
        <v>189</v>
      </c>
      <c r="H61" s="253"/>
      <c r="I61" s="251">
        <f t="shared" si="0"/>
        <v>189</v>
      </c>
      <c r="J61" s="253"/>
      <c r="K61" s="251">
        <f t="shared" si="1"/>
        <v>1089</v>
      </c>
      <c r="L61" t="s">
        <v>3743</v>
      </c>
      <c r="O61" s="196" t="s">
        <v>3707</v>
      </c>
    </row>
    <row r="62" spans="1:15" ht="15" customHeight="1" x14ac:dyDescent="0.25">
      <c r="A62" s="306">
        <v>46017</v>
      </c>
      <c r="B62" s="307" t="s">
        <v>4613</v>
      </c>
      <c r="C62" s="253" t="s">
        <v>4630</v>
      </c>
      <c r="D62" s="253" t="s">
        <v>2113</v>
      </c>
      <c r="E62" s="253" t="s">
        <v>2114</v>
      </c>
      <c r="F62" s="253">
        <v>29.56</v>
      </c>
      <c r="G62" s="253">
        <v>6.21</v>
      </c>
      <c r="H62" s="250">
        <v>4.18</v>
      </c>
      <c r="I62" s="251">
        <f t="shared" si="0"/>
        <v>10.39</v>
      </c>
      <c r="J62" s="253"/>
      <c r="K62" s="251">
        <f t="shared" si="1"/>
        <v>39.950000000000003</v>
      </c>
      <c r="L62" t="s">
        <v>4614</v>
      </c>
    </row>
    <row r="63" spans="1:15" ht="15" customHeight="1" x14ac:dyDescent="0.25">
      <c r="A63" s="306">
        <v>45649</v>
      </c>
      <c r="B63" s="307" t="s">
        <v>4615</v>
      </c>
      <c r="C63" s="253" t="s">
        <v>4376</v>
      </c>
      <c r="D63" s="253" t="s">
        <v>271</v>
      </c>
      <c r="E63" s="253" t="s">
        <v>17</v>
      </c>
      <c r="F63" s="200">
        <v>20.66</v>
      </c>
      <c r="G63" s="200">
        <v>4.34</v>
      </c>
      <c r="H63" s="200"/>
      <c r="I63" s="251">
        <f t="shared" si="0"/>
        <v>4.34</v>
      </c>
      <c r="J63" s="253"/>
      <c r="K63" s="251">
        <f t="shared" si="1"/>
        <v>25</v>
      </c>
      <c r="L63" t="s">
        <v>42</v>
      </c>
    </row>
    <row r="64" spans="1:15" ht="15" customHeight="1" x14ac:dyDescent="0.25">
      <c r="A64" s="415">
        <v>45639</v>
      </c>
      <c r="B64" s="417" t="s">
        <v>4616</v>
      </c>
      <c r="C64" s="333" t="s">
        <v>1424</v>
      </c>
      <c r="D64" s="333" t="s">
        <v>4617</v>
      </c>
      <c r="E64" s="394" t="s">
        <v>560</v>
      </c>
      <c r="F64" s="278">
        <v>68.11</v>
      </c>
      <c r="G64" s="278">
        <v>14.03</v>
      </c>
      <c r="H64" s="200"/>
      <c r="I64" s="333">
        <f>G64+H65</f>
        <v>15.129999999999999</v>
      </c>
      <c r="J64" s="253"/>
      <c r="K64" s="333">
        <f>F64+F65+I64</f>
        <v>94.28</v>
      </c>
    </row>
    <row r="65" spans="1:12" ht="15" customHeight="1" x14ac:dyDescent="0.25">
      <c r="A65" s="416"/>
      <c r="B65" s="418"/>
      <c r="C65" s="334"/>
      <c r="D65" s="334"/>
      <c r="E65" s="395"/>
      <c r="F65" s="281">
        <v>11.04</v>
      </c>
      <c r="G65" s="281"/>
      <c r="H65" s="276">
        <v>1.1000000000000001</v>
      </c>
      <c r="I65" s="334"/>
      <c r="J65" s="253"/>
      <c r="K65" s="334"/>
      <c r="L65" t="s">
        <v>41</v>
      </c>
    </row>
    <row r="66" spans="1:12" ht="15" customHeight="1" x14ac:dyDescent="0.25">
      <c r="A66" s="306">
        <v>45636</v>
      </c>
      <c r="B66" s="307" t="s">
        <v>4618</v>
      </c>
      <c r="C66" s="253" t="s">
        <v>4461</v>
      </c>
      <c r="D66" s="253" t="s">
        <v>24</v>
      </c>
      <c r="E66" s="253" t="s">
        <v>25</v>
      </c>
      <c r="F66" s="276">
        <v>22.91</v>
      </c>
      <c r="G66" s="276"/>
      <c r="H66" s="276">
        <v>2.29</v>
      </c>
      <c r="I66" s="251">
        <f t="shared" si="0"/>
        <v>2.29</v>
      </c>
      <c r="J66" s="253"/>
      <c r="K66" s="251">
        <f t="shared" si="1"/>
        <v>25.2</v>
      </c>
      <c r="L66" t="s">
        <v>42</v>
      </c>
    </row>
    <row r="67" spans="1:12" ht="15" customHeight="1" x14ac:dyDescent="0.25">
      <c r="A67" s="306">
        <v>45634</v>
      </c>
      <c r="B67" s="307" t="s">
        <v>4619</v>
      </c>
      <c r="C67" s="253" t="s">
        <v>4620</v>
      </c>
      <c r="D67" s="253" t="s">
        <v>4621</v>
      </c>
      <c r="E67" s="253" t="s">
        <v>281</v>
      </c>
      <c r="F67" s="253">
        <v>29.68</v>
      </c>
      <c r="G67" s="253"/>
      <c r="H67" s="253">
        <v>2.97</v>
      </c>
      <c r="I67" s="251">
        <f t="shared" si="0"/>
        <v>2.97</v>
      </c>
      <c r="J67" s="253"/>
      <c r="K67" s="251">
        <f t="shared" si="1"/>
        <v>32.65</v>
      </c>
      <c r="L67" t="s">
        <v>42</v>
      </c>
    </row>
    <row r="68" spans="1:12" ht="15" customHeight="1" x14ac:dyDescent="0.25">
      <c r="A68" s="306">
        <v>45630</v>
      </c>
      <c r="B68" s="307" t="s">
        <v>4622</v>
      </c>
      <c r="C68" s="253" t="s">
        <v>1424</v>
      </c>
      <c r="D68" s="253" t="s">
        <v>712</v>
      </c>
      <c r="E68" s="253" t="s">
        <v>560</v>
      </c>
      <c r="F68" s="253">
        <v>162.16</v>
      </c>
      <c r="G68" s="253">
        <v>34.049999999999997</v>
      </c>
      <c r="H68" s="253"/>
      <c r="I68" s="251">
        <f t="shared" si="0"/>
        <v>34.049999999999997</v>
      </c>
      <c r="J68" s="253"/>
      <c r="K68" s="251">
        <f t="shared" si="1"/>
        <v>196.20999999999998</v>
      </c>
      <c r="L68" t="s">
        <v>41</v>
      </c>
    </row>
    <row r="69" spans="1:12" ht="15" customHeight="1" x14ac:dyDescent="0.25">
      <c r="A69" s="306">
        <v>45629</v>
      </c>
      <c r="B69" s="307" t="s">
        <v>4623</v>
      </c>
      <c r="C69" s="253" t="s">
        <v>4461</v>
      </c>
      <c r="D69" s="253" t="s">
        <v>24</v>
      </c>
      <c r="E69" s="253" t="s">
        <v>25</v>
      </c>
      <c r="F69" s="253">
        <v>15.27</v>
      </c>
      <c r="G69" s="253">
        <v>1.53</v>
      </c>
      <c r="H69" s="253"/>
      <c r="I69" s="251">
        <f t="shared" ref="I69:I104" si="2">G69+H69</f>
        <v>1.53</v>
      </c>
      <c r="J69" s="253"/>
      <c r="K69" s="251">
        <f t="shared" ref="K69:K104" si="3">F69+I69-J69</f>
        <v>16.8</v>
      </c>
      <c r="L69" t="s">
        <v>42</v>
      </c>
    </row>
    <row r="70" spans="1:12" ht="15" customHeight="1" x14ac:dyDescent="0.25">
      <c r="A70" s="306">
        <v>46022</v>
      </c>
      <c r="B70" s="307" t="s">
        <v>4636</v>
      </c>
      <c r="C70" s="253" t="s">
        <v>715</v>
      </c>
      <c r="D70" s="253" t="s">
        <v>542</v>
      </c>
      <c r="E70" s="253" t="s">
        <v>17</v>
      </c>
      <c r="F70" s="253">
        <v>2623.09</v>
      </c>
      <c r="G70" s="253">
        <v>550.87</v>
      </c>
      <c r="H70" s="253"/>
      <c r="I70" s="251">
        <f t="shared" si="2"/>
        <v>550.87</v>
      </c>
      <c r="J70" s="253"/>
      <c r="K70" s="251">
        <f t="shared" si="3"/>
        <v>3173.96</v>
      </c>
      <c r="L70" t="s">
        <v>4637</v>
      </c>
    </row>
    <row r="71" spans="1:12" ht="15" customHeight="1" x14ac:dyDescent="0.25">
      <c r="A71" s="306">
        <v>45999</v>
      </c>
      <c r="B71" s="307" t="s">
        <v>4638</v>
      </c>
      <c r="C71" s="253" t="s">
        <v>4383</v>
      </c>
      <c r="D71" s="253" t="s">
        <v>16</v>
      </c>
      <c r="E71" s="253" t="s">
        <v>17</v>
      </c>
      <c r="F71" s="253">
        <v>82.65</v>
      </c>
      <c r="G71" s="253">
        <v>17.36</v>
      </c>
      <c r="H71" s="253"/>
      <c r="I71" s="251">
        <f t="shared" si="2"/>
        <v>17.36</v>
      </c>
      <c r="J71" s="253"/>
      <c r="K71" s="251">
        <f t="shared" si="3"/>
        <v>100.01</v>
      </c>
      <c r="L71" t="s">
        <v>42</v>
      </c>
    </row>
    <row r="72" spans="1:12" ht="15" customHeight="1" x14ac:dyDescent="0.25">
      <c r="A72" s="306">
        <v>46001</v>
      </c>
      <c r="B72" s="307" t="s">
        <v>4639</v>
      </c>
      <c r="C72" s="253" t="s">
        <v>4383</v>
      </c>
      <c r="D72" s="253" t="s">
        <v>16</v>
      </c>
      <c r="E72" s="253" t="s">
        <v>17</v>
      </c>
      <c r="F72" s="253">
        <v>40.909999999999997</v>
      </c>
      <c r="G72" s="253">
        <v>8.59</v>
      </c>
      <c r="H72" s="253"/>
      <c r="I72" s="251">
        <f t="shared" si="2"/>
        <v>8.59</v>
      </c>
      <c r="J72" s="253"/>
      <c r="K72" s="251">
        <f t="shared" si="3"/>
        <v>49.5</v>
      </c>
      <c r="L72" t="s">
        <v>42</v>
      </c>
    </row>
    <row r="73" spans="1:12" ht="15" customHeight="1" x14ac:dyDescent="0.25">
      <c r="A73" s="306">
        <v>46005</v>
      </c>
      <c r="B73" s="307" t="s">
        <v>4640</v>
      </c>
      <c r="C73" s="253" t="s">
        <v>4383</v>
      </c>
      <c r="D73" s="253" t="s">
        <v>16</v>
      </c>
      <c r="E73" s="253" t="s">
        <v>17</v>
      </c>
      <c r="F73" s="253">
        <v>24.8</v>
      </c>
      <c r="G73" s="253">
        <v>5.21</v>
      </c>
      <c r="H73" s="253"/>
      <c r="I73" s="251">
        <f t="shared" si="2"/>
        <v>5.21</v>
      </c>
      <c r="J73" s="253"/>
      <c r="K73" s="251">
        <f t="shared" si="3"/>
        <v>30.01</v>
      </c>
      <c r="L73" t="s">
        <v>42</v>
      </c>
    </row>
    <row r="74" spans="1:12" ht="15" customHeight="1" x14ac:dyDescent="0.25">
      <c r="A74" s="306">
        <v>46019</v>
      </c>
      <c r="B74" s="307" t="s">
        <v>4641</v>
      </c>
      <c r="C74" s="253" t="s">
        <v>4383</v>
      </c>
      <c r="D74" s="253" t="s">
        <v>16</v>
      </c>
      <c r="E74" s="253" t="s">
        <v>17</v>
      </c>
      <c r="F74" s="253">
        <v>82.64</v>
      </c>
      <c r="G74" s="253">
        <v>17.36</v>
      </c>
      <c r="H74" s="253"/>
      <c r="I74" s="251">
        <f t="shared" si="2"/>
        <v>17.36</v>
      </c>
      <c r="J74" s="253"/>
      <c r="K74" s="251">
        <f t="shared" si="3"/>
        <v>100</v>
      </c>
      <c r="L74" t="s">
        <v>42</v>
      </c>
    </row>
    <row r="75" spans="1:12" ht="15" customHeight="1" x14ac:dyDescent="0.25">
      <c r="A75" s="306">
        <v>46020</v>
      </c>
      <c r="B75" s="307" t="s">
        <v>4642</v>
      </c>
      <c r="C75" s="253" t="s">
        <v>4383</v>
      </c>
      <c r="D75" s="253" t="s">
        <v>16</v>
      </c>
      <c r="E75" s="253" t="s">
        <v>17</v>
      </c>
      <c r="F75" s="253">
        <v>37.090000000000003</v>
      </c>
      <c r="G75" s="253">
        <v>7.79</v>
      </c>
      <c r="H75" s="253"/>
      <c r="I75" s="251">
        <f t="shared" si="2"/>
        <v>7.79</v>
      </c>
      <c r="J75" s="253"/>
      <c r="K75" s="251">
        <f t="shared" si="3"/>
        <v>44.88</v>
      </c>
      <c r="L75" t="s">
        <v>42</v>
      </c>
    </row>
    <row r="76" spans="1:12" ht="15" customHeight="1" x14ac:dyDescent="0.25">
      <c r="A76" s="306">
        <v>46020</v>
      </c>
      <c r="B76" s="307" t="s">
        <v>4643</v>
      </c>
      <c r="C76" s="253" t="s">
        <v>4383</v>
      </c>
      <c r="D76" s="253" t="s">
        <v>16</v>
      </c>
      <c r="E76" s="253" t="s">
        <v>17</v>
      </c>
      <c r="F76" s="253">
        <v>61.98</v>
      </c>
      <c r="G76" s="253">
        <v>13.02</v>
      </c>
      <c r="H76" s="253"/>
      <c r="I76" s="251">
        <f t="shared" si="2"/>
        <v>13.02</v>
      </c>
      <c r="J76" s="253"/>
      <c r="K76" s="251">
        <f t="shared" si="3"/>
        <v>75</v>
      </c>
      <c r="L76" t="s">
        <v>42</v>
      </c>
    </row>
    <row r="77" spans="1:12" ht="15" customHeight="1" x14ac:dyDescent="0.25">
      <c r="A77" s="306">
        <v>46021</v>
      </c>
      <c r="B77" s="307" t="s">
        <v>4644</v>
      </c>
      <c r="C77" s="253" t="s">
        <v>4383</v>
      </c>
      <c r="D77" s="253" t="s">
        <v>16</v>
      </c>
      <c r="E77" s="253" t="s">
        <v>17</v>
      </c>
      <c r="F77" s="253">
        <v>53.72</v>
      </c>
      <c r="G77" s="253">
        <v>11.28</v>
      </c>
      <c r="H77" s="253"/>
      <c r="I77" s="251">
        <f t="shared" si="2"/>
        <v>11.28</v>
      </c>
      <c r="J77" s="253"/>
      <c r="K77" s="251">
        <f t="shared" si="3"/>
        <v>65</v>
      </c>
      <c r="L77" t="s">
        <v>42</v>
      </c>
    </row>
    <row r="78" spans="1:12" ht="15" customHeight="1" x14ac:dyDescent="0.25">
      <c r="A78" s="306">
        <v>45634</v>
      </c>
      <c r="B78" s="307" t="s">
        <v>4645</v>
      </c>
      <c r="C78" s="253" t="s">
        <v>4646</v>
      </c>
      <c r="D78" s="253"/>
      <c r="E78" s="253"/>
      <c r="F78" s="253">
        <v>328.45</v>
      </c>
      <c r="G78" s="253"/>
      <c r="H78" s="253">
        <f>F78*10/100</f>
        <v>32.844999999999999</v>
      </c>
      <c r="I78" s="251">
        <f t="shared" si="2"/>
        <v>32.844999999999999</v>
      </c>
      <c r="J78" s="253"/>
      <c r="K78" s="251">
        <f t="shared" si="3"/>
        <v>361.29499999999996</v>
      </c>
      <c r="L78" t="s">
        <v>267</v>
      </c>
    </row>
    <row r="79" spans="1:12" ht="15" customHeight="1" x14ac:dyDescent="0.25">
      <c r="A79" s="306">
        <v>45611</v>
      </c>
      <c r="B79" s="307" t="s">
        <v>4645</v>
      </c>
      <c r="C79" s="253" t="s">
        <v>4647</v>
      </c>
      <c r="D79" s="253"/>
      <c r="E79" s="253"/>
      <c r="F79" s="253">
        <v>65.36</v>
      </c>
      <c r="G79" s="253"/>
      <c r="H79" s="253">
        <f>F79*10/100</f>
        <v>6.5360000000000005</v>
      </c>
      <c r="I79" s="251">
        <f t="shared" si="2"/>
        <v>6.5360000000000005</v>
      </c>
      <c r="J79" s="253"/>
      <c r="K79" s="251">
        <f t="shared" si="3"/>
        <v>71.896000000000001</v>
      </c>
    </row>
    <row r="80" spans="1:12" ht="15" customHeight="1" x14ac:dyDescent="0.25">
      <c r="A80" s="253"/>
      <c r="B80" s="307"/>
      <c r="C80" s="253"/>
      <c r="D80" s="253"/>
      <c r="E80" s="253"/>
      <c r="F80" s="253"/>
      <c r="G80" s="253"/>
      <c r="H80" s="253"/>
      <c r="I80" s="251">
        <f t="shared" si="2"/>
        <v>0</v>
      </c>
      <c r="J80" s="253"/>
      <c r="K80" s="251">
        <f t="shared" si="3"/>
        <v>0</v>
      </c>
    </row>
    <row r="81" spans="1:15" ht="15" customHeight="1" x14ac:dyDescent="0.25">
      <c r="A81" s="306"/>
      <c r="B81" s="307"/>
      <c r="C81" s="253"/>
      <c r="D81" s="253"/>
      <c r="E81" s="253"/>
      <c r="F81" s="253"/>
      <c r="G81" s="253"/>
      <c r="H81" s="253"/>
      <c r="I81" s="251">
        <f t="shared" si="2"/>
        <v>0</v>
      </c>
      <c r="J81" s="253"/>
      <c r="K81" s="251">
        <f t="shared" si="3"/>
        <v>0</v>
      </c>
    </row>
    <row r="82" spans="1:15" ht="15" customHeight="1" x14ac:dyDescent="0.25">
      <c r="A82" s="315">
        <v>46000</v>
      </c>
      <c r="B82" s="316" t="s">
        <v>4650</v>
      </c>
      <c r="C82" s="250" t="s">
        <v>4649</v>
      </c>
      <c r="D82" s="250" t="s">
        <v>4651</v>
      </c>
      <c r="E82" s="250" t="s">
        <v>4652</v>
      </c>
      <c r="F82" s="253">
        <v>776.27</v>
      </c>
      <c r="G82" s="253">
        <f>F82*21/100</f>
        <v>163.01670000000001</v>
      </c>
      <c r="H82" s="253"/>
      <c r="I82" s="251">
        <f t="shared" si="2"/>
        <v>163.01670000000001</v>
      </c>
      <c r="J82" s="253"/>
      <c r="K82" s="251">
        <f t="shared" si="3"/>
        <v>939.2867</v>
      </c>
      <c r="L82" t="s">
        <v>3300</v>
      </c>
    </row>
    <row r="83" spans="1:15" ht="15" customHeight="1" x14ac:dyDescent="0.25">
      <c r="A83" s="315">
        <v>46001</v>
      </c>
      <c r="B83" s="316" t="s">
        <v>4656</v>
      </c>
      <c r="C83" s="250" t="s">
        <v>4649</v>
      </c>
      <c r="D83" s="250" t="s">
        <v>4651</v>
      </c>
      <c r="E83" s="250" t="s">
        <v>4655</v>
      </c>
      <c r="F83" s="253">
        <v>7274.02</v>
      </c>
      <c r="G83" s="253">
        <f t="shared" ref="G83:G101" si="4">F83*21/100</f>
        <v>1527.5442</v>
      </c>
      <c r="H83" s="253"/>
      <c r="I83" s="251">
        <f t="shared" si="2"/>
        <v>1527.5442</v>
      </c>
      <c r="J83" s="253"/>
      <c r="K83" s="251">
        <f t="shared" si="3"/>
        <v>8801.5642000000007</v>
      </c>
      <c r="L83" t="s">
        <v>3300</v>
      </c>
    </row>
    <row r="84" spans="1:15" ht="15" customHeight="1" x14ac:dyDescent="0.25">
      <c r="A84" s="315">
        <v>46001</v>
      </c>
      <c r="B84" s="316" t="s">
        <v>4653</v>
      </c>
      <c r="C84" s="250" t="s">
        <v>4649</v>
      </c>
      <c r="D84" s="250" t="s">
        <v>4651</v>
      </c>
      <c r="E84" s="250" t="s">
        <v>4654</v>
      </c>
      <c r="F84" s="253">
        <v>406.74</v>
      </c>
      <c r="G84" s="253">
        <f t="shared" si="4"/>
        <v>85.415400000000005</v>
      </c>
      <c r="H84" s="253"/>
      <c r="I84" s="251">
        <f t="shared" si="2"/>
        <v>85.415400000000005</v>
      </c>
      <c r="J84" s="253"/>
      <c r="K84" s="251">
        <f t="shared" si="3"/>
        <v>492.15539999999999</v>
      </c>
      <c r="L84" t="s">
        <v>3300</v>
      </c>
    </row>
    <row r="85" spans="1:15" ht="15" customHeight="1" x14ac:dyDescent="0.25">
      <c r="A85" s="315">
        <v>45591</v>
      </c>
      <c r="B85" s="316" t="s">
        <v>4657</v>
      </c>
      <c r="C85" s="250" t="s">
        <v>4658</v>
      </c>
      <c r="D85" s="250" t="s">
        <v>3749</v>
      </c>
      <c r="E85" s="250" t="s">
        <v>281</v>
      </c>
      <c r="F85" s="253">
        <v>61.08</v>
      </c>
      <c r="G85" s="253">
        <v>12.81</v>
      </c>
      <c r="H85" s="253"/>
      <c r="I85" s="9">
        <f t="shared" si="2"/>
        <v>12.81</v>
      </c>
      <c r="J85" s="253"/>
      <c r="K85" s="9">
        <f t="shared" si="3"/>
        <v>73.89</v>
      </c>
      <c r="L85" t="s">
        <v>267</v>
      </c>
      <c r="O85" s="317">
        <v>45968</v>
      </c>
    </row>
    <row r="86" spans="1:15" ht="15" customHeight="1" x14ac:dyDescent="0.25">
      <c r="A86" s="315">
        <v>45608</v>
      </c>
      <c r="B86" s="316" t="s">
        <v>4659</v>
      </c>
      <c r="C86" s="250" t="s">
        <v>4658</v>
      </c>
      <c r="D86" s="250" t="s">
        <v>3749</v>
      </c>
      <c r="E86" s="250" t="s">
        <v>281</v>
      </c>
      <c r="F86" s="253">
        <v>12.38</v>
      </c>
      <c r="G86" s="253">
        <f t="shared" si="4"/>
        <v>2.5998000000000001</v>
      </c>
      <c r="H86" s="253"/>
      <c r="I86" s="9">
        <f t="shared" si="2"/>
        <v>2.5998000000000001</v>
      </c>
      <c r="J86" s="253"/>
      <c r="K86" s="9">
        <f t="shared" si="3"/>
        <v>14.979800000000001</v>
      </c>
      <c r="L86" t="s">
        <v>267</v>
      </c>
      <c r="O86" s="317">
        <v>45988</v>
      </c>
    </row>
    <row r="87" spans="1:15" ht="15" customHeight="1" x14ac:dyDescent="0.25">
      <c r="A87" s="315">
        <v>45608</v>
      </c>
      <c r="B87" s="316" t="s">
        <v>4660</v>
      </c>
      <c r="C87" s="250" t="s">
        <v>4658</v>
      </c>
      <c r="D87" s="250" t="s">
        <v>3749</v>
      </c>
      <c r="E87" s="250" t="s">
        <v>281</v>
      </c>
      <c r="F87" s="253">
        <v>11.55</v>
      </c>
      <c r="G87" s="253">
        <f t="shared" si="4"/>
        <v>2.4255</v>
      </c>
      <c r="H87" s="253"/>
      <c r="I87" s="9">
        <f t="shared" si="2"/>
        <v>2.4255</v>
      </c>
      <c r="J87" s="253"/>
      <c r="K87" s="9">
        <f t="shared" si="3"/>
        <v>13.9755</v>
      </c>
      <c r="L87" t="s">
        <v>267</v>
      </c>
      <c r="O87" s="317">
        <v>45993</v>
      </c>
    </row>
    <row r="88" spans="1:15" ht="15" customHeight="1" x14ac:dyDescent="0.25">
      <c r="A88" s="315">
        <v>45975</v>
      </c>
      <c r="B88" s="316" t="s">
        <v>4661</v>
      </c>
      <c r="C88" s="250" t="s">
        <v>4658</v>
      </c>
      <c r="D88" s="250" t="s">
        <v>3749</v>
      </c>
      <c r="E88" s="250" t="s">
        <v>281</v>
      </c>
      <c r="F88" s="253">
        <v>10.72</v>
      </c>
      <c r="G88" s="253">
        <v>2.2599999999999998</v>
      </c>
      <c r="H88" s="253"/>
      <c r="I88" s="9">
        <f t="shared" si="2"/>
        <v>2.2599999999999998</v>
      </c>
      <c r="J88" s="253"/>
      <c r="K88" s="9">
        <f t="shared" si="3"/>
        <v>12.98</v>
      </c>
      <c r="L88" t="s">
        <v>267</v>
      </c>
    </row>
    <row r="89" spans="1:15" ht="15" customHeight="1" x14ac:dyDescent="0.25">
      <c r="A89" s="315">
        <v>45980</v>
      </c>
      <c r="B89" s="316" t="s">
        <v>4662</v>
      </c>
      <c r="C89" s="250" t="s">
        <v>4658</v>
      </c>
      <c r="D89" s="250" t="s">
        <v>3749</v>
      </c>
      <c r="E89" s="250" t="s">
        <v>281</v>
      </c>
      <c r="F89" s="253">
        <v>12.38</v>
      </c>
      <c r="G89" s="253">
        <f t="shared" si="4"/>
        <v>2.5998000000000001</v>
      </c>
      <c r="H89" s="253"/>
      <c r="I89" s="9">
        <f t="shared" si="2"/>
        <v>2.5998000000000001</v>
      </c>
      <c r="J89" s="253"/>
      <c r="K89" s="9">
        <f t="shared" si="3"/>
        <v>14.979800000000001</v>
      </c>
      <c r="L89" t="s">
        <v>267</v>
      </c>
    </row>
    <row r="90" spans="1:15" ht="15" customHeight="1" x14ac:dyDescent="0.25">
      <c r="A90" s="315">
        <v>45623</v>
      </c>
      <c r="B90" s="316" t="s">
        <v>4663</v>
      </c>
      <c r="C90" s="250" t="s">
        <v>4664</v>
      </c>
      <c r="D90" s="250" t="s">
        <v>4665</v>
      </c>
      <c r="E90" s="250" t="s">
        <v>281</v>
      </c>
      <c r="F90" s="253">
        <v>24.63</v>
      </c>
      <c r="G90" s="253">
        <f t="shared" si="4"/>
        <v>5.1722999999999999</v>
      </c>
      <c r="H90" s="253"/>
      <c r="I90" s="9">
        <f t="shared" si="2"/>
        <v>5.1722999999999999</v>
      </c>
      <c r="J90" s="253"/>
      <c r="K90" s="9">
        <f t="shared" si="3"/>
        <v>29.802299999999999</v>
      </c>
      <c r="L90" t="s">
        <v>267</v>
      </c>
    </row>
    <row r="91" spans="1:15" ht="15" customHeight="1" x14ac:dyDescent="0.25">
      <c r="A91" s="315">
        <v>45624</v>
      </c>
      <c r="B91" s="316" t="s">
        <v>4666</v>
      </c>
      <c r="C91" s="250" t="s">
        <v>4667</v>
      </c>
      <c r="D91" s="250" t="s">
        <v>4668</v>
      </c>
      <c r="E91" s="250" t="s">
        <v>281</v>
      </c>
      <c r="F91" s="250">
        <v>83.49</v>
      </c>
      <c r="G91" s="253">
        <v>0</v>
      </c>
      <c r="H91" s="253"/>
      <c r="I91" s="9">
        <f t="shared" si="2"/>
        <v>0</v>
      </c>
      <c r="J91" s="253"/>
      <c r="K91" s="9">
        <f t="shared" si="3"/>
        <v>83.49</v>
      </c>
      <c r="L91" t="s">
        <v>267</v>
      </c>
      <c r="M91" s="182" t="s">
        <v>4669</v>
      </c>
    </row>
    <row r="92" spans="1:15" ht="15" customHeight="1" x14ac:dyDescent="0.25">
      <c r="A92" s="315">
        <v>45624</v>
      </c>
      <c r="B92" s="316" t="s">
        <v>4670</v>
      </c>
      <c r="C92" s="250" t="s">
        <v>4658</v>
      </c>
      <c r="D92" s="250" t="s">
        <v>3749</v>
      </c>
      <c r="E92" s="250" t="s">
        <v>281</v>
      </c>
      <c r="F92" s="253">
        <v>24.2</v>
      </c>
      <c r="G92" s="253">
        <v>5.08</v>
      </c>
      <c r="H92" s="253"/>
      <c r="I92" s="9">
        <f t="shared" si="2"/>
        <v>5.08</v>
      </c>
      <c r="J92" s="253"/>
      <c r="K92" s="9">
        <f t="shared" si="3"/>
        <v>29.28</v>
      </c>
      <c r="L92" t="s">
        <v>267</v>
      </c>
    </row>
    <row r="93" spans="1:15" ht="15" customHeight="1" x14ac:dyDescent="0.25">
      <c r="A93" s="315">
        <v>45629</v>
      </c>
      <c r="B93" s="316" t="s">
        <v>4671</v>
      </c>
      <c r="C93" s="250" t="s">
        <v>4658</v>
      </c>
      <c r="D93" s="250" t="s">
        <v>3749</v>
      </c>
      <c r="E93" s="250" t="s">
        <v>281</v>
      </c>
      <c r="F93" s="253">
        <v>29.73</v>
      </c>
      <c r="G93" s="253">
        <v>6.25</v>
      </c>
      <c r="H93" s="253"/>
      <c r="I93" s="9">
        <f t="shared" si="2"/>
        <v>6.25</v>
      </c>
      <c r="J93" s="253"/>
      <c r="K93" s="9">
        <f t="shared" si="3"/>
        <v>35.980000000000004</v>
      </c>
      <c r="L93" t="s">
        <v>267</v>
      </c>
    </row>
    <row r="94" spans="1:15" ht="15" customHeight="1" x14ac:dyDescent="0.25">
      <c r="A94" s="315">
        <v>45646</v>
      </c>
      <c r="B94" s="316" t="s">
        <v>4672</v>
      </c>
      <c r="C94" s="250" t="s">
        <v>4677</v>
      </c>
      <c r="D94" s="250" t="s">
        <v>4673</v>
      </c>
      <c r="E94" s="250" t="s">
        <v>281</v>
      </c>
      <c r="F94" s="253">
        <v>143.44</v>
      </c>
      <c r="G94" s="253">
        <v>30.12</v>
      </c>
      <c r="H94" s="253"/>
      <c r="I94" s="9">
        <f t="shared" si="2"/>
        <v>30.12</v>
      </c>
      <c r="J94" s="253"/>
      <c r="K94" s="9">
        <f t="shared" si="3"/>
        <v>173.56</v>
      </c>
      <c r="L94" t="s">
        <v>267</v>
      </c>
    </row>
    <row r="95" spans="1:15" ht="15" customHeight="1" x14ac:dyDescent="0.25">
      <c r="A95" s="315">
        <v>45646</v>
      </c>
      <c r="B95" s="316" t="s">
        <v>4674</v>
      </c>
      <c r="C95" s="250" t="s">
        <v>4675</v>
      </c>
      <c r="D95" s="250" t="s">
        <v>4676</v>
      </c>
      <c r="E95" s="250" t="s">
        <v>281</v>
      </c>
      <c r="F95" s="253">
        <v>20.74</v>
      </c>
      <c r="G95" s="253">
        <f t="shared" si="4"/>
        <v>4.3553999999999995</v>
      </c>
      <c r="H95" s="253"/>
      <c r="I95" s="9">
        <f t="shared" si="2"/>
        <v>4.3553999999999995</v>
      </c>
      <c r="J95" s="253"/>
      <c r="K95" s="9">
        <f t="shared" si="3"/>
        <v>25.095399999999998</v>
      </c>
      <c r="L95" t="s">
        <v>267</v>
      </c>
    </row>
    <row r="96" spans="1:15" ht="15" customHeight="1" x14ac:dyDescent="0.25">
      <c r="A96" s="318">
        <v>45629</v>
      </c>
      <c r="B96" s="182" t="s">
        <v>4678</v>
      </c>
      <c r="C96" s="250" t="s">
        <v>4677</v>
      </c>
      <c r="D96" s="250" t="s">
        <v>4673</v>
      </c>
      <c r="E96" s="250" t="s">
        <v>281</v>
      </c>
      <c r="F96" s="253">
        <v>6.82</v>
      </c>
      <c r="G96" s="253">
        <f t="shared" si="4"/>
        <v>1.4321999999999999</v>
      </c>
      <c r="H96" s="253"/>
      <c r="I96" s="9">
        <f t="shared" si="2"/>
        <v>1.4321999999999999</v>
      </c>
      <c r="J96" s="253"/>
      <c r="K96" s="9">
        <f t="shared" si="3"/>
        <v>8.2522000000000002</v>
      </c>
      <c r="L96" t="s">
        <v>4679</v>
      </c>
    </row>
    <row r="97" spans="1:15" ht="15" customHeight="1" x14ac:dyDescent="0.25">
      <c r="A97" s="315">
        <v>45629</v>
      </c>
      <c r="B97" s="246" t="s">
        <v>4680</v>
      </c>
      <c r="C97" s="250" t="s">
        <v>4677</v>
      </c>
      <c r="D97" s="250" t="s">
        <v>4673</v>
      </c>
      <c r="E97" s="250" t="s">
        <v>281</v>
      </c>
      <c r="F97" s="253">
        <v>70.61</v>
      </c>
      <c r="G97" s="253">
        <f t="shared" si="4"/>
        <v>14.828099999999999</v>
      </c>
      <c r="H97" s="253"/>
      <c r="I97" s="9">
        <f t="shared" si="2"/>
        <v>14.828099999999999</v>
      </c>
      <c r="J97" s="253"/>
      <c r="K97" s="9">
        <f t="shared" si="3"/>
        <v>85.438099999999991</v>
      </c>
      <c r="L97" t="s">
        <v>267</v>
      </c>
      <c r="M97" s="175"/>
    </row>
    <row r="98" spans="1:15" ht="15" customHeight="1" x14ac:dyDescent="0.25">
      <c r="A98" s="315">
        <v>45989</v>
      </c>
      <c r="B98" s="246" t="s">
        <v>4681</v>
      </c>
      <c r="C98" s="246" t="s">
        <v>4682</v>
      </c>
      <c r="D98" s="246" t="s">
        <v>4683</v>
      </c>
      <c r="E98" s="250" t="s">
        <v>281</v>
      </c>
      <c r="F98" s="253">
        <v>7.59</v>
      </c>
      <c r="G98" s="253">
        <f t="shared" si="4"/>
        <v>1.5938999999999999</v>
      </c>
      <c r="H98" s="253"/>
      <c r="I98" s="9">
        <f t="shared" si="2"/>
        <v>1.5938999999999999</v>
      </c>
      <c r="J98" s="253"/>
      <c r="K98" s="9">
        <v>9.19</v>
      </c>
      <c r="L98" t="s">
        <v>267</v>
      </c>
    </row>
    <row r="99" spans="1:15" ht="15" customHeight="1" x14ac:dyDescent="0.25">
      <c r="A99" s="315">
        <v>45623</v>
      </c>
      <c r="B99" s="246" t="s">
        <v>4684</v>
      </c>
      <c r="C99" s="250" t="s">
        <v>4677</v>
      </c>
      <c r="D99" s="250" t="s">
        <v>4673</v>
      </c>
      <c r="E99" s="250" t="s">
        <v>281</v>
      </c>
      <c r="F99" s="253">
        <v>12.39</v>
      </c>
      <c r="G99" s="253">
        <v>2.6</v>
      </c>
      <c r="H99" s="253"/>
      <c r="I99" s="9">
        <f t="shared" si="2"/>
        <v>2.6</v>
      </c>
      <c r="J99" s="253"/>
      <c r="K99" s="9">
        <f t="shared" si="3"/>
        <v>14.99</v>
      </c>
      <c r="L99" t="s">
        <v>267</v>
      </c>
    </row>
    <row r="100" spans="1:15" ht="15" customHeight="1" x14ac:dyDescent="0.25">
      <c r="A100" s="315">
        <v>45624</v>
      </c>
      <c r="B100" s="246" t="s">
        <v>4685</v>
      </c>
      <c r="C100" s="246" t="s">
        <v>4686</v>
      </c>
      <c r="D100" s="246">
        <v>5543030218</v>
      </c>
      <c r="E100" s="250" t="s">
        <v>4687</v>
      </c>
      <c r="F100" s="250">
        <v>10.49</v>
      </c>
      <c r="G100" s="253">
        <v>0</v>
      </c>
      <c r="H100" s="253"/>
      <c r="I100" s="9">
        <f t="shared" si="2"/>
        <v>0</v>
      </c>
      <c r="J100" s="253"/>
      <c r="K100" s="9">
        <f t="shared" si="3"/>
        <v>10.49</v>
      </c>
      <c r="L100" t="s">
        <v>267</v>
      </c>
      <c r="M100" s="182" t="s">
        <v>4669</v>
      </c>
    </row>
    <row r="101" spans="1:15" ht="15" customHeight="1" x14ac:dyDescent="0.25">
      <c r="A101" s="318">
        <v>45624</v>
      </c>
      <c r="B101" s="182" t="s">
        <v>4688</v>
      </c>
      <c r="C101" s="250" t="s">
        <v>4658</v>
      </c>
      <c r="D101" s="250" t="s">
        <v>3749</v>
      </c>
      <c r="E101" s="250" t="s">
        <v>281</v>
      </c>
      <c r="F101" s="253">
        <v>12.14</v>
      </c>
      <c r="G101" s="253">
        <f t="shared" si="4"/>
        <v>2.5493999999999999</v>
      </c>
      <c r="H101" s="253"/>
      <c r="I101" s="9">
        <f t="shared" si="2"/>
        <v>2.5493999999999999</v>
      </c>
      <c r="J101" s="253"/>
      <c r="K101" s="9">
        <f t="shared" si="3"/>
        <v>14.689400000000001</v>
      </c>
      <c r="L101" t="s">
        <v>267</v>
      </c>
      <c r="O101" s="175">
        <f>K98+K99+K100+K101+K102</f>
        <v>63.339399999999998</v>
      </c>
    </row>
    <row r="102" spans="1:15" ht="15" customHeight="1" x14ac:dyDescent="0.25">
      <c r="A102" s="315">
        <v>45624</v>
      </c>
      <c r="B102" s="246" t="s">
        <v>4689</v>
      </c>
      <c r="C102" s="250" t="s">
        <v>4658</v>
      </c>
      <c r="D102" s="250" t="s">
        <v>3749</v>
      </c>
      <c r="E102" s="250" t="s">
        <v>281</v>
      </c>
      <c r="F102" s="253">
        <v>11.56</v>
      </c>
      <c r="G102" s="253">
        <v>2.42</v>
      </c>
      <c r="H102" s="253"/>
      <c r="I102" s="9">
        <f t="shared" si="2"/>
        <v>2.42</v>
      </c>
      <c r="J102" s="253"/>
      <c r="K102" s="9">
        <f t="shared" si="3"/>
        <v>13.98</v>
      </c>
      <c r="L102" t="s">
        <v>267</v>
      </c>
    </row>
    <row r="103" spans="1:15" ht="15.75" customHeight="1" x14ac:dyDescent="0.25">
      <c r="A103" s="315">
        <v>45604</v>
      </c>
      <c r="B103" s="246" t="s">
        <v>4690</v>
      </c>
      <c r="C103" s="250" t="s">
        <v>4658</v>
      </c>
      <c r="D103" s="250" t="s">
        <v>3749</v>
      </c>
      <c r="E103" s="250" t="s">
        <v>281</v>
      </c>
      <c r="F103" s="253">
        <v>7.84</v>
      </c>
      <c r="G103" s="253">
        <v>1.64</v>
      </c>
      <c r="H103" s="253"/>
      <c r="I103" s="9">
        <f t="shared" si="2"/>
        <v>1.64</v>
      </c>
      <c r="J103" s="253"/>
      <c r="K103" s="9">
        <f t="shared" si="3"/>
        <v>9.48</v>
      </c>
      <c r="L103" t="s">
        <v>267</v>
      </c>
    </row>
    <row r="104" spans="1:15" ht="15" customHeight="1" x14ac:dyDescent="0.25">
      <c r="A104" s="315">
        <v>45603</v>
      </c>
      <c r="B104" s="246" t="s">
        <v>4691</v>
      </c>
      <c r="C104" s="250" t="s">
        <v>4658</v>
      </c>
      <c r="D104" s="250" t="s">
        <v>3749</v>
      </c>
      <c r="E104" s="250" t="s">
        <v>281</v>
      </c>
      <c r="F104" s="253">
        <v>11.98</v>
      </c>
      <c r="G104" s="253">
        <v>2.5099999999999998</v>
      </c>
      <c r="H104" s="253"/>
      <c r="I104" s="9">
        <f t="shared" si="2"/>
        <v>2.5099999999999998</v>
      </c>
      <c r="J104" s="253"/>
      <c r="K104" s="9">
        <f t="shared" si="3"/>
        <v>14.49</v>
      </c>
      <c r="L104" t="s">
        <v>267</v>
      </c>
    </row>
    <row r="106" spans="1:15" ht="15.75" thickBot="1" x14ac:dyDescent="0.3"/>
    <row r="107" spans="1:15" ht="30" x14ac:dyDescent="0.25">
      <c r="A107" s="44" t="s">
        <v>1</v>
      </c>
      <c r="B107" s="45" t="s">
        <v>2</v>
      </c>
      <c r="C107" s="46" t="s">
        <v>26</v>
      </c>
      <c r="D107" s="46" t="s">
        <v>4</v>
      </c>
      <c r="E107" s="46" t="s">
        <v>5</v>
      </c>
      <c r="F107" s="46" t="s">
        <v>6</v>
      </c>
      <c r="G107" s="46" t="s">
        <v>7</v>
      </c>
      <c r="H107" s="46" t="s">
        <v>8</v>
      </c>
      <c r="I107" s="46" t="s">
        <v>9</v>
      </c>
      <c r="J107" s="47" t="s">
        <v>10</v>
      </c>
      <c r="K107" s="2" t="s">
        <v>11</v>
      </c>
    </row>
    <row r="108" spans="1:15" x14ac:dyDescent="0.25">
      <c r="A108" s="184">
        <v>45627</v>
      </c>
      <c r="B108" s="51" t="s">
        <v>4132</v>
      </c>
      <c r="C108" s="14" t="s">
        <v>2448</v>
      </c>
      <c r="D108" s="14" t="s">
        <v>2449</v>
      </c>
      <c r="E108" s="14" t="s">
        <v>2450</v>
      </c>
      <c r="F108" s="60">
        <v>1400</v>
      </c>
      <c r="G108" s="30">
        <f>F108*21/100</f>
        <v>294</v>
      </c>
      <c r="H108" s="30">
        <v>0</v>
      </c>
      <c r="I108" s="30">
        <f t="shared" ref="I108:I117" si="5">G108+H108</f>
        <v>294</v>
      </c>
      <c r="J108" s="31">
        <v>266</v>
      </c>
      <c r="K108" s="50">
        <f t="shared" ref="K108:K117" si="6">F108+I108-J108</f>
        <v>1428</v>
      </c>
    </row>
    <row r="109" spans="1:15" x14ac:dyDescent="0.25">
      <c r="A109" s="184">
        <v>45642</v>
      </c>
      <c r="B109" s="288" t="s">
        <v>4286</v>
      </c>
      <c r="C109" s="293" t="s">
        <v>4417</v>
      </c>
      <c r="D109" s="222" t="s">
        <v>4419</v>
      </c>
      <c r="E109" s="302" t="s">
        <v>4418</v>
      </c>
      <c r="F109" s="60">
        <v>580</v>
      </c>
      <c r="G109" s="30">
        <v>0</v>
      </c>
      <c r="H109" s="30">
        <f>F109*10/100</f>
        <v>58</v>
      </c>
      <c r="I109" s="30">
        <f t="shared" si="5"/>
        <v>58</v>
      </c>
      <c r="J109" s="31"/>
      <c r="K109" s="50">
        <f t="shared" si="6"/>
        <v>638</v>
      </c>
    </row>
    <row r="110" spans="1:15" x14ac:dyDescent="0.25">
      <c r="A110" s="184">
        <v>45657</v>
      </c>
      <c r="B110" s="14" t="s">
        <v>4354</v>
      </c>
      <c r="C110" s="287" t="s">
        <v>4587</v>
      </c>
      <c r="D110" s="14" t="s">
        <v>4589</v>
      </c>
      <c r="E110" s="14" t="s">
        <v>4588</v>
      </c>
      <c r="F110" s="60">
        <v>250</v>
      </c>
      <c r="G110" s="30">
        <v>0</v>
      </c>
      <c r="H110" s="30">
        <f t="shared" ref="H110:H119" si="7">F110*10/100</f>
        <v>25</v>
      </c>
      <c r="I110" s="30">
        <f t="shared" si="5"/>
        <v>25</v>
      </c>
      <c r="J110" s="31"/>
      <c r="K110" s="50">
        <f t="shared" si="6"/>
        <v>275</v>
      </c>
    </row>
    <row r="111" spans="1:15" x14ac:dyDescent="0.25">
      <c r="A111" s="298">
        <v>45627</v>
      </c>
      <c r="B111" s="161" t="s">
        <v>4612</v>
      </c>
      <c r="C111" s="28" t="s">
        <v>1101</v>
      </c>
      <c r="D111" s="314" t="s">
        <v>1102</v>
      </c>
      <c r="E111" s="300" t="s">
        <v>827</v>
      </c>
      <c r="F111" s="301">
        <v>7190.08</v>
      </c>
      <c r="G111" s="30">
        <f t="shared" ref="G111:G116" si="8">F111*21/100</f>
        <v>1509.9168</v>
      </c>
      <c r="H111" s="30"/>
      <c r="I111" s="301">
        <f t="shared" si="5"/>
        <v>1509.9168</v>
      </c>
      <c r="J111" s="286"/>
      <c r="K111" s="56">
        <f t="shared" si="6"/>
        <v>8699.9968000000008</v>
      </c>
    </row>
    <row r="112" spans="1:15" x14ac:dyDescent="0.25">
      <c r="A112" s="184"/>
      <c r="B112" s="288"/>
      <c r="C112" s="293"/>
      <c r="D112" s="222"/>
      <c r="E112" s="302"/>
      <c r="F112" s="83"/>
      <c r="G112" s="30">
        <f t="shared" si="8"/>
        <v>0</v>
      </c>
      <c r="H112" s="30">
        <f t="shared" si="7"/>
        <v>0</v>
      </c>
      <c r="I112" s="30">
        <f t="shared" si="5"/>
        <v>0</v>
      </c>
      <c r="J112" s="31"/>
      <c r="K112" s="50">
        <f t="shared" si="6"/>
        <v>0</v>
      </c>
    </row>
    <row r="113" spans="1:11" x14ac:dyDescent="0.25">
      <c r="A113" s="184"/>
      <c r="B113" s="287"/>
      <c r="C113" s="14"/>
      <c r="D113" s="287"/>
      <c r="E113" s="14"/>
      <c r="F113" s="50"/>
      <c r="G113" s="30">
        <f t="shared" si="8"/>
        <v>0</v>
      </c>
      <c r="H113" s="30">
        <f t="shared" si="7"/>
        <v>0</v>
      </c>
      <c r="I113" s="30">
        <f t="shared" si="5"/>
        <v>0</v>
      </c>
      <c r="J113" s="31"/>
      <c r="K113" s="50">
        <f t="shared" si="6"/>
        <v>0</v>
      </c>
    </row>
    <row r="114" spans="1:11" x14ac:dyDescent="0.25">
      <c r="A114" s="184"/>
      <c r="B114" s="161"/>
      <c r="C114" s="303"/>
      <c r="D114" s="303"/>
      <c r="E114" s="183"/>
      <c r="F114" s="304"/>
      <c r="G114" s="30">
        <f t="shared" si="8"/>
        <v>0</v>
      </c>
      <c r="H114" s="30">
        <f t="shared" si="7"/>
        <v>0</v>
      </c>
      <c r="I114" s="30">
        <f t="shared" si="5"/>
        <v>0</v>
      </c>
      <c r="J114" s="31"/>
      <c r="K114" s="50">
        <f t="shared" si="6"/>
        <v>0</v>
      </c>
    </row>
    <row r="115" spans="1:11" x14ac:dyDescent="0.25">
      <c r="A115" s="184"/>
      <c r="B115" s="36"/>
      <c r="C115" s="161"/>
      <c r="D115" s="14"/>
      <c r="E115" s="183"/>
      <c r="F115" s="30"/>
      <c r="G115" s="30">
        <f t="shared" si="8"/>
        <v>0</v>
      </c>
      <c r="H115" s="30">
        <f t="shared" si="7"/>
        <v>0</v>
      </c>
      <c r="I115" s="30">
        <f t="shared" si="5"/>
        <v>0</v>
      </c>
      <c r="J115" s="31"/>
      <c r="K115" s="50">
        <f t="shared" si="6"/>
        <v>0</v>
      </c>
    </row>
    <row r="116" spans="1:11" x14ac:dyDescent="0.25">
      <c r="A116" s="184"/>
      <c r="B116" s="36"/>
      <c r="C116" s="161"/>
      <c r="D116" s="14"/>
      <c r="E116" s="183"/>
      <c r="F116" s="30"/>
      <c r="G116" s="30">
        <f t="shared" si="8"/>
        <v>0</v>
      </c>
      <c r="H116" s="30">
        <f t="shared" si="7"/>
        <v>0</v>
      </c>
      <c r="I116" s="30"/>
      <c r="J116" s="31"/>
      <c r="K116" s="50"/>
    </row>
    <row r="117" spans="1:11" x14ac:dyDescent="0.25">
      <c r="A117" s="184"/>
      <c r="B117" s="36"/>
      <c r="C117" s="161"/>
      <c r="D117" s="14"/>
      <c r="E117" s="183"/>
      <c r="F117" s="30"/>
      <c r="G117" s="30">
        <f>F117*21/100</f>
        <v>0</v>
      </c>
      <c r="H117" s="30">
        <f t="shared" si="7"/>
        <v>0</v>
      </c>
      <c r="I117" s="30">
        <f t="shared" si="5"/>
        <v>0</v>
      </c>
      <c r="J117" s="31"/>
      <c r="K117" s="50">
        <f t="shared" si="6"/>
        <v>0</v>
      </c>
    </row>
    <row r="118" spans="1:11" x14ac:dyDescent="0.25">
      <c r="A118" s="184"/>
      <c r="B118" s="36"/>
      <c r="C118" s="161"/>
      <c r="D118" s="14"/>
      <c r="E118" s="183"/>
      <c r="F118" s="30"/>
      <c r="G118" s="30">
        <f>F118*21/100</f>
        <v>0</v>
      </c>
      <c r="H118" s="30">
        <f t="shared" si="7"/>
        <v>0</v>
      </c>
      <c r="I118" s="30"/>
      <c r="J118" s="31"/>
      <c r="K118" s="50"/>
    </row>
    <row r="119" spans="1:11" x14ac:dyDescent="0.25">
      <c r="A119" s="184"/>
      <c r="B119" s="36"/>
      <c r="C119" s="161"/>
      <c r="D119" s="14"/>
      <c r="E119" s="183"/>
      <c r="F119" s="30"/>
      <c r="G119" s="30">
        <f>F119*21/100</f>
        <v>0</v>
      </c>
      <c r="H119" s="30">
        <f t="shared" si="7"/>
        <v>0</v>
      </c>
      <c r="I119" s="30"/>
      <c r="J119" s="31"/>
      <c r="K119" s="50"/>
    </row>
    <row r="120" spans="1:11" x14ac:dyDescent="0.25">
      <c r="A120" s="319" t="s">
        <v>11</v>
      </c>
      <c r="B120" s="319"/>
      <c r="C120" s="319"/>
      <c r="D120" s="321"/>
      <c r="E120" s="319"/>
      <c r="F120" s="40">
        <f>SUM(F108:F119)</f>
        <v>9420.08</v>
      </c>
      <c r="G120" s="41">
        <f>SUM(G108:G119)</f>
        <v>1803.9168</v>
      </c>
      <c r="H120" s="36"/>
      <c r="I120" s="40">
        <f>SUM(I108:I119)</f>
        <v>1886.9168</v>
      </c>
      <c r="J120" s="164">
        <f>SUM(J108:J119)</f>
        <v>266</v>
      </c>
      <c r="K120" s="160">
        <f>SUM(K108:K119)</f>
        <v>11040.996800000001</v>
      </c>
    </row>
  </sheetData>
  <mergeCells count="29">
    <mergeCell ref="K53:K54"/>
    <mergeCell ref="A53:A54"/>
    <mergeCell ref="B53:B54"/>
    <mergeCell ref="C53:C54"/>
    <mergeCell ref="D53:D54"/>
    <mergeCell ref="E53:E54"/>
    <mergeCell ref="A120:E120"/>
    <mergeCell ref="I13:I15"/>
    <mergeCell ref="K13:K15"/>
    <mergeCell ref="E13:E15"/>
    <mergeCell ref="D13:D15"/>
    <mergeCell ref="C13:C15"/>
    <mergeCell ref="B13:B15"/>
    <mergeCell ref="A13:A15"/>
    <mergeCell ref="A47:A50"/>
    <mergeCell ref="B47:B50"/>
    <mergeCell ref="C47:C50"/>
    <mergeCell ref="D47:D50"/>
    <mergeCell ref="E47:E50"/>
    <mergeCell ref="I47:I50"/>
    <mergeCell ref="K47:K50"/>
    <mergeCell ref="I53:I54"/>
    <mergeCell ref="I64:I65"/>
    <mergeCell ref="K64:K65"/>
    <mergeCell ref="A64:A65"/>
    <mergeCell ref="B64:B65"/>
    <mergeCell ref="C64:C65"/>
    <mergeCell ref="D64:D65"/>
    <mergeCell ref="E64:E6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08EE-C7F2-4E13-A554-B286EC94079E}">
  <dimension ref="A1:P161"/>
  <sheetViews>
    <sheetView topLeftCell="A156" workbookViewId="0">
      <selection activeCell="G3" sqref="G3:G161"/>
    </sheetView>
  </sheetViews>
  <sheetFormatPr baseColWidth="10" defaultRowHeight="15" x14ac:dyDescent="0.25"/>
  <cols>
    <col min="2" max="2" width="30" customWidth="1"/>
    <col min="3" max="3" width="37.42578125" customWidth="1"/>
    <col min="4" max="4" width="17.28515625" customWidth="1"/>
    <col min="9" max="9" width="14" customWidth="1"/>
    <col min="12" max="12" width="15.85546875" customWidth="1"/>
  </cols>
  <sheetData>
    <row r="1" spans="1:15" x14ac:dyDescent="0.25">
      <c r="A1" s="319" t="s">
        <v>1</v>
      </c>
      <c r="B1" s="319" t="s">
        <v>2</v>
      </c>
      <c r="C1" s="319" t="s">
        <v>32</v>
      </c>
      <c r="D1" s="319" t="s">
        <v>33</v>
      </c>
      <c r="E1" s="319" t="s">
        <v>408</v>
      </c>
      <c r="F1" s="319" t="s">
        <v>11</v>
      </c>
      <c r="G1" s="319" t="s">
        <v>34</v>
      </c>
      <c r="H1" s="319"/>
      <c r="I1" s="319" t="s">
        <v>35</v>
      </c>
      <c r="J1" s="319" t="s">
        <v>36</v>
      </c>
      <c r="K1" s="319" t="s">
        <v>37</v>
      </c>
      <c r="L1" s="319" t="s">
        <v>38</v>
      </c>
      <c r="M1" s="319" t="s">
        <v>37</v>
      </c>
      <c r="N1" s="320" t="s">
        <v>38</v>
      </c>
      <c r="O1" s="319" t="s">
        <v>40</v>
      </c>
    </row>
    <row r="2" spans="1:15" x14ac:dyDescent="0.25">
      <c r="A2" s="320"/>
      <c r="B2" s="320"/>
      <c r="C2" s="320"/>
      <c r="D2" s="320"/>
      <c r="E2" s="320"/>
      <c r="F2" s="320"/>
      <c r="G2" s="52" t="s">
        <v>41</v>
      </c>
      <c r="H2" s="53" t="s">
        <v>42</v>
      </c>
      <c r="I2" s="320"/>
      <c r="J2" s="320"/>
      <c r="K2" s="320"/>
      <c r="L2" s="320"/>
      <c r="M2" s="320"/>
      <c r="N2" s="323"/>
      <c r="O2" s="320"/>
    </row>
    <row r="3" spans="1:15" x14ac:dyDescent="0.25">
      <c r="A3" s="86">
        <v>45627</v>
      </c>
      <c r="B3" s="55" t="s">
        <v>4211</v>
      </c>
      <c r="C3" s="55" t="s">
        <v>43</v>
      </c>
      <c r="D3" s="146">
        <f>F3/1.1</f>
        <v>154.54545454545453</v>
      </c>
      <c r="E3" s="146">
        <f t="shared" ref="E3:E66" si="0">D3*10/100</f>
        <v>15.454545454545453</v>
      </c>
      <c r="F3" s="146">
        <v>170</v>
      </c>
      <c r="G3" s="146">
        <v>50</v>
      </c>
      <c r="H3" s="58">
        <f t="shared" ref="H3:H66" si="1">F3-G3</f>
        <v>120</v>
      </c>
      <c r="I3" s="14" t="s">
        <v>4369</v>
      </c>
      <c r="J3" s="75">
        <v>170</v>
      </c>
      <c r="K3" s="75"/>
      <c r="L3" s="14"/>
      <c r="M3" s="14"/>
      <c r="N3" s="14"/>
      <c r="O3" s="14"/>
    </row>
    <row r="4" spans="1:15" x14ac:dyDescent="0.25">
      <c r="A4" s="86">
        <v>45627</v>
      </c>
      <c r="B4" s="55" t="s">
        <v>4212</v>
      </c>
      <c r="C4" s="55" t="s">
        <v>43</v>
      </c>
      <c r="D4" s="146">
        <f t="shared" ref="D4:D67" si="2">F4/1.1</f>
        <v>195.45454545454544</v>
      </c>
      <c r="E4" s="146">
        <f t="shared" si="0"/>
        <v>19.545454545454547</v>
      </c>
      <c r="F4" s="146">
        <v>215</v>
      </c>
      <c r="G4" s="146">
        <v>50</v>
      </c>
      <c r="H4" s="58">
        <f t="shared" si="1"/>
        <v>165</v>
      </c>
      <c r="I4" s="14" t="s">
        <v>4370</v>
      </c>
      <c r="J4" s="75">
        <v>170</v>
      </c>
      <c r="K4" s="75"/>
      <c r="L4" s="14"/>
      <c r="M4" s="75">
        <v>45</v>
      </c>
      <c r="N4" s="14" t="s">
        <v>4371</v>
      </c>
      <c r="O4" s="14"/>
    </row>
    <row r="5" spans="1:15" x14ac:dyDescent="0.25">
      <c r="A5" s="86">
        <v>45627</v>
      </c>
      <c r="B5" s="55" t="s">
        <v>4213</v>
      </c>
      <c r="C5" s="55" t="s">
        <v>43</v>
      </c>
      <c r="D5" s="146">
        <f t="shared" si="2"/>
        <v>127.27272727272727</v>
      </c>
      <c r="E5" s="146">
        <f t="shared" si="0"/>
        <v>12.727272727272727</v>
      </c>
      <c r="F5" s="146">
        <v>140</v>
      </c>
      <c r="G5" s="146"/>
      <c r="H5" s="58">
        <f t="shared" si="1"/>
        <v>140</v>
      </c>
      <c r="I5" s="14" t="s">
        <v>603</v>
      </c>
      <c r="J5" s="75">
        <v>140</v>
      </c>
      <c r="K5" s="75"/>
      <c r="L5" s="14"/>
      <c r="M5" s="75"/>
      <c r="N5" s="14"/>
      <c r="O5" s="14"/>
    </row>
    <row r="6" spans="1:15" x14ac:dyDescent="0.25">
      <c r="A6" s="86">
        <v>45628</v>
      </c>
      <c r="B6" s="55" t="s">
        <v>4214</v>
      </c>
      <c r="C6" s="55" t="s">
        <v>43</v>
      </c>
      <c r="D6" s="146">
        <f t="shared" si="2"/>
        <v>340.90909090909088</v>
      </c>
      <c r="E6" s="146">
        <f t="shared" si="0"/>
        <v>34.090909090909093</v>
      </c>
      <c r="F6" s="146">
        <v>375</v>
      </c>
      <c r="G6" s="146">
        <v>50</v>
      </c>
      <c r="H6" s="58">
        <f t="shared" si="1"/>
        <v>325</v>
      </c>
      <c r="I6" s="14" t="s">
        <v>4069</v>
      </c>
      <c r="J6" s="75">
        <v>270</v>
      </c>
      <c r="K6" s="75">
        <v>60</v>
      </c>
      <c r="L6" s="14" t="s">
        <v>252</v>
      </c>
      <c r="M6" s="75">
        <v>45</v>
      </c>
      <c r="N6" s="14" t="s">
        <v>4372</v>
      </c>
      <c r="O6" s="14"/>
    </row>
    <row r="7" spans="1:15" x14ac:dyDescent="0.25">
      <c r="A7" s="86">
        <v>45629</v>
      </c>
      <c r="B7" s="55" t="s">
        <v>4215</v>
      </c>
      <c r="C7" s="55" t="s">
        <v>43</v>
      </c>
      <c r="D7" s="146">
        <f t="shared" si="2"/>
        <v>154.54545454545453</v>
      </c>
      <c r="E7" s="146">
        <f t="shared" si="0"/>
        <v>15.454545454545453</v>
      </c>
      <c r="F7" s="146">
        <v>170</v>
      </c>
      <c r="G7" s="146">
        <v>50</v>
      </c>
      <c r="H7" s="58">
        <f t="shared" si="1"/>
        <v>120</v>
      </c>
      <c r="I7" s="14" t="s">
        <v>4386</v>
      </c>
      <c r="J7" s="75">
        <v>170</v>
      </c>
      <c r="K7" s="75"/>
      <c r="L7" s="14"/>
      <c r="M7" s="75"/>
      <c r="N7" s="14"/>
      <c r="O7" s="14"/>
    </row>
    <row r="8" spans="1:15" x14ac:dyDescent="0.25">
      <c r="A8" s="86">
        <v>45631</v>
      </c>
      <c r="B8" s="55" t="s">
        <v>4216</v>
      </c>
      <c r="C8" s="55" t="s">
        <v>43</v>
      </c>
      <c r="D8" s="146">
        <f t="shared" si="2"/>
        <v>199.99999999999997</v>
      </c>
      <c r="E8" s="146">
        <f t="shared" si="0"/>
        <v>19.999999999999996</v>
      </c>
      <c r="F8" s="146">
        <v>220</v>
      </c>
      <c r="G8" s="146">
        <v>50</v>
      </c>
      <c r="H8" s="58">
        <f t="shared" si="1"/>
        <v>170</v>
      </c>
      <c r="I8" s="14" t="s">
        <v>4387</v>
      </c>
      <c r="J8" s="75">
        <v>220</v>
      </c>
      <c r="K8" s="75"/>
      <c r="L8" s="14"/>
      <c r="M8" s="75"/>
      <c r="N8" s="14"/>
      <c r="O8" s="14"/>
    </row>
    <row r="9" spans="1:15" x14ac:dyDescent="0.25">
      <c r="A9" s="86">
        <v>45631</v>
      </c>
      <c r="B9" s="55" t="s">
        <v>4217</v>
      </c>
      <c r="C9" s="55" t="s">
        <v>43</v>
      </c>
      <c r="D9" s="146">
        <f t="shared" si="2"/>
        <v>245.45454545454544</v>
      </c>
      <c r="E9" s="146">
        <f t="shared" si="0"/>
        <v>24.545454545454547</v>
      </c>
      <c r="F9" s="146">
        <v>270</v>
      </c>
      <c r="G9" s="146">
        <v>50</v>
      </c>
      <c r="H9" s="58">
        <f t="shared" si="1"/>
        <v>220</v>
      </c>
      <c r="I9" s="14" t="s">
        <v>4388</v>
      </c>
      <c r="J9" s="75">
        <v>270</v>
      </c>
      <c r="K9" s="75"/>
      <c r="L9" s="14"/>
      <c r="M9" s="75"/>
      <c r="N9" s="14"/>
      <c r="O9" s="14"/>
    </row>
    <row r="10" spans="1:15" x14ac:dyDescent="0.25">
      <c r="A10" s="86">
        <v>45631</v>
      </c>
      <c r="B10" s="55" t="s">
        <v>4218</v>
      </c>
      <c r="C10" s="55" t="s">
        <v>43</v>
      </c>
      <c r="D10" s="146">
        <f t="shared" si="2"/>
        <v>127.27272727272727</v>
      </c>
      <c r="E10" s="146">
        <f t="shared" si="0"/>
        <v>12.727272727272727</v>
      </c>
      <c r="F10" s="146">
        <v>140</v>
      </c>
      <c r="G10" s="146"/>
      <c r="H10" s="58">
        <f t="shared" si="1"/>
        <v>140</v>
      </c>
      <c r="I10" s="14" t="s">
        <v>603</v>
      </c>
      <c r="J10" s="75">
        <v>140</v>
      </c>
      <c r="K10" s="75"/>
      <c r="L10" s="14"/>
      <c r="M10" s="75"/>
      <c r="N10" s="14"/>
      <c r="O10" s="14"/>
    </row>
    <row r="11" spans="1:15" x14ac:dyDescent="0.25">
      <c r="A11" s="86">
        <v>45631</v>
      </c>
      <c r="B11" s="55" t="s">
        <v>4219</v>
      </c>
      <c r="C11" s="55" t="s">
        <v>43</v>
      </c>
      <c r="D11" s="146">
        <f t="shared" si="2"/>
        <v>172.72727272727272</v>
      </c>
      <c r="E11" s="146">
        <f t="shared" si="0"/>
        <v>17.272727272727273</v>
      </c>
      <c r="F11" s="146">
        <v>190</v>
      </c>
      <c r="G11" s="146">
        <v>50</v>
      </c>
      <c r="H11" s="58">
        <f t="shared" si="1"/>
        <v>140</v>
      </c>
      <c r="I11" s="14" t="s">
        <v>4389</v>
      </c>
      <c r="J11" s="75">
        <v>170</v>
      </c>
      <c r="K11" s="75">
        <v>20</v>
      </c>
      <c r="L11" s="14" t="s">
        <v>252</v>
      </c>
      <c r="M11" s="75"/>
      <c r="N11" s="14"/>
      <c r="O11" s="14"/>
    </row>
    <row r="12" spans="1:15" x14ac:dyDescent="0.25">
      <c r="A12" s="86">
        <v>45631</v>
      </c>
      <c r="B12" s="55" t="s">
        <v>4220</v>
      </c>
      <c r="C12" s="55" t="s">
        <v>43</v>
      </c>
      <c r="D12" s="146">
        <f t="shared" si="2"/>
        <v>245.45454545454544</v>
      </c>
      <c r="E12" s="146">
        <f t="shared" si="0"/>
        <v>24.545454545454547</v>
      </c>
      <c r="F12" s="146">
        <v>270</v>
      </c>
      <c r="G12" s="146">
        <v>50</v>
      </c>
      <c r="H12" s="58">
        <f t="shared" si="1"/>
        <v>220</v>
      </c>
      <c r="I12" s="14" t="s">
        <v>4390</v>
      </c>
      <c r="J12" s="75">
        <v>270</v>
      </c>
      <c r="K12" s="75"/>
      <c r="L12" s="14"/>
      <c r="M12" s="75"/>
      <c r="N12" s="14"/>
      <c r="O12" s="14"/>
    </row>
    <row r="13" spans="1:15" x14ac:dyDescent="0.25">
      <c r="A13" s="86">
        <v>45631</v>
      </c>
      <c r="B13" s="55" t="s">
        <v>4221</v>
      </c>
      <c r="C13" s="55" t="s">
        <v>43</v>
      </c>
      <c r="D13" s="146">
        <f t="shared" si="2"/>
        <v>227.27272727272725</v>
      </c>
      <c r="E13" s="146">
        <f t="shared" si="0"/>
        <v>22.727272727272727</v>
      </c>
      <c r="F13" s="146">
        <v>250</v>
      </c>
      <c r="G13" s="146">
        <v>250</v>
      </c>
      <c r="H13" s="58">
        <f t="shared" si="1"/>
        <v>0</v>
      </c>
      <c r="I13" s="14" t="s">
        <v>4391</v>
      </c>
      <c r="J13" s="75">
        <v>220</v>
      </c>
      <c r="K13" s="75">
        <v>30</v>
      </c>
      <c r="L13" s="14" t="s">
        <v>252</v>
      </c>
      <c r="M13" s="75"/>
      <c r="N13" s="14"/>
      <c r="O13" s="14"/>
    </row>
    <row r="14" spans="1:15" x14ac:dyDescent="0.25">
      <c r="A14" s="86">
        <v>45631</v>
      </c>
      <c r="B14" s="55" t="s">
        <v>4222</v>
      </c>
      <c r="C14" s="55" t="s">
        <v>43</v>
      </c>
      <c r="D14" s="146">
        <f t="shared" si="2"/>
        <v>263.63636363636363</v>
      </c>
      <c r="E14" s="146">
        <f t="shared" si="0"/>
        <v>26.36363636363636</v>
      </c>
      <c r="F14" s="146">
        <v>290</v>
      </c>
      <c r="G14" s="146">
        <v>50</v>
      </c>
      <c r="H14" s="58">
        <f t="shared" si="1"/>
        <v>240</v>
      </c>
      <c r="I14" s="14" t="s">
        <v>4392</v>
      </c>
      <c r="J14" s="75">
        <v>270</v>
      </c>
      <c r="K14" s="75">
        <v>20</v>
      </c>
      <c r="L14" s="14" t="s">
        <v>252</v>
      </c>
      <c r="M14" s="75"/>
      <c r="N14" s="14"/>
      <c r="O14" s="14"/>
    </row>
    <row r="15" spans="1:15" x14ac:dyDescent="0.25">
      <c r="A15" s="86">
        <v>45632</v>
      </c>
      <c r="B15" s="55" t="s">
        <v>4223</v>
      </c>
      <c r="C15" s="55" t="s">
        <v>43</v>
      </c>
      <c r="D15" s="146">
        <f t="shared" si="2"/>
        <v>154.54545454545453</v>
      </c>
      <c r="E15" s="146">
        <f t="shared" si="0"/>
        <v>15.454545454545453</v>
      </c>
      <c r="F15" s="146">
        <v>170</v>
      </c>
      <c r="G15" s="146">
        <v>50</v>
      </c>
      <c r="H15" s="58">
        <f t="shared" si="1"/>
        <v>120</v>
      </c>
      <c r="I15" s="14" t="s">
        <v>4393</v>
      </c>
      <c r="J15" s="255">
        <v>170</v>
      </c>
      <c r="K15" s="75"/>
      <c r="L15" s="14"/>
      <c r="M15" s="75"/>
      <c r="N15" s="14"/>
      <c r="O15" s="75"/>
    </row>
    <row r="16" spans="1:15" x14ac:dyDescent="0.25">
      <c r="A16" s="86">
        <v>45632</v>
      </c>
      <c r="B16" s="55" t="s">
        <v>4224</v>
      </c>
      <c r="C16" s="55" t="s">
        <v>43</v>
      </c>
      <c r="D16" s="146">
        <f t="shared" si="2"/>
        <v>154.54545454545453</v>
      </c>
      <c r="E16" s="146">
        <f t="shared" si="0"/>
        <v>15.454545454545453</v>
      </c>
      <c r="F16" s="146">
        <v>170</v>
      </c>
      <c r="G16" s="146">
        <v>50</v>
      </c>
      <c r="H16" s="58">
        <f t="shared" si="1"/>
        <v>120</v>
      </c>
      <c r="I16" s="14" t="s">
        <v>4394</v>
      </c>
      <c r="J16" s="75">
        <v>170</v>
      </c>
      <c r="K16" s="75"/>
      <c r="L16" s="14"/>
      <c r="M16" s="75"/>
      <c r="N16" s="14"/>
      <c r="O16" s="75"/>
    </row>
    <row r="17" spans="1:15" x14ac:dyDescent="0.25">
      <c r="A17" s="86">
        <v>45632</v>
      </c>
      <c r="B17" s="55" t="s">
        <v>4225</v>
      </c>
      <c r="C17" s="55" t="s">
        <v>43</v>
      </c>
      <c r="D17" s="146">
        <f t="shared" si="2"/>
        <v>154.54545454545453</v>
      </c>
      <c r="E17" s="146">
        <f t="shared" si="0"/>
        <v>15.454545454545453</v>
      </c>
      <c r="F17" s="146">
        <v>170</v>
      </c>
      <c r="G17" s="146">
        <v>50</v>
      </c>
      <c r="H17" s="58">
        <f t="shared" si="1"/>
        <v>120</v>
      </c>
      <c r="I17" s="14" t="s">
        <v>1278</v>
      </c>
      <c r="J17" s="75">
        <v>170</v>
      </c>
      <c r="K17" s="75"/>
      <c r="L17" s="14"/>
      <c r="M17" s="75"/>
      <c r="N17" s="14"/>
      <c r="O17" s="75"/>
    </row>
    <row r="18" spans="1:15" x14ac:dyDescent="0.25">
      <c r="A18" s="86">
        <v>45632</v>
      </c>
      <c r="B18" s="55" t="s">
        <v>4226</v>
      </c>
      <c r="C18" s="55" t="s">
        <v>43</v>
      </c>
      <c r="D18" s="146">
        <f t="shared" si="2"/>
        <v>218.18181818181816</v>
      </c>
      <c r="E18" s="146">
        <f t="shared" si="0"/>
        <v>21.818181818181817</v>
      </c>
      <c r="F18" s="146">
        <v>240</v>
      </c>
      <c r="G18" s="146">
        <v>50</v>
      </c>
      <c r="H18" s="58">
        <f t="shared" si="1"/>
        <v>190</v>
      </c>
      <c r="I18" s="14" t="s">
        <v>4395</v>
      </c>
      <c r="J18" s="75">
        <v>170</v>
      </c>
      <c r="K18" s="75">
        <v>70</v>
      </c>
      <c r="L18" s="14" t="s">
        <v>252</v>
      </c>
      <c r="M18" s="75"/>
      <c r="N18" s="14"/>
      <c r="O18" s="75"/>
    </row>
    <row r="19" spans="1:15" x14ac:dyDescent="0.25">
      <c r="A19" s="86">
        <v>45632</v>
      </c>
      <c r="B19" s="55" t="s">
        <v>4227</v>
      </c>
      <c r="C19" s="55" t="s">
        <v>43</v>
      </c>
      <c r="D19" s="146">
        <f t="shared" si="2"/>
        <v>199.99999999999997</v>
      </c>
      <c r="E19" s="146">
        <f t="shared" si="0"/>
        <v>19.999999999999996</v>
      </c>
      <c r="F19" s="146">
        <v>220</v>
      </c>
      <c r="G19" s="146">
        <v>50</v>
      </c>
      <c r="H19" s="58">
        <f t="shared" si="1"/>
        <v>170</v>
      </c>
      <c r="I19" s="14" t="s">
        <v>4396</v>
      </c>
      <c r="J19" s="75">
        <v>170</v>
      </c>
      <c r="K19" s="75">
        <v>50</v>
      </c>
      <c r="L19" s="14" t="s">
        <v>252</v>
      </c>
      <c r="M19" s="75"/>
      <c r="N19" s="14"/>
      <c r="O19" s="75"/>
    </row>
    <row r="20" spans="1:15" x14ac:dyDescent="0.25">
      <c r="A20" s="86">
        <v>45632</v>
      </c>
      <c r="B20" s="55" t="s">
        <v>4228</v>
      </c>
      <c r="C20" s="55" t="s">
        <v>43</v>
      </c>
      <c r="D20" s="146">
        <f t="shared" si="2"/>
        <v>263.63636363636363</v>
      </c>
      <c r="E20" s="146">
        <f t="shared" si="0"/>
        <v>26.36363636363636</v>
      </c>
      <c r="F20" s="146">
        <v>290</v>
      </c>
      <c r="G20" s="146">
        <v>50</v>
      </c>
      <c r="H20" s="58">
        <f t="shared" si="1"/>
        <v>240</v>
      </c>
      <c r="I20" s="14" t="s">
        <v>2752</v>
      </c>
      <c r="J20" s="75">
        <v>270</v>
      </c>
      <c r="K20" s="75">
        <v>20</v>
      </c>
      <c r="L20" s="14" t="s">
        <v>252</v>
      </c>
      <c r="M20" s="75"/>
      <c r="N20" s="14"/>
      <c r="O20" s="75"/>
    </row>
    <row r="21" spans="1:15" x14ac:dyDescent="0.25">
      <c r="A21" s="86">
        <v>45632</v>
      </c>
      <c r="B21" s="55" t="s">
        <v>4229</v>
      </c>
      <c r="C21" s="55" t="s">
        <v>43</v>
      </c>
      <c r="D21" s="146">
        <f t="shared" si="2"/>
        <v>245.45454545454544</v>
      </c>
      <c r="E21" s="146">
        <f t="shared" si="0"/>
        <v>24.545454545454547</v>
      </c>
      <c r="F21" s="146">
        <v>270</v>
      </c>
      <c r="G21" s="146">
        <v>50</v>
      </c>
      <c r="H21" s="58">
        <f t="shared" si="1"/>
        <v>220</v>
      </c>
      <c r="I21" s="14" t="s">
        <v>4397</v>
      </c>
      <c r="J21" s="75">
        <v>270</v>
      </c>
      <c r="K21" s="75"/>
      <c r="L21" s="14"/>
      <c r="M21" s="75"/>
      <c r="N21" s="14"/>
      <c r="O21" s="75"/>
    </row>
    <row r="22" spans="1:15" x14ac:dyDescent="0.25">
      <c r="A22" s="86">
        <v>45632</v>
      </c>
      <c r="B22" s="55" t="s">
        <v>4230</v>
      </c>
      <c r="C22" s="55" t="s">
        <v>43</v>
      </c>
      <c r="D22" s="146">
        <f t="shared" si="2"/>
        <v>240.90909090909088</v>
      </c>
      <c r="E22" s="146">
        <f t="shared" si="0"/>
        <v>24.09090909090909</v>
      </c>
      <c r="F22" s="146">
        <v>265</v>
      </c>
      <c r="G22" s="146">
        <v>50</v>
      </c>
      <c r="H22" s="58">
        <f t="shared" si="1"/>
        <v>215</v>
      </c>
      <c r="I22" s="187" t="s">
        <v>4398</v>
      </c>
      <c r="J22" s="75">
        <v>220</v>
      </c>
      <c r="K22" s="75"/>
      <c r="L22" s="14"/>
      <c r="M22" s="75">
        <v>45</v>
      </c>
      <c r="N22" s="14" t="s">
        <v>45</v>
      </c>
      <c r="O22" s="14"/>
    </row>
    <row r="23" spans="1:15" x14ac:dyDescent="0.25">
      <c r="A23" s="86">
        <v>45633</v>
      </c>
      <c r="B23" s="55" t="s">
        <v>4231</v>
      </c>
      <c r="C23" s="55" t="s">
        <v>43</v>
      </c>
      <c r="D23" s="146">
        <f t="shared" si="2"/>
        <v>199.99999999999997</v>
      </c>
      <c r="E23" s="146">
        <f t="shared" si="0"/>
        <v>19.999999999999996</v>
      </c>
      <c r="F23" s="146">
        <v>220</v>
      </c>
      <c r="G23" s="146"/>
      <c r="H23" s="58">
        <f t="shared" si="1"/>
        <v>220</v>
      </c>
      <c r="I23" s="14" t="s">
        <v>603</v>
      </c>
      <c r="J23" s="75">
        <v>220</v>
      </c>
      <c r="K23" s="75"/>
      <c r="L23" s="14"/>
      <c r="M23" s="75"/>
      <c r="N23" s="14"/>
      <c r="O23" s="14"/>
    </row>
    <row r="24" spans="1:15" x14ac:dyDescent="0.25">
      <c r="A24" s="86">
        <v>45633</v>
      </c>
      <c r="B24" s="55" t="s">
        <v>4232</v>
      </c>
      <c r="C24" s="55" t="s">
        <v>43</v>
      </c>
      <c r="D24" s="146">
        <f t="shared" si="2"/>
        <v>354.5454545454545</v>
      </c>
      <c r="E24" s="146">
        <f t="shared" si="0"/>
        <v>35.454545454545453</v>
      </c>
      <c r="F24" s="146">
        <v>390</v>
      </c>
      <c r="G24" s="146">
        <v>390</v>
      </c>
      <c r="H24" s="58">
        <f t="shared" si="1"/>
        <v>0</v>
      </c>
      <c r="I24" s="14" t="s">
        <v>4399</v>
      </c>
      <c r="J24" s="75">
        <v>220</v>
      </c>
      <c r="K24" s="75"/>
      <c r="L24" s="14"/>
      <c r="M24" s="75">
        <v>170</v>
      </c>
      <c r="N24" s="14" t="s">
        <v>3087</v>
      </c>
      <c r="O24" s="14"/>
    </row>
    <row r="25" spans="1:15" x14ac:dyDescent="0.25">
      <c r="A25" s="86">
        <v>45633</v>
      </c>
      <c r="B25" s="55" t="s">
        <v>4233</v>
      </c>
      <c r="C25" s="55" t="s">
        <v>43</v>
      </c>
      <c r="D25" s="146">
        <f t="shared" si="2"/>
        <v>199.99999999999997</v>
      </c>
      <c r="E25" s="146">
        <f t="shared" si="0"/>
        <v>19.999999999999996</v>
      </c>
      <c r="F25" s="146">
        <v>220</v>
      </c>
      <c r="G25" s="146">
        <v>50</v>
      </c>
      <c r="H25" s="58">
        <f t="shared" si="1"/>
        <v>170</v>
      </c>
      <c r="I25" s="14" t="s">
        <v>4400</v>
      </c>
      <c r="J25" s="75">
        <v>270</v>
      </c>
      <c r="K25" s="75"/>
      <c r="L25" s="14"/>
      <c r="M25" s="75"/>
      <c r="N25" s="14"/>
      <c r="O25" s="14"/>
    </row>
    <row r="26" spans="1:15" x14ac:dyDescent="0.25">
      <c r="A26" s="86">
        <v>45633</v>
      </c>
      <c r="B26" s="55" t="s">
        <v>4234</v>
      </c>
      <c r="C26" s="55" t="s">
        <v>43</v>
      </c>
      <c r="D26" s="146">
        <f t="shared" si="2"/>
        <v>199.99999999999997</v>
      </c>
      <c r="E26" s="146">
        <f t="shared" si="0"/>
        <v>19.999999999999996</v>
      </c>
      <c r="F26" s="146">
        <v>220</v>
      </c>
      <c r="G26" s="146">
        <v>50</v>
      </c>
      <c r="H26" s="58">
        <f t="shared" si="1"/>
        <v>170</v>
      </c>
      <c r="I26" s="14" t="s">
        <v>4401</v>
      </c>
      <c r="J26" s="75">
        <v>270</v>
      </c>
      <c r="K26" s="75"/>
      <c r="L26" s="14"/>
      <c r="M26" s="75"/>
      <c r="N26" s="14"/>
      <c r="O26" s="14"/>
    </row>
    <row r="27" spans="1:15" x14ac:dyDescent="0.25">
      <c r="A27" s="86">
        <v>45633</v>
      </c>
      <c r="B27" s="55" t="s">
        <v>4235</v>
      </c>
      <c r="C27" s="55" t="s">
        <v>43</v>
      </c>
      <c r="D27" s="146">
        <f t="shared" si="2"/>
        <v>240.90909090909088</v>
      </c>
      <c r="E27" s="146">
        <f t="shared" si="0"/>
        <v>24.09090909090909</v>
      </c>
      <c r="F27" s="146">
        <v>265</v>
      </c>
      <c r="G27" s="146">
        <v>50</v>
      </c>
      <c r="H27" s="58">
        <f t="shared" si="1"/>
        <v>215</v>
      </c>
      <c r="I27" s="14" t="s">
        <v>4402</v>
      </c>
      <c r="J27" s="75">
        <v>220</v>
      </c>
      <c r="K27" s="75"/>
      <c r="L27" s="14"/>
      <c r="M27" s="75">
        <v>45</v>
      </c>
      <c r="N27" s="14" t="s">
        <v>45</v>
      </c>
      <c r="O27" s="14"/>
    </row>
    <row r="28" spans="1:15" x14ac:dyDescent="0.25">
      <c r="A28" s="86">
        <v>45633</v>
      </c>
      <c r="B28" s="55" t="s">
        <v>4236</v>
      </c>
      <c r="C28" s="55" t="s">
        <v>43</v>
      </c>
      <c r="D28" s="146">
        <f t="shared" si="2"/>
        <v>322.72727272727269</v>
      </c>
      <c r="E28" s="146">
        <f t="shared" si="0"/>
        <v>32.272727272727273</v>
      </c>
      <c r="F28" s="146">
        <v>355</v>
      </c>
      <c r="G28" s="146">
        <v>50</v>
      </c>
      <c r="H28" s="58">
        <f t="shared" si="1"/>
        <v>305</v>
      </c>
      <c r="I28" s="14" t="s">
        <v>2752</v>
      </c>
      <c r="J28" s="75">
        <v>270</v>
      </c>
      <c r="K28" s="75">
        <v>30</v>
      </c>
      <c r="L28" s="14" t="s">
        <v>252</v>
      </c>
      <c r="M28" s="75">
        <v>45</v>
      </c>
      <c r="N28" s="14" t="s">
        <v>45</v>
      </c>
      <c r="O28" s="14"/>
    </row>
    <row r="29" spans="1:15" x14ac:dyDescent="0.25">
      <c r="A29" s="86">
        <v>45633</v>
      </c>
      <c r="B29" s="55" t="s">
        <v>4237</v>
      </c>
      <c r="C29" s="55" t="s">
        <v>43</v>
      </c>
      <c r="D29" s="146">
        <f t="shared" si="2"/>
        <v>286.36363636363632</v>
      </c>
      <c r="E29" s="146">
        <f t="shared" si="0"/>
        <v>28.63636363636363</v>
      </c>
      <c r="F29" s="146">
        <v>315</v>
      </c>
      <c r="G29" s="146">
        <v>50</v>
      </c>
      <c r="H29" s="58">
        <f t="shared" si="1"/>
        <v>265</v>
      </c>
      <c r="I29" s="14" t="s">
        <v>4403</v>
      </c>
      <c r="J29" s="75">
        <v>270</v>
      </c>
      <c r="K29" s="75"/>
      <c r="L29" s="14"/>
      <c r="M29" s="75">
        <v>45</v>
      </c>
      <c r="N29" s="14" t="s">
        <v>45</v>
      </c>
      <c r="O29" s="14"/>
    </row>
    <row r="30" spans="1:15" x14ac:dyDescent="0.25">
      <c r="A30" s="86">
        <v>45633</v>
      </c>
      <c r="B30" s="55" t="s">
        <v>4238</v>
      </c>
      <c r="C30" s="55" t="s">
        <v>43</v>
      </c>
      <c r="D30" s="146">
        <f t="shared" si="2"/>
        <v>154.54545454545453</v>
      </c>
      <c r="E30" s="146">
        <f t="shared" si="0"/>
        <v>15.454545454545453</v>
      </c>
      <c r="F30" s="146">
        <v>170</v>
      </c>
      <c r="G30" s="146">
        <v>50</v>
      </c>
      <c r="H30" s="58">
        <f t="shared" si="1"/>
        <v>120</v>
      </c>
      <c r="I30" s="14" t="s">
        <v>4404</v>
      </c>
      <c r="J30" s="75">
        <v>170</v>
      </c>
      <c r="K30" s="75"/>
      <c r="L30" s="14"/>
      <c r="M30" s="75"/>
      <c r="N30" s="14"/>
      <c r="O30" s="14"/>
    </row>
    <row r="31" spans="1:15" x14ac:dyDescent="0.25">
      <c r="A31" s="86">
        <v>45633</v>
      </c>
      <c r="B31" s="55" t="s">
        <v>4239</v>
      </c>
      <c r="C31" s="55" t="s">
        <v>43</v>
      </c>
      <c r="D31" s="146">
        <f t="shared" si="2"/>
        <v>154.54545454545453</v>
      </c>
      <c r="E31" s="146">
        <f t="shared" si="0"/>
        <v>15.454545454545453</v>
      </c>
      <c r="F31" s="146">
        <v>170</v>
      </c>
      <c r="G31" s="146">
        <v>50</v>
      </c>
      <c r="H31" s="58">
        <f t="shared" si="1"/>
        <v>120</v>
      </c>
      <c r="I31" s="14" t="s">
        <v>4405</v>
      </c>
      <c r="J31" s="75">
        <v>170</v>
      </c>
      <c r="K31" s="75"/>
      <c r="L31" s="14"/>
      <c r="M31" s="75"/>
      <c r="N31" s="14"/>
      <c r="O31" s="14"/>
    </row>
    <row r="32" spans="1:15" x14ac:dyDescent="0.25">
      <c r="A32" s="86">
        <v>45633</v>
      </c>
      <c r="B32" s="55" t="s">
        <v>4240</v>
      </c>
      <c r="C32" s="55" t="s">
        <v>43</v>
      </c>
      <c r="D32" s="146">
        <f t="shared" si="2"/>
        <v>127.27272727272727</v>
      </c>
      <c r="E32" s="146">
        <f t="shared" si="0"/>
        <v>12.727272727272727</v>
      </c>
      <c r="F32" s="146">
        <v>140</v>
      </c>
      <c r="G32" s="146"/>
      <c r="H32" s="58">
        <f t="shared" si="1"/>
        <v>140</v>
      </c>
      <c r="I32" s="14" t="s">
        <v>4406</v>
      </c>
      <c r="J32" s="75">
        <v>140</v>
      </c>
      <c r="K32" s="75"/>
      <c r="L32" s="14"/>
      <c r="M32" s="75"/>
      <c r="N32" s="14"/>
      <c r="O32" s="14"/>
    </row>
    <row r="33" spans="1:15" x14ac:dyDescent="0.25">
      <c r="A33" s="86">
        <v>45633</v>
      </c>
      <c r="B33" s="55" t="s">
        <v>4241</v>
      </c>
      <c r="C33" s="55" t="s">
        <v>43</v>
      </c>
      <c r="D33" s="146">
        <f t="shared" si="2"/>
        <v>195.45454545454544</v>
      </c>
      <c r="E33" s="146">
        <f t="shared" si="0"/>
        <v>19.545454545454547</v>
      </c>
      <c r="F33" s="146">
        <v>215</v>
      </c>
      <c r="G33" s="146">
        <v>200</v>
      </c>
      <c r="H33" s="58">
        <f t="shared" si="1"/>
        <v>15</v>
      </c>
      <c r="I33" s="14" t="s">
        <v>2752</v>
      </c>
      <c r="J33" s="75">
        <v>170</v>
      </c>
      <c r="K33" s="75"/>
      <c r="L33" s="14"/>
      <c r="M33" s="75">
        <v>45</v>
      </c>
      <c r="N33" s="14" t="s">
        <v>45</v>
      </c>
      <c r="O33" s="14"/>
    </row>
    <row r="34" spans="1:15" x14ac:dyDescent="0.25">
      <c r="A34" s="86">
        <v>45633</v>
      </c>
      <c r="B34" s="55" t="s">
        <v>4242</v>
      </c>
      <c r="C34" s="55" t="s">
        <v>43</v>
      </c>
      <c r="D34" s="146">
        <f t="shared" si="2"/>
        <v>154.54545454545453</v>
      </c>
      <c r="E34" s="146">
        <f t="shared" si="0"/>
        <v>15.454545454545453</v>
      </c>
      <c r="F34" s="146">
        <v>170</v>
      </c>
      <c r="G34" s="146">
        <v>50</v>
      </c>
      <c r="H34" s="58">
        <f t="shared" si="1"/>
        <v>120</v>
      </c>
      <c r="I34" s="14" t="s">
        <v>4407</v>
      </c>
      <c r="J34" s="75">
        <v>170</v>
      </c>
      <c r="K34" s="75"/>
      <c r="L34" s="14"/>
      <c r="M34" s="75"/>
      <c r="N34" s="14"/>
      <c r="O34" s="14"/>
    </row>
    <row r="35" spans="1:15" x14ac:dyDescent="0.25">
      <c r="A35" s="86">
        <v>45633</v>
      </c>
      <c r="B35" s="55" t="s">
        <v>4243</v>
      </c>
      <c r="C35" s="55" t="s">
        <v>43</v>
      </c>
      <c r="D35" s="146">
        <f t="shared" si="2"/>
        <v>154.54545454545453</v>
      </c>
      <c r="E35" s="146">
        <f t="shared" si="0"/>
        <v>15.454545454545453</v>
      </c>
      <c r="F35" s="146">
        <v>170</v>
      </c>
      <c r="G35" s="146">
        <v>50</v>
      </c>
      <c r="H35" s="58">
        <f t="shared" si="1"/>
        <v>120</v>
      </c>
      <c r="I35" s="14" t="s">
        <v>4408</v>
      </c>
      <c r="J35" s="75">
        <v>170</v>
      </c>
      <c r="K35" s="75"/>
      <c r="L35" s="14"/>
      <c r="M35" s="75"/>
      <c r="N35" s="14"/>
      <c r="O35" s="14"/>
    </row>
    <row r="36" spans="1:15" x14ac:dyDescent="0.25">
      <c r="A36" s="86">
        <v>45633</v>
      </c>
      <c r="B36" s="55" t="s">
        <v>4244</v>
      </c>
      <c r="C36" s="55" t="s">
        <v>43</v>
      </c>
      <c r="D36" s="146">
        <f t="shared" si="2"/>
        <v>154.54545454545453</v>
      </c>
      <c r="E36" s="146">
        <f t="shared" si="0"/>
        <v>15.454545454545453</v>
      </c>
      <c r="F36" s="146">
        <v>170</v>
      </c>
      <c r="G36" s="146">
        <v>50</v>
      </c>
      <c r="H36" s="58">
        <f t="shared" si="1"/>
        <v>120</v>
      </c>
      <c r="I36" s="14" t="s">
        <v>2752</v>
      </c>
      <c r="J36" s="75">
        <v>170</v>
      </c>
      <c r="K36" s="75"/>
      <c r="L36" s="14"/>
      <c r="M36" s="75"/>
      <c r="N36" s="14"/>
      <c r="O36" s="14"/>
    </row>
    <row r="37" spans="1:15" x14ac:dyDescent="0.25">
      <c r="A37" s="86">
        <v>45633</v>
      </c>
      <c r="B37" s="55" t="s">
        <v>4245</v>
      </c>
      <c r="C37" s="55" t="s">
        <v>43</v>
      </c>
      <c r="D37" s="146">
        <f t="shared" si="2"/>
        <v>468.18181818181813</v>
      </c>
      <c r="E37" s="146">
        <f t="shared" si="0"/>
        <v>46.818181818181813</v>
      </c>
      <c r="F37" s="146">
        <v>515</v>
      </c>
      <c r="G37" s="146">
        <v>50</v>
      </c>
      <c r="H37" s="58">
        <f t="shared" si="1"/>
        <v>465</v>
      </c>
      <c r="I37" s="14" t="s">
        <v>4409</v>
      </c>
      <c r="J37" s="75">
        <v>470</v>
      </c>
      <c r="K37" s="75">
        <v>440</v>
      </c>
      <c r="L37" s="14" t="s">
        <v>252</v>
      </c>
      <c r="M37" s="75">
        <v>45</v>
      </c>
      <c r="N37" s="14" t="s">
        <v>45</v>
      </c>
      <c r="O37" s="14"/>
    </row>
    <row r="38" spans="1:15" x14ac:dyDescent="0.25">
      <c r="A38" s="86">
        <v>45633</v>
      </c>
      <c r="B38" s="55" t="s">
        <v>4246</v>
      </c>
      <c r="C38" s="55" t="s">
        <v>43</v>
      </c>
      <c r="D38" s="146">
        <f t="shared" si="2"/>
        <v>263.63636363636363</v>
      </c>
      <c r="E38" s="146">
        <f t="shared" si="0"/>
        <v>26.36363636363636</v>
      </c>
      <c r="F38" s="146">
        <v>290</v>
      </c>
      <c r="G38" s="146">
        <v>50</v>
      </c>
      <c r="H38" s="58">
        <f t="shared" si="1"/>
        <v>240</v>
      </c>
      <c r="I38" s="14" t="s">
        <v>4410</v>
      </c>
      <c r="J38" s="75">
        <v>270</v>
      </c>
      <c r="K38" s="75">
        <v>20</v>
      </c>
      <c r="L38" s="14" t="s">
        <v>252</v>
      </c>
      <c r="M38" s="75"/>
      <c r="N38" s="14"/>
      <c r="O38" s="14"/>
    </row>
    <row r="39" spans="1:15" x14ac:dyDescent="0.25">
      <c r="A39" s="86">
        <v>45634</v>
      </c>
      <c r="B39" s="55" t="s">
        <v>4247</v>
      </c>
      <c r="C39" s="55" t="s">
        <v>43</v>
      </c>
      <c r="D39" s="146">
        <f t="shared" si="2"/>
        <v>172.72727272727272</v>
      </c>
      <c r="E39" s="146">
        <f t="shared" si="0"/>
        <v>17.272727272727273</v>
      </c>
      <c r="F39" s="146">
        <v>190</v>
      </c>
      <c r="G39" s="146">
        <v>50</v>
      </c>
      <c r="H39" s="58">
        <f t="shared" si="1"/>
        <v>140</v>
      </c>
      <c r="I39" s="14" t="s">
        <v>4411</v>
      </c>
      <c r="J39" s="75">
        <v>170</v>
      </c>
      <c r="K39" s="75">
        <v>20</v>
      </c>
      <c r="L39" s="14" t="s">
        <v>252</v>
      </c>
      <c r="M39" s="75"/>
      <c r="N39" s="14"/>
      <c r="O39" s="14"/>
    </row>
    <row r="40" spans="1:15" x14ac:dyDescent="0.25">
      <c r="A40" s="86">
        <v>45634</v>
      </c>
      <c r="B40" s="55" t="s">
        <v>4248</v>
      </c>
      <c r="C40" s="55" t="s">
        <v>43</v>
      </c>
      <c r="D40" s="146">
        <f t="shared" si="2"/>
        <v>154.54545454545453</v>
      </c>
      <c r="E40" s="146">
        <f t="shared" si="0"/>
        <v>15.454545454545453</v>
      </c>
      <c r="F40" s="146">
        <v>170</v>
      </c>
      <c r="G40" s="146">
        <v>50</v>
      </c>
      <c r="H40" s="58">
        <f t="shared" si="1"/>
        <v>120</v>
      </c>
      <c r="I40" s="14" t="s">
        <v>4412</v>
      </c>
      <c r="J40" s="75">
        <v>170</v>
      </c>
      <c r="K40" s="75"/>
      <c r="L40" s="14"/>
      <c r="M40" s="75"/>
      <c r="N40" s="14"/>
      <c r="O40" s="14"/>
    </row>
    <row r="41" spans="1:15" x14ac:dyDescent="0.25">
      <c r="A41" s="86">
        <v>45635</v>
      </c>
      <c r="B41" s="55" t="s">
        <v>4249</v>
      </c>
      <c r="C41" s="55" t="s">
        <v>43</v>
      </c>
      <c r="D41" s="146">
        <f t="shared" si="2"/>
        <v>227.27272727272725</v>
      </c>
      <c r="E41" s="146">
        <f t="shared" si="0"/>
        <v>22.727272727272727</v>
      </c>
      <c r="F41" s="146">
        <v>250</v>
      </c>
      <c r="G41" s="146">
        <v>50</v>
      </c>
      <c r="H41" s="58">
        <f t="shared" si="1"/>
        <v>200</v>
      </c>
      <c r="I41" s="14" t="s">
        <v>4413</v>
      </c>
      <c r="J41" s="75">
        <v>220</v>
      </c>
      <c r="K41" s="75">
        <v>30</v>
      </c>
      <c r="L41" s="14" t="s">
        <v>252</v>
      </c>
      <c r="M41" s="75"/>
      <c r="N41" s="14"/>
      <c r="O41" s="14"/>
    </row>
    <row r="42" spans="1:15" x14ac:dyDescent="0.25">
      <c r="A42" s="86">
        <v>45636</v>
      </c>
      <c r="B42" s="55" t="s">
        <v>4250</v>
      </c>
      <c r="C42" s="55" t="s">
        <v>43</v>
      </c>
      <c r="D42" s="146">
        <f t="shared" si="2"/>
        <v>127.27272727272727</v>
      </c>
      <c r="E42" s="146">
        <f t="shared" si="0"/>
        <v>12.727272727272727</v>
      </c>
      <c r="F42" s="146">
        <v>140</v>
      </c>
      <c r="G42" s="146"/>
      <c r="H42" s="58">
        <f t="shared" si="1"/>
        <v>140</v>
      </c>
      <c r="I42" s="14" t="s">
        <v>603</v>
      </c>
      <c r="J42" s="75">
        <v>140</v>
      </c>
      <c r="K42" s="75"/>
      <c r="L42" s="14"/>
      <c r="M42" s="75"/>
      <c r="N42" s="14"/>
      <c r="O42" s="14"/>
    </row>
    <row r="43" spans="1:15" x14ac:dyDescent="0.25">
      <c r="A43" s="86">
        <v>45636</v>
      </c>
      <c r="B43" s="55" t="s">
        <v>4251</v>
      </c>
      <c r="C43" s="55" t="s">
        <v>43</v>
      </c>
      <c r="D43" s="146">
        <f t="shared" si="2"/>
        <v>181.81818181818181</v>
      </c>
      <c r="E43" s="146">
        <f t="shared" si="0"/>
        <v>18.18181818181818</v>
      </c>
      <c r="F43" s="146">
        <v>200</v>
      </c>
      <c r="G43" s="146">
        <v>50</v>
      </c>
      <c r="H43" s="58">
        <f t="shared" si="1"/>
        <v>150</v>
      </c>
      <c r="I43" s="14" t="s">
        <v>4414</v>
      </c>
      <c r="J43" s="75">
        <v>170</v>
      </c>
      <c r="K43" s="75">
        <v>30</v>
      </c>
      <c r="L43" s="14" t="s">
        <v>252</v>
      </c>
      <c r="M43" s="75"/>
      <c r="N43" s="14"/>
      <c r="O43" s="14"/>
    </row>
    <row r="44" spans="1:15" x14ac:dyDescent="0.25">
      <c r="A44" s="86">
        <v>45637</v>
      </c>
      <c r="B44" s="55" t="s">
        <v>4252</v>
      </c>
      <c r="C44" s="55" t="s">
        <v>43</v>
      </c>
      <c r="D44" s="146">
        <f t="shared" si="2"/>
        <v>345.45454545454544</v>
      </c>
      <c r="E44" s="146">
        <f t="shared" si="0"/>
        <v>34.545454545454547</v>
      </c>
      <c r="F44" s="146">
        <v>380</v>
      </c>
      <c r="G44" s="146">
        <v>50</v>
      </c>
      <c r="H44" s="58">
        <f t="shared" si="1"/>
        <v>330</v>
      </c>
      <c r="I44" s="187" t="s">
        <v>4415</v>
      </c>
      <c r="J44" s="75">
        <v>320</v>
      </c>
      <c r="K44" s="75">
        <v>60</v>
      </c>
      <c r="L44" s="14" t="s">
        <v>252</v>
      </c>
      <c r="M44" s="75"/>
      <c r="N44" s="14"/>
      <c r="O44" s="14"/>
    </row>
    <row r="45" spans="1:15" x14ac:dyDescent="0.25">
      <c r="A45" s="86">
        <v>45637</v>
      </c>
      <c r="B45" s="55" t="s">
        <v>4253</v>
      </c>
      <c r="C45" s="55" t="s">
        <v>43</v>
      </c>
      <c r="D45" s="146">
        <f t="shared" si="2"/>
        <v>127.27272727272727</v>
      </c>
      <c r="E45" s="146">
        <f t="shared" si="0"/>
        <v>12.727272727272727</v>
      </c>
      <c r="F45" s="146">
        <v>140</v>
      </c>
      <c r="G45" s="146"/>
      <c r="H45" s="58">
        <f t="shared" si="1"/>
        <v>140</v>
      </c>
      <c r="I45" s="14" t="s">
        <v>1497</v>
      </c>
      <c r="J45" s="75">
        <v>140</v>
      </c>
      <c r="K45" s="75"/>
      <c r="L45" s="14"/>
      <c r="M45" s="75"/>
      <c r="N45" s="14"/>
      <c r="O45" s="14"/>
    </row>
    <row r="46" spans="1:15" x14ac:dyDescent="0.25">
      <c r="A46" s="86">
        <v>45637</v>
      </c>
      <c r="B46" s="55" t="s">
        <v>4254</v>
      </c>
      <c r="C46" s="55" t="s">
        <v>43</v>
      </c>
      <c r="D46" s="146">
        <f t="shared" si="2"/>
        <v>181.81818181818181</v>
      </c>
      <c r="E46" s="146">
        <f t="shared" si="0"/>
        <v>18.18181818181818</v>
      </c>
      <c r="F46" s="146">
        <v>200</v>
      </c>
      <c r="G46" s="146"/>
      <c r="H46" s="58">
        <f t="shared" si="1"/>
        <v>200</v>
      </c>
      <c r="I46" s="14" t="s">
        <v>603</v>
      </c>
      <c r="J46" s="75">
        <v>200</v>
      </c>
      <c r="K46" s="75"/>
      <c r="L46" s="14"/>
      <c r="M46" s="75"/>
      <c r="N46" s="14"/>
      <c r="O46" s="14"/>
    </row>
    <row r="47" spans="1:15" x14ac:dyDescent="0.25">
      <c r="A47" s="86">
        <v>45637</v>
      </c>
      <c r="B47" s="55" t="s">
        <v>4255</v>
      </c>
      <c r="C47" s="55" t="s">
        <v>43</v>
      </c>
      <c r="D47" s="146">
        <f t="shared" si="2"/>
        <v>199.99999999999997</v>
      </c>
      <c r="E47" s="146">
        <f t="shared" si="0"/>
        <v>19.999999999999996</v>
      </c>
      <c r="F47" s="146">
        <v>220</v>
      </c>
      <c r="G47" s="146"/>
      <c r="H47" s="58">
        <f t="shared" si="1"/>
        <v>220</v>
      </c>
      <c r="I47" s="14" t="s">
        <v>603</v>
      </c>
      <c r="J47" s="75">
        <v>220</v>
      </c>
      <c r="K47" s="75"/>
      <c r="L47" s="14"/>
      <c r="M47" s="75"/>
      <c r="N47" s="14"/>
      <c r="O47" s="14"/>
    </row>
    <row r="48" spans="1:15" x14ac:dyDescent="0.25">
      <c r="A48" s="86">
        <v>45637</v>
      </c>
      <c r="B48" s="55" t="s">
        <v>4256</v>
      </c>
      <c r="C48" s="55" t="s">
        <v>43</v>
      </c>
      <c r="D48" s="146">
        <f t="shared" si="2"/>
        <v>199.99999999999997</v>
      </c>
      <c r="E48" s="146">
        <f t="shared" si="0"/>
        <v>19.999999999999996</v>
      </c>
      <c r="F48" s="146">
        <v>220</v>
      </c>
      <c r="G48" s="146">
        <v>50</v>
      </c>
      <c r="H48" s="58">
        <f t="shared" si="1"/>
        <v>170</v>
      </c>
      <c r="I48" s="14" t="s">
        <v>4416</v>
      </c>
      <c r="J48" s="75">
        <v>220</v>
      </c>
      <c r="K48" s="75"/>
      <c r="L48" s="14"/>
      <c r="M48" s="75"/>
      <c r="N48" s="14"/>
      <c r="O48" s="14"/>
    </row>
    <row r="49" spans="1:15" x14ac:dyDescent="0.25">
      <c r="A49" s="86">
        <v>45638</v>
      </c>
      <c r="B49" s="55" t="s">
        <v>4257</v>
      </c>
      <c r="C49" s="55" t="s">
        <v>43</v>
      </c>
      <c r="D49" s="146">
        <f t="shared" si="2"/>
        <v>154.54545454545453</v>
      </c>
      <c r="E49" s="146">
        <f t="shared" si="0"/>
        <v>15.454545454545453</v>
      </c>
      <c r="F49" s="146">
        <v>170</v>
      </c>
      <c r="G49" s="146">
        <v>50</v>
      </c>
      <c r="H49" s="58">
        <f t="shared" si="1"/>
        <v>120</v>
      </c>
      <c r="I49" s="14" t="s">
        <v>4420</v>
      </c>
      <c r="J49" s="75">
        <v>170</v>
      </c>
      <c r="K49" s="75"/>
      <c r="L49" s="14"/>
      <c r="M49" s="75"/>
      <c r="N49" s="14"/>
      <c r="O49" s="14"/>
    </row>
    <row r="50" spans="1:15" x14ac:dyDescent="0.25">
      <c r="A50" s="86">
        <v>45638</v>
      </c>
      <c r="B50" s="55" t="s">
        <v>4258</v>
      </c>
      <c r="C50" s="55" t="s">
        <v>43</v>
      </c>
      <c r="D50" s="146">
        <f t="shared" si="2"/>
        <v>154.54545454545453</v>
      </c>
      <c r="E50" s="146">
        <f t="shared" si="0"/>
        <v>15.454545454545453</v>
      </c>
      <c r="F50" s="146">
        <v>170</v>
      </c>
      <c r="G50" s="146">
        <v>50</v>
      </c>
      <c r="H50" s="58">
        <f t="shared" si="1"/>
        <v>120</v>
      </c>
      <c r="I50" s="14" t="s">
        <v>4421</v>
      </c>
      <c r="J50" s="75">
        <v>170</v>
      </c>
      <c r="K50" s="75"/>
      <c r="L50" s="14"/>
      <c r="M50" s="75"/>
      <c r="N50" s="14"/>
      <c r="O50" s="14"/>
    </row>
    <row r="51" spans="1:15" x14ac:dyDescent="0.25">
      <c r="A51" s="86">
        <v>45639</v>
      </c>
      <c r="B51" s="55" t="s">
        <v>4259</v>
      </c>
      <c r="C51" s="55" t="s">
        <v>43</v>
      </c>
      <c r="D51" s="146">
        <f t="shared" si="2"/>
        <v>268.18181818181819</v>
      </c>
      <c r="E51" s="146">
        <f t="shared" si="0"/>
        <v>26.81818181818182</v>
      </c>
      <c r="F51" s="146">
        <v>295</v>
      </c>
      <c r="G51" s="146">
        <v>50</v>
      </c>
      <c r="H51" s="58">
        <f t="shared" si="1"/>
        <v>245</v>
      </c>
      <c r="I51" s="14" t="s">
        <v>4422</v>
      </c>
      <c r="J51" s="75">
        <v>220</v>
      </c>
      <c r="K51" s="75">
        <v>30</v>
      </c>
      <c r="L51" s="14" t="s">
        <v>252</v>
      </c>
      <c r="M51" s="75">
        <v>45</v>
      </c>
      <c r="N51" s="14" t="s">
        <v>45</v>
      </c>
      <c r="O51" s="14"/>
    </row>
    <row r="52" spans="1:15" x14ac:dyDescent="0.25">
      <c r="A52" s="86">
        <v>45639</v>
      </c>
      <c r="B52" s="55" t="s">
        <v>4260</v>
      </c>
      <c r="C52" s="55" t="s">
        <v>43</v>
      </c>
      <c r="D52" s="146">
        <f t="shared" si="2"/>
        <v>240.90909090909088</v>
      </c>
      <c r="E52" s="146">
        <f t="shared" si="0"/>
        <v>24.09090909090909</v>
      </c>
      <c r="F52" s="146">
        <v>265</v>
      </c>
      <c r="G52" s="146">
        <v>50</v>
      </c>
      <c r="H52" s="58">
        <f t="shared" si="1"/>
        <v>215</v>
      </c>
      <c r="I52" s="14" t="s">
        <v>4423</v>
      </c>
      <c r="J52" s="75">
        <v>220</v>
      </c>
      <c r="K52" s="75"/>
      <c r="L52" s="14"/>
      <c r="M52" s="75">
        <v>45</v>
      </c>
      <c r="N52" s="14" t="s">
        <v>45</v>
      </c>
      <c r="O52" s="75"/>
    </row>
    <row r="53" spans="1:15" x14ac:dyDescent="0.25">
      <c r="A53" s="86">
        <v>45639</v>
      </c>
      <c r="B53" s="55" t="s">
        <v>4261</v>
      </c>
      <c r="C53" s="55" t="s">
        <v>43</v>
      </c>
      <c r="D53" s="146">
        <f t="shared" si="2"/>
        <v>245.45454545454544</v>
      </c>
      <c r="E53" s="146">
        <f t="shared" si="0"/>
        <v>24.545454545454547</v>
      </c>
      <c r="F53" s="146">
        <v>270</v>
      </c>
      <c r="G53" s="146">
        <v>50</v>
      </c>
      <c r="H53" s="58">
        <f t="shared" si="1"/>
        <v>220</v>
      </c>
      <c r="I53" s="14" t="s">
        <v>4424</v>
      </c>
      <c r="J53" s="75">
        <v>270</v>
      </c>
      <c r="K53" s="75"/>
      <c r="L53" s="14"/>
      <c r="M53" s="75"/>
      <c r="N53" s="14"/>
      <c r="O53" s="14"/>
    </row>
    <row r="54" spans="1:15" x14ac:dyDescent="0.25">
      <c r="A54" s="86">
        <v>45639</v>
      </c>
      <c r="B54" s="55" t="s">
        <v>4262</v>
      </c>
      <c r="C54" s="55" t="s">
        <v>43</v>
      </c>
      <c r="D54" s="146">
        <f t="shared" si="2"/>
        <v>245.45454545454544</v>
      </c>
      <c r="E54" s="146">
        <f t="shared" si="0"/>
        <v>24.545454545454547</v>
      </c>
      <c r="F54" s="146">
        <v>270</v>
      </c>
      <c r="G54" s="146">
        <v>50</v>
      </c>
      <c r="H54" s="58">
        <f t="shared" si="1"/>
        <v>220</v>
      </c>
      <c r="I54" s="14" t="s">
        <v>4425</v>
      </c>
      <c r="J54" s="75">
        <v>270</v>
      </c>
      <c r="K54" s="75"/>
      <c r="L54" s="14"/>
      <c r="M54" s="75"/>
      <c r="N54" s="14"/>
      <c r="O54" s="14"/>
    </row>
    <row r="55" spans="1:15" x14ac:dyDescent="0.25">
      <c r="A55" s="86">
        <v>45639</v>
      </c>
      <c r="B55" s="55" t="s">
        <v>4263</v>
      </c>
      <c r="C55" s="55" t="s">
        <v>43</v>
      </c>
      <c r="D55" s="146">
        <f t="shared" si="2"/>
        <v>236.36363636363635</v>
      </c>
      <c r="E55" s="146">
        <f t="shared" si="0"/>
        <v>23.636363636363637</v>
      </c>
      <c r="F55" s="146">
        <v>260</v>
      </c>
      <c r="G55" s="146"/>
      <c r="H55" s="58">
        <f t="shared" si="1"/>
        <v>260</v>
      </c>
      <c r="I55" s="14" t="s">
        <v>4426</v>
      </c>
      <c r="J55" s="75">
        <v>220</v>
      </c>
      <c r="K55" s="75">
        <v>40</v>
      </c>
      <c r="L55" s="14" t="s">
        <v>252</v>
      </c>
      <c r="M55" s="75"/>
      <c r="N55" s="14"/>
      <c r="O55" s="14"/>
    </row>
    <row r="56" spans="1:15" x14ac:dyDescent="0.25">
      <c r="A56" s="86">
        <v>45639</v>
      </c>
      <c r="B56" s="55" t="s">
        <v>4264</v>
      </c>
      <c r="C56" s="55" t="s">
        <v>43</v>
      </c>
      <c r="D56" s="146">
        <f t="shared" si="2"/>
        <v>245.45454545454544</v>
      </c>
      <c r="E56" s="146">
        <f t="shared" si="0"/>
        <v>24.545454545454547</v>
      </c>
      <c r="F56" s="146">
        <v>270</v>
      </c>
      <c r="G56" s="146">
        <v>270</v>
      </c>
      <c r="H56" s="58">
        <f t="shared" si="1"/>
        <v>0</v>
      </c>
      <c r="I56" s="14" t="s">
        <v>4427</v>
      </c>
      <c r="J56" s="75">
        <v>270</v>
      </c>
      <c r="K56" s="75"/>
      <c r="L56" s="14"/>
      <c r="M56" s="75"/>
      <c r="N56" s="14"/>
      <c r="O56" s="14"/>
    </row>
    <row r="57" spans="1:15" x14ac:dyDescent="0.25">
      <c r="A57" s="86">
        <v>45639</v>
      </c>
      <c r="B57" s="55" t="s">
        <v>4265</v>
      </c>
      <c r="C57" s="55" t="s">
        <v>43</v>
      </c>
      <c r="D57" s="146">
        <f t="shared" si="2"/>
        <v>172.72727272727272</v>
      </c>
      <c r="E57" s="146">
        <f t="shared" si="0"/>
        <v>17.272727272727273</v>
      </c>
      <c r="F57" s="146">
        <v>190</v>
      </c>
      <c r="G57" s="146">
        <v>50</v>
      </c>
      <c r="H57" s="58">
        <f t="shared" si="1"/>
        <v>140</v>
      </c>
      <c r="I57" s="14" t="s">
        <v>4428</v>
      </c>
      <c r="J57" s="75">
        <v>170</v>
      </c>
      <c r="K57" s="75">
        <v>20</v>
      </c>
      <c r="L57" s="14" t="s">
        <v>252</v>
      </c>
      <c r="M57" s="75"/>
      <c r="N57" s="14"/>
      <c r="O57" s="14"/>
    </row>
    <row r="58" spans="1:15" x14ac:dyDescent="0.25">
      <c r="A58" s="86">
        <v>45639</v>
      </c>
      <c r="B58" s="55" t="s">
        <v>4266</v>
      </c>
      <c r="C58" s="55" t="s">
        <v>43</v>
      </c>
      <c r="D58" s="146">
        <f t="shared" si="2"/>
        <v>127.27272727272727</v>
      </c>
      <c r="E58" s="146">
        <f t="shared" si="0"/>
        <v>12.727272727272727</v>
      </c>
      <c r="F58" s="146">
        <v>140</v>
      </c>
      <c r="G58" s="146"/>
      <c r="H58" s="58">
        <f t="shared" si="1"/>
        <v>140</v>
      </c>
      <c r="I58" s="14" t="s">
        <v>603</v>
      </c>
      <c r="J58" s="75">
        <v>140</v>
      </c>
      <c r="K58" s="75"/>
      <c r="L58" s="14"/>
      <c r="M58" s="75"/>
      <c r="N58" s="14"/>
      <c r="O58" s="14"/>
    </row>
    <row r="59" spans="1:15" x14ac:dyDescent="0.25">
      <c r="A59" s="86">
        <v>45639</v>
      </c>
      <c r="B59" s="55" t="s">
        <v>4267</v>
      </c>
      <c r="C59" s="55" t="s">
        <v>43</v>
      </c>
      <c r="D59" s="146">
        <f t="shared" si="2"/>
        <v>145.45454545454544</v>
      </c>
      <c r="E59" s="146">
        <f t="shared" si="0"/>
        <v>14.545454545454545</v>
      </c>
      <c r="F59" s="146">
        <v>160</v>
      </c>
      <c r="G59" s="146">
        <v>50</v>
      </c>
      <c r="H59" s="58">
        <f t="shared" si="1"/>
        <v>110</v>
      </c>
      <c r="I59" s="14" t="s">
        <v>4429</v>
      </c>
      <c r="J59" s="75">
        <v>160</v>
      </c>
      <c r="K59" s="75"/>
      <c r="L59" s="14"/>
      <c r="M59" s="75"/>
      <c r="N59" s="14"/>
      <c r="O59" s="14"/>
    </row>
    <row r="60" spans="1:15" x14ac:dyDescent="0.25">
      <c r="A60" s="86">
        <v>45640</v>
      </c>
      <c r="B60" s="55" t="s">
        <v>4268</v>
      </c>
      <c r="C60" s="55" t="s">
        <v>43</v>
      </c>
      <c r="D60" s="146">
        <f t="shared" si="2"/>
        <v>218.18181818181816</v>
      </c>
      <c r="E60" s="146">
        <f t="shared" si="0"/>
        <v>21.818181818181817</v>
      </c>
      <c r="F60" s="146">
        <v>240</v>
      </c>
      <c r="G60" s="146">
        <v>50</v>
      </c>
      <c r="H60" s="58">
        <f t="shared" si="1"/>
        <v>190</v>
      </c>
      <c r="I60" s="14" t="s">
        <v>4430</v>
      </c>
      <c r="J60" s="75">
        <v>220</v>
      </c>
      <c r="K60" s="75">
        <v>20</v>
      </c>
      <c r="L60" s="14" t="s">
        <v>252</v>
      </c>
      <c r="M60" s="75"/>
      <c r="N60" s="14"/>
      <c r="O60" s="14"/>
    </row>
    <row r="61" spans="1:15" x14ac:dyDescent="0.25">
      <c r="A61" s="86">
        <v>45640</v>
      </c>
      <c r="B61" s="55" t="s">
        <v>4269</v>
      </c>
      <c r="C61" s="55" t="s">
        <v>43</v>
      </c>
      <c r="D61" s="146">
        <f t="shared" si="2"/>
        <v>540.90909090909088</v>
      </c>
      <c r="E61" s="146">
        <f t="shared" si="0"/>
        <v>54.090909090909093</v>
      </c>
      <c r="F61" s="146">
        <v>595</v>
      </c>
      <c r="G61" s="146">
        <v>50</v>
      </c>
      <c r="H61" s="58">
        <f t="shared" si="1"/>
        <v>545</v>
      </c>
      <c r="I61" s="14" t="s">
        <v>4431</v>
      </c>
      <c r="J61" s="75">
        <v>540</v>
      </c>
      <c r="K61" s="75">
        <v>55</v>
      </c>
      <c r="L61" s="14" t="s">
        <v>252</v>
      </c>
      <c r="M61" s="75"/>
      <c r="N61" s="14"/>
      <c r="O61" s="14"/>
    </row>
    <row r="62" spans="1:15" x14ac:dyDescent="0.25">
      <c r="A62" s="86">
        <v>45640</v>
      </c>
      <c r="B62" s="55" t="s">
        <v>4270</v>
      </c>
      <c r="C62" s="55" t="s">
        <v>43</v>
      </c>
      <c r="D62" s="146">
        <f t="shared" si="2"/>
        <v>470.90909090909088</v>
      </c>
      <c r="E62" s="146">
        <f t="shared" si="0"/>
        <v>47.090909090909093</v>
      </c>
      <c r="F62" s="146">
        <v>518</v>
      </c>
      <c r="G62" s="146">
        <v>100</v>
      </c>
      <c r="H62" s="58">
        <f t="shared" si="1"/>
        <v>418</v>
      </c>
      <c r="I62" s="14" t="s">
        <v>4432</v>
      </c>
      <c r="J62" s="75">
        <v>318</v>
      </c>
      <c r="K62" s="75"/>
      <c r="L62" s="14"/>
      <c r="M62" s="75">
        <v>200</v>
      </c>
      <c r="N62" s="14" t="s">
        <v>4433</v>
      </c>
      <c r="O62" s="14"/>
    </row>
    <row r="63" spans="1:15" x14ac:dyDescent="0.25">
      <c r="A63" s="86">
        <v>45640</v>
      </c>
      <c r="B63" s="55" t="s">
        <v>4271</v>
      </c>
      <c r="C63" s="55" t="s">
        <v>43</v>
      </c>
      <c r="D63" s="146">
        <f t="shared" si="2"/>
        <v>163.63636363636363</v>
      </c>
      <c r="E63" s="146">
        <f t="shared" si="0"/>
        <v>16.363636363636363</v>
      </c>
      <c r="F63" s="146">
        <v>180</v>
      </c>
      <c r="G63" s="146"/>
      <c r="H63" s="58">
        <f t="shared" si="1"/>
        <v>180</v>
      </c>
      <c r="I63" s="14" t="s">
        <v>603</v>
      </c>
      <c r="J63" s="75">
        <v>180</v>
      </c>
      <c r="K63" s="75"/>
      <c r="L63" s="14"/>
      <c r="M63" s="75"/>
      <c r="N63" s="14"/>
      <c r="O63" s="14"/>
    </row>
    <row r="64" spans="1:15" x14ac:dyDescent="0.25">
      <c r="A64" s="86">
        <v>45640</v>
      </c>
      <c r="B64" s="55" t="s">
        <v>4272</v>
      </c>
      <c r="C64" s="55" t="s">
        <v>43</v>
      </c>
      <c r="D64" s="146">
        <f t="shared" si="2"/>
        <v>199.99999999999997</v>
      </c>
      <c r="E64" s="146">
        <f t="shared" si="0"/>
        <v>19.999999999999996</v>
      </c>
      <c r="F64" s="146">
        <v>220</v>
      </c>
      <c r="G64" s="146">
        <v>50</v>
      </c>
      <c r="H64" s="58">
        <f t="shared" si="1"/>
        <v>170</v>
      </c>
      <c r="I64" s="14" t="s">
        <v>4434</v>
      </c>
      <c r="J64" s="75">
        <v>220</v>
      </c>
      <c r="K64" s="75"/>
      <c r="L64" s="14"/>
      <c r="M64" s="75"/>
      <c r="N64" s="14"/>
      <c r="O64" s="14"/>
    </row>
    <row r="65" spans="1:15" x14ac:dyDescent="0.25">
      <c r="A65" s="86">
        <v>45640</v>
      </c>
      <c r="B65" s="55" t="s">
        <v>4273</v>
      </c>
      <c r="C65" s="55" t="s">
        <v>43</v>
      </c>
      <c r="D65" s="146">
        <f t="shared" si="2"/>
        <v>199.99999999999997</v>
      </c>
      <c r="E65" s="146">
        <f t="shared" si="0"/>
        <v>19.999999999999996</v>
      </c>
      <c r="F65" s="146">
        <v>220</v>
      </c>
      <c r="G65" s="146">
        <v>50</v>
      </c>
      <c r="H65" s="58">
        <f t="shared" si="1"/>
        <v>170</v>
      </c>
      <c r="I65" s="14" t="s">
        <v>4435</v>
      </c>
      <c r="J65" s="75">
        <v>220</v>
      </c>
      <c r="K65" s="75"/>
      <c r="L65" s="14"/>
      <c r="M65" s="75"/>
      <c r="N65" s="14"/>
      <c r="O65" s="14"/>
    </row>
    <row r="66" spans="1:15" x14ac:dyDescent="0.25">
      <c r="A66" s="86">
        <v>45640</v>
      </c>
      <c r="B66" s="55" t="s">
        <v>4274</v>
      </c>
      <c r="C66" s="55" t="s">
        <v>43</v>
      </c>
      <c r="D66" s="146">
        <f t="shared" si="2"/>
        <v>327.27272727272725</v>
      </c>
      <c r="E66" s="146">
        <f t="shared" si="0"/>
        <v>32.727272727272727</v>
      </c>
      <c r="F66" s="146">
        <v>360</v>
      </c>
      <c r="G66" s="146">
        <v>50</v>
      </c>
      <c r="H66" s="58">
        <f t="shared" si="1"/>
        <v>310</v>
      </c>
      <c r="I66" s="14" t="s">
        <v>1265</v>
      </c>
      <c r="J66" s="75">
        <v>360</v>
      </c>
      <c r="K66" s="75"/>
      <c r="L66" s="14"/>
      <c r="M66" s="75"/>
      <c r="N66" s="14"/>
      <c r="O66" s="14"/>
    </row>
    <row r="67" spans="1:15" x14ac:dyDescent="0.25">
      <c r="A67" s="86">
        <v>45640</v>
      </c>
      <c r="B67" s="55" t="s">
        <v>4275</v>
      </c>
      <c r="C67" s="55" t="s">
        <v>43</v>
      </c>
      <c r="D67" s="146">
        <f t="shared" si="2"/>
        <v>272.72727272727269</v>
      </c>
      <c r="E67" s="146">
        <f t="shared" ref="E67:E130" si="3">D67*10/100</f>
        <v>27.27272727272727</v>
      </c>
      <c r="F67" s="146">
        <v>300</v>
      </c>
      <c r="G67" s="146">
        <v>50</v>
      </c>
      <c r="H67" s="58">
        <f t="shared" ref="H67:H130" si="4">F67-G67</f>
        <v>250</v>
      </c>
      <c r="I67" s="14" t="s">
        <v>4436</v>
      </c>
      <c r="J67" s="75">
        <v>270</v>
      </c>
      <c r="K67" s="75">
        <v>30</v>
      </c>
      <c r="L67" s="14" t="s">
        <v>252</v>
      </c>
      <c r="M67" s="75"/>
      <c r="N67" s="14"/>
      <c r="O67" s="14"/>
    </row>
    <row r="68" spans="1:15" x14ac:dyDescent="0.25">
      <c r="A68" s="86">
        <v>45640</v>
      </c>
      <c r="B68" s="55" t="s">
        <v>4276</v>
      </c>
      <c r="C68" s="55" t="s">
        <v>43</v>
      </c>
      <c r="D68" s="146">
        <f t="shared" ref="D68:D131" si="5">F68/1.1</f>
        <v>145.45454545454544</v>
      </c>
      <c r="E68" s="146">
        <f t="shared" si="3"/>
        <v>14.545454545454545</v>
      </c>
      <c r="F68" s="146">
        <v>160</v>
      </c>
      <c r="G68" s="146">
        <v>30</v>
      </c>
      <c r="H68" s="58">
        <f t="shared" si="4"/>
        <v>130</v>
      </c>
      <c r="I68" s="14" t="s">
        <v>1267</v>
      </c>
      <c r="J68" s="75">
        <v>160</v>
      </c>
      <c r="K68" s="75"/>
      <c r="L68" s="14"/>
      <c r="M68" s="75"/>
      <c r="N68" s="14"/>
      <c r="O68" s="14"/>
    </row>
    <row r="69" spans="1:15" x14ac:dyDescent="0.25">
      <c r="A69" s="86">
        <v>45640</v>
      </c>
      <c r="B69" s="55" t="s">
        <v>4277</v>
      </c>
      <c r="C69" s="55" t="s">
        <v>43</v>
      </c>
      <c r="D69" s="146">
        <f t="shared" si="5"/>
        <v>172.72727272727272</v>
      </c>
      <c r="E69" s="146">
        <f t="shared" si="3"/>
        <v>17.272727272727273</v>
      </c>
      <c r="F69" s="146">
        <v>190</v>
      </c>
      <c r="G69" s="146">
        <v>50</v>
      </c>
      <c r="H69" s="58">
        <f t="shared" si="4"/>
        <v>140</v>
      </c>
      <c r="I69" s="14" t="s">
        <v>4437</v>
      </c>
      <c r="J69" s="75">
        <v>170</v>
      </c>
      <c r="K69" s="75">
        <v>20</v>
      </c>
      <c r="L69" s="14" t="s">
        <v>252</v>
      </c>
      <c r="M69" s="75"/>
      <c r="N69" s="14"/>
      <c r="O69" s="14"/>
    </row>
    <row r="70" spans="1:15" x14ac:dyDescent="0.25">
      <c r="A70" s="86">
        <v>45640</v>
      </c>
      <c r="B70" s="55" t="s">
        <v>4278</v>
      </c>
      <c r="C70" s="55" t="s">
        <v>43</v>
      </c>
      <c r="D70" s="146">
        <f t="shared" si="5"/>
        <v>172.72727272727272</v>
      </c>
      <c r="E70" s="146">
        <f t="shared" si="3"/>
        <v>17.272727272727273</v>
      </c>
      <c r="F70" s="146">
        <v>190</v>
      </c>
      <c r="G70" s="146">
        <v>50</v>
      </c>
      <c r="H70" s="58">
        <f t="shared" si="4"/>
        <v>140</v>
      </c>
      <c r="I70" s="14" t="s">
        <v>4438</v>
      </c>
      <c r="J70" s="75">
        <v>170</v>
      </c>
      <c r="K70" s="75">
        <v>20</v>
      </c>
      <c r="L70" s="14" t="s">
        <v>252</v>
      </c>
      <c r="M70" s="75"/>
      <c r="N70" s="14"/>
      <c r="O70" s="14"/>
    </row>
    <row r="71" spans="1:15" x14ac:dyDescent="0.25">
      <c r="A71" s="86">
        <v>45640</v>
      </c>
      <c r="B71" s="55" t="s">
        <v>4279</v>
      </c>
      <c r="C71" s="55" t="s">
        <v>43</v>
      </c>
      <c r="D71" s="146">
        <f t="shared" si="5"/>
        <v>154.54545454545453</v>
      </c>
      <c r="E71" s="146">
        <f t="shared" si="3"/>
        <v>15.454545454545453</v>
      </c>
      <c r="F71" s="146">
        <v>170</v>
      </c>
      <c r="G71" s="146">
        <v>50</v>
      </c>
      <c r="H71" s="58">
        <f t="shared" si="4"/>
        <v>120</v>
      </c>
      <c r="I71" s="14" t="s">
        <v>4439</v>
      </c>
      <c r="J71" s="75">
        <v>170</v>
      </c>
      <c r="K71" s="75"/>
      <c r="L71" s="14"/>
      <c r="M71" s="75"/>
      <c r="N71" s="14"/>
      <c r="O71" s="14"/>
    </row>
    <row r="72" spans="1:15" x14ac:dyDescent="0.25">
      <c r="A72" s="86">
        <v>45640</v>
      </c>
      <c r="B72" s="55" t="s">
        <v>4280</v>
      </c>
      <c r="C72" s="55" t="s">
        <v>43</v>
      </c>
      <c r="D72" s="146">
        <f t="shared" si="5"/>
        <v>127.27272727272727</v>
      </c>
      <c r="E72" s="146">
        <f t="shared" si="3"/>
        <v>12.727272727272727</v>
      </c>
      <c r="F72" s="146">
        <v>140</v>
      </c>
      <c r="G72" s="146"/>
      <c r="H72" s="58">
        <f t="shared" si="4"/>
        <v>140</v>
      </c>
      <c r="I72" s="14" t="s">
        <v>603</v>
      </c>
      <c r="J72" s="75">
        <v>140</v>
      </c>
      <c r="K72" s="75"/>
      <c r="L72" s="14"/>
      <c r="M72" s="75"/>
      <c r="N72" s="14"/>
      <c r="O72" s="14"/>
    </row>
    <row r="73" spans="1:15" x14ac:dyDescent="0.25">
      <c r="A73" s="86">
        <v>45640</v>
      </c>
      <c r="B73" s="55" t="s">
        <v>4281</v>
      </c>
      <c r="C73" s="55" t="s">
        <v>43</v>
      </c>
      <c r="D73" s="146">
        <f t="shared" si="5"/>
        <v>154.54545454545453</v>
      </c>
      <c r="E73" s="146">
        <f t="shared" si="3"/>
        <v>15.454545454545453</v>
      </c>
      <c r="F73" s="146">
        <v>170</v>
      </c>
      <c r="G73" s="146">
        <v>50</v>
      </c>
      <c r="H73" s="58">
        <f t="shared" si="4"/>
        <v>120</v>
      </c>
      <c r="I73" s="14" t="s">
        <v>4440</v>
      </c>
      <c r="J73" s="75">
        <v>170</v>
      </c>
      <c r="K73" s="75"/>
      <c r="L73" s="14"/>
      <c r="M73" s="75"/>
      <c r="N73" s="14"/>
      <c r="O73" s="14"/>
    </row>
    <row r="74" spans="1:15" x14ac:dyDescent="0.25">
      <c r="A74" s="86">
        <v>45640</v>
      </c>
      <c r="B74" s="55" t="s">
        <v>4282</v>
      </c>
      <c r="C74" s="55" t="s">
        <v>43</v>
      </c>
      <c r="D74" s="146">
        <f t="shared" si="5"/>
        <v>154.54545454545453</v>
      </c>
      <c r="E74" s="146">
        <f t="shared" si="3"/>
        <v>15.454545454545453</v>
      </c>
      <c r="F74" s="146">
        <v>170</v>
      </c>
      <c r="G74" s="146">
        <v>50</v>
      </c>
      <c r="H74" s="58">
        <f t="shared" si="4"/>
        <v>120</v>
      </c>
      <c r="I74" s="14" t="s">
        <v>3838</v>
      </c>
      <c r="J74" s="75">
        <v>170</v>
      </c>
      <c r="K74" s="75"/>
      <c r="L74" s="14"/>
      <c r="M74" s="75"/>
      <c r="N74" s="14"/>
      <c r="O74" s="14"/>
    </row>
    <row r="75" spans="1:15" x14ac:dyDescent="0.25">
      <c r="A75" s="86">
        <v>45641</v>
      </c>
      <c r="B75" s="55" t="s">
        <v>4283</v>
      </c>
      <c r="C75" s="55" t="s">
        <v>43</v>
      </c>
      <c r="D75" s="146">
        <f t="shared" si="5"/>
        <v>127.27272727272727</v>
      </c>
      <c r="E75" s="146">
        <f t="shared" si="3"/>
        <v>12.727272727272727</v>
      </c>
      <c r="F75" s="146">
        <v>140</v>
      </c>
      <c r="G75" s="146"/>
      <c r="H75" s="58">
        <f t="shared" si="4"/>
        <v>140</v>
      </c>
      <c r="I75" s="14" t="s">
        <v>603</v>
      </c>
      <c r="J75" s="75">
        <v>140</v>
      </c>
      <c r="K75" s="75"/>
      <c r="L75" s="14"/>
      <c r="M75" s="75"/>
      <c r="N75" s="14"/>
      <c r="O75" s="14"/>
    </row>
    <row r="76" spans="1:15" x14ac:dyDescent="0.25">
      <c r="A76" s="86">
        <v>45641</v>
      </c>
      <c r="B76" s="55" t="s">
        <v>4284</v>
      </c>
      <c r="C76" s="55" t="s">
        <v>43</v>
      </c>
      <c r="D76" s="146">
        <f t="shared" si="5"/>
        <v>181.81818181818181</v>
      </c>
      <c r="E76" s="146">
        <f t="shared" si="3"/>
        <v>18.18181818181818</v>
      </c>
      <c r="F76" s="146">
        <v>200</v>
      </c>
      <c r="G76" s="146">
        <v>50</v>
      </c>
      <c r="H76" s="58">
        <f t="shared" si="4"/>
        <v>150</v>
      </c>
      <c r="I76" s="14" t="s">
        <v>4441</v>
      </c>
      <c r="J76" s="75">
        <v>200</v>
      </c>
      <c r="K76" s="75"/>
      <c r="L76" s="14"/>
      <c r="M76" s="75"/>
      <c r="N76" s="14"/>
      <c r="O76" s="14"/>
    </row>
    <row r="77" spans="1:15" x14ac:dyDescent="0.25">
      <c r="A77" s="86">
        <v>45641</v>
      </c>
      <c r="B77" s="55" t="s">
        <v>4285</v>
      </c>
      <c r="C77" s="55" t="s">
        <v>43</v>
      </c>
      <c r="D77" s="146">
        <f t="shared" si="5"/>
        <v>154.54545454545453</v>
      </c>
      <c r="E77" s="146">
        <f t="shared" si="3"/>
        <v>15.454545454545453</v>
      </c>
      <c r="F77" s="146">
        <v>170</v>
      </c>
      <c r="G77" s="146">
        <v>50</v>
      </c>
      <c r="H77" s="58">
        <f t="shared" si="4"/>
        <v>120</v>
      </c>
      <c r="I77" s="14" t="s">
        <v>4442</v>
      </c>
      <c r="J77" s="75">
        <v>170</v>
      </c>
      <c r="K77" s="75"/>
      <c r="L77" s="14"/>
      <c r="M77" s="75"/>
      <c r="N77" s="14"/>
      <c r="O77" s="14"/>
    </row>
    <row r="78" spans="1:15" x14ac:dyDescent="0.25">
      <c r="A78" s="86">
        <v>45642</v>
      </c>
      <c r="B78" s="262" t="s">
        <v>4286</v>
      </c>
      <c r="C78" s="55" t="s">
        <v>43</v>
      </c>
      <c r="D78" s="146">
        <f t="shared" si="5"/>
        <v>439.99999999999994</v>
      </c>
      <c r="E78" s="146">
        <f t="shared" si="3"/>
        <v>43.999999999999993</v>
      </c>
      <c r="F78" s="146">
        <v>484</v>
      </c>
      <c r="G78" s="146">
        <v>100</v>
      </c>
      <c r="H78" s="58">
        <f t="shared" si="4"/>
        <v>384</v>
      </c>
      <c r="I78" s="14"/>
      <c r="J78" s="75">
        <v>384</v>
      </c>
      <c r="K78" s="75"/>
      <c r="L78" s="14"/>
      <c r="M78" s="75"/>
      <c r="N78" s="14"/>
      <c r="O78" s="14"/>
    </row>
    <row r="79" spans="1:15" x14ac:dyDescent="0.25">
      <c r="A79" s="86">
        <v>45642</v>
      </c>
      <c r="B79" s="55" t="s">
        <v>4287</v>
      </c>
      <c r="C79" s="55" t="s">
        <v>43</v>
      </c>
      <c r="D79" s="146">
        <f t="shared" si="5"/>
        <v>127.27272727272727</v>
      </c>
      <c r="E79" s="146">
        <f t="shared" si="3"/>
        <v>12.727272727272727</v>
      </c>
      <c r="F79" s="146">
        <v>140</v>
      </c>
      <c r="G79" s="146"/>
      <c r="H79" s="58">
        <f t="shared" si="4"/>
        <v>140</v>
      </c>
      <c r="I79" s="14" t="s">
        <v>603</v>
      </c>
      <c r="J79" s="75">
        <v>140</v>
      </c>
      <c r="K79" s="75"/>
      <c r="L79" s="14"/>
      <c r="M79" s="75"/>
      <c r="N79" s="14"/>
      <c r="O79" s="14"/>
    </row>
    <row r="80" spans="1:15" x14ac:dyDescent="0.25">
      <c r="A80" s="86">
        <v>45643</v>
      </c>
      <c r="B80" s="55" t="s">
        <v>4288</v>
      </c>
      <c r="C80" s="55" t="s">
        <v>43</v>
      </c>
      <c r="D80" s="146">
        <f t="shared" si="5"/>
        <v>377.27272727272725</v>
      </c>
      <c r="E80" s="146">
        <f t="shared" si="3"/>
        <v>37.727272727272727</v>
      </c>
      <c r="F80" s="146">
        <v>415</v>
      </c>
      <c r="G80" s="146">
        <v>50</v>
      </c>
      <c r="H80" s="58">
        <f t="shared" si="4"/>
        <v>365</v>
      </c>
      <c r="I80" s="14" t="s">
        <v>4465</v>
      </c>
      <c r="J80" s="75">
        <v>415</v>
      </c>
      <c r="K80" s="75"/>
      <c r="L80" s="14"/>
      <c r="M80" s="75"/>
      <c r="N80" s="14"/>
      <c r="O80" s="14"/>
    </row>
    <row r="81" spans="1:15" x14ac:dyDescent="0.25">
      <c r="A81" s="86">
        <v>45643</v>
      </c>
      <c r="B81" s="55" t="s">
        <v>4289</v>
      </c>
      <c r="C81" s="55" t="s">
        <v>43</v>
      </c>
      <c r="D81" s="146">
        <f t="shared" si="5"/>
        <v>263.63636363636363</v>
      </c>
      <c r="E81" s="146">
        <f t="shared" si="3"/>
        <v>26.36363636363636</v>
      </c>
      <c r="F81" s="146">
        <v>290</v>
      </c>
      <c r="G81" s="146">
        <v>50</v>
      </c>
      <c r="H81" s="58">
        <f t="shared" si="4"/>
        <v>240</v>
      </c>
      <c r="I81" s="14" t="s">
        <v>4466</v>
      </c>
      <c r="J81" s="75">
        <v>270</v>
      </c>
      <c r="K81" s="75">
        <v>20</v>
      </c>
      <c r="L81" s="14" t="s">
        <v>252</v>
      </c>
      <c r="M81" s="75"/>
      <c r="N81" s="14"/>
      <c r="O81" s="14"/>
    </row>
    <row r="82" spans="1:15" x14ac:dyDescent="0.25">
      <c r="A82" s="86">
        <v>45643</v>
      </c>
      <c r="B82" s="55" t="s">
        <v>4290</v>
      </c>
      <c r="C82" s="55" t="s">
        <v>43</v>
      </c>
      <c r="D82" s="146">
        <f t="shared" si="5"/>
        <v>240.90909090909088</v>
      </c>
      <c r="E82" s="146">
        <f t="shared" si="3"/>
        <v>24.09090909090909</v>
      </c>
      <c r="F82" s="146">
        <v>265</v>
      </c>
      <c r="G82" s="146">
        <v>50</v>
      </c>
      <c r="H82" s="58">
        <f t="shared" si="4"/>
        <v>215</v>
      </c>
      <c r="I82" s="14" t="s">
        <v>4467</v>
      </c>
      <c r="J82" s="75">
        <v>220</v>
      </c>
      <c r="K82" s="75"/>
      <c r="L82" s="14"/>
      <c r="M82" s="75">
        <v>45</v>
      </c>
      <c r="N82" s="14" t="s">
        <v>45</v>
      </c>
      <c r="O82" s="14"/>
    </row>
    <row r="83" spans="1:15" x14ac:dyDescent="0.25">
      <c r="A83" s="86">
        <v>45644</v>
      </c>
      <c r="B83" s="55" t="s">
        <v>4291</v>
      </c>
      <c r="C83" s="55" t="s">
        <v>43</v>
      </c>
      <c r="D83" s="146">
        <f t="shared" si="5"/>
        <v>354.5454545454545</v>
      </c>
      <c r="E83" s="146">
        <f t="shared" si="3"/>
        <v>35.454545454545453</v>
      </c>
      <c r="F83" s="146">
        <v>390</v>
      </c>
      <c r="G83" s="146">
        <v>50</v>
      </c>
      <c r="H83" s="58">
        <f t="shared" si="4"/>
        <v>340</v>
      </c>
      <c r="I83" s="14" t="s">
        <v>4468</v>
      </c>
      <c r="J83" s="75">
        <v>300</v>
      </c>
      <c r="K83" s="75">
        <v>40</v>
      </c>
      <c r="L83" s="14" t="s">
        <v>252</v>
      </c>
      <c r="M83" s="75"/>
      <c r="N83" s="14"/>
      <c r="O83" s="14"/>
    </row>
    <row r="84" spans="1:15" x14ac:dyDescent="0.25">
      <c r="A84" s="86">
        <v>45644</v>
      </c>
      <c r="B84" s="55" t="s">
        <v>4292</v>
      </c>
      <c r="C84" s="55" t="s">
        <v>43</v>
      </c>
      <c r="D84" s="146">
        <f t="shared" si="5"/>
        <v>536.36363636363637</v>
      </c>
      <c r="E84" s="146">
        <f t="shared" si="3"/>
        <v>53.63636363636364</v>
      </c>
      <c r="F84" s="146">
        <v>590</v>
      </c>
      <c r="G84" s="146">
        <v>50</v>
      </c>
      <c r="H84" s="58">
        <f t="shared" si="4"/>
        <v>540</v>
      </c>
      <c r="I84" s="14" t="s">
        <v>4468</v>
      </c>
      <c r="J84" s="75">
        <v>500</v>
      </c>
      <c r="K84" s="75">
        <v>40</v>
      </c>
      <c r="L84" s="14" t="s">
        <v>252</v>
      </c>
      <c r="M84" s="75"/>
      <c r="N84" s="14"/>
      <c r="O84" s="14"/>
    </row>
    <row r="85" spans="1:15" x14ac:dyDescent="0.25">
      <c r="A85" s="86">
        <v>45644</v>
      </c>
      <c r="B85" s="55" t="s">
        <v>4293</v>
      </c>
      <c r="C85" s="55" t="s">
        <v>43</v>
      </c>
      <c r="D85" s="146">
        <f t="shared" si="5"/>
        <v>163.63636363636363</v>
      </c>
      <c r="E85" s="146">
        <f t="shared" si="3"/>
        <v>16.363636363636363</v>
      </c>
      <c r="F85" s="146">
        <v>180</v>
      </c>
      <c r="G85" s="146">
        <v>50</v>
      </c>
      <c r="H85" s="58">
        <f t="shared" si="4"/>
        <v>130</v>
      </c>
      <c r="I85" s="14" t="s">
        <v>4469</v>
      </c>
      <c r="J85" s="75">
        <v>130</v>
      </c>
      <c r="K85" s="75"/>
      <c r="L85" s="14"/>
      <c r="M85" s="75"/>
      <c r="N85" s="14"/>
      <c r="O85" s="14"/>
    </row>
    <row r="86" spans="1:15" x14ac:dyDescent="0.25">
      <c r="A86" s="86">
        <v>45644</v>
      </c>
      <c r="B86" s="55" t="s">
        <v>4294</v>
      </c>
      <c r="C86" s="55" t="s">
        <v>43</v>
      </c>
      <c r="D86" s="146">
        <f t="shared" si="5"/>
        <v>163.63636363636363</v>
      </c>
      <c r="E86" s="146">
        <f t="shared" si="3"/>
        <v>16.363636363636363</v>
      </c>
      <c r="F86" s="146">
        <v>180</v>
      </c>
      <c r="G86" s="146"/>
      <c r="H86" s="58">
        <f t="shared" si="4"/>
        <v>180</v>
      </c>
      <c r="I86" s="14" t="s">
        <v>603</v>
      </c>
      <c r="J86" s="75">
        <v>180</v>
      </c>
      <c r="K86" s="75"/>
      <c r="L86" s="14"/>
      <c r="M86" s="75"/>
      <c r="N86" s="14"/>
      <c r="O86" s="14"/>
    </row>
    <row r="87" spans="1:15" x14ac:dyDescent="0.25">
      <c r="A87" s="86">
        <v>45644</v>
      </c>
      <c r="B87" s="55" t="s">
        <v>4295</v>
      </c>
      <c r="C87" s="55" t="s">
        <v>43</v>
      </c>
      <c r="D87" s="146">
        <f t="shared" si="5"/>
        <v>163.63636363636363</v>
      </c>
      <c r="E87" s="146">
        <f t="shared" si="3"/>
        <v>16.363636363636363</v>
      </c>
      <c r="F87" s="146">
        <v>180</v>
      </c>
      <c r="G87" s="146"/>
      <c r="H87" s="58">
        <f t="shared" si="4"/>
        <v>180</v>
      </c>
      <c r="I87" s="14" t="s">
        <v>603</v>
      </c>
      <c r="J87" s="75">
        <v>180</v>
      </c>
      <c r="K87" s="75"/>
      <c r="L87" s="14"/>
      <c r="M87" s="75"/>
      <c r="N87" s="14"/>
      <c r="O87" s="14"/>
    </row>
    <row r="88" spans="1:15" x14ac:dyDescent="0.25">
      <c r="A88" s="86">
        <v>45644</v>
      </c>
      <c r="B88" s="55" t="s">
        <v>4296</v>
      </c>
      <c r="C88" s="55" t="s">
        <v>43</v>
      </c>
      <c r="D88" s="146">
        <f t="shared" si="5"/>
        <v>127.27272727272727</v>
      </c>
      <c r="E88" s="146">
        <f t="shared" si="3"/>
        <v>12.727272727272727</v>
      </c>
      <c r="F88" s="146">
        <v>140</v>
      </c>
      <c r="G88" s="146"/>
      <c r="H88" s="58">
        <f t="shared" si="4"/>
        <v>140</v>
      </c>
      <c r="I88" s="14" t="s">
        <v>4470</v>
      </c>
      <c r="J88" s="75">
        <v>140</v>
      </c>
      <c r="K88" s="75"/>
      <c r="L88" s="14"/>
      <c r="M88" s="75"/>
      <c r="N88" s="14"/>
      <c r="O88" s="14"/>
    </row>
    <row r="89" spans="1:15" x14ac:dyDescent="0.25">
      <c r="A89" s="86">
        <v>45645</v>
      </c>
      <c r="B89" s="55" t="s">
        <v>4297</v>
      </c>
      <c r="C89" s="55" t="s">
        <v>43</v>
      </c>
      <c r="D89" s="146">
        <f t="shared" si="5"/>
        <v>163.63636363636363</v>
      </c>
      <c r="E89" s="146">
        <f t="shared" si="3"/>
        <v>16.363636363636363</v>
      </c>
      <c r="F89" s="146">
        <v>180</v>
      </c>
      <c r="G89" s="146"/>
      <c r="H89" s="58">
        <f t="shared" si="4"/>
        <v>180</v>
      </c>
      <c r="I89" s="14" t="s">
        <v>603</v>
      </c>
      <c r="J89" s="75">
        <v>180</v>
      </c>
      <c r="K89" s="75"/>
      <c r="L89" s="14"/>
      <c r="M89" s="75"/>
      <c r="N89" s="14"/>
      <c r="O89" s="14"/>
    </row>
    <row r="90" spans="1:15" x14ac:dyDescent="0.25">
      <c r="A90" s="86">
        <v>45645</v>
      </c>
      <c r="B90" s="55" t="s">
        <v>4298</v>
      </c>
      <c r="C90" s="55" t="s">
        <v>43</v>
      </c>
      <c r="D90" s="146">
        <f t="shared" si="5"/>
        <v>172.72727272727272</v>
      </c>
      <c r="E90" s="146">
        <f t="shared" si="3"/>
        <v>17.272727272727273</v>
      </c>
      <c r="F90" s="146">
        <v>190</v>
      </c>
      <c r="G90" s="146"/>
      <c r="H90" s="58">
        <f t="shared" si="4"/>
        <v>190</v>
      </c>
      <c r="I90" s="14" t="s">
        <v>1267</v>
      </c>
      <c r="J90" s="75">
        <v>190</v>
      </c>
      <c r="K90" s="75"/>
      <c r="L90" s="14"/>
      <c r="M90" s="75"/>
      <c r="N90" s="14"/>
      <c r="O90" s="14"/>
    </row>
    <row r="91" spans="1:15" x14ac:dyDescent="0.25">
      <c r="A91" s="86">
        <v>45645</v>
      </c>
      <c r="B91" s="55" t="s">
        <v>4299</v>
      </c>
      <c r="C91" s="55" t="s">
        <v>43</v>
      </c>
      <c r="D91" s="146">
        <f t="shared" si="5"/>
        <v>399.99999999999994</v>
      </c>
      <c r="E91" s="146">
        <f t="shared" si="3"/>
        <v>39.999999999999993</v>
      </c>
      <c r="F91" s="146">
        <v>440</v>
      </c>
      <c r="G91" s="146">
        <v>50</v>
      </c>
      <c r="H91" s="58">
        <f t="shared" si="4"/>
        <v>390</v>
      </c>
      <c r="I91" s="14" t="s">
        <v>4471</v>
      </c>
      <c r="J91" s="75">
        <v>440</v>
      </c>
      <c r="K91" s="75"/>
      <c r="L91" s="14"/>
      <c r="M91" s="75"/>
      <c r="N91" s="14"/>
      <c r="O91" s="14"/>
    </row>
    <row r="92" spans="1:15" x14ac:dyDescent="0.25">
      <c r="A92" s="86">
        <v>45645</v>
      </c>
      <c r="B92" s="55" t="s">
        <v>4300</v>
      </c>
      <c r="C92" s="55" t="s">
        <v>43</v>
      </c>
      <c r="D92" s="146">
        <f t="shared" si="5"/>
        <v>222.72727272727272</v>
      </c>
      <c r="E92" s="146">
        <f t="shared" si="3"/>
        <v>22.27272727272727</v>
      </c>
      <c r="F92" s="146">
        <v>245</v>
      </c>
      <c r="G92" s="146">
        <v>50</v>
      </c>
      <c r="H92" s="58">
        <f t="shared" si="4"/>
        <v>195</v>
      </c>
      <c r="I92" s="14" t="s">
        <v>4472</v>
      </c>
      <c r="J92" s="75">
        <v>170</v>
      </c>
      <c r="K92" s="75">
        <v>30</v>
      </c>
      <c r="L92" s="14" t="s">
        <v>252</v>
      </c>
      <c r="M92" s="75">
        <v>45</v>
      </c>
      <c r="N92" s="14" t="s">
        <v>45</v>
      </c>
      <c r="O92" s="14"/>
    </row>
    <row r="93" spans="1:15" x14ac:dyDescent="0.25">
      <c r="A93" s="86">
        <v>45646</v>
      </c>
      <c r="B93" s="55" t="s">
        <v>4301</v>
      </c>
      <c r="C93" s="55" t="s">
        <v>43</v>
      </c>
      <c r="D93" s="146">
        <f t="shared" si="5"/>
        <v>190.90909090909091</v>
      </c>
      <c r="E93" s="146">
        <f t="shared" si="3"/>
        <v>19.09090909090909</v>
      </c>
      <c r="F93" s="146">
        <v>210</v>
      </c>
      <c r="G93" s="146">
        <v>50</v>
      </c>
      <c r="H93" s="58">
        <f t="shared" si="4"/>
        <v>160</v>
      </c>
      <c r="I93" s="14" t="s">
        <v>4473</v>
      </c>
      <c r="J93" s="75">
        <v>170</v>
      </c>
      <c r="K93" s="75">
        <v>40</v>
      </c>
      <c r="L93" s="14" t="s">
        <v>252</v>
      </c>
      <c r="M93" s="75"/>
      <c r="N93" s="14"/>
      <c r="O93" s="14"/>
    </row>
    <row r="94" spans="1:15" x14ac:dyDescent="0.25">
      <c r="A94" s="86">
        <v>45646</v>
      </c>
      <c r="B94" s="55" t="s">
        <v>4302</v>
      </c>
      <c r="C94" s="55" t="s">
        <v>43</v>
      </c>
      <c r="D94" s="146">
        <f t="shared" si="5"/>
        <v>172.72727272727272</v>
      </c>
      <c r="E94" s="146">
        <f t="shared" si="3"/>
        <v>17.272727272727273</v>
      </c>
      <c r="F94" s="146">
        <v>190</v>
      </c>
      <c r="G94" s="146">
        <v>50</v>
      </c>
      <c r="H94" s="58">
        <f t="shared" si="4"/>
        <v>140</v>
      </c>
      <c r="I94" s="14" t="s">
        <v>4474</v>
      </c>
      <c r="J94" s="75">
        <v>170</v>
      </c>
      <c r="K94" s="75">
        <v>20</v>
      </c>
      <c r="L94" s="14" t="s">
        <v>252</v>
      </c>
      <c r="M94" s="75"/>
      <c r="N94" s="14"/>
      <c r="O94" s="14"/>
    </row>
    <row r="95" spans="1:15" x14ac:dyDescent="0.25">
      <c r="A95" s="86">
        <v>45646</v>
      </c>
      <c r="B95" s="55" t="s">
        <v>4303</v>
      </c>
      <c r="C95" s="55" t="s">
        <v>43</v>
      </c>
      <c r="D95" s="146">
        <f t="shared" si="5"/>
        <v>154.54545454545453</v>
      </c>
      <c r="E95" s="146">
        <f t="shared" si="3"/>
        <v>15.454545454545453</v>
      </c>
      <c r="F95" s="146">
        <v>170</v>
      </c>
      <c r="G95" s="146">
        <v>50</v>
      </c>
      <c r="H95" s="58">
        <f t="shared" si="4"/>
        <v>120</v>
      </c>
      <c r="I95" s="14" t="s">
        <v>4475</v>
      </c>
      <c r="J95" s="75">
        <v>170</v>
      </c>
      <c r="K95" s="75"/>
      <c r="L95" s="14"/>
      <c r="M95" s="75"/>
      <c r="N95" s="14"/>
      <c r="O95" s="14"/>
    </row>
    <row r="96" spans="1:15" x14ac:dyDescent="0.25">
      <c r="A96" s="86">
        <v>45646</v>
      </c>
      <c r="B96" s="55" t="s">
        <v>4304</v>
      </c>
      <c r="C96" s="55" t="s">
        <v>43</v>
      </c>
      <c r="D96" s="146">
        <f t="shared" si="5"/>
        <v>154.54545454545453</v>
      </c>
      <c r="E96" s="146">
        <f t="shared" si="3"/>
        <v>15.454545454545453</v>
      </c>
      <c r="F96" s="146">
        <v>170</v>
      </c>
      <c r="G96" s="146">
        <v>50</v>
      </c>
      <c r="H96" s="58">
        <f t="shared" si="4"/>
        <v>120</v>
      </c>
      <c r="I96" s="14" t="s">
        <v>4476</v>
      </c>
      <c r="J96" s="75">
        <v>170</v>
      </c>
      <c r="K96" s="75"/>
      <c r="L96" s="14"/>
      <c r="M96" s="75"/>
      <c r="N96" s="14"/>
      <c r="O96" s="14"/>
    </row>
    <row r="97" spans="1:15" x14ac:dyDescent="0.25">
      <c r="A97" s="86">
        <v>45646</v>
      </c>
      <c r="B97" s="55" t="s">
        <v>4305</v>
      </c>
      <c r="C97" s="55" t="s">
        <v>43</v>
      </c>
      <c r="D97" s="146">
        <f t="shared" si="5"/>
        <v>199.99999999999997</v>
      </c>
      <c r="E97" s="146">
        <f t="shared" si="3"/>
        <v>19.999999999999996</v>
      </c>
      <c r="F97" s="146">
        <v>220</v>
      </c>
      <c r="G97" s="146">
        <v>50</v>
      </c>
      <c r="H97" s="58">
        <f t="shared" si="4"/>
        <v>170</v>
      </c>
      <c r="I97" s="14" t="s">
        <v>4477</v>
      </c>
      <c r="J97" s="75">
        <v>220</v>
      </c>
      <c r="K97" s="75"/>
      <c r="L97" s="14"/>
      <c r="M97" s="75"/>
      <c r="N97" s="14"/>
      <c r="O97" s="14"/>
    </row>
    <row r="98" spans="1:15" x14ac:dyDescent="0.25">
      <c r="A98" s="86">
        <v>45646</v>
      </c>
      <c r="B98" s="55" t="s">
        <v>4306</v>
      </c>
      <c r="C98" s="55" t="s">
        <v>43</v>
      </c>
      <c r="D98" s="146">
        <f t="shared" si="5"/>
        <v>199.99999999999997</v>
      </c>
      <c r="E98" s="146">
        <f t="shared" si="3"/>
        <v>19.999999999999996</v>
      </c>
      <c r="F98" s="146">
        <v>220</v>
      </c>
      <c r="G98" s="146">
        <v>220</v>
      </c>
      <c r="H98" s="58">
        <f t="shared" si="4"/>
        <v>0</v>
      </c>
      <c r="I98" s="14" t="s">
        <v>4478</v>
      </c>
      <c r="J98" s="75">
        <v>220</v>
      </c>
      <c r="K98" s="75"/>
      <c r="L98" s="14"/>
      <c r="M98" s="75"/>
      <c r="N98" s="14"/>
      <c r="O98" s="14"/>
    </row>
    <row r="99" spans="1:15" x14ac:dyDescent="0.25">
      <c r="A99" s="86">
        <v>45646</v>
      </c>
      <c r="B99" s="55" t="s">
        <v>4307</v>
      </c>
      <c r="C99" s="55" t="s">
        <v>43</v>
      </c>
      <c r="D99" s="146">
        <f t="shared" si="5"/>
        <v>259.09090909090907</v>
      </c>
      <c r="E99" s="146">
        <f t="shared" si="3"/>
        <v>25.909090909090907</v>
      </c>
      <c r="F99" s="146">
        <v>285</v>
      </c>
      <c r="G99" s="146">
        <v>50</v>
      </c>
      <c r="H99" s="58">
        <f t="shared" si="4"/>
        <v>235</v>
      </c>
      <c r="I99" s="14" t="s">
        <v>4479</v>
      </c>
      <c r="J99" s="75">
        <v>220</v>
      </c>
      <c r="K99" s="75">
        <v>20</v>
      </c>
      <c r="L99" s="14" t="s">
        <v>252</v>
      </c>
      <c r="M99" s="75">
        <v>45</v>
      </c>
      <c r="N99" s="14" t="s">
        <v>45</v>
      </c>
      <c r="O99" s="14"/>
    </row>
    <row r="100" spans="1:15" x14ac:dyDescent="0.25">
      <c r="A100" s="86">
        <v>45646</v>
      </c>
      <c r="B100" s="55" t="s">
        <v>4308</v>
      </c>
      <c r="C100" s="55" t="s">
        <v>43</v>
      </c>
      <c r="D100" s="146">
        <f t="shared" si="5"/>
        <v>199.99999999999997</v>
      </c>
      <c r="E100" s="146">
        <f t="shared" si="3"/>
        <v>19.999999999999996</v>
      </c>
      <c r="F100" s="146">
        <v>220</v>
      </c>
      <c r="G100" s="146"/>
      <c r="H100" s="58">
        <f t="shared" si="4"/>
        <v>220</v>
      </c>
      <c r="I100" s="14" t="s">
        <v>603</v>
      </c>
      <c r="J100" s="75">
        <v>220</v>
      </c>
      <c r="K100" s="75"/>
      <c r="L100" s="14"/>
      <c r="M100" s="75"/>
      <c r="N100" s="14"/>
      <c r="O100" s="14"/>
    </row>
    <row r="101" spans="1:15" x14ac:dyDescent="0.25">
      <c r="A101" s="86">
        <v>45647</v>
      </c>
      <c r="B101" s="55" t="s">
        <v>4309</v>
      </c>
      <c r="C101" s="55" t="s">
        <v>43</v>
      </c>
      <c r="D101" s="146">
        <f t="shared" si="5"/>
        <v>199.99999999999997</v>
      </c>
      <c r="E101" s="146">
        <f t="shared" si="3"/>
        <v>19.999999999999996</v>
      </c>
      <c r="F101" s="146">
        <v>220</v>
      </c>
      <c r="G101" s="146">
        <v>50</v>
      </c>
      <c r="H101" s="58">
        <f t="shared" si="4"/>
        <v>170</v>
      </c>
      <c r="I101" s="14" t="s">
        <v>4480</v>
      </c>
      <c r="J101" s="75">
        <v>220</v>
      </c>
      <c r="K101" s="75"/>
      <c r="L101" s="14"/>
      <c r="M101" s="75"/>
      <c r="N101" s="14"/>
      <c r="O101" s="14"/>
    </row>
    <row r="102" spans="1:15" x14ac:dyDescent="0.25">
      <c r="A102" s="86">
        <v>45647</v>
      </c>
      <c r="B102" s="55" t="s">
        <v>4310</v>
      </c>
      <c r="C102" s="55" t="s">
        <v>43</v>
      </c>
      <c r="D102" s="146">
        <f t="shared" si="5"/>
        <v>236.36363636363635</v>
      </c>
      <c r="E102" s="146">
        <f t="shared" si="3"/>
        <v>23.636363636363637</v>
      </c>
      <c r="F102" s="146">
        <v>260</v>
      </c>
      <c r="G102" s="146"/>
      <c r="H102" s="58">
        <f t="shared" si="4"/>
        <v>260</v>
      </c>
      <c r="I102" s="14" t="s">
        <v>603</v>
      </c>
      <c r="J102" s="75">
        <v>260</v>
      </c>
      <c r="K102" s="75"/>
      <c r="L102" s="14"/>
      <c r="M102" s="75"/>
      <c r="N102" s="14"/>
      <c r="O102" s="14"/>
    </row>
    <row r="103" spans="1:15" x14ac:dyDescent="0.25">
      <c r="A103" s="86">
        <v>45647</v>
      </c>
      <c r="B103" s="55" t="s">
        <v>4311</v>
      </c>
      <c r="C103" s="55" t="s">
        <v>43</v>
      </c>
      <c r="D103" s="146">
        <f t="shared" si="5"/>
        <v>218.18181818181816</v>
      </c>
      <c r="E103" s="146">
        <f t="shared" si="3"/>
        <v>21.818181818181817</v>
      </c>
      <c r="F103" s="146">
        <v>240</v>
      </c>
      <c r="G103" s="146">
        <v>50</v>
      </c>
      <c r="H103" s="58">
        <f t="shared" si="4"/>
        <v>190</v>
      </c>
      <c r="I103" s="14" t="s">
        <v>4481</v>
      </c>
      <c r="J103" s="75">
        <v>220</v>
      </c>
      <c r="K103" s="75">
        <v>20</v>
      </c>
      <c r="L103" s="14" t="s">
        <v>252</v>
      </c>
      <c r="M103" s="75"/>
      <c r="N103" s="14"/>
      <c r="O103" s="14"/>
    </row>
    <row r="104" spans="1:15" x14ac:dyDescent="0.25">
      <c r="A104" s="86">
        <v>45647</v>
      </c>
      <c r="B104" s="55" t="s">
        <v>4312</v>
      </c>
      <c r="C104" s="55" t="s">
        <v>43</v>
      </c>
      <c r="D104" s="146">
        <f t="shared" si="5"/>
        <v>163.63636363636363</v>
      </c>
      <c r="E104" s="146">
        <f t="shared" si="3"/>
        <v>16.363636363636363</v>
      </c>
      <c r="F104" s="146">
        <v>180</v>
      </c>
      <c r="G104" s="146"/>
      <c r="H104" s="58">
        <f t="shared" si="4"/>
        <v>180</v>
      </c>
      <c r="I104" s="14" t="s">
        <v>603</v>
      </c>
      <c r="J104" s="75">
        <v>180</v>
      </c>
      <c r="K104" s="75"/>
      <c r="L104" s="14"/>
      <c r="M104" s="75"/>
      <c r="N104" s="14"/>
      <c r="O104" s="14"/>
    </row>
    <row r="105" spans="1:15" x14ac:dyDescent="0.25">
      <c r="A105" s="86">
        <v>45647</v>
      </c>
      <c r="B105" s="55" t="s">
        <v>4313</v>
      </c>
      <c r="C105" s="55" t="s">
        <v>43</v>
      </c>
      <c r="D105" s="146">
        <f t="shared" si="5"/>
        <v>199.99999999999997</v>
      </c>
      <c r="E105" s="146">
        <f t="shared" si="3"/>
        <v>19.999999999999996</v>
      </c>
      <c r="F105" s="146">
        <v>220</v>
      </c>
      <c r="G105" s="146">
        <v>50</v>
      </c>
      <c r="H105" s="58">
        <f t="shared" si="4"/>
        <v>170</v>
      </c>
      <c r="I105" s="14" t="s">
        <v>4482</v>
      </c>
      <c r="J105" s="75">
        <v>220</v>
      </c>
      <c r="K105" s="75"/>
      <c r="L105" s="14"/>
      <c r="M105" s="75"/>
      <c r="N105" s="14"/>
      <c r="O105" s="14"/>
    </row>
    <row r="106" spans="1:15" x14ac:dyDescent="0.25">
      <c r="A106" s="86">
        <v>45647</v>
      </c>
      <c r="B106" s="55" t="s">
        <v>4314</v>
      </c>
      <c r="C106" s="55" t="s">
        <v>43</v>
      </c>
      <c r="D106" s="146">
        <f t="shared" si="5"/>
        <v>290.90909090909088</v>
      </c>
      <c r="E106" s="146">
        <f t="shared" si="3"/>
        <v>29.09090909090909</v>
      </c>
      <c r="F106" s="146">
        <v>320</v>
      </c>
      <c r="G106" s="146">
        <v>320</v>
      </c>
      <c r="H106" s="58">
        <f t="shared" si="4"/>
        <v>0</v>
      </c>
      <c r="I106" s="14" t="s">
        <v>2752</v>
      </c>
      <c r="J106" s="75">
        <v>320</v>
      </c>
      <c r="K106" s="75"/>
      <c r="L106" s="14"/>
      <c r="M106" s="75"/>
      <c r="N106" s="14"/>
      <c r="O106" s="14"/>
    </row>
    <row r="107" spans="1:15" x14ac:dyDescent="0.25">
      <c r="A107" s="86">
        <v>45647</v>
      </c>
      <c r="B107" s="55" t="s">
        <v>4315</v>
      </c>
      <c r="C107" s="55" t="s">
        <v>43</v>
      </c>
      <c r="D107" s="146">
        <f t="shared" si="5"/>
        <v>340.90909090909088</v>
      </c>
      <c r="E107" s="146">
        <f t="shared" si="3"/>
        <v>34.090909090909093</v>
      </c>
      <c r="F107" s="146">
        <v>375</v>
      </c>
      <c r="G107" s="146">
        <v>50</v>
      </c>
      <c r="H107" s="58">
        <f t="shared" si="4"/>
        <v>325</v>
      </c>
      <c r="I107" s="14" t="s">
        <v>4483</v>
      </c>
      <c r="J107" s="75">
        <v>330</v>
      </c>
      <c r="K107" s="75"/>
      <c r="L107" s="14"/>
      <c r="M107" s="75">
        <v>45</v>
      </c>
      <c r="N107" s="14" t="s">
        <v>45</v>
      </c>
      <c r="O107" s="14"/>
    </row>
    <row r="108" spans="1:15" x14ac:dyDescent="0.25">
      <c r="A108" s="86">
        <v>45647</v>
      </c>
      <c r="B108" s="55" t="s">
        <v>4316</v>
      </c>
      <c r="C108" s="55" t="s">
        <v>43</v>
      </c>
      <c r="D108" s="146">
        <f t="shared" si="5"/>
        <v>263.63636363636363</v>
      </c>
      <c r="E108" s="146">
        <f t="shared" si="3"/>
        <v>26.36363636363636</v>
      </c>
      <c r="F108" s="146">
        <v>290</v>
      </c>
      <c r="G108" s="146">
        <v>50</v>
      </c>
      <c r="H108" s="58">
        <f t="shared" si="4"/>
        <v>240</v>
      </c>
      <c r="I108" s="14" t="s">
        <v>4484</v>
      </c>
      <c r="J108" s="75">
        <v>270</v>
      </c>
      <c r="K108" s="75">
        <v>20</v>
      </c>
      <c r="L108" s="14" t="s">
        <v>252</v>
      </c>
      <c r="M108" s="75"/>
      <c r="N108" s="14"/>
      <c r="O108" s="14"/>
    </row>
    <row r="109" spans="1:15" x14ac:dyDescent="0.25">
      <c r="A109" s="86">
        <v>45647</v>
      </c>
      <c r="B109" s="55" t="s">
        <v>4317</v>
      </c>
      <c r="C109" s="55" t="s">
        <v>43</v>
      </c>
      <c r="D109" s="146">
        <f t="shared" si="5"/>
        <v>245.45454545454544</v>
      </c>
      <c r="E109" s="146">
        <f t="shared" si="3"/>
        <v>24.545454545454547</v>
      </c>
      <c r="F109" s="146">
        <v>270</v>
      </c>
      <c r="G109" s="146">
        <v>50</v>
      </c>
      <c r="H109" s="58">
        <f t="shared" si="4"/>
        <v>220</v>
      </c>
      <c r="I109" s="14" t="s">
        <v>4485</v>
      </c>
      <c r="J109" s="75">
        <v>270</v>
      </c>
      <c r="K109" s="75"/>
      <c r="L109" s="14"/>
      <c r="M109" s="75"/>
      <c r="N109" s="14"/>
      <c r="O109" s="14"/>
    </row>
    <row r="110" spans="1:15" x14ac:dyDescent="0.25">
      <c r="A110" s="86">
        <v>45647</v>
      </c>
      <c r="B110" s="55" t="s">
        <v>4318</v>
      </c>
      <c r="C110" s="55" t="s">
        <v>43</v>
      </c>
      <c r="D110" s="146">
        <f t="shared" si="5"/>
        <v>199.99999999999997</v>
      </c>
      <c r="E110" s="146">
        <f t="shared" si="3"/>
        <v>19.999999999999996</v>
      </c>
      <c r="F110" s="146">
        <v>220</v>
      </c>
      <c r="G110" s="146">
        <v>50</v>
      </c>
      <c r="H110" s="58">
        <f t="shared" si="4"/>
        <v>170</v>
      </c>
      <c r="I110" s="14" t="s">
        <v>4486</v>
      </c>
      <c r="J110" s="75">
        <v>220</v>
      </c>
      <c r="K110" s="75"/>
      <c r="L110" s="14"/>
      <c r="M110" s="75"/>
      <c r="N110" s="14"/>
      <c r="O110" s="14"/>
    </row>
    <row r="111" spans="1:15" x14ac:dyDescent="0.25">
      <c r="A111" s="86">
        <v>45647</v>
      </c>
      <c r="B111" s="55" t="s">
        <v>4319</v>
      </c>
      <c r="C111" s="55" t="s">
        <v>43</v>
      </c>
      <c r="D111" s="146">
        <f t="shared" si="5"/>
        <v>172.72727272727272</v>
      </c>
      <c r="E111" s="146">
        <f t="shared" si="3"/>
        <v>17.272727272727273</v>
      </c>
      <c r="F111" s="146">
        <v>190</v>
      </c>
      <c r="G111" s="146">
        <v>50</v>
      </c>
      <c r="H111" s="58">
        <f t="shared" si="4"/>
        <v>140</v>
      </c>
      <c r="I111" s="14" t="s">
        <v>4487</v>
      </c>
      <c r="J111" s="75">
        <v>170</v>
      </c>
      <c r="K111" s="75">
        <v>20</v>
      </c>
      <c r="L111" s="14" t="s">
        <v>252</v>
      </c>
      <c r="M111" s="75"/>
      <c r="N111" s="14"/>
      <c r="O111" s="14"/>
    </row>
    <row r="112" spans="1:15" x14ac:dyDescent="0.25">
      <c r="A112" s="86">
        <v>45647</v>
      </c>
      <c r="B112" s="55" t="s">
        <v>4320</v>
      </c>
      <c r="C112" s="55" t="s">
        <v>43</v>
      </c>
      <c r="D112" s="146">
        <f t="shared" si="5"/>
        <v>190.90909090909091</v>
      </c>
      <c r="E112" s="146">
        <f t="shared" si="3"/>
        <v>19.09090909090909</v>
      </c>
      <c r="F112" s="146">
        <v>210</v>
      </c>
      <c r="G112" s="146">
        <v>50</v>
      </c>
      <c r="H112" s="58">
        <f t="shared" si="4"/>
        <v>160</v>
      </c>
      <c r="I112" s="14" t="s">
        <v>4488</v>
      </c>
      <c r="J112" s="75">
        <v>170</v>
      </c>
      <c r="K112" s="75">
        <v>40</v>
      </c>
      <c r="L112" s="14" t="s">
        <v>252</v>
      </c>
      <c r="M112" s="75"/>
      <c r="N112" s="14"/>
      <c r="O112" s="14"/>
    </row>
    <row r="113" spans="1:15" x14ac:dyDescent="0.25">
      <c r="A113" s="86">
        <v>45647</v>
      </c>
      <c r="B113" s="55" t="s">
        <v>4321</v>
      </c>
      <c r="C113" s="55" t="s">
        <v>43</v>
      </c>
      <c r="D113" s="146">
        <f t="shared" si="5"/>
        <v>199.99999999999997</v>
      </c>
      <c r="E113" s="146">
        <f t="shared" si="3"/>
        <v>19.999999999999996</v>
      </c>
      <c r="F113" s="146">
        <v>220</v>
      </c>
      <c r="G113" s="146">
        <v>50</v>
      </c>
      <c r="H113" s="58">
        <f t="shared" si="4"/>
        <v>170</v>
      </c>
      <c r="I113" s="14" t="s">
        <v>4489</v>
      </c>
      <c r="J113" s="75">
        <v>220</v>
      </c>
      <c r="K113" s="75"/>
      <c r="L113" s="14"/>
      <c r="M113" s="75"/>
      <c r="N113" s="14"/>
      <c r="O113" s="14"/>
    </row>
    <row r="114" spans="1:15" x14ac:dyDescent="0.25">
      <c r="A114" s="86">
        <v>45647</v>
      </c>
      <c r="B114" s="55" t="s">
        <v>4322</v>
      </c>
      <c r="C114" s="55" t="s">
        <v>43</v>
      </c>
      <c r="D114" s="146">
        <f t="shared" si="5"/>
        <v>163.63636363636363</v>
      </c>
      <c r="E114" s="146">
        <f t="shared" si="3"/>
        <v>16.363636363636363</v>
      </c>
      <c r="F114" s="146">
        <v>180</v>
      </c>
      <c r="G114" s="146">
        <v>50</v>
      </c>
      <c r="H114" s="58">
        <f t="shared" si="4"/>
        <v>130</v>
      </c>
      <c r="I114" s="14" t="s">
        <v>4490</v>
      </c>
      <c r="J114" s="75">
        <v>180</v>
      </c>
      <c r="K114" s="75"/>
      <c r="L114" s="14"/>
      <c r="M114" s="75"/>
      <c r="N114" s="14"/>
      <c r="O114" s="14"/>
    </row>
    <row r="115" spans="1:15" x14ac:dyDescent="0.25">
      <c r="A115" s="86">
        <v>45647</v>
      </c>
      <c r="B115" s="55" t="s">
        <v>4323</v>
      </c>
      <c r="C115" s="55" t="s">
        <v>43</v>
      </c>
      <c r="D115" s="146">
        <f t="shared" si="5"/>
        <v>259.09090909090907</v>
      </c>
      <c r="E115" s="146">
        <f t="shared" si="3"/>
        <v>25.909090909090907</v>
      </c>
      <c r="F115" s="146">
        <v>285</v>
      </c>
      <c r="G115" s="146">
        <v>285</v>
      </c>
      <c r="H115" s="58">
        <f t="shared" si="4"/>
        <v>0</v>
      </c>
      <c r="I115" s="14" t="s">
        <v>4491</v>
      </c>
      <c r="J115" s="75">
        <v>220</v>
      </c>
      <c r="K115" s="75">
        <v>20</v>
      </c>
      <c r="L115" s="14" t="s">
        <v>252</v>
      </c>
      <c r="M115" s="75">
        <v>45</v>
      </c>
      <c r="N115" s="14" t="s">
        <v>45</v>
      </c>
      <c r="O115" s="14"/>
    </row>
    <row r="116" spans="1:15" x14ac:dyDescent="0.25">
      <c r="A116" s="86">
        <v>45647</v>
      </c>
      <c r="B116" s="55" t="s">
        <v>4324</v>
      </c>
      <c r="C116" s="55" t="s">
        <v>43</v>
      </c>
      <c r="D116" s="146">
        <f t="shared" si="5"/>
        <v>199.99999999999997</v>
      </c>
      <c r="E116" s="146">
        <f t="shared" si="3"/>
        <v>19.999999999999996</v>
      </c>
      <c r="F116" s="146">
        <v>220</v>
      </c>
      <c r="G116" s="146">
        <v>50</v>
      </c>
      <c r="H116" s="58">
        <f t="shared" si="4"/>
        <v>170</v>
      </c>
      <c r="I116" s="14" t="s">
        <v>4492</v>
      </c>
      <c r="J116" s="75">
        <v>220</v>
      </c>
      <c r="K116" s="75"/>
      <c r="L116" s="14"/>
      <c r="M116" s="75"/>
      <c r="N116" s="14"/>
      <c r="O116" s="14"/>
    </row>
    <row r="117" spans="1:15" x14ac:dyDescent="0.25">
      <c r="A117" s="86">
        <v>45648</v>
      </c>
      <c r="B117" s="55" t="s">
        <v>4325</v>
      </c>
      <c r="C117" s="55" t="s">
        <v>43</v>
      </c>
      <c r="D117" s="146">
        <f t="shared" si="5"/>
        <v>127.27272727272727</v>
      </c>
      <c r="E117" s="146">
        <f t="shared" si="3"/>
        <v>12.727272727272727</v>
      </c>
      <c r="F117" s="146">
        <v>140</v>
      </c>
      <c r="G117" s="146"/>
      <c r="H117" s="58">
        <f t="shared" si="4"/>
        <v>140</v>
      </c>
      <c r="I117" s="14" t="s">
        <v>603</v>
      </c>
      <c r="J117" s="75">
        <v>140</v>
      </c>
      <c r="K117" s="75"/>
      <c r="L117" s="14"/>
      <c r="M117" s="75"/>
      <c r="N117" s="14"/>
      <c r="O117" s="14"/>
    </row>
    <row r="118" spans="1:15" x14ac:dyDescent="0.25">
      <c r="A118" s="86">
        <v>45649</v>
      </c>
      <c r="B118" s="55" t="s">
        <v>4326</v>
      </c>
      <c r="C118" s="55" t="s">
        <v>43</v>
      </c>
      <c r="D118" s="146">
        <f t="shared" si="5"/>
        <v>263.63636363636363</v>
      </c>
      <c r="E118" s="146">
        <f t="shared" si="3"/>
        <v>26.36363636363636</v>
      </c>
      <c r="F118" s="146">
        <v>290</v>
      </c>
      <c r="G118" s="146">
        <v>50</v>
      </c>
      <c r="H118" s="58">
        <f t="shared" si="4"/>
        <v>240</v>
      </c>
      <c r="I118" s="14" t="s">
        <v>4497</v>
      </c>
      <c r="J118" s="75">
        <v>270</v>
      </c>
      <c r="K118" s="75">
        <v>20</v>
      </c>
      <c r="L118" s="14" t="s">
        <v>252</v>
      </c>
      <c r="M118" s="75"/>
      <c r="N118" s="14"/>
      <c r="O118" s="14"/>
    </row>
    <row r="119" spans="1:15" x14ac:dyDescent="0.25">
      <c r="A119" s="86">
        <v>45649</v>
      </c>
      <c r="B119" s="55" t="s">
        <v>4327</v>
      </c>
      <c r="C119" s="55" t="s">
        <v>43</v>
      </c>
      <c r="D119" s="146">
        <f t="shared" si="5"/>
        <v>199.99999999999997</v>
      </c>
      <c r="E119" s="146">
        <f t="shared" si="3"/>
        <v>19.999999999999996</v>
      </c>
      <c r="F119" s="146">
        <v>220</v>
      </c>
      <c r="G119" s="146">
        <v>70</v>
      </c>
      <c r="H119" s="58">
        <f t="shared" si="4"/>
        <v>150</v>
      </c>
      <c r="I119" s="14" t="s">
        <v>4498</v>
      </c>
      <c r="J119" s="75">
        <v>220</v>
      </c>
      <c r="K119" s="75"/>
      <c r="L119" s="14"/>
      <c r="M119" s="75"/>
      <c r="N119" s="14"/>
      <c r="O119" s="14"/>
    </row>
    <row r="120" spans="1:15" x14ac:dyDescent="0.25">
      <c r="A120" s="86">
        <v>45651</v>
      </c>
      <c r="B120" s="55" t="s">
        <v>4328</v>
      </c>
      <c r="C120" s="55" t="s">
        <v>43</v>
      </c>
      <c r="D120" s="146">
        <f t="shared" si="5"/>
        <v>390.90909090909088</v>
      </c>
      <c r="E120" s="146">
        <f t="shared" si="3"/>
        <v>39.090909090909093</v>
      </c>
      <c r="F120" s="146">
        <v>430</v>
      </c>
      <c r="G120" s="146">
        <v>430</v>
      </c>
      <c r="H120" s="58">
        <f t="shared" si="4"/>
        <v>0</v>
      </c>
      <c r="I120" s="14" t="s">
        <v>4499</v>
      </c>
      <c r="J120" s="75">
        <v>270</v>
      </c>
      <c r="K120" s="75">
        <v>50</v>
      </c>
      <c r="L120" s="14" t="s">
        <v>252</v>
      </c>
      <c r="M120" s="75">
        <v>110</v>
      </c>
      <c r="N120" s="14" t="s">
        <v>4502</v>
      </c>
      <c r="O120" s="14"/>
    </row>
    <row r="121" spans="1:15" x14ac:dyDescent="0.25">
      <c r="A121" s="86">
        <v>45651</v>
      </c>
      <c r="B121" s="55" t="s">
        <v>4329</v>
      </c>
      <c r="C121" s="55" t="s">
        <v>43</v>
      </c>
      <c r="D121" s="146">
        <f t="shared" si="5"/>
        <v>263.63636363636363</v>
      </c>
      <c r="E121" s="146">
        <f t="shared" si="3"/>
        <v>26.36363636363636</v>
      </c>
      <c r="F121" s="146">
        <v>290</v>
      </c>
      <c r="G121" s="146">
        <v>50</v>
      </c>
      <c r="H121" s="58">
        <f t="shared" si="4"/>
        <v>240</v>
      </c>
      <c r="I121" s="14" t="s">
        <v>4500</v>
      </c>
      <c r="J121" s="75">
        <v>270</v>
      </c>
      <c r="K121" s="75">
        <v>20</v>
      </c>
      <c r="L121" s="14" t="s">
        <v>252</v>
      </c>
      <c r="M121" s="75"/>
      <c r="N121" s="14"/>
      <c r="O121" s="14"/>
    </row>
    <row r="122" spans="1:15" x14ac:dyDescent="0.25">
      <c r="A122" s="86">
        <v>45651</v>
      </c>
      <c r="B122" s="55" t="s">
        <v>4330</v>
      </c>
      <c r="C122" s="55" t="s">
        <v>43</v>
      </c>
      <c r="D122" s="146">
        <f t="shared" si="5"/>
        <v>254.54545454545453</v>
      </c>
      <c r="E122" s="146">
        <f t="shared" si="3"/>
        <v>25.454545454545453</v>
      </c>
      <c r="F122" s="146">
        <v>280</v>
      </c>
      <c r="G122" s="146">
        <v>50</v>
      </c>
      <c r="H122" s="58">
        <f t="shared" si="4"/>
        <v>230</v>
      </c>
      <c r="I122" s="14" t="s">
        <v>4501</v>
      </c>
      <c r="J122" s="75">
        <v>220</v>
      </c>
      <c r="K122" s="75">
        <v>60</v>
      </c>
      <c r="L122" s="14" t="s">
        <v>252</v>
      </c>
      <c r="M122" s="75"/>
      <c r="N122" s="14"/>
      <c r="O122" s="14"/>
    </row>
    <row r="123" spans="1:15" x14ac:dyDescent="0.25">
      <c r="A123" s="86">
        <v>45652</v>
      </c>
      <c r="B123" s="55" t="s">
        <v>4331</v>
      </c>
      <c r="C123" s="55" t="s">
        <v>43</v>
      </c>
      <c r="D123" s="146">
        <f t="shared" si="5"/>
        <v>163.63636363636363</v>
      </c>
      <c r="E123" s="146">
        <f t="shared" si="3"/>
        <v>16.363636363636363</v>
      </c>
      <c r="F123" s="146">
        <v>180</v>
      </c>
      <c r="G123" s="146"/>
      <c r="H123" s="58">
        <f t="shared" si="4"/>
        <v>180</v>
      </c>
      <c r="I123" s="14" t="s">
        <v>603</v>
      </c>
      <c r="J123" s="75">
        <v>180</v>
      </c>
      <c r="K123" s="75"/>
      <c r="L123" s="14"/>
      <c r="M123" s="75"/>
      <c r="N123" s="14"/>
      <c r="O123" s="14"/>
    </row>
    <row r="124" spans="1:15" x14ac:dyDescent="0.25">
      <c r="A124" s="86">
        <v>45652</v>
      </c>
      <c r="B124" s="55" t="s">
        <v>4332</v>
      </c>
      <c r="C124" s="55" t="s">
        <v>43</v>
      </c>
      <c r="D124" s="146">
        <f t="shared" si="5"/>
        <v>199.99999999999997</v>
      </c>
      <c r="E124" s="146">
        <f t="shared" si="3"/>
        <v>19.999999999999996</v>
      </c>
      <c r="F124" s="146">
        <v>220</v>
      </c>
      <c r="G124" s="146">
        <v>50</v>
      </c>
      <c r="H124" s="58">
        <f t="shared" si="4"/>
        <v>170</v>
      </c>
      <c r="I124" s="14" t="s">
        <v>2752</v>
      </c>
      <c r="J124" s="75">
        <v>220</v>
      </c>
      <c r="K124" s="75"/>
      <c r="L124" s="14"/>
      <c r="M124" s="75"/>
      <c r="N124" s="14"/>
      <c r="O124" s="14"/>
    </row>
    <row r="125" spans="1:15" x14ac:dyDescent="0.25">
      <c r="A125" s="86">
        <v>45653</v>
      </c>
      <c r="B125" s="55" t="s">
        <v>4333</v>
      </c>
      <c r="C125" s="55" t="s">
        <v>43</v>
      </c>
      <c r="D125" s="146">
        <f t="shared" si="5"/>
        <v>199.99999999999997</v>
      </c>
      <c r="E125" s="146">
        <f t="shared" si="3"/>
        <v>19.999999999999996</v>
      </c>
      <c r="F125" s="146">
        <v>220</v>
      </c>
      <c r="G125" s="146">
        <v>50</v>
      </c>
      <c r="H125" s="58">
        <f t="shared" si="4"/>
        <v>170</v>
      </c>
      <c r="I125" s="14" t="s">
        <v>4503</v>
      </c>
      <c r="J125" s="75">
        <v>220</v>
      </c>
      <c r="K125" s="75"/>
      <c r="L125" s="14"/>
      <c r="M125" s="75"/>
      <c r="N125" s="14"/>
      <c r="O125" s="14"/>
    </row>
    <row r="126" spans="1:15" x14ac:dyDescent="0.25">
      <c r="A126" s="86">
        <v>45653</v>
      </c>
      <c r="B126" s="55" t="s">
        <v>4334</v>
      </c>
      <c r="C126" s="55" t="s">
        <v>43</v>
      </c>
      <c r="D126" s="146">
        <f t="shared" si="5"/>
        <v>154.54545454545453</v>
      </c>
      <c r="E126" s="146">
        <f t="shared" si="3"/>
        <v>15.454545454545453</v>
      </c>
      <c r="F126" s="146">
        <v>170</v>
      </c>
      <c r="G126" s="146">
        <v>50</v>
      </c>
      <c r="H126" s="58">
        <f t="shared" si="4"/>
        <v>120</v>
      </c>
      <c r="I126" s="187" t="s">
        <v>4504</v>
      </c>
      <c r="J126" s="75">
        <v>170</v>
      </c>
      <c r="K126" s="75"/>
      <c r="L126" s="14"/>
      <c r="M126" s="75"/>
      <c r="N126" s="14"/>
      <c r="O126" s="14"/>
    </row>
    <row r="127" spans="1:15" x14ac:dyDescent="0.25">
      <c r="A127" s="86">
        <v>45653</v>
      </c>
      <c r="B127" s="55" t="s">
        <v>4335</v>
      </c>
      <c r="C127" s="55" t="s">
        <v>43</v>
      </c>
      <c r="D127" s="146">
        <f t="shared" si="5"/>
        <v>154.54545454545453</v>
      </c>
      <c r="E127" s="146">
        <f t="shared" si="3"/>
        <v>15.454545454545453</v>
      </c>
      <c r="F127" s="146">
        <v>170</v>
      </c>
      <c r="G127" s="146">
        <v>50</v>
      </c>
      <c r="H127" s="58">
        <f t="shared" si="4"/>
        <v>120</v>
      </c>
      <c r="I127" s="14" t="s">
        <v>4505</v>
      </c>
      <c r="J127" s="75">
        <v>170</v>
      </c>
      <c r="K127" s="75"/>
      <c r="L127" s="14"/>
      <c r="M127" s="75"/>
      <c r="N127" s="14"/>
      <c r="O127" s="14"/>
    </row>
    <row r="128" spans="1:15" x14ac:dyDescent="0.25">
      <c r="A128" s="86">
        <v>45653</v>
      </c>
      <c r="B128" s="55" t="s">
        <v>4336</v>
      </c>
      <c r="C128" s="55" t="s">
        <v>43</v>
      </c>
      <c r="D128" s="146">
        <f t="shared" si="5"/>
        <v>199.99999999999997</v>
      </c>
      <c r="E128" s="146">
        <f t="shared" si="3"/>
        <v>19.999999999999996</v>
      </c>
      <c r="F128" s="146">
        <v>220</v>
      </c>
      <c r="G128" s="146">
        <v>50</v>
      </c>
      <c r="H128" s="58">
        <f t="shared" si="4"/>
        <v>170</v>
      </c>
      <c r="I128" s="14" t="s">
        <v>4506</v>
      </c>
      <c r="J128" s="75">
        <v>220</v>
      </c>
      <c r="K128" s="75"/>
      <c r="L128" s="14"/>
      <c r="M128" s="75"/>
      <c r="N128" s="14"/>
      <c r="O128" s="14"/>
    </row>
    <row r="129" spans="1:16" x14ac:dyDescent="0.25">
      <c r="A129" s="86">
        <v>45653</v>
      </c>
      <c r="B129" s="55" t="s">
        <v>4337</v>
      </c>
      <c r="C129" s="55" t="s">
        <v>43</v>
      </c>
      <c r="D129" s="146">
        <f t="shared" si="5"/>
        <v>245.45454545454544</v>
      </c>
      <c r="E129" s="146">
        <f t="shared" si="3"/>
        <v>24.545454545454547</v>
      </c>
      <c r="F129" s="146">
        <v>270</v>
      </c>
      <c r="G129" s="146">
        <v>50</v>
      </c>
      <c r="H129" s="58">
        <f t="shared" si="4"/>
        <v>220</v>
      </c>
      <c r="I129" s="187" t="s">
        <v>4507</v>
      </c>
      <c r="J129" s="75">
        <v>270</v>
      </c>
      <c r="K129" s="75"/>
      <c r="L129" s="14"/>
      <c r="M129" s="75"/>
      <c r="N129" s="14"/>
      <c r="O129" s="14"/>
    </row>
    <row r="130" spans="1:16" x14ac:dyDescent="0.25">
      <c r="A130" s="86">
        <v>45653</v>
      </c>
      <c r="B130" s="55" t="s">
        <v>4338</v>
      </c>
      <c r="C130" s="55" t="s">
        <v>43</v>
      </c>
      <c r="D130" s="146">
        <f t="shared" si="5"/>
        <v>290.90909090909088</v>
      </c>
      <c r="E130" s="146">
        <f t="shared" si="3"/>
        <v>29.09090909090909</v>
      </c>
      <c r="F130" s="146">
        <v>320</v>
      </c>
      <c r="G130" s="146">
        <v>50</v>
      </c>
      <c r="H130" s="58">
        <f t="shared" si="4"/>
        <v>270</v>
      </c>
      <c r="I130" s="14" t="s">
        <v>2752</v>
      </c>
      <c r="J130" s="75">
        <v>220</v>
      </c>
      <c r="K130" s="75">
        <v>50</v>
      </c>
      <c r="L130" s="14" t="s">
        <v>252</v>
      </c>
      <c r="M130" s="75">
        <v>50</v>
      </c>
      <c r="N130" s="14" t="s">
        <v>3865</v>
      </c>
      <c r="O130" s="14"/>
    </row>
    <row r="131" spans="1:16" x14ac:dyDescent="0.25">
      <c r="A131" s="86">
        <v>45654</v>
      </c>
      <c r="B131" s="55" t="s">
        <v>4339</v>
      </c>
      <c r="C131" s="55" t="s">
        <v>43</v>
      </c>
      <c r="D131" s="146">
        <f t="shared" si="5"/>
        <v>245.45454545454544</v>
      </c>
      <c r="E131" s="146">
        <f t="shared" ref="E131:E160" si="6">D131*10/100</f>
        <v>24.545454545454547</v>
      </c>
      <c r="F131" s="146">
        <v>270</v>
      </c>
      <c r="G131" s="146">
        <v>50</v>
      </c>
      <c r="H131" s="58">
        <f t="shared" ref="H131:H160" si="7">F131-G131</f>
        <v>220</v>
      </c>
      <c r="I131" s="14" t="s">
        <v>4508</v>
      </c>
      <c r="J131" s="75">
        <v>270</v>
      </c>
      <c r="K131" s="75"/>
      <c r="L131" s="14"/>
      <c r="M131" s="75"/>
      <c r="N131" s="14"/>
      <c r="O131" s="14"/>
    </row>
    <row r="132" spans="1:16" x14ac:dyDescent="0.25">
      <c r="A132" s="86">
        <v>45654</v>
      </c>
      <c r="B132" s="55" t="s">
        <v>4340</v>
      </c>
      <c r="C132" s="55" t="s">
        <v>43</v>
      </c>
      <c r="D132" s="146">
        <f t="shared" ref="D132:D160" si="8">F132/1.1</f>
        <v>477.27272727272725</v>
      </c>
      <c r="E132" s="146">
        <f t="shared" si="6"/>
        <v>47.72727272727272</v>
      </c>
      <c r="F132" s="146">
        <v>525</v>
      </c>
      <c r="G132" s="146">
        <v>50</v>
      </c>
      <c r="H132" s="58">
        <f t="shared" si="7"/>
        <v>475</v>
      </c>
      <c r="I132" s="14" t="s">
        <v>4509</v>
      </c>
      <c r="J132" s="75">
        <v>270</v>
      </c>
      <c r="K132" s="75">
        <v>40</v>
      </c>
      <c r="L132" s="14" t="s">
        <v>252</v>
      </c>
      <c r="M132" s="75"/>
      <c r="N132" s="14"/>
      <c r="O132" s="14"/>
    </row>
    <row r="133" spans="1:16" x14ac:dyDescent="0.25">
      <c r="A133" s="86">
        <v>45654</v>
      </c>
      <c r="B133" s="55" t="s">
        <v>4341</v>
      </c>
      <c r="C133" s="55" t="s">
        <v>43</v>
      </c>
      <c r="D133" s="146">
        <f t="shared" si="8"/>
        <v>199.99999999999997</v>
      </c>
      <c r="E133" s="146">
        <f t="shared" si="6"/>
        <v>19.999999999999996</v>
      </c>
      <c r="F133" s="146">
        <v>220</v>
      </c>
      <c r="G133" s="146">
        <v>50</v>
      </c>
      <c r="H133" s="58">
        <f t="shared" si="7"/>
        <v>170</v>
      </c>
      <c r="I133" s="14" t="s">
        <v>4510</v>
      </c>
      <c r="J133" s="75">
        <v>270</v>
      </c>
      <c r="K133" s="75">
        <v>30</v>
      </c>
      <c r="L133" s="14" t="s">
        <v>252</v>
      </c>
      <c r="M133" s="75">
        <v>45</v>
      </c>
      <c r="N133" s="14" t="s">
        <v>45</v>
      </c>
      <c r="O133" s="309">
        <v>180</v>
      </c>
      <c r="P133" t="s">
        <v>1548</v>
      </c>
    </row>
    <row r="134" spans="1:16" x14ac:dyDescent="0.25">
      <c r="A134" s="86">
        <v>45654</v>
      </c>
      <c r="B134" s="55" t="s">
        <v>4342</v>
      </c>
      <c r="C134" s="55" t="s">
        <v>43</v>
      </c>
      <c r="D134" s="146">
        <f t="shared" si="8"/>
        <v>345.45454545454544</v>
      </c>
      <c r="E134" s="146">
        <f t="shared" si="6"/>
        <v>34.545454545454547</v>
      </c>
      <c r="F134" s="146">
        <v>380</v>
      </c>
      <c r="G134" s="146">
        <v>50</v>
      </c>
      <c r="H134" s="58">
        <f t="shared" si="7"/>
        <v>330</v>
      </c>
      <c r="I134" s="14" t="s">
        <v>4511</v>
      </c>
      <c r="J134" s="75">
        <v>295</v>
      </c>
      <c r="K134" s="75">
        <v>40</v>
      </c>
      <c r="L134" s="14" t="s">
        <v>252</v>
      </c>
      <c r="M134" s="75">
        <v>45</v>
      </c>
      <c r="N134" s="14" t="s">
        <v>45</v>
      </c>
      <c r="O134" s="14"/>
    </row>
    <row r="135" spans="1:16" x14ac:dyDescent="0.25">
      <c r="A135" s="86">
        <v>45654</v>
      </c>
      <c r="B135" s="55" t="s">
        <v>4343</v>
      </c>
      <c r="C135" s="55" t="s">
        <v>43</v>
      </c>
      <c r="D135" s="146">
        <f t="shared" si="8"/>
        <v>245.45454545454544</v>
      </c>
      <c r="E135" s="146">
        <f t="shared" si="6"/>
        <v>24.545454545454547</v>
      </c>
      <c r="F135" s="146">
        <v>270</v>
      </c>
      <c r="G135" s="146">
        <v>50</v>
      </c>
      <c r="H135" s="58">
        <f t="shared" si="7"/>
        <v>220</v>
      </c>
      <c r="I135" s="14" t="s">
        <v>4512</v>
      </c>
      <c r="J135" s="75">
        <v>270</v>
      </c>
      <c r="K135" s="75"/>
      <c r="L135" s="14"/>
      <c r="M135" s="75"/>
      <c r="N135" s="14"/>
      <c r="O135" s="14"/>
    </row>
    <row r="136" spans="1:16" x14ac:dyDescent="0.25">
      <c r="A136" s="86">
        <v>45654</v>
      </c>
      <c r="B136" s="55" t="s">
        <v>4344</v>
      </c>
      <c r="C136" s="55" t="s">
        <v>43</v>
      </c>
      <c r="D136" s="146">
        <f t="shared" si="8"/>
        <v>199.99999999999997</v>
      </c>
      <c r="E136" s="146">
        <f t="shared" si="6"/>
        <v>19.999999999999996</v>
      </c>
      <c r="F136" s="146">
        <v>220</v>
      </c>
      <c r="G136" s="146">
        <v>50</v>
      </c>
      <c r="H136" s="58">
        <f t="shared" si="7"/>
        <v>170</v>
      </c>
      <c r="I136" s="14" t="s">
        <v>4510</v>
      </c>
      <c r="J136" s="75">
        <v>220</v>
      </c>
      <c r="K136" s="75"/>
      <c r="L136" s="14"/>
      <c r="M136" s="75"/>
      <c r="N136" s="14"/>
      <c r="O136" s="14"/>
    </row>
    <row r="137" spans="1:16" x14ac:dyDescent="0.25">
      <c r="A137" s="86">
        <v>45654</v>
      </c>
      <c r="B137" s="55" t="s">
        <v>4345</v>
      </c>
      <c r="C137" s="55" t="s">
        <v>43</v>
      </c>
      <c r="D137" s="146">
        <f t="shared" si="8"/>
        <v>154.54545454545453</v>
      </c>
      <c r="E137" s="146">
        <f t="shared" si="6"/>
        <v>15.454545454545453</v>
      </c>
      <c r="F137" s="146">
        <v>170</v>
      </c>
      <c r="G137" s="146">
        <v>50</v>
      </c>
      <c r="H137" s="58">
        <f t="shared" si="7"/>
        <v>120</v>
      </c>
      <c r="I137" s="14" t="s">
        <v>4513</v>
      </c>
      <c r="J137" s="75">
        <v>170</v>
      </c>
      <c r="K137" s="75"/>
      <c r="L137" s="14"/>
      <c r="M137" s="75"/>
      <c r="N137" s="14"/>
      <c r="O137" s="14"/>
    </row>
    <row r="138" spans="1:16" x14ac:dyDescent="0.25">
      <c r="A138" s="86">
        <v>45654</v>
      </c>
      <c r="B138" s="55" t="s">
        <v>4346</v>
      </c>
      <c r="C138" s="55" t="s">
        <v>43</v>
      </c>
      <c r="D138" s="146">
        <f t="shared" si="8"/>
        <v>154.54545454545453</v>
      </c>
      <c r="E138" s="146">
        <f t="shared" si="6"/>
        <v>15.454545454545453</v>
      </c>
      <c r="F138" s="146">
        <v>170</v>
      </c>
      <c r="G138" s="146">
        <v>50</v>
      </c>
      <c r="H138" s="58">
        <f t="shared" si="7"/>
        <v>120</v>
      </c>
      <c r="I138" s="14" t="s">
        <v>4514</v>
      </c>
      <c r="J138" s="75">
        <v>170</v>
      </c>
      <c r="K138" s="75"/>
      <c r="L138" s="14"/>
      <c r="M138" s="75"/>
      <c r="N138" s="14"/>
      <c r="O138" s="14"/>
    </row>
    <row r="139" spans="1:16" x14ac:dyDescent="0.25">
      <c r="A139" s="86">
        <v>45654</v>
      </c>
      <c r="B139" s="55" t="s">
        <v>4347</v>
      </c>
      <c r="C139" s="55" t="s">
        <v>43</v>
      </c>
      <c r="D139" s="146">
        <f t="shared" si="8"/>
        <v>127.27272727272727</v>
      </c>
      <c r="E139" s="146">
        <f t="shared" si="6"/>
        <v>12.727272727272727</v>
      </c>
      <c r="F139" s="146">
        <v>140</v>
      </c>
      <c r="G139" s="146"/>
      <c r="H139" s="58">
        <f t="shared" si="7"/>
        <v>140</v>
      </c>
      <c r="I139" s="14" t="s">
        <v>603</v>
      </c>
      <c r="J139" s="75">
        <v>140</v>
      </c>
      <c r="K139" s="75"/>
      <c r="L139" s="14"/>
      <c r="M139" s="75"/>
      <c r="N139" s="14"/>
      <c r="O139" s="14"/>
    </row>
    <row r="140" spans="1:16" x14ac:dyDescent="0.25">
      <c r="A140" s="86">
        <v>45655</v>
      </c>
      <c r="B140" s="55" t="s">
        <v>4348</v>
      </c>
      <c r="C140" s="55" t="s">
        <v>43</v>
      </c>
      <c r="D140" s="146">
        <f t="shared" si="8"/>
        <v>495.45454545454544</v>
      </c>
      <c r="E140" s="146">
        <f t="shared" si="6"/>
        <v>49.54545454545454</v>
      </c>
      <c r="F140" s="146">
        <v>545</v>
      </c>
      <c r="G140" s="146">
        <v>45</v>
      </c>
      <c r="H140" s="58">
        <f t="shared" si="7"/>
        <v>500</v>
      </c>
      <c r="I140" s="14" t="s">
        <v>4583</v>
      </c>
      <c r="J140" s="75">
        <v>440</v>
      </c>
      <c r="K140" s="75">
        <v>60</v>
      </c>
      <c r="L140" s="14" t="s">
        <v>252</v>
      </c>
      <c r="M140" s="75">
        <v>45</v>
      </c>
      <c r="N140" s="14" t="s">
        <v>3855</v>
      </c>
      <c r="O140" s="14"/>
    </row>
    <row r="141" spans="1:16" x14ac:dyDescent="0.25">
      <c r="A141" s="86">
        <v>45655</v>
      </c>
      <c r="B141" s="55" t="s">
        <v>4349</v>
      </c>
      <c r="C141" s="55" t="s">
        <v>43</v>
      </c>
      <c r="D141" s="146">
        <f t="shared" si="8"/>
        <v>163.63636363636363</v>
      </c>
      <c r="E141" s="146">
        <f t="shared" si="6"/>
        <v>16.363636363636363</v>
      </c>
      <c r="F141" s="146">
        <v>180</v>
      </c>
      <c r="G141" s="146"/>
      <c r="H141" s="58">
        <f t="shared" si="7"/>
        <v>180</v>
      </c>
      <c r="I141" s="14" t="s">
        <v>603</v>
      </c>
      <c r="J141" s="75">
        <v>180</v>
      </c>
      <c r="K141" s="75"/>
      <c r="L141" s="14"/>
      <c r="M141" s="75"/>
      <c r="N141" s="14"/>
      <c r="O141" s="14"/>
    </row>
    <row r="142" spans="1:16" x14ac:dyDescent="0.25">
      <c r="A142" s="86">
        <v>45655</v>
      </c>
      <c r="B142" s="55" t="s">
        <v>4350</v>
      </c>
      <c r="C142" s="55" t="s">
        <v>43</v>
      </c>
      <c r="D142" s="146">
        <f t="shared" si="8"/>
        <v>245.45454545454544</v>
      </c>
      <c r="E142" s="146">
        <f t="shared" si="6"/>
        <v>24.545454545454547</v>
      </c>
      <c r="F142" s="146">
        <v>270</v>
      </c>
      <c r="G142" s="146">
        <v>50</v>
      </c>
      <c r="H142" s="58">
        <f t="shared" si="7"/>
        <v>220</v>
      </c>
      <c r="I142" s="14" t="s">
        <v>4584</v>
      </c>
      <c r="J142" s="75">
        <v>270</v>
      </c>
      <c r="K142" s="75"/>
      <c r="L142" s="14"/>
      <c r="M142" s="75"/>
      <c r="N142" s="14"/>
      <c r="O142" s="14"/>
    </row>
    <row r="143" spans="1:16" x14ac:dyDescent="0.25">
      <c r="A143" s="86">
        <v>45655</v>
      </c>
      <c r="B143" s="55" t="s">
        <v>4351</v>
      </c>
      <c r="C143" s="55" t="s">
        <v>43</v>
      </c>
      <c r="D143" s="146">
        <f t="shared" si="8"/>
        <v>213.63636363636363</v>
      </c>
      <c r="E143" s="146">
        <f t="shared" si="6"/>
        <v>21.36363636363636</v>
      </c>
      <c r="F143" s="146">
        <v>235</v>
      </c>
      <c r="G143" s="146">
        <v>50</v>
      </c>
      <c r="H143" s="58">
        <f t="shared" si="7"/>
        <v>185</v>
      </c>
      <c r="I143" s="14" t="s">
        <v>4585</v>
      </c>
      <c r="J143" s="75">
        <v>170</v>
      </c>
      <c r="K143" s="75">
        <v>20</v>
      </c>
      <c r="L143" s="14" t="s">
        <v>252</v>
      </c>
      <c r="M143" s="75">
        <v>45</v>
      </c>
      <c r="N143" s="14" t="s">
        <v>45</v>
      </c>
      <c r="O143" s="14"/>
    </row>
    <row r="144" spans="1:16" x14ac:dyDescent="0.25">
      <c r="A144" s="86">
        <v>45656</v>
      </c>
      <c r="B144" s="55" t="s">
        <v>4352</v>
      </c>
      <c r="C144" s="55" t="s">
        <v>43</v>
      </c>
      <c r="D144" s="146">
        <f t="shared" si="8"/>
        <v>245.45454545454544</v>
      </c>
      <c r="E144" s="146">
        <f t="shared" si="6"/>
        <v>24.545454545454547</v>
      </c>
      <c r="F144" s="146">
        <v>270</v>
      </c>
      <c r="G144" s="146">
        <v>50</v>
      </c>
      <c r="H144" s="58">
        <f t="shared" si="7"/>
        <v>220</v>
      </c>
      <c r="I144" s="14" t="s">
        <v>4586</v>
      </c>
      <c r="J144" s="75">
        <v>270</v>
      </c>
      <c r="K144" s="75"/>
      <c r="L144" s="14"/>
      <c r="M144" s="75"/>
      <c r="N144" s="14"/>
      <c r="O144" s="14"/>
    </row>
    <row r="145" spans="1:15" x14ac:dyDescent="0.25">
      <c r="A145" s="86">
        <v>45656</v>
      </c>
      <c r="B145" s="55" t="s">
        <v>4353</v>
      </c>
      <c r="C145" s="55" t="s">
        <v>43</v>
      </c>
      <c r="D145" s="146">
        <f t="shared" si="8"/>
        <v>581.81818181818176</v>
      </c>
      <c r="E145" s="146">
        <f t="shared" si="6"/>
        <v>58.18181818181818</v>
      </c>
      <c r="F145" s="146">
        <v>640</v>
      </c>
      <c r="G145" s="146">
        <v>50</v>
      </c>
      <c r="H145" s="58">
        <f t="shared" si="7"/>
        <v>590</v>
      </c>
      <c r="I145" s="14" t="s">
        <v>2752</v>
      </c>
      <c r="J145" s="75">
        <v>640</v>
      </c>
      <c r="K145" s="75"/>
      <c r="L145" s="14"/>
      <c r="M145" s="75"/>
      <c r="N145" s="14"/>
      <c r="O145" s="14"/>
    </row>
    <row r="146" spans="1:15" x14ac:dyDescent="0.25">
      <c r="A146" s="86">
        <v>45657</v>
      </c>
      <c r="B146" s="55" t="s">
        <v>4354</v>
      </c>
      <c r="C146" s="55" t="s">
        <v>43</v>
      </c>
      <c r="D146" s="146">
        <f t="shared" si="8"/>
        <v>0</v>
      </c>
      <c r="E146" s="146">
        <f t="shared" si="6"/>
        <v>0</v>
      </c>
      <c r="F146" s="146"/>
      <c r="G146" s="146"/>
      <c r="H146" s="58">
        <f t="shared" si="7"/>
        <v>0</v>
      </c>
      <c r="I146" s="14"/>
      <c r="J146" s="75"/>
      <c r="K146" s="75"/>
      <c r="L146" s="14"/>
      <c r="M146" s="75"/>
      <c r="N146" s="14"/>
      <c r="O146" s="14"/>
    </row>
    <row r="147" spans="1:15" x14ac:dyDescent="0.25">
      <c r="A147" s="86">
        <v>45657</v>
      </c>
      <c r="B147" s="55" t="s">
        <v>4355</v>
      </c>
      <c r="C147" s="55" t="s">
        <v>43</v>
      </c>
      <c r="D147" s="146">
        <f t="shared" si="8"/>
        <v>0</v>
      </c>
      <c r="E147" s="146">
        <f t="shared" si="6"/>
        <v>0</v>
      </c>
      <c r="F147" s="146"/>
      <c r="G147" s="146"/>
      <c r="H147" s="58">
        <f t="shared" si="7"/>
        <v>0</v>
      </c>
      <c r="I147" s="14"/>
      <c r="J147" s="75"/>
      <c r="K147" s="75"/>
      <c r="L147" s="14"/>
      <c r="M147" s="75"/>
      <c r="N147" s="14"/>
      <c r="O147" s="14"/>
    </row>
    <row r="148" spans="1:15" x14ac:dyDescent="0.25">
      <c r="A148" s="86">
        <v>45657</v>
      </c>
      <c r="B148" s="55" t="s">
        <v>4356</v>
      </c>
      <c r="C148" s="55" t="s">
        <v>43</v>
      </c>
      <c r="D148" s="146">
        <f t="shared" si="8"/>
        <v>0</v>
      </c>
      <c r="E148" s="146">
        <f t="shared" si="6"/>
        <v>0</v>
      </c>
      <c r="F148" s="146"/>
      <c r="G148" s="146"/>
      <c r="H148" s="58">
        <f t="shared" si="7"/>
        <v>0</v>
      </c>
      <c r="I148" s="14"/>
      <c r="J148" s="75"/>
      <c r="K148" s="75"/>
      <c r="L148" s="14"/>
      <c r="M148" s="75"/>
      <c r="N148" s="14"/>
      <c r="O148" s="14"/>
    </row>
    <row r="149" spans="1:15" x14ac:dyDescent="0.25">
      <c r="A149" s="86"/>
      <c r="B149" s="55" t="s">
        <v>4357</v>
      </c>
      <c r="C149" s="55" t="s">
        <v>43</v>
      </c>
      <c r="D149" s="146">
        <f t="shared" si="8"/>
        <v>0</v>
      </c>
      <c r="E149" s="146">
        <f t="shared" si="6"/>
        <v>0</v>
      </c>
      <c r="F149" s="146"/>
      <c r="G149" s="146"/>
      <c r="H149" s="267">
        <f t="shared" si="7"/>
        <v>0</v>
      </c>
      <c r="I149" s="14"/>
      <c r="J149" s="146"/>
      <c r="K149" s="14"/>
      <c r="L149" s="14"/>
      <c r="M149" s="14"/>
      <c r="N149" s="14"/>
      <c r="O149" s="14"/>
    </row>
    <row r="150" spans="1:15" x14ac:dyDescent="0.25">
      <c r="A150" s="86"/>
      <c r="B150" s="55" t="s">
        <v>4358</v>
      </c>
      <c r="C150" s="55" t="s">
        <v>43</v>
      </c>
      <c r="D150" s="146">
        <f t="shared" si="8"/>
        <v>0</v>
      </c>
      <c r="E150" s="146">
        <f t="shared" si="6"/>
        <v>0</v>
      </c>
      <c r="F150" s="146"/>
      <c r="G150" s="14"/>
      <c r="H150" s="267">
        <f t="shared" si="7"/>
        <v>0</v>
      </c>
      <c r="I150" s="14"/>
      <c r="J150" s="146"/>
      <c r="K150" s="14"/>
      <c r="L150" s="14"/>
      <c r="M150" s="14"/>
      <c r="N150" s="14"/>
      <c r="O150" s="14"/>
    </row>
    <row r="151" spans="1:15" x14ac:dyDescent="0.25">
      <c r="A151" s="86"/>
      <c r="B151" s="55" t="s">
        <v>4359</v>
      </c>
      <c r="C151" s="55" t="s">
        <v>43</v>
      </c>
      <c r="D151" s="146">
        <f t="shared" si="8"/>
        <v>0</v>
      </c>
      <c r="E151" s="146">
        <f t="shared" si="6"/>
        <v>0</v>
      </c>
      <c r="F151" s="146"/>
      <c r="G151" s="146"/>
      <c r="H151" s="267">
        <f t="shared" si="7"/>
        <v>0</v>
      </c>
      <c r="I151" s="14"/>
      <c r="J151" s="146"/>
      <c r="K151" s="14"/>
      <c r="L151" s="14"/>
      <c r="M151" s="14"/>
      <c r="N151" s="14"/>
      <c r="O151" s="14"/>
    </row>
    <row r="152" spans="1:15" x14ac:dyDescent="0.25">
      <c r="A152" s="86"/>
      <c r="B152" s="55" t="s">
        <v>4360</v>
      </c>
      <c r="C152" s="55" t="s">
        <v>43</v>
      </c>
      <c r="D152" s="146">
        <f t="shared" si="8"/>
        <v>0</v>
      </c>
      <c r="E152" s="146">
        <f t="shared" si="6"/>
        <v>0</v>
      </c>
      <c r="F152" s="146"/>
      <c r="G152" s="146"/>
      <c r="H152" s="267">
        <f t="shared" si="7"/>
        <v>0</v>
      </c>
      <c r="I152" s="14"/>
      <c r="J152" s="146"/>
      <c r="K152" s="146"/>
      <c r="L152" s="14"/>
      <c r="M152" s="14"/>
      <c r="N152" s="14"/>
      <c r="O152" s="14"/>
    </row>
    <row r="153" spans="1:15" x14ac:dyDescent="0.25">
      <c r="A153" s="86"/>
      <c r="B153" s="55" t="s">
        <v>4361</v>
      </c>
      <c r="C153" s="55" t="s">
        <v>43</v>
      </c>
      <c r="D153" s="146">
        <f t="shared" si="8"/>
        <v>0</v>
      </c>
      <c r="E153" s="146">
        <f t="shared" si="6"/>
        <v>0</v>
      </c>
      <c r="F153" s="146"/>
      <c r="G153" s="146"/>
      <c r="H153" s="267">
        <f t="shared" si="7"/>
        <v>0</v>
      </c>
      <c r="I153" s="14"/>
      <c r="J153" s="146"/>
      <c r="K153" s="14"/>
      <c r="L153" s="14"/>
      <c r="M153" s="14"/>
      <c r="N153" s="14"/>
      <c r="O153" s="14"/>
    </row>
    <row r="154" spans="1:15" x14ac:dyDescent="0.25">
      <c r="A154" s="86"/>
      <c r="B154" s="55" t="s">
        <v>4362</v>
      </c>
      <c r="C154" s="55" t="s">
        <v>43</v>
      </c>
      <c r="D154" s="146">
        <f t="shared" si="8"/>
        <v>0</v>
      </c>
      <c r="E154" s="146">
        <f t="shared" si="6"/>
        <v>0</v>
      </c>
      <c r="F154" s="146"/>
      <c r="G154" s="146"/>
      <c r="H154" s="267">
        <f t="shared" si="7"/>
        <v>0</v>
      </c>
      <c r="I154" s="14"/>
      <c r="J154" s="146"/>
      <c r="K154" s="146"/>
      <c r="L154" s="14"/>
      <c r="M154" s="14"/>
      <c r="N154" s="14"/>
      <c r="O154" s="14"/>
    </row>
    <row r="155" spans="1:15" x14ac:dyDescent="0.25">
      <c r="A155" s="86"/>
      <c r="B155" s="55" t="s">
        <v>4363</v>
      </c>
      <c r="C155" s="55" t="s">
        <v>43</v>
      </c>
      <c r="D155" s="146">
        <f t="shared" si="8"/>
        <v>0</v>
      </c>
      <c r="E155" s="146">
        <f t="shared" si="6"/>
        <v>0</v>
      </c>
      <c r="F155" s="146"/>
      <c r="G155" s="146"/>
      <c r="H155" s="267">
        <f t="shared" si="7"/>
        <v>0</v>
      </c>
      <c r="I155" s="14"/>
      <c r="J155" s="146"/>
      <c r="K155" s="14"/>
      <c r="L155" s="14"/>
      <c r="M155" s="14"/>
      <c r="N155" s="14"/>
      <c r="O155" s="14"/>
    </row>
    <row r="156" spans="1:15" x14ac:dyDescent="0.25">
      <c r="A156" s="86"/>
      <c r="B156" s="55" t="s">
        <v>4364</v>
      </c>
      <c r="C156" s="55" t="s">
        <v>43</v>
      </c>
      <c r="D156" s="146">
        <f t="shared" si="8"/>
        <v>0</v>
      </c>
      <c r="E156" s="146">
        <f t="shared" si="6"/>
        <v>0</v>
      </c>
      <c r="F156" s="146"/>
      <c r="G156" s="146"/>
      <c r="H156" s="267">
        <f t="shared" si="7"/>
        <v>0</v>
      </c>
      <c r="I156" s="14"/>
      <c r="J156" s="146"/>
      <c r="K156" s="14"/>
      <c r="L156" s="14"/>
      <c r="M156" s="14"/>
      <c r="N156" s="14"/>
      <c r="O156" s="14"/>
    </row>
    <row r="157" spans="1:15" x14ac:dyDescent="0.25">
      <c r="A157" s="86"/>
      <c r="B157" s="55" t="s">
        <v>4365</v>
      </c>
      <c r="C157" s="55" t="s">
        <v>43</v>
      </c>
      <c r="D157" s="146">
        <f t="shared" si="8"/>
        <v>0</v>
      </c>
      <c r="E157" s="146">
        <f t="shared" si="6"/>
        <v>0</v>
      </c>
      <c r="F157" s="146"/>
      <c r="G157" s="146"/>
      <c r="H157" s="267">
        <f t="shared" si="7"/>
        <v>0</v>
      </c>
      <c r="I157" s="14"/>
      <c r="J157" s="146"/>
      <c r="K157" s="14"/>
      <c r="L157" s="14"/>
      <c r="M157" s="14"/>
      <c r="N157" s="14"/>
      <c r="O157" s="14"/>
    </row>
    <row r="158" spans="1:15" x14ac:dyDescent="0.25">
      <c r="A158" s="86"/>
      <c r="B158" s="55" t="s">
        <v>4366</v>
      </c>
      <c r="C158" s="55" t="s">
        <v>43</v>
      </c>
      <c r="D158" s="146">
        <f t="shared" si="8"/>
        <v>0</v>
      </c>
      <c r="E158" s="146">
        <f t="shared" si="6"/>
        <v>0</v>
      </c>
      <c r="F158" s="146"/>
      <c r="G158" s="146"/>
      <c r="H158" s="267">
        <f t="shared" si="7"/>
        <v>0</v>
      </c>
      <c r="I158" s="14"/>
      <c r="J158" s="146"/>
      <c r="K158" s="146"/>
      <c r="L158" s="14"/>
      <c r="M158" s="14"/>
      <c r="N158" s="14"/>
      <c r="O158" s="14"/>
    </row>
    <row r="159" spans="1:15" x14ac:dyDescent="0.25">
      <c r="A159" s="86"/>
      <c r="B159" s="55" t="s">
        <v>4367</v>
      </c>
      <c r="C159" s="55" t="s">
        <v>43</v>
      </c>
      <c r="D159" s="146">
        <f t="shared" si="8"/>
        <v>0</v>
      </c>
      <c r="E159" s="146">
        <f t="shared" si="6"/>
        <v>0</v>
      </c>
      <c r="F159" s="146"/>
      <c r="G159" s="146"/>
      <c r="H159" s="267">
        <f t="shared" si="7"/>
        <v>0</v>
      </c>
      <c r="I159" s="14"/>
      <c r="J159" s="146"/>
      <c r="K159" s="146"/>
      <c r="L159" s="14"/>
      <c r="M159" s="14"/>
      <c r="N159" s="14"/>
      <c r="O159" s="14"/>
    </row>
    <row r="160" spans="1:15" x14ac:dyDescent="0.25">
      <c r="A160" s="86"/>
      <c r="B160" s="55" t="s">
        <v>4368</v>
      </c>
      <c r="C160" s="55" t="s">
        <v>43</v>
      </c>
      <c r="D160" s="146">
        <f t="shared" si="8"/>
        <v>0</v>
      </c>
      <c r="E160" s="146">
        <f t="shared" si="6"/>
        <v>0</v>
      </c>
      <c r="F160" s="146"/>
      <c r="G160" s="146"/>
      <c r="H160" s="267">
        <f t="shared" si="7"/>
        <v>0</v>
      </c>
      <c r="I160" s="14"/>
      <c r="J160" s="146"/>
      <c r="K160" s="146"/>
      <c r="L160" s="14"/>
      <c r="M160" s="14"/>
      <c r="N160" s="14"/>
      <c r="O160" s="14"/>
    </row>
    <row r="161" spans="7:7" x14ac:dyDescent="0.25">
      <c r="G161" s="175">
        <f>SUM(G3:G160)</f>
        <v>7910</v>
      </c>
    </row>
  </sheetData>
  <mergeCells count="14">
    <mergeCell ref="N1:N2"/>
    <mergeCell ref="O1:O2"/>
    <mergeCell ref="G1:H1"/>
    <mergeCell ref="I1:I2"/>
    <mergeCell ref="J1:J2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ENERO 2024</vt:lpstr>
      <vt:lpstr>FACTURAS SIMPLIFICADAS ENERO 24</vt:lpstr>
      <vt:lpstr>FEBRERO 2024</vt:lpstr>
      <vt:lpstr>FACTURAS SIMPLIFICAS FEBRERO 24</vt:lpstr>
      <vt:lpstr>MARZO 2024</vt:lpstr>
      <vt:lpstr>FACTURAS SIMPLIFICADAS MARZO 24</vt:lpstr>
      <vt:lpstr>ABRIL 2024</vt:lpstr>
      <vt:lpstr>FACTURAS SIMPLIFICADAS ABRIL 24</vt:lpstr>
      <vt:lpstr>MAYO 2024</vt:lpstr>
      <vt:lpstr>FACTURAS SIMPLIFICADAS MAYO 24</vt:lpstr>
      <vt:lpstr>JUNIO 2024</vt:lpstr>
      <vt:lpstr>FACTURASSIMPLIFICADASJUNIO 2024</vt:lpstr>
      <vt:lpstr>JULIO 2024</vt:lpstr>
      <vt:lpstr>FACTURAS SIMPLIFICADASJULIO2024</vt:lpstr>
      <vt:lpstr>AGOSTO 2024</vt:lpstr>
      <vt:lpstr>FACTURASSIMPLIFICADASAGOSTO2024</vt:lpstr>
      <vt:lpstr>SEPTIEMBRE 2024</vt:lpstr>
      <vt:lpstr>FACTURAS SIMPLIFICADASSEPT2024</vt:lpstr>
      <vt:lpstr>OCTUBRE 2024</vt:lpstr>
      <vt:lpstr>FACTURAS SIMPLIFICADAS OCT.2024</vt:lpstr>
      <vt:lpstr>NOVIEMBRE 2024</vt:lpstr>
      <vt:lpstr>FACTURAS SIMPLIFICADAS NOV.2024</vt:lpstr>
      <vt:lpstr>DICIEMBRE</vt:lpstr>
      <vt:lpstr>FACTURAS SIMPLIFICADAS DIC.2024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xiena000</dc:creator>
  <cp:lastModifiedBy>Alejandra Nieves</cp:lastModifiedBy>
  <dcterms:created xsi:type="dcterms:W3CDTF">2024-01-09T11:35:02Z</dcterms:created>
  <dcterms:modified xsi:type="dcterms:W3CDTF">2025-01-27T12:56:10Z</dcterms:modified>
</cp:coreProperties>
</file>