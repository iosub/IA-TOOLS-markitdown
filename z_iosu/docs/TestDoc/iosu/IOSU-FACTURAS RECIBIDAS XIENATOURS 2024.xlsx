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A\apps\IA-PDF-Excel\app\TestDoc\iosu\"/>
    </mc:Choice>
  </mc:AlternateContent>
  <xr:revisionPtr revIDLastSave="0" documentId="13_ncr:1_{4B72FC41-64C4-47EE-809A-B4E1CDA404EC}" xr6:coauthVersionLast="47" xr6:coauthVersionMax="47" xr10:uidLastSave="{00000000-0000-0000-0000-000000000000}"/>
  <bookViews>
    <workbookView xWindow="-108" yWindow="-108" windowWidth="23256" windowHeight="14856" firstSheet="10" activeTab="6" xr2:uid="{C43062EA-7FE7-4881-A187-D5D62E6D834A}"/>
  </bookViews>
  <sheets>
    <sheet name="FACTURAS SIMPLIFICADAS ENERO 24" sheetId="2" r:id="rId1"/>
    <sheet name="FACTURAS SIMPLIFICAS FEBRERO 24" sheetId="5" r:id="rId2"/>
    <sheet name="FACTURAS SIMPLIFICADAS MARZO 24" sheetId="8" r:id="rId3"/>
    <sheet name="FACTURAS SIMPLIFICADAS ABRIL 24" sheetId="11" r:id="rId4"/>
    <sheet name="FACTURAS SIMPLIFICADAS MAYO 24" sheetId="14" r:id="rId5"/>
    <sheet name="FACTURASSIMPLIFICADASJUNIO 2024" sheetId="17" r:id="rId6"/>
    <sheet name="FACTURAS SIMPLIFICADASJULIO2024" sheetId="20" r:id="rId7"/>
    <sheet name="FACTURASSIMPLIFICADASAGOSTO2024" sheetId="23" r:id="rId8"/>
    <sheet name="FACTURAS SIMPLIFICADASSEPT2024" sheetId="25" r:id="rId9"/>
    <sheet name="FACTURAS SIMPLIFICADAS OCT.2024" sheetId="27" r:id="rId10"/>
    <sheet name="FACTURAS SIMPLIFICADAS NOV.2024" sheetId="29" r:id="rId11"/>
    <sheet name="FACTURAS SIMPLIFICADAS DIC.2024" sheetId="3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9" i="27" l="1"/>
  <c r="G161" i="29"/>
  <c r="G161" i="31"/>
  <c r="H97" i="31" l="1"/>
  <c r="H160" i="31"/>
  <c r="D160" i="31"/>
  <c r="E160" i="31" s="1"/>
  <c r="H159" i="31"/>
  <c r="D159" i="31"/>
  <c r="E159" i="31" s="1"/>
  <c r="H158" i="31"/>
  <c r="D158" i="31"/>
  <c r="E158" i="31" s="1"/>
  <c r="H157" i="31"/>
  <c r="D157" i="31"/>
  <c r="E157" i="31" s="1"/>
  <c r="H156" i="31"/>
  <c r="D156" i="31"/>
  <c r="E156" i="31" s="1"/>
  <c r="H155" i="31"/>
  <c r="D155" i="31"/>
  <c r="E155" i="31" s="1"/>
  <c r="H154" i="31"/>
  <c r="E154" i="31"/>
  <c r="D154" i="31"/>
  <c r="H153" i="31"/>
  <c r="D153" i="31"/>
  <c r="E153" i="31" s="1"/>
  <c r="H152" i="31"/>
  <c r="D152" i="31"/>
  <c r="E152" i="31" s="1"/>
  <c r="H151" i="31"/>
  <c r="D151" i="31"/>
  <c r="E151" i="31" s="1"/>
  <c r="H150" i="31"/>
  <c r="D150" i="31"/>
  <c r="E150" i="31" s="1"/>
  <c r="H149" i="31"/>
  <c r="D149" i="31"/>
  <c r="E149" i="31" s="1"/>
  <c r="H148" i="31"/>
  <c r="D148" i="31"/>
  <c r="E148" i="31" s="1"/>
  <c r="H147" i="31"/>
  <c r="D147" i="31"/>
  <c r="E147" i="31" s="1"/>
  <c r="H146" i="31"/>
  <c r="D146" i="31"/>
  <c r="E146" i="31" s="1"/>
  <c r="H145" i="31"/>
  <c r="D145" i="31"/>
  <c r="E145" i="31" s="1"/>
  <c r="H144" i="31"/>
  <c r="D144" i="31"/>
  <c r="E144" i="31" s="1"/>
  <c r="H143" i="31"/>
  <c r="D143" i="31"/>
  <c r="E143" i="31" s="1"/>
  <c r="H142" i="31"/>
  <c r="D142" i="31"/>
  <c r="E142" i="31" s="1"/>
  <c r="H141" i="31"/>
  <c r="D141" i="31"/>
  <c r="E141" i="31" s="1"/>
  <c r="H140" i="31"/>
  <c r="D140" i="31"/>
  <c r="E140" i="31" s="1"/>
  <c r="H139" i="31"/>
  <c r="D139" i="31"/>
  <c r="E139" i="31" s="1"/>
  <c r="H138" i="31"/>
  <c r="D138" i="31"/>
  <c r="E138" i="31" s="1"/>
  <c r="H137" i="31"/>
  <c r="D137" i="31"/>
  <c r="E137" i="31" s="1"/>
  <c r="H136" i="31"/>
  <c r="D136" i="31"/>
  <c r="E136" i="31" s="1"/>
  <c r="H135" i="31"/>
  <c r="D135" i="31"/>
  <c r="E135" i="31" s="1"/>
  <c r="H134" i="31"/>
  <c r="D134" i="31"/>
  <c r="E134" i="31" s="1"/>
  <c r="H133" i="31"/>
  <c r="D133" i="31"/>
  <c r="E133" i="31" s="1"/>
  <c r="H132" i="31"/>
  <c r="D132" i="31"/>
  <c r="E132" i="31" s="1"/>
  <c r="H131" i="31"/>
  <c r="D131" i="31"/>
  <c r="E131" i="31" s="1"/>
  <c r="H130" i="31"/>
  <c r="D130" i="31"/>
  <c r="E130" i="31" s="1"/>
  <c r="H129" i="31"/>
  <c r="D129" i="31"/>
  <c r="E129" i="31" s="1"/>
  <c r="H128" i="31"/>
  <c r="D128" i="31"/>
  <c r="E128" i="31" s="1"/>
  <c r="H127" i="31"/>
  <c r="D127" i="31"/>
  <c r="E127" i="31" s="1"/>
  <c r="H126" i="31"/>
  <c r="D126" i="31"/>
  <c r="E126" i="31" s="1"/>
  <c r="H125" i="31"/>
  <c r="D125" i="31"/>
  <c r="E125" i="31" s="1"/>
  <c r="H124" i="31"/>
  <c r="D124" i="31"/>
  <c r="E124" i="31" s="1"/>
  <c r="H123" i="31"/>
  <c r="D123" i="31"/>
  <c r="E123" i="31" s="1"/>
  <c r="H122" i="31"/>
  <c r="D122" i="31"/>
  <c r="E122" i="31" s="1"/>
  <c r="H121" i="31"/>
  <c r="D121" i="31"/>
  <c r="E121" i="31" s="1"/>
  <c r="H120" i="31"/>
  <c r="D120" i="31"/>
  <c r="E120" i="31" s="1"/>
  <c r="H119" i="31"/>
  <c r="D119" i="31"/>
  <c r="E119" i="31" s="1"/>
  <c r="H118" i="31"/>
  <c r="D118" i="31"/>
  <c r="E118" i="31" s="1"/>
  <c r="H117" i="31"/>
  <c r="D117" i="31"/>
  <c r="E117" i="31" s="1"/>
  <c r="H116" i="31"/>
  <c r="D116" i="31"/>
  <c r="E116" i="31" s="1"/>
  <c r="H115" i="31"/>
  <c r="D115" i="31"/>
  <c r="E115" i="31" s="1"/>
  <c r="H114" i="31"/>
  <c r="D114" i="31"/>
  <c r="E114" i="31" s="1"/>
  <c r="H113" i="31"/>
  <c r="D113" i="31"/>
  <c r="E113" i="31" s="1"/>
  <c r="H112" i="31"/>
  <c r="D112" i="31"/>
  <c r="E112" i="31" s="1"/>
  <c r="H111" i="31"/>
  <c r="D111" i="31"/>
  <c r="E111" i="31" s="1"/>
  <c r="H110" i="31"/>
  <c r="D110" i="31"/>
  <c r="E110" i="31" s="1"/>
  <c r="H109" i="31"/>
  <c r="D109" i="31"/>
  <c r="E109" i="31" s="1"/>
  <c r="H108" i="31"/>
  <c r="D108" i="31"/>
  <c r="E108" i="31" s="1"/>
  <c r="H107" i="31"/>
  <c r="D107" i="31"/>
  <c r="E107" i="31" s="1"/>
  <c r="H106" i="31"/>
  <c r="D106" i="31"/>
  <c r="E106" i="31" s="1"/>
  <c r="H105" i="31"/>
  <c r="D105" i="31"/>
  <c r="E105" i="31" s="1"/>
  <c r="H104" i="31"/>
  <c r="D104" i="31"/>
  <c r="E104" i="31" s="1"/>
  <c r="H103" i="31"/>
  <c r="D103" i="31"/>
  <c r="E103" i="31" s="1"/>
  <c r="H102" i="31"/>
  <c r="D102" i="31"/>
  <c r="E102" i="31" s="1"/>
  <c r="H101" i="31"/>
  <c r="D101" i="31"/>
  <c r="E101" i="31" s="1"/>
  <c r="H100" i="31"/>
  <c r="D100" i="31"/>
  <c r="E100" i="31" s="1"/>
  <c r="H99" i="31"/>
  <c r="D99" i="31"/>
  <c r="E99" i="31" s="1"/>
  <c r="H98" i="31"/>
  <c r="D98" i="31"/>
  <c r="E98" i="31" s="1"/>
  <c r="D97" i="31"/>
  <c r="E97" i="31" s="1"/>
  <c r="H96" i="31"/>
  <c r="D96" i="31"/>
  <c r="E96" i="31" s="1"/>
  <c r="H95" i="31"/>
  <c r="D95" i="31"/>
  <c r="E95" i="31" s="1"/>
  <c r="H94" i="31"/>
  <c r="D94" i="31"/>
  <c r="E94" i="31" s="1"/>
  <c r="H93" i="31"/>
  <c r="D93" i="31"/>
  <c r="E93" i="31" s="1"/>
  <c r="H92" i="31"/>
  <c r="D92" i="31"/>
  <c r="E92" i="31" s="1"/>
  <c r="H91" i="31"/>
  <c r="D91" i="31"/>
  <c r="E91" i="31" s="1"/>
  <c r="H90" i="31"/>
  <c r="D90" i="31"/>
  <c r="E90" i="31" s="1"/>
  <c r="H89" i="31"/>
  <c r="D89" i="31"/>
  <c r="E89" i="31" s="1"/>
  <c r="H88" i="31"/>
  <c r="D88" i="31"/>
  <c r="E88" i="31" s="1"/>
  <c r="H87" i="31"/>
  <c r="D87" i="31"/>
  <c r="E87" i="31" s="1"/>
  <c r="H86" i="31"/>
  <c r="D86" i="31"/>
  <c r="E86" i="31" s="1"/>
  <c r="H85" i="31"/>
  <c r="D85" i="31"/>
  <c r="E85" i="31" s="1"/>
  <c r="H84" i="31"/>
  <c r="D84" i="31"/>
  <c r="E84" i="31" s="1"/>
  <c r="H83" i="31"/>
  <c r="D83" i="31"/>
  <c r="E83" i="31" s="1"/>
  <c r="H82" i="31"/>
  <c r="D82" i="31"/>
  <c r="E82" i="31" s="1"/>
  <c r="H81" i="31"/>
  <c r="D81" i="31"/>
  <c r="E81" i="31" s="1"/>
  <c r="H80" i="31"/>
  <c r="D80" i="31"/>
  <c r="E80" i="31" s="1"/>
  <c r="H79" i="31"/>
  <c r="D79" i="31"/>
  <c r="E79" i="31" s="1"/>
  <c r="H78" i="31"/>
  <c r="D78" i="31"/>
  <c r="E78" i="31" s="1"/>
  <c r="H77" i="31"/>
  <c r="D77" i="31"/>
  <c r="E77" i="31" s="1"/>
  <c r="H76" i="31"/>
  <c r="D76" i="31"/>
  <c r="E76" i="31" s="1"/>
  <c r="H75" i="31"/>
  <c r="D75" i="31"/>
  <c r="E75" i="31" s="1"/>
  <c r="H74" i="31"/>
  <c r="D74" i="31"/>
  <c r="E74" i="31" s="1"/>
  <c r="H73" i="31"/>
  <c r="D73" i="31"/>
  <c r="E73" i="31" s="1"/>
  <c r="H72" i="31"/>
  <c r="D72" i="31"/>
  <c r="E72" i="31" s="1"/>
  <c r="H71" i="31"/>
  <c r="D71" i="31"/>
  <c r="E71" i="31" s="1"/>
  <c r="H70" i="31"/>
  <c r="D70" i="31"/>
  <c r="E70" i="31" s="1"/>
  <c r="H69" i="31"/>
  <c r="D69" i="31"/>
  <c r="E69" i="31" s="1"/>
  <c r="H68" i="31"/>
  <c r="D68" i="31"/>
  <c r="E68" i="31" s="1"/>
  <c r="H67" i="31"/>
  <c r="D67" i="31"/>
  <c r="E67" i="31" s="1"/>
  <c r="H66" i="31"/>
  <c r="D66" i="31"/>
  <c r="E66" i="31" s="1"/>
  <c r="H65" i="31"/>
  <c r="D65" i="31"/>
  <c r="E65" i="31" s="1"/>
  <c r="H64" i="31"/>
  <c r="D64" i="31"/>
  <c r="E64" i="31" s="1"/>
  <c r="H63" i="31"/>
  <c r="D63" i="31"/>
  <c r="E63" i="31" s="1"/>
  <c r="H62" i="31"/>
  <c r="D62" i="31"/>
  <c r="E62" i="31" s="1"/>
  <c r="H61" i="31"/>
  <c r="D61" i="31"/>
  <c r="E61" i="31" s="1"/>
  <c r="H60" i="31"/>
  <c r="D60" i="31"/>
  <c r="E60" i="31" s="1"/>
  <c r="H59" i="31"/>
  <c r="D59" i="31"/>
  <c r="E59" i="31" s="1"/>
  <c r="H58" i="31"/>
  <c r="D58" i="31"/>
  <c r="E58" i="31" s="1"/>
  <c r="H57" i="31"/>
  <c r="D57" i="31"/>
  <c r="E57" i="31" s="1"/>
  <c r="H56" i="31"/>
  <c r="D56" i="31"/>
  <c r="E56" i="31" s="1"/>
  <c r="H55" i="31"/>
  <c r="D55" i="31"/>
  <c r="E55" i="31" s="1"/>
  <c r="H54" i="31"/>
  <c r="D54" i="31"/>
  <c r="E54" i="31" s="1"/>
  <c r="H53" i="31"/>
  <c r="D53" i="31"/>
  <c r="E53" i="31" s="1"/>
  <c r="H52" i="31"/>
  <c r="D52" i="31"/>
  <c r="E52" i="31" s="1"/>
  <c r="H51" i="31"/>
  <c r="D51" i="31"/>
  <c r="E51" i="31" s="1"/>
  <c r="H50" i="31"/>
  <c r="D50" i="31"/>
  <c r="E50" i="31" s="1"/>
  <c r="H49" i="31"/>
  <c r="D49" i="31"/>
  <c r="E49" i="31" s="1"/>
  <c r="H48" i="31"/>
  <c r="D48" i="31"/>
  <c r="E48" i="31" s="1"/>
  <c r="H47" i="31"/>
  <c r="D47" i="31"/>
  <c r="E47" i="31" s="1"/>
  <c r="H46" i="31"/>
  <c r="D46" i="31"/>
  <c r="E46" i="31" s="1"/>
  <c r="H45" i="31"/>
  <c r="D45" i="31"/>
  <c r="E45" i="31" s="1"/>
  <c r="H44" i="31"/>
  <c r="D44" i="31"/>
  <c r="E44" i="31" s="1"/>
  <c r="H43" i="31"/>
  <c r="E43" i="31"/>
  <c r="D43" i="31"/>
  <c r="H42" i="31"/>
  <c r="D42" i="31"/>
  <c r="E42" i="31" s="1"/>
  <c r="H41" i="31"/>
  <c r="D41" i="31"/>
  <c r="E41" i="31" s="1"/>
  <c r="H40" i="31"/>
  <c r="D40" i="31"/>
  <c r="E40" i="31" s="1"/>
  <c r="H39" i="31"/>
  <c r="D39" i="31"/>
  <c r="E39" i="31" s="1"/>
  <c r="H38" i="31"/>
  <c r="D38" i="31"/>
  <c r="E38" i="31" s="1"/>
  <c r="H37" i="31"/>
  <c r="D37" i="31"/>
  <c r="E37" i="31" s="1"/>
  <c r="H36" i="31"/>
  <c r="D36" i="31"/>
  <c r="E36" i="31" s="1"/>
  <c r="H35" i="31"/>
  <c r="D35" i="31"/>
  <c r="E35" i="31" s="1"/>
  <c r="H34" i="31"/>
  <c r="D34" i="31"/>
  <c r="E34" i="31" s="1"/>
  <c r="H33" i="31"/>
  <c r="D33" i="31"/>
  <c r="E33" i="31" s="1"/>
  <c r="H32" i="31"/>
  <c r="D32" i="31"/>
  <c r="E32" i="31" s="1"/>
  <c r="H31" i="31"/>
  <c r="D31" i="31"/>
  <c r="E31" i="31" s="1"/>
  <c r="H30" i="31"/>
  <c r="D30" i="31"/>
  <c r="E30" i="31" s="1"/>
  <c r="H29" i="31"/>
  <c r="D29" i="31"/>
  <c r="E29" i="31" s="1"/>
  <c r="H28" i="31"/>
  <c r="D28" i="31"/>
  <c r="E28" i="31" s="1"/>
  <c r="H27" i="31"/>
  <c r="D27" i="31"/>
  <c r="E27" i="31" s="1"/>
  <c r="H26" i="31"/>
  <c r="D26" i="31"/>
  <c r="E26" i="31" s="1"/>
  <c r="H25" i="31"/>
  <c r="D25" i="31"/>
  <c r="E25" i="31" s="1"/>
  <c r="H24" i="31"/>
  <c r="D24" i="31"/>
  <c r="E24" i="31" s="1"/>
  <c r="H23" i="31"/>
  <c r="D23" i="31"/>
  <c r="E23" i="31" s="1"/>
  <c r="H22" i="31"/>
  <c r="D22" i="31"/>
  <c r="E22" i="31" s="1"/>
  <c r="H21" i="31"/>
  <c r="D21" i="31"/>
  <c r="E21" i="31" s="1"/>
  <c r="H20" i="31"/>
  <c r="D20" i="31"/>
  <c r="E20" i="31" s="1"/>
  <c r="H19" i="31"/>
  <c r="D19" i="31"/>
  <c r="E19" i="31" s="1"/>
  <c r="H18" i="31"/>
  <c r="D18" i="31"/>
  <c r="E18" i="31" s="1"/>
  <c r="H17" i="31"/>
  <c r="D17" i="31"/>
  <c r="E17" i="31" s="1"/>
  <c r="H16" i="31"/>
  <c r="D16" i="31"/>
  <c r="E16" i="31" s="1"/>
  <c r="H15" i="31"/>
  <c r="D15" i="31"/>
  <c r="E15" i="31" s="1"/>
  <c r="H14" i="31"/>
  <c r="D14" i="31"/>
  <c r="E14" i="31" s="1"/>
  <c r="H13" i="31"/>
  <c r="D13" i="31"/>
  <c r="E13" i="31" s="1"/>
  <c r="H12" i="31"/>
  <c r="D12" i="31"/>
  <c r="E12" i="31" s="1"/>
  <c r="H11" i="31"/>
  <c r="D11" i="31"/>
  <c r="E11" i="31" s="1"/>
  <c r="H10" i="31"/>
  <c r="E10" i="31"/>
  <c r="D10" i="31"/>
  <c r="H9" i="31"/>
  <c r="D9" i="31"/>
  <c r="E9" i="31" s="1"/>
  <c r="H8" i="31"/>
  <c r="D8" i="31"/>
  <c r="E8" i="31" s="1"/>
  <c r="H7" i="31"/>
  <c r="D7" i="31"/>
  <c r="E7" i="31" s="1"/>
  <c r="H6" i="31"/>
  <c r="D6" i="31"/>
  <c r="E6" i="31" s="1"/>
  <c r="H5" i="31"/>
  <c r="D5" i="31"/>
  <c r="E5" i="31" s="1"/>
  <c r="H4" i="31"/>
  <c r="D4" i="31"/>
  <c r="E4" i="31" s="1"/>
  <c r="H3" i="31"/>
  <c r="D3" i="31"/>
  <c r="E3" i="31" s="1"/>
  <c r="H160" i="29"/>
  <c r="H159" i="29"/>
  <c r="D160" i="29"/>
  <c r="E160" i="29" s="1"/>
  <c r="D159" i="29"/>
  <c r="E159" i="29" s="1"/>
  <c r="H158" i="29"/>
  <c r="H157" i="29"/>
  <c r="H156" i="29"/>
  <c r="H155" i="29"/>
  <c r="D158" i="29"/>
  <c r="E158" i="29" s="1"/>
  <c r="D157" i="29"/>
  <c r="E157" i="29" s="1"/>
  <c r="D156" i="29"/>
  <c r="E156" i="29" s="1"/>
  <c r="D155" i="29"/>
  <c r="E155" i="29"/>
  <c r="D154" i="29"/>
  <c r="E154" i="29" s="1"/>
  <c r="H154" i="29"/>
  <c r="D153" i="29"/>
  <c r="E153" i="29" s="1"/>
  <c r="H153" i="29"/>
  <c r="D152" i="29"/>
  <c r="E152" i="29" s="1"/>
  <c r="H152" i="29"/>
  <c r="D151" i="29"/>
  <c r="E151" i="29" s="1"/>
  <c r="H151" i="29"/>
  <c r="D150" i="29"/>
  <c r="E150" i="29" s="1"/>
  <c r="H150" i="29"/>
  <c r="D149" i="29"/>
  <c r="E149" i="29" s="1"/>
  <c r="H149" i="29"/>
  <c r="H148" i="29" l="1"/>
  <c r="D148" i="29"/>
  <c r="E148" i="29" s="1"/>
  <c r="H147" i="29"/>
  <c r="D147" i="29"/>
  <c r="E147" i="29" s="1"/>
  <c r="H146" i="29"/>
  <c r="D146" i="29"/>
  <c r="E146" i="29" s="1"/>
  <c r="H145" i="29"/>
  <c r="D145" i="29"/>
  <c r="E145" i="29" s="1"/>
  <c r="H144" i="29"/>
  <c r="D144" i="29"/>
  <c r="E144" i="29" s="1"/>
  <c r="H143" i="29"/>
  <c r="D143" i="29"/>
  <c r="E143" i="29" s="1"/>
  <c r="H142" i="29"/>
  <c r="D142" i="29"/>
  <c r="E142" i="29" s="1"/>
  <c r="H141" i="29"/>
  <c r="D141" i="29"/>
  <c r="E141" i="29" s="1"/>
  <c r="H140" i="29"/>
  <c r="D140" i="29"/>
  <c r="E140" i="29" s="1"/>
  <c r="H139" i="29"/>
  <c r="E139" i="29"/>
  <c r="D139" i="29"/>
  <c r="H138" i="29"/>
  <c r="D138" i="29"/>
  <c r="E138" i="29" s="1"/>
  <c r="H137" i="29"/>
  <c r="D137" i="29"/>
  <c r="E137" i="29" s="1"/>
  <c r="H136" i="29"/>
  <c r="D136" i="29"/>
  <c r="E136" i="29" s="1"/>
  <c r="H135" i="29"/>
  <c r="D135" i="29"/>
  <c r="E135" i="29" s="1"/>
  <c r="H134" i="29"/>
  <c r="D134" i="29"/>
  <c r="E134" i="29" s="1"/>
  <c r="H133" i="29"/>
  <c r="D133" i="29"/>
  <c r="E133" i="29" s="1"/>
  <c r="H132" i="29"/>
  <c r="D132" i="29"/>
  <c r="E132" i="29" s="1"/>
  <c r="H131" i="29"/>
  <c r="D131" i="29"/>
  <c r="E131" i="29" s="1"/>
  <c r="H130" i="29"/>
  <c r="D130" i="29"/>
  <c r="E130" i="29" s="1"/>
  <c r="H129" i="29"/>
  <c r="D129" i="29"/>
  <c r="E129" i="29" s="1"/>
  <c r="H128" i="29"/>
  <c r="D128" i="29"/>
  <c r="E128" i="29" s="1"/>
  <c r="H127" i="29"/>
  <c r="D127" i="29"/>
  <c r="E127" i="29" s="1"/>
  <c r="H126" i="29"/>
  <c r="D126" i="29"/>
  <c r="E126" i="29" s="1"/>
  <c r="H125" i="29"/>
  <c r="D125" i="29"/>
  <c r="E125" i="29" s="1"/>
  <c r="H124" i="29"/>
  <c r="D124" i="29"/>
  <c r="E124" i="29" s="1"/>
  <c r="H123" i="29"/>
  <c r="E123" i="29"/>
  <c r="D123" i="29"/>
  <c r="H122" i="29"/>
  <c r="D122" i="29"/>
  <c r="E122" i="29" s="1"/>
  <c r="H121" i="29"/>
  <c r="D121" i="29"/>
  <c r="E121" i="29" s="1"/>
  <c r="H120" i="29"/>
  <c r="E120" i="29"/>
  <c r="D120" i="29"/>
  <c r="H119" i="29"/>
  <c r="D119" i="29"/>
  <c r="E119" i="29" s="1"/>
  <c r="H118" i="29"/>
  <c r="D118" i="29"/>
  <c r="E118" i="29" s="1"/>
  <c r="H117" i="29"/>
  <c r="D117" i="29"/>
  <c r="E117" i="29" s="1"/>
  <c r="H116" i="29"/>
  <c r="D116" i="29"/>
  <c r="E116" i="29" s="1"/>
  <c r="H115" i="29"/>
  <c r="D115" i="29"/>
  <c r="E115" i="29" s="1"/>
  <c r="H114" i="29"/>
  <c r="D114" i="29"/>
  <c r="E114" i="29" s="1"/>
  <c r="H113" i="29"/>
  <c r="D113" i="29"/>
  <c r="E113" i="29" s="1"/>
  <c r="H112" i="29"/>
  <c r="D112" i="29"/>
  <c r="E112" i="29" s="1"/>
  <c r="H111" i="29"/>
  <c r="D111" i="29"/>
  <c r="E111" i="29" s="1"/>
  <c r="H110" i="29"/>
  <c r="D110" i="29"/>
  <c r="E110" i="29" s="1"/>
  <c r="H109" i="29"/>
  <c r="D109" i="29"/>
  <c r="E109" i="29" s="1"/>
  <c r="H108" i="29"/>
  <c r="E108" i="29"/>
  <c r="D108" i="29"/>
  <c r="H107" i="29"/>
  <c r="D107" i="29"/>
  <c r="E107" i="29" s="1"/>
  <c r="H106" i="29"/>
  <c r="D106" i="29"/>
  <c r="E106" i="29" s="1"/>
  <c r="H105" i="29"/>
  <c r="D105" i="29"/>
  <c r="E105" i="29" s="1"/>
  <c r="H104" i="29"/>
  <c r="D104" i="29"/>
  <c r="E104" i="29" s="1"/>
  <c r="H103" i="29"/>
  <c r="D103" i="29"/>
  <c r="E103" i="29" s="1"/>
  <c r="H102" i="29"/>
  <c r="D102" i="29"/>
  <c r="E102" i="29" s="1"/>
  <c r="H101" i="29"/>
  <c r="D101" i="29"/>
  <c r="E101" i="29" s="1"/>
  <c r="H100" i="29"/>
  <c r="D100" i="29"/>
  <c r="E100" i="29" s="1"/>
  <c r="H99" i="29"/>
  <c r="D99" i="29"/>
  <c r="E99" i="29" s="1"/>
  <c r="H98" i="29"/>
  <c r="D98" i="29"/>
  <c r="E98" i="29" s="1"/>
  <c r="H97" i="29"/>
  <c r="D97" i="29"/>
  <c r="E97" i="29" s="1"/>
  <c r="H96" i="29"/>
  <c r="D96" i="29"/>
  <c r="E96" i="29" s="1"/>
  <c r="H95" i="29"/>
  <c r="D95" i="29"/>
  <c r="E95" i="29" s="1"/>
  <c r="H94" i="29"/>
  <c r="D94" i="29"/>
  <c r="E94" i="29" s="1"/>
  <c r="H93" i="29"/>
  <c r="D93" i="29"/>
  <c r="E93" i="29" s="1"/>
  <c r="H92" i="29"/>
  <c r="D92" i="29"/>
  <c r="E92" i="29" s="1"/>
  <c r="H91" i="29"/>
  <c r="D91" i="29"/>
  <c r="E91" i="29" s="1"/>
  <c r="H90" i="29"/>
  <c r="D90" i="29"/>
  <c r="E90" i="29" s="1"/>
  <c r="H89" i="29"/>
  <c r="D89" i="29"/>
  <c r="E89" i="29" s="1"/>
  <c r="H88" i="29"/>
  <c r="D88" i="29"/>
  <c r="E88" i="29" s="1"/>
  <c r="H87" i="29"/>
  <c r="D87" i="29"/>
  <c r="E87" i="29" s="1"/>
  <c r="H86" i="29"/>
  <c r="D86" i="29"/>
  <c r="E86" i="29" s="1"/>
  <c r="H85" i="29"/>
  <c r="D85" i="29"/>
  <c r="E85" i="29" s="1"/>
  <c r="H84" i="29"/>
  <c r="D84" i="29"/>
  <c r="E84" i="29" s="1"/>
  <c r="H83" i="29"/>
  <c r="D83" i="29"/>
  <c r="E83" i="29" s="1"/>
  <c r="H82" i="29"/>
  <c r="D82" i="29"/>
  <c r="E82" i="29" s="1"/>
  <c r="H81" i="29"/>
  <c r="D81" i="29"/>
  <c r="E81" i="29" s="1"/>
  <c r="H80" i="29"/>
  <c r="D80" i="29"/>
  <c r="E80" i="29" s="1"/>
  <c r="H79" i="29"/>
  <c r="E79" i="29"/>
  <c r="D79" i="29"/>
  <c r="H78" i="29"/>
  <c r="D78" i="29"/>
  <c r="E78" i="29" s="1"/>
  <c r="H77" i="29"/>
  <c r="D77" i="29"/>
  <c r="E77" i="29" s="1"/>
  <c r="H76" i="29"/>
  <c r="D76" i="29"/>
  <c r="E76" i="29" s="1"/>
  <c r="H75" i="29"/>
  <c r="D75" i="29"/>
  <c r="E75" i="29" s="1"/>
  <c r="H74" i="29"/>
  <c r="D74" i="29"/>
  <c r="E74" i="29" s="1"/>
  <c r="H73" i="29"/>
  <c r="D73" i="29"/>
  <c r="E73" i="29" s="1"/>
  <c r="H72" i="29"/>
  <c r="D72" i="29"/>
  <c r="E72" i="29" s="1"/>
  <c r="H71" i="29"/>
  <c r="D71" i="29"/>
  <c r="E71" i="29" s="1"/>
  <c r="H70" i="29"/>
  <c r="D70" i="29"/>
  <c r="E70" i="29" s="1"/>
  <c r="H69" i="29"/>
  <c r="D69" i="29"/>
  <c r="E69" i="29" s="1"/>
  <c r="H68" i="29"/>
  <c r="D68" i="29"/>
  <c r="E68" i="29" s="1"/>
  <c r="H67" i="29"/>
  <c r="D67" i="29"/>
  <c r="E67" i="29" s="1"/>
  <c r="H66" i="29"/>
  <c r="D66" i="29"/>
  <c r="E66" i="29" s="1"/>
  <c r="H65" i="29"/>
  <c r="D65" i="29"/>
  <c r="E65" i="29" s="1"/>
  <c r="H64" i="29"/>
  <c r="D64" i="29"/>
  <c r="E64" i="29" s="1"/>
  <c r="H63" i="29"/>
  <c r="D63" i="29"/>
  <c r="E63" i="29" s="1"/>
  <c r="H62" i="29"/>
  <c r="D62" i="29"/>
  <c r="E62" i="29" s="1"/>
  <c r="H61" i="29"/>
  <c r="D61" i="29"/>
  <c r="E61" i="29" s="1"/>
  <c r="H60" i="29"/>
  <c r="D60" i="29"/>
  <c r="E60" i="29" s="1"/>
  <c r="H59" i="29"/>
  <c r="D59" i="29"/>
  <c r="E59" i="29" s="1"/>
  <c r="H58" i="29"/>
  <c r="D58" i="29"/>
  <c r="E58" i="29" s="1"/>
  <c r="H57" i="29"/>
  <c r="D57" i="29"/>
  <c r="E57" i="29" s="1"/>
  <c r="H56" i="29"/>
  <c r="D56" i="29"/>
  <c r="E56" i="29" s="1"/>
  <c r="H55" i="29"/>
  <c r="D55" i="29"/>
  <c r="E55" i="29" s="1"/>
  <c r="H54" i="29"/>
  <c r="D54" i="29"/>
  <c r="E54" i="29" s="1"/>
  <c r="H53" i="29"/>
  <c r="D53" i="29"/>
  <c r="E53" i="29" s="1"/>
  <c r="H52" i="29"/>
  <c r="D52" i="29"/>
  <c r="E52" i="29" s="1"/>
  <c r="H51" i="29"/>
  <c r="D51" i="29"/>
  <c r="E51" i="29" s="1"/>
  <c r="H50" i="29"/>
  <c r="D50" i="29"/>
  <c r="E50" i="29" s="1"/>
  <c r="H49" i="29"/>
  <c r="D49" i="29"/>
  <c r="E49" i="29" s="1"/>
  <c r="H48" i="29"/>
  <c r="D48" i="29"/>
  <c r="E48" i="29" s="1"/>
  <c r="H47" i="29"/>
  <c r="D47" i="29"/>
  <c r="E47" i="29" s="1"/>
  <c r="H46" i="29"/>
  <c r="E46" i="29"/>
  <c r="D46" i="29"/>
  <c r="H45" i="29"/>
  <c r="D45" i="29"/>
  <c r="E45" i="29" s="1"/>
  <c r="H44" i="29"/>
  <c r="D44" i="29"/>
  <c r="E44" i="29" s="1"/>
  <c r="H43" i="29"/>
  <c r="D43" i="29"/>
  <c r="E43" i="29" s="1"/>
  <c r="H42" i="29"/>
  <c r="D42" i="29"/>
  <c r="E42" i="29" s="1"/>
  <c r="H41" i="29"/>
  <c r="D41" i="29"/>
  <c r="E41" i="29" s="1"/>
  <c r="H40" i="29"/>
  <c r="D40" i="29"/>
  <c r="E40" i="29" s="1"/>
  <c r="H39" i="29"/>
  <c r="D39" i="29"/>
  <c r="E39" i="29" s="1"/>
  <c r="H38" i="29"/>
  <c r="D38" i="29"/>
  <c r="E38" i="29" s="1"/>
  <c r="H37" i="29"/>
  <c r="D37" i="29"/>
  <c r="E37" i="29" s="1"/>
  <c r="H36" i="29"/>
  <c r="D36" i="29"/>
  <c r="E36" i="29" s="1"/>
  <c r="H35" i="29"/>
  <c r="D35" i="29"/>
  <c r="E35" i="29" s="1"/>
  <c r="H34" i="29"/>
  <c r="D34" i="29"/>
  <c r="E34" i="29" s="1"/>
  <c r="H33" i="29"/>
  <c r="D33" i="29"/>
  <c r="E33" i="29" s="1"/>
  <c r="H32" i="29"/>
  <c r="D32" i="29"/>
  <c r="E32" i="29" s="1"/>
  <c r="H31" i="29"/>
  <c r="D31" i="29"/>
  <c r="E31" i="29" s="1"/>
  <c r="H30" i="29"/>
  <c r="D30" i="29"/>
  <c r="E30" i="29" s="1"/>
  <c r="H29" i="29"/>
  <c r="D29" i="29"/>
  <c r="E29" i="29" s="1"/>
  <c r="H28" i="29"/>
  <c r="D28" i="29"/>
  <c r="E28" i="29" s="1"/>
  <c r="H27" i="29"/>
  <c r="D27" i="29"/>
  <c r="E27" i="29" s="1"/>
  <c r="H26" i="29"/>
  <c r="D26" i="29"/>
  <c r="E26" i="29" s="1"/>
  <c r="H25" i="29"/>
  <c r="D25" i="29"/>
  <c r="E25" i="29" s="1"/>
  <c r="H24" i="29"/>
  <c r="D24" i="29"/>
  <c r="E24" i="29" s="1"/>
  <c r="H23" i="29"/>
  <c r="D23" i="29"/>
  <c r="E23" i="29" s="1"/>
  <c r="H22" i="29"/>
  <c r="D22" i="29"/>
  <c r="E22" i="29" s="1"/>
  <c r="H21" i="29"/>
  <c r="D21" i="29"/>
  <c r="E21" i="29" s="1"/>
  <c r="H20" i="29"/>
  <c r="D20" i="29"/>
  <c r="E20" i="29" s="1"/>
  <c r="H19" i="29"/>
  <c r="D19" i="29"/>
  <c r="E19" i="29" s="1"/>
  <c r="H18" i="29"/>
  <c r="D18" i="29"/>
  <c r="E18" i="29" s="1"/>
  <c r="H17" i="29"/>
  <c r="D17" i="29"/>
  <c r="E17" i="29" s="1"/>
  <c r="H16" i="29"/>
  <c r="D16" i="29"/>
  <c r="E16" i="29" s="1"/>
  <c r="H15" i="29"/>
  <c r="D15" i="29"/>
  <c r="E15" i="29" s="1"/>
  <c r="H14" i="29"/>
  <c r="D14" i="29"/>
  <c r="E14" i="29" s="1"/>
  <c r="H13" i="29"/>
  <c r="D13" i="29"/>
  <c r="E13" i="29" s="1"/>
  <c r="H12" i="29"/>
  <c r="D12" i="29"/>
  <c r="E12" i="29" s="1"/>
  <c r="H11" i="29"/>
  <c r="D11" i="29"/>
  <c r="E11" i="29" s="1"/>
  <c r="H10" i="29"/>
  <c r="D10" i="29"/>
  <c r="E10" i="29" s="1"/>
  <c r="H9" i="29"/>
  <c r="D9" i="29"/>
  <c r="E9" i="29" s="1"/>
  <c r="H8" i="29"/>
  <c r="D8" i="29"/>
  <c r="E8" i="29" s="1"/>
  <c r="H7" i="29"/>
  <c r="D7" i="29"/>
  <c r="E7" i="29" s="1"/>
  <c r="H6" i="29"/>
  <c r="D6" i="29"/>
  <c r="E6" i="29" s="1"/>
  <c r="H5" i="29"/>
  <c r="D5" i="29"/>
  <c r="E5" i="29" s="1"/>
  <c r="H4" i="29"/>
  <c r="D4" i="29"/>
  <c r="E4" i="29" s="1"/>
  <c r="H3" i="29"/>
  <c r="D3" i="29"/>
  <c r="E3" i="29" s="1"/>
  <c r="H148" i="27" l="1"/>
  <c r="D148" i="27"/>
  <c r="E148" i="27" s="1"/>
  <c r="H147" i="27"/>
  <c r="D147" i="27"/>
  <c r="E147" i="27" s="1"/>
  <c r="H146" i="27"/>
  <c r="D146" i="27"/>
  <c r="E146" i="27" s="1"/>
  <c r="H145" i="27"/>
  <c r="D145" i="27"/>
  <c r="E145" i="27" s="1"/>
  <c r="H144" i="27"/>
  <c r="D144" i="27"/>
  <c r="E144" i="27" s="1"/>
  <c r="H143" i="27"/>
  <c r="D143" i="27"/>
  <c r="E143" i="27" s="1"/>
  <c r="H142" i="27"/>
  <c r="D142" i="27"/>
  <c r="E142" i="27" s="1"/>
  <c r="H141" i="27"/>
  <c r="D141" i="27"/>
  <c r="E141" i="27" s="1"/>
  <c r="H140" i="27"/>
  <c r="D140" i="27"/>
  <c r="E140" i="27" s="1"/>
  <c r="H139" i="27"/>
  <c r="D139" i="27"/>
  <c r="E139" i="27" s="1"/>
  <c r="H138" i="27"/>
  <c r="D138" i="27"/>
  <c r="E138" i="27" s="1"/>
  <c r="H137" i="27"/>
  <c r="D137" i="27"/>
  <c r="E137" i="27" s="1"/>
  <c r="H136" i="27"/>
  <c r="D136" i="27"/>
  <c r="E136" i="27" s="1"/>
  <c r="H135" i="27"/>
  <c r="D135" i="27"/>
  <c r="E135" i="27" s="1"/>
  <c r="H134" i="27"/>
  <c r="D134" i="27"/>
  <c r="E134" i="27" s="1"/>
  <c r="H133" i="27"/>
  <c r="D133" i="27"/>
  <c r="E133" i="27" s="1"/>
  <c r="H132" i="27"/>
  <c r="D132" i="27"/>
  <c r="E132" i="27" s="1"/>
  <c r="H131" i="27"/>
  <c r="D131" i="27"/>
  <c r="E131" i="27" s="1"/>
  <c r="H130" i="27"/>
  <c r="D130" i="27"/>
  <c r="E130" i="27" s="1"/>
  <c r="H129" i="27"/>
  <c r="D129" i="27"/>
  <c r="E129" i="27" s="1"/>
  <c r="H128" i="27"/>
  <c r="D128" i="27"/>
  <c r="E128" i="27" s="1"/>
  <c r="H127" i="27"/>
  <c r="D127" i="27"/>
  <c r="E127" i="27" s="1"/>
  <c r="H126" i="27"/>
  <c r="D126" i="27"/>
  <c r="E126" i="27" s="1"/>
  <c r="H125" i="27"/>
  <c r="D125" i="27"/>
  <c r="E125" i="27" s="1"/>
  <c r="H124" i="27"/>
  <c r="D124" i="27"/>
  <c r="E124" i="27" s="1"/>
  <c r="H123" i="27"/>
  <c r="D123" i="27"/>
  <c r="E123" i="27" s="1"/>
  <c r="H122" i="27"/>
  <c r="D122" i="27"/>
  <c r="E122" i="27" s="1"/>
  <c r="H121" i="27"/>
  <c r="D121" i="27"/>
  <c r="E121" i="27" s="1"/>
  <c r="H120" i="27"/>
  <c r="D120" i="27"/>
  <c r="E120" i="27" s="1"/>
  <c r="H119" i="27"/>
  <c r="D119" i="27"/>
  <c r="E119" i="27" s="1"/>
  <c r="H118" i="27"/>
  <c r="D118" i="27"/>
  <c r="E118" i="27" s="1"/>
  <c r="H117" i="27"/>
  <c r="D117" i="27"/>
  <c r="E117" i="27" s="1"/>
  <c r="H116" i="27"/>
  <c r="D116" i="27"/>
  <c r="E116" i="27" s="1"/>
  <c r="H115" i="27"/>
  <c r="D115" i="27"/>
  <c r="E115" i="27" s="1"/>
  <c r="H114" i="27"/>
  <c r="D114" i="27"/>
  <c r="E114" i="27" s="1"/>
  <c r="H113" i="27"/>
  <c r="D113" i="27"/>
  <c r="E113" i="27" s="1"/>
  <c r="H112" i="27"/>
  <c r="D112" i="27"/>
  <c r="E112" i="27" s="1"/>
  <c r="H111" i="27"/>
  <c r="D111" i="27"/>
  <c r="E111" i="27" s="1"/>
  <c r="H110" i="27"/>
  <c r="D110" i="27"/>
  <c r="E110" i="27" s="1"/>
  <c r="H109" i="27"/>
  <c r="D109" i="27"/>
  <c r="E109" i="27" s="1"/>
  <c r="H108" i="27"/>
  <c r="D108" i="27"/>
  <c r="E108" i="27" s="1"/>
  <c r="H107" i="27"/>
  <c r="D107" i="27"/>
  <c r="E107" i="27" s="1"/>
  <c r="H106" i="27"/>
  <c r="D106" i="27"/>
  <c r="E106" i="27" s="1"/>
  <c r="H105" i="27"/>
  <c r="D105" i="27"/>
  <c r="E105" i="27" s="1"/>
  <c r="H104" i="27"/>
  <c r="D104" i="27"/>
  <c r="E104" i="27" s="1"/>
  <c r="H103" i="27"/>
  <c r="D103" i="27"/>
  <c r="E103" i="27" s="1"/>
  <c r="H102" i="27"/>
  <c r="D102" i="27"/>
  <c r="E102" i="27" s="1"/>
  <c r="H101" i="27"/>
  <c r="D101" i="27"/>
  <c r="E101" i="27" s="1"/>
  <c r="H100" i="27"/>
  <c r="D100" i="27"/>
  <c r="E100" i="27" s="1"/>
  <c r="H99" i="27"/>
  <c r="D99" i="27"/>
  <c r="E99" i="27" s="1"/>
  <c r="H98" i="27"/>
  <c r="D98" i="27"/>
  <c r="E98" i="27" s="1"/>
  <c r="H97" i="27"/>
  <c r="D97" i="27"/>
  <c r="E97" i="27" s="1"/>
  <c r="H96" i="27"/>
  <c r="D96" i="27"/>
  <c r="E96" i="27" s="1"/>
  <c r="H95" i="27"/>
  <c r="D95" i="27"/>
  <c r="E95" i="27" s="1"/>
  <c r="H94" i="27"/>
  <c r="D94" i="27"/>
  <c r="E94" i="27" s="1"/>
  <c r="H93" i="27"/>
  <c r="D93" i="27"/>
  <c r="E93" i="27" s="1"/>
  <c r="H92" i="27"/>
  <c r="D92" i="27"/>
  <c r="E92" i="27" s="1"/>
  <c r="H91" i="27"/>
  <c r="D91" i="27"/>
  <c r="E91" i="27" s="1"/>
  <c r="H90" i="27"/>
  <c r="D90" i="27"/>
  <c r="E90" i="27" s="1"/>
  <c r="H89" i="27"/>
  <c r="D89" i="27"/>
  <c r="E89" i="27" s="1"/>
  <c r="H88" i="27"/>
  <c r="D88" i="27"/>
  <c r="E88" i="27" s="1"/>
  <c r="H87" i="27"/>
  <c r="D87" i="27"/>
  <c r="E87" i="27" s="1"/>
  <c r="H86" i="27"/>
  <c r="D86" i="27"/>
  <c r="E86" i="27" s="1"/>
  <c r="H85" i="27"/>
  <c r="D85" i="27"/>
  <c r="E85" i="27" s="1"/>
  <c r="H84" i="27"/>
  <c r="D84" i="27"/>
  <c r="E84" i="27" s="1"/>
  <c r="H83" i="27"/>
  <c r="D83" i="27"/>
  <c r="E83" i="27" s="1"/>
  <c r="H82" i="27"/>
  <c r="D82" i="27"/>
  <c r="E82" i="27" s="1"/>
  <c r="H81" i="27"/>
  <c r="D81" i="27"/>
  <c r="E81" i="27" s="1"/>
  <c r="H80" i="27"/>
  <c r="D80" i="27"/>
  <c r="E80" i="27" s="1"/>
  <c r="H79" i="27"/>
  <c r="D79" i="27"/>
  <c r="E79" i="27" s="1"/>
  <c r="H78" i="27"/>
  <c r="D78" i="27"/>
  <c r="E78" i="27" s="1"/>
  <c r="H77" i="27"/>
  <c r="D77" i="27"/>
  <c r="E77" i="27" s="1"/>
  <c r="H76" i="27"/>
  <c r="D76" i="27"/>
  <c r="E76" i="27" s="1"/>
  <c r="H75" i="27"/>
  <c r="D75" i="27"/>
  <c r="E75" i="27" s="1"/>
  <c r="H74" i="27"/>
  <c r="D74" i="27"/>
  <c r="E74" i="27" s="1"/>
  <c r="H73" i="27"/>
  <c r="D73" i="27"/>
  <c r="E73" i="27" s="1"/>
  <c r="H72" i="27"/>
  <c r="D72" i="27"/>
  <c r="E72" i="27" s="1"/>
  <c r="H71" i="27"/>
  <c r="D71" i="27"/>
  <c r="E71" i="27" s="1"/>
  <c r="H70" i="27"/>
  <c r="D70" i="27"/>
  <c r="E70" i="27" s="1"/>
  <c r="H69" i="27"/>
  <c r="D69" i="27"/>
  <c r="E69" i="27" s="1"/>
  <c r="H68" i="27"/>
  <c r="D68" i="27"/>
  <c r="E68" i="27" s="1"/>
  <c r="H67" i="27"/>
  <c r="D67" i="27"/>
  <c r="E67" i="27" s="1"/>
  <c r="H66" i="27"/>
  <c r="D66" i="27"/>
  <c r="E66" i="27" s="1"/>
  <c r="H65" i="27"/>
  <c r="D65" i="27"/>
  <c r="E65" i="27" s="1"/>
  <c r="H64" i="27"/>
  <c r="D64" i="27"/>
  <c r="E64" i="27" s="1"/>
  <c r="H63" i="27"/>
  <c r="D63" i="27"/>
  <c r="E63" i="27" s="1"/>
  <c r="H62" i="27"/>
  <c r="D62" i="27"/>
  <c r="E62" i="27" s="1"/>
  <c r="H61" i="27"/>
  <c r="D61" i="27"/>
  <c r="E61" i="27" s="1"/>
  <c r="H60" i="27"/>
  <c r="D60" i="27"/>
  <c r="E60" i="27" s="1"/>
  <c r="H59" i="27"/>
  <c r="D59" i="27"/>
  <c r="E59" i="27" s="1"/>
  <c r="H58" i="27"/>
  <c r="D58" i="27"/>
  <c r="E58" i="27" s="1"/>
  <c r="H57" i="27"/>
  <c r="D57" i="27"/>
  <c r="E57" i="27" s="1"/>
  <c r="H56" i="27"/>
  <c r="D56" i="27"/>
  <c r="E56" i="27" s="1"/>
  <c r="H55" i="27"/>
  <c r="D55" i="27"/>
  <c r="E55" i="27" s="1"/>
  <c r="H54" i="27"/>
  <c r="D54" i="27"/>
  <c r="E54" i="27" s="1"/>
  <c r="H53" i="27"/>
  <c r="D53" i="27"/>
  <c r="E53" i="27" s="1"/>
  <c r="H52" i="27"/>
  <c r="D52" i="27"/>
  <c r="E52" i="27" s="1"/>
  <c r="H51" i="27"/>
  <c r="D51" i="27"/>
  <c r="E51" i="27" s="1"/>
  <c r="H50" i="27"/>
  <c r="D50" i="27"/>
  <c r="E50" i="27" s="1"/>
  <c r="H49" i="27"/>
  <c r="D49" i="27"/>
  <c r="E49" i="27" s="1"/>
  <c r="H48" i="27"/>
  <c r="D48" i="27"/>
  <c r="E48" i="27" s="1"/>
  <c r="H47" i="27"/>
  <c r="D47" i="27"/>
  <c r="E47" i="27" s="1"/>
  <c r="H46" i="27"/>
  <c r="D46" i="27"/>
  <c r="E46" i="27" s="1"/>
  <c r="H45" i="27"/>
  <c r="D45" i="27"/>
  <c r="E45" i="27" s="1"/>
  <c r="H44" i="27"/>
  <c r="D44" i="27"/>
  <c r="E44" i="27" s="1"/>
  <c r="H43" i="27"/>
  <c r="D43" i="27"/>
  <c r="E43" i="27" s="1"/>
  <c r="H42" i="27"/>
  <c r="D42" i="27"/>
  <c r="E42" i="27" s="1"/>
  <c r="H41" i="27"/>
  <c r="D41" i="27"/>
  <c r="E41" i="27" s="1"/>
  <c r="H40" i="27"/>
  <c r="D40" i="27"/>
  <c r="E40" i="27" s="1"/>
  <c r="H39" i="27"/>
  <c r="D39" i="27"/>
  <c r="E39" i="27" s="1"/>
  <c r="H38" i="27"/>
  <c r="D38" i="27"/>
  <c r="E38" i="27" s="1"/>
  <c r="H37" i="27"/>
  <c r="D37" i="27"/>
  <c r="E37" i="27" s="1"/>
  <c r="H36" i="27"/>
  <c r="D36" i="27"/>
  <c r="E36" i="27" s="1"/>
  <c r="H35" i="27"/>
  <c r="D35" i="27"/>
  <c r="E35" i="27" s="1"/>
  <c r="H34" i="27"/>
  <c r="D34" i="27"/>
  <c r="E34" i="27" s="1"/>
  <c r="H33" i="27"/>
  <c r="D33" i="27"/>
  <c r="E33" i="27" s="1"/>
  <c r="H32" i="27"/>
  <c r="D32" i="27"/>
  <c r="E32" i="27" s="1"/>
  <c r="H31" i="27"/>
  <c r="D31" i="27"/>
  <c r="E31" i="27" s="1"/>
  <c r="H30" i="27"/>
  <c r="D30" i="27"/>
  <c r="E30" i="27" s="1"/>
  <c r="H29" i="27"/>
  <c r="D29" i="27"/>
  <c r="E29" i="27" s="1"/>
  <c r="H28" i="27"/>
  <c r="D28" i="27"/>
  <c r="E28" i="27" s="1"/>
  <c r="H27" i="27"/>
  <c r="D27" i="27"/>
  <c r="E27" i="27" s="1"/>
  <c r="H26" i="27"/>
  <c r="D26" i="27"/>
  <c r="E26" i="27" s="1"/>
  <c r="H25" i="27"/>
  <c r="D25" i="27"/>
  <c r="E25" i="27" s="1"/>
  <c r="H24" i="27"/>
  <c r="D24" i="27"/>
  <c r="E24" i="27" s="1"/>
  <c r="H23" i="27"/>
  <c r="D23" i="27"/>
  <c r="E23" i="27" s="1"/>
  <c r="H22" i="27"/>
  <c r="D22" i="27"/>
  <c r="E22" i="27" s="1"/>
  <c r="H21" i="27"/>
  <c r="D21" i="27"/>
  <c r="E21" i="27" s="1"/>
  <c r="H20" i="27"/>
  <c r="D20" i="27"/>
  <c r="E20" i="27" s="1"/>
  <c r="H19" i="27"/>
  <c r="D19" i="27"/>
  <c r="E19" i="27" s="1"/>
  <c r="H18" i="27"/>
  <c r="D18" i="27"/>
  <c r="E18" i="27" s="1"/>
  <c r="H17" i="27"/>
  <c r="D17" i="27"/>
  <c r="E17" i="27" s="1"/>
  <c r="H16" i="27"/>
  <c r="D16" i="27"/>
  <c r="E16" i="27" s="1"/>
  <c r="H15" i="27"/>
  <c r="D15" i="27"/>
  <c r="E15" i="27" s="1"/>
  <c r="H14" i="27"/>
  <c r="D14" i="27"/>
  <c r="E14" i="27" s="1"/>
  <c r="H13" i="27"/>
  <c r="D13" i="27"/>
  <c r="E13" i="27" s="1"/>
  <c r="H12" i="27"/>
  <c r="D12" i="27"/>
  <c r="E12" i="27" s="1"/>
  <c r="H11" i="27"/>
  <c r="D11" i="27"/>
  <c r="E11" i="27" s="1"/>
  <c r="H10" i="27"/>
  <c r="D10" i="27"/>
  <c r="E10" i="27" s="1"/>
  <c r="H9" i="27"/>
  <c r="D9" i="27"/>
  <c r="E9" i="27" s="1"/>
  <c r="H8" i="27"/>
  <c r="D8" i="27"/>
  <c r="E8" i="27" s="1"/>
  <c r="H7" i="27"/>
  <c r="D7" i="27"/>
  <c r="E7" i="27" s="1"/>
  <c r="H6" i="27"/>
  <c r="D6" i="27"/>
  <c r="E6" i="27" s="1"/>
  <c r="H5" i="27"/>
  <c r="D5" i="27"/>
  <c r="E5" i="27" s="1"/>
  <c r="H4" i="27"/>
  <c r="D4" i="27"/>
  <c r="E4" i="27" s="1"/>
  <c r="H3" i="27"/>
  <c r="D3" i="27"/>
  <c r="E3" i="27" s="1"/>
  <c r="H4" i="25" l="1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E29" i="25"/>
  <c r="E44" i="25"/>
  <c r="E45" i="25"/>
  <c r="E77" i="25"/>
  <c r="E80" i="25"/>
  <c r="E81" i="25"/>
  <c r="E127" i="25"/>
  <c r="E132" i="25"/>
  <c r="E145" i="25"/>
  <c r="D4" i="25"/>
  <c r="E4" i="25" s="1"/>
  <c r="D6" i="25"/>
  <c r="E6" i="25" s="1"/>
  <c r="D7" i="25"/>
  <c r="E7" i="25" s="1"/>
  <c r="D8" i="25"/>
  <c r="E8" i="25" s="1"/>
  <c r="D9" i="25"/>
  <c r="E9" i="25" s="1"/>
  <c r="D10" i="25"/>
  <c r="E10" i="25" s="1"/>
  <c r="D11" i="25"/>
  <c r="E11" i="25" s="1"/>
  <c r="D12" i="25"/>
  <c r="E12" i="25" s="1"/>
  <c r="D13" i="25"/>
  <c r="E13" i="25" s="1"/>
  <c r="D14" i="25"/>
  <c r="E14" i="25" s="1"/>
  <c r="D15" i="25"/>
  <c r="E15" i="25" s="1"/>
  <c r="D16" i="25"/>
  <c r="E16" i="25" s="1"/>
  <c r="D17" i="25"/>
  <c r="E17" i="25" s="1"/>
  <c r="D18" i="25"/>
  <c r="E18" i="25" s="1"/>
  <c r="D19" i="25"/>
  <c r="E19" i="25" s="1"/>
  <c r="D20" i="25"/>
  <c r="E20" i="25" s="1"/>
  <c r="D21" i="25"/>
  <c r="E21" i="25" s="1"/>
  <c r="D22" i="25"/>
  <c r="E22" i="25" s="1"/>
  <c r="D23" i="25"/>
  <c r="E23" i="25" s="1"/>
  <c r="D24" i="25"/>
  <c r="E24" i="25" s="1"/>
  <c r="D25" i="25"/>
  <c r="E25" i="25" s="1"/>
  <c r="D26" i="25"/>
  <c r="E26" i="25" s="1"/>
  <c r="D27" i="25"/>
  <c r="E27" i="25" s="1"/>
  <c r="D28" i="25"/>
  <c r="E28" i="25" s="1"/>
  <c r="D29" i="25"/>
  <c r="D30" i="25"/>
  <c r="E30" i="25" s="1"/>
  <c r="D31" i="25"/>
  <c r="E31" i="25" s="1"/>
  <c r="D32" i="25"/>
  <c r="E32" i="25" s="1"/>
  <c r="D33" i="25"/>
  <c r="E33" i="25" s="1"/>
  <c r="D34" i="25"/>
  <c r="E34" i="25" s="1"/>
  <c r="D35" i="25"/>
  <c r="E35" i="25" s="1"/>
  <c r="D36" i="25"/>
  <c r="E36" i="25" s="1"/>
  <c r="D37" i="25"/>
  <c r="E37" i="25" s="1"/>
  <c r="D38" i="25"/>
  <c r="E38" i="25" s="1"/>
  <c r="D39" i="25"/>
  <c r="E39" i="25" s="1"/>
  <c r="D40" i="25"/>
  <c r="E40" i="25" s="1"/>
  <c r="D41" i="25"/>
  <c r="E41" i="25" s="1"/>
  <c r="D42" i="25"/>
  <c r="E42" i="25" s="1"/>
  <c r="D43" i="25"/>
  <c r="E43" i="25" s="1"/>
  <c r="D44" i="25"/>
  <c r="D45" i="25"/>
  <c r="D46" i="25"/>
  <c r="E46" i="25" s="1"/>
  <c r="D47" i="25"/>
  <c r="E47" i="25" s="1"/>
  <c r="D48" i="25"/>
  <c r="E48" i="25" s="1"/>
  <c r="D49" i="25"/>
  <c r="E49" i="25" s="1"/>
  <c r="D50" i="25"/>
  <c r="E50" i="25" s="1"/>
  <c r="D51" i="25"/>
  <c r="E51" i="25" s="1"/>
  <c r="D52" i="25"/>
  <c r="E52" i="25" s="1"/>
  <c r="D53" i="25"/>
  <c r="E53" i="25" s="1"/>
  <c r="D54" i="25"/>
  <c r="E54" i="25" s="1"/>
  <c r="D55" i="25"/>
  <c r="E55" i="25" s="1"/>
  <c r="D56" i="25"/>
  <c r="E56" i="25" s="1"/>
  <c r="D57" i="25"/>
  <c r="E57" i="25" s="1"/>
  <c r="D58" i="25"/>
  <c r="E58" i="25" s="1"/>
  <c r="D59" i="25"/>
  <c r="E59" i="25" s="1"/>
  <c r="D60" i="25"/>
  <c r="E60" i="25" s="1"/>
  <c r="D61" i="25"/>
  <c r="E61" i="25" s="1"/>
  <c r="D62" i="25"/>
  <c r="E62" i="25" s="1"/>
  <c r="D63" i="25"/>
  <c r="E63" i="25" s="1"/>
  <c r="D64" i="25"/>
  <c r="E64" i="25" s="1"/>
  <c r="D65" i="25"/>
  <c r="E65" i="25" s="1"/>
  <c r="D66" i="25"/>
  <c r="E66" i="25" s="1"/>
  <c r="D67" i="25"/>
  <c r="E67" i="25" s="1"/>
  <c r="D68" i="25"/>
  <c r="E68" i="25" s="1"/>
  <c r="D69" i="25"/>
  <c r="E69" i="25" s="1"/>
  <c r="D70" i="25"/>
  <c r="E70" i="25" s="1"/>
  <c r="D71" i="25"/>
  <c r="E71" i="25" s="1"/>
  <c r="D72" i="25"/>
  <c r="E72" i="25" s="1"/>
  <c r="D73" i="25"/>
  <c r="E73" i="25" s="1"/>
  <c r="D74" i="25"/>
  <c r="E74" i="25" s="1"/>
  <c r="D75" i="25"/>
  <c r="E75" i="25" s="1"/>
  <c r="D76" i="25"/>
  <c r="E76" i="25" s="1"/>
  <c r="D77" i="25"/>
  <c r="D78" i="25"/>
  <c r="E78" i="25" s="1"/>
  <c r="D79" i="25"/>
  <c r="E79" i="25" s="1"/>
  <c r="D80" i="25"/>
  <c r="D81" i="25"/>
  <c r="D82" i="25"/>
  <c r="E82" i="25" s="1"/>
  <c r="D83" i="25"/>
  <c r="E83" i="25" s="1"/>
  <c r="D84" i="25"/>
  <c r="E84" i="25" s="1"/>
  <c r="D85" i="25"/>
  <c r="E85" i="25" s="1"/>
  <c r="D86" i="25"/>
  <c r="E86" i="25" s="1"/>
  <c r="D87" i="25"/>
  <c r="E87" i="25" s="1"/>
  <c r="D88" i="25"/>
  <c r="E88" i="25" s="1"/>
  <c r="D89" i="25"/>
  <c r="E89" i="25" s="1"/>
  <c r="D90" i="25"/>
  <c r="E90" i="25" s="1"/>
  <c r="D91" i="25"/>
  <c r="E91" i="25" s="1"/>
  <c r="D92" i="25"/>
  <c r="E92" i="25" s="1"/>
  <c r="D93" i="25"/>
  <c r="E93" i="25" s="1"/>
  <c r="D94" i="25"/>
  <c r="E94" i="25" s="1"/>
  <c r="D95" i="25"/>
  <c r="E95" i="25" s="1"/>
  <c r="D96" i="25"/>
  <c r="E96" i="25" s="1"/>
  <c r="D97" i="25"/>
  <c r="E97" i="25" s="1"/>
  <c r="D98" i="25"/>
  <c r="E98" i="25" s="1"/>
  <c r="D99" i="25"/>
  <c r="E99" i="25" s="1"/>
  <c r="D100" i="25"/>
  <c r="E100" i="25" s="1"/>
  <c r="D101" i="25"/>
  <c r="E101" i="25" s="1"/>
  <c r="D102" i="25"/>
  <c r="E102" i="25" s="1"/>
  <c r="D103" i="25"/>
  <c r="E103" i="25" s="1"/>
  <c r="D104" i="25"/>
  <c r="E104" i="25" s="1"/>
  <c r="D105" i="25"/>
  <c r="E105" i="25" s="1"/>
  <c r="D106" i="25"/>
  <c r="E106" i="25" s="1"/>
  <c r="D107" i="25"/>
  <c r="E107" i="25" s="1"/>
  <c r="D108" i="25"/>
  <c r="E108" i="25" s="1"/>
  <c r="D109" i="25"/>
  <c r="E109" i="25" s="1"/>
  <c r="D110" i="25"/>
  <c r="E110" i="25" s="1"/>
  <c r="D111" i="25"/>
  <c r="E111" i="25" s="1"/>
  <c r="D112" i="25"/>
  <c r="E112" i="25" s="1"/>
  <c r="D113" i="25"/>
  <c r="E113" i="25" s="1"/>
  <c r="D114" i="25"/>
  <c r="E114" i="25" s="1"/>
  <c r="D115" i="25"/>
  <c r="E115" i="25" s="1"/>
  <c r="D116" i="25"/>
  <c r="E116" i="25" s="1"/>
  <c r="D117" i="25"/>
  <c r="E117" i="25" s="1"/>
  <c r="D118" i="25"/>
  <c r="E118" i="25" s="1"/>
  <c r="D119" i="25"/>
  <c r="E119" i="25" s="1"/>
  <c r="D120" i="25"/>
  <c r="E120" i="25" s="1"/>
  <c r="D121" i="25"/>
  <c r="E121" i="25" s="1"/>
  <c r="D122" i="25"/>
  <c r="E122" i="25" s="1"/>
  <c r="D123" i="25"/>
  <c r="E123" i="25" s="1"/>
  <c r="D124" i="25"/>
  <c r="E124" i="25" s="1"/>
  <c r="D125" i="25"/>
  <c r="E125" i="25" s="1"/>
  <c r="D126" i="25"/>
  <c r="E126" i="25" s="1"/>
  <c r="D127" i="25"/>
  <c r="D128" i="25"/>
  <c r="E128" i="25" s="1"/>
  <c r="D129" i="25"/>
  <c r="E129" i="25" s="1"/>
  <c r="D130" i="25"/>
  <c r="E130" i="25" s="1"/>
  <c r="D131" i="25"/>
  <c r="E131" i="25" s="1"/>
  <c r="D132" i="25"/>
  <c r="D133" i="25"/>
  <c r="E133" i="25" s="1"/>
  <c r="D134" i="25"/>
  <c r="E134" i="25" s="1"/>
  <c r="D135" i="25"/>
  <c r="E135" i="25" s="1"/>
  <c r="D136" i="25"/>
  <c r="E136" i="25" s="1"/>
  <c r="D137" i="25"/>
  <c r="E137" i="25" s="1"/>
  <c r="D138" i="25"/>
  <c r="E138" i="25" s="1"/>
  <c r="D139" i="25"/>
  <c r="E139" i="25" s="1"/>
  <c r="D140" i="25"/>
  <c r="E140" i="25" s="1"/>
  <c r="D141" i="25"/>
  <c r="E141" i="25" s="1"/>
  <c r="D142" i="25"/>
  <c r="E142" i="25" s="1"/>
  <c r="D143" i="25"/>
  <c r="E143" i="25" s="1"/>
  <c r="D144" i="25"/>
  <c r="E144" i="25" s="1"/>
  <c r="D145" i="25"/>
  <c r="D146" i="25"/>
  <c r="E146" i="25" s="1"/>
  <c r="D147" i="25"/>
  <c r="E147" i="25" s="1"/>
  <c r="D148" i="25"/>
  <c r="E148" i="25" s="1"/>
  <c r="D149" i="25"/>
  <c r="E149" i="25" s="1"/>
  <c r="D150" i="25"/>
  <c r="E150" i="25" s="1"/>
  <c r="D151" i="25"/>
  <c r="E151" i="25" s="1"/>
  <c r="D152" i="25"/>
  <c r="E152" i="25" s="1"/>
  <c r="D153" i="25"/>
  <c r="E153" i="25" s="1"/>
  <c r="H3" i="25"/>
  <c r="D3" i="25"/>
  <c r="E3" i="25" s="1"/>
  <c r="G154" i="25"/>
  <c r="F154" i="25"/>
  <c r="H48" i="23"/>
  <c r="D154" i="25" l="1"/>
  <c r="E154" i="25"/>
  <c r="H154" i="25"/>
  <c r="G97" i="23" l="1"/>
  <c r="F97" i="23"/>
  <c r="H96" i="23"/>
  <c r="D96" i="23"/>
  <c r="E96" i="23" s="1"/>
  <c r="H95" i="23"/>
  <c r="D95" i="23"/>
  <c r="E95" i="23" s="1"/>
  <c r="H94" i="23"/>
  <c r="D94" i="23"/>
  <c r="E94" i="23" s="1"/>
  <c r="H93" i="23"/>
  <c r="D93" i="23"/>
  <c r="E93" i="23" s="1"/>
  <c r="H92" i="23"/>
  <c r="D92" i="23"/>
  <c r="E92" i="23" s="1"/>
  <c r="H91" i="23"/>
  <c r="D91" i="23"/>
  <c r="E91" i="23" s="1"/>
  <c r="H90" i="23"/>
  <c r="D90" i="23"/>
  <c r="E90" i="23" s="1"/>
  <c r="H89" i="23"/>
  <c r="D89" i="23"/>
  <c r="E89" i="23" s="1"/>
  <c r="H88" i="23"/>
  <c r="D88" i="23"/>
  <c r="E88" i="23" s="1"/>
  <c r="H87" i="23"/>
  <c r="D87" i="23"/>
  <c r="E87" i="23" s="1"/>
  <c r="H86" i="23"/>
  <c r="D86" i="23"/>
  <c r="E86" i="23" s="1"/>
  <c r="H85" i="23"/>
  <c r="D85" i="23"/>
  <c r="E85" i="23" s="1"/>
  <c r="H84" i="23"/>
  <c r="D84" i="23"/>
  <c r="E84" i="23" s="1"/>
  <c r="H83" i="23"/>
  <c r="D83" i="23"/>
  <c r="E83" i="23" s="1"/>
  <c r="H82" i="23"/>
  <c r="D82" i="23"/>
  <c r="E82" i="23" s="1"/>
  <c r="H81" i="23"/>
  <c r="D81" i="23"/>
  <c r="E81" i="23" s="1"/>
  <c r="H80" i="23"/>
  <c r="D80" i="23"/>
  <c r="E80" i="23" s="1"/>
  <c r="H79" i="23"/>
  <c r="D79" i="23"/>
  <c r="E79" i="23" s="1"/>
  <c r="H78" i="23"/>
  <c r="D78" i="23"/>
  <c r="E78" i="23" s="1"/>
  <c r="H77" i="23"/>
  <c r="D77" i="23"/>
  <c r="E77" i="23" s="1"/>
  <c r="H76" i="23"/>
  <c r="D76" i="23"/>
  <c r="E76" i="23" s="1"/>
  <c r="H75" i="23"/>
  <c r="D75" i="23"/>
  <c r="E75" i="23" s="1"/>
  <c r="H74" i="23"/>
  <c r="D74" i="23"/>
  <c r="E74" i="23" s="1"/>
  <c r="H73" i="23"/>
  <c r="D73" i="23"/>
  <c r="E73" i="23" s="1"/>
  <c r="H72" i="23"/>
  <c r="D72" i="23"/>
  <c r="E72" i="23" s="1"/>
  <c r="H71" i="23"/>
  <c r="D71" i="23"/>
  <c r="E71" i="23" s="1"/>
  <c r="H70" i="23"/>
  <c r="D70" i="23"/>
  <c r="E70" i="23" s="1"/>
  <c r="H69" i="23"/>
  <c r="D69" i="23"/>
  <c r="E69" i="23" s="1"/>
  <c r="H68" i="23"/>
  <c r="D68" i="23"/>
  <c r="E68" i="23" s="1"/>
  <c r="H67" i="23"/>
  <c r="D67" i="23"/>
  <c r="E67" i="23" s="1"/>
  <c r="H66" i="23"/>
  <c r="D66" i="23"/>
  <c r="E66" i="23" s="1"/>
  <c r="H65" i="23"/>
  <c r="D65" i="23"/>
  <c r="E65" i="23" s="1"/>
  <c r="H64" i="23"/>
  <c r="D64" i="23"/>
  <c r="E64" i="23" s="1"/>
  <c r="H63" i="23"/>
  <c r="D63" i="23"/>
  <c r="E63" i="23" s="1"/>
  <c r="H62" i="23"/>
  <c r="D62" i="23"/>
  <c r="E62" i="23" s="1"/>
  <c r="H61" i="23"/>
  <c r="D61" i="23"/>
  <c r="E61" i="23" s="1"/>
  <c r="H60" i="23"/>
  <c r="D60" i="23"/>
  <c r="E60" i="23" s="1"/>
  <c r="H59" i="23"/>
  <c r="D59" i="23"/>
  <c r="E59" i="23" s="1"/>
  <c r="H58" i="23"/>
  <c r="D58" i="23"/>
  <c r="E58" i="23" s="1"/>
  <c r="H57" i="23"/>
  <c r="D57" i="23"/>
  <c r="E57" i="23" s="1"/>
  <c r="H56" i="23"/>
  <c r="D56" i="23"/>
  <c r="E56" i="23" s="1"/>
  <c r="H55" i="23"/>
  <c r="D55" i="23"/>
  <c r="E55" i="23" s="1"/>
  <c r="H54" i="23"/>
  <c r="D54" i="23"/>
  <c r="E54" i="23" s="1"/>
  <c r="H53" i="23"/>
  <c r="D53" i="23"/>
  <c r="E53" i="23" s="1"/>
  <c r="H52" i="23"/>
  <c r="D52" i="23"/>
  <c r="E52" i="23" s="1"/>
  <c r="H51" i="23"/>
  <c r="D51" i="23"/>
  <c r="E51" i="23" s="1"/>
  <c r="H50" i="23"/>
  <c r="D50" i="23"/>
  <c r="E50" i="23" s="1"/>
  <c r="H49" i="23"/>
  <c r="D49" i="23"/>
  <c r="E49" i="23" s="1"/>
  <c r="D48" i="23"/>
  <c r="E48" i="23" s="1"/>
  <c r="H47" i="23"/>
  <c r="D47" i="23"/>
  <c r="E47" i="23" s="1"/>
  <c r="H46" i="23"/>
  <c r="D46" i="23"/>
  <c r="E46" i="23" s="1"/>
  <c r="H45" i="23"/>
  <c r="D45" i="23"/>
  <c r="E45" i="23" s="1"/>
  <c r="H44" i="23"/>
  <c r="D44" i="23"/>
  <c r="E44" i="23" s="1"/>
  <c r="H43" i="23"/>
  <c r="D43" i="23"/>
  <c r="E43" i="23" s="1"/>
  <c r="H42" i="23"/>
  <c r="D42" i="23"/>
  <c r="E42" i="23" s="1"/>
  <c r="H41" i="23"/>
  <c r="D41" i="23"/>
  <c r="E41" i="23" s="1"/>
  <c r="H40" i="23"/>
  <c r="D40" i="23"/>
  <c r="E40" i="23" s="1"/>
  <c r="H39" i="23"/>
  <c r="D39" i="23"/>
  <c r="E39" i="23" s="1"/>
  <c r="H38" i="23"/>
  <c r="D38" i="23"/>
  <c r="E38" i="23" s="1"/>
  <c r="H37" i="23"/>
  <c r="D37" i="23"/>
  <c r="E37" i="23" s="1"/>
  <c r="H36" i="23"/>
  <c r="D36" i="23"/>
  <c r="E36" i="23" s="1"/>
  <c r="H35" i="23"/>
  <c r="D35" i="23"/>
  <c r="E35" i="23" s="1"/>
  <c r="H34" i="23"/>
  <c r="D34" i="23"/>
  <c r="E34" i="23" s="1"/>
  <c r="H33" i="23"/>
  <c r="D33" i="23"/>
  <c r="E33" i="23" s="1"/>
  <c r="H32" i="23"/>
  <c r="D32" i="23"/>
  <c r="E32" i="23" s="1"/>
  <c r="H31" i="23"/>
  <c r="D31" i="23"/>
  <c r="E31" i="23" s="1"/>
  <c r="H30" i="23"/>
  <c r="E30" i="23"/>
  <c r="D30" i="23"/>
  <c r="H29" i="23"/>
  <c r="D29" i="23"/>
  <c r="E29" i="23" s="1"/>
  <c r="H28" i="23"/>
  <c r="D28" i="23"/>
  <c r="E28" i="23" s="1"/>
  <c r="H27" i="23"/>
  <c r="D27" i="23"/>
  <c r="E27" i="23" s="1"/>
  <c r="H26" i="23"/>
  <c r="D26" i="23"/>
  <c r="E26" i="23" s="1"/>
  <c r="H25" i="23"/>
  <c r="D25" i="23"/>
  <c r="E25" i="23" s="1"/>
  <c r="H24" i="23"/>
  <c r="D24" i="23"/>
  <c r="E24" i="23" s="1"/>
  <c r="H23" i="23"/>
  <c r="D23" i="23"/>
  <c r="E23" i="23" s="1"/>
  <c r="H22" i="23"/>
  <c r="D22" i="23"/>
  <c r="E22" i="23" s="1"/>
  <c r="H21" i="23"/>
  <c r="D21" i="23"/>
  <c r="E21" i="23" s="1"/>
  <c r="H20" i="23"/>
  <c r="D20" i="23"/>
  <c r="E20" i="23" s="1"/>
  <c r="H19" i="23"/>
  <c r="D19" i="23"/>
  <c r="E19" i="23" s="1"/>
  <c r="H18" i="23"/>
  <c r="D18" i="23"/>
  <c r="E18" i="23" s="1"/>
  <c r="H17" i="23"/>
  <c r="D17" i="23"/>
  <c r="E17" i="23" s="1"/>
  <c r="H16" i="23"/>
  <c r="D16" i="23"/>
  <c r="E16" i="23" s="1"/>
  <c r="H15" i="23"/>
  <c r="D15" i="23"/>
  <c r="E15" i="23" s="1"/>
  <c r="H14" i="23"/>
  <c r="D14" i="23"/>
  <c r="E14" i="23" s="1"/>
  <c r="H13" i="23"/>
  <c r="D13" i="23"/>
  <c r="E13" i="23" s="1"/>
  <c r="H12" i="23"/>
  <c r="D12" i="23"/>
  <c r="E12" i="23" s="1"/>
  <c r="H11" i="23"/>
  <c r="D11" i="23"/>
  <c r="E11" i="23" s="1"/>
  <c r="H10" i="23"/>
  <c r="D10" i="23"/>
  <c r="E10" i="23" s="1"/>
  <c r="H9" i="23"/>
  <c r="D9" i="23"/>
  <c r="E9" i="23" s="1"/>
  <c r="H8" i="23"/>
  <c r="D8" i="23"/>
  <c r="E8" i="23" s="1"/>
  <c r="H7" i="23"/>
  <c r="D7" i="23"/>
  <c r="E7" i="23" s="1"/>
  <c r="H6" i="23"/>
  <c r="D6" i="23"/>
  <c r="E6" i="23" s="1"/>
  <c r="H5" i="23"/>
  <c r="D5" i="23"/>
  <c r="E5" i="23" s="1"/>
  <c r="H4" i="23"/>
  <c r="D4" i="23"/>
  <c r="E4" i="23" s="1"/>
  <c r="H3" i="23"/>
  <c r="D3" i="23"/>
  <c r="E3" i="23" s="1"/>
  <c r="E97" i="23" l="1"/>
  <c r="H97" i="23"/>
  <c r="D97" i="23"/>
  <c r="E230" i="17"/>
  <c r="F230" i="17" s="1"/>
  <c r="G145" i="20" l="1"/>
  <c r="F145" i="20"/>
  <c r="H144" i="20"/>
  <c r="D144" i="20"/>
  <c r="E144" i="20" s="1"/>
  <c r="H143" i="20"/>
  <c r="D143" i="20"/>
  <c r="E143" i="20" s="1"/>
  <c r="H142" i="20"/>
  <c r="D142" i="20"/>
  <c r="E142" i="20" s="1"/>
  <c r="H141" i="20"/>
  <c r="D141" i="20"/>
  <c r="E141" i="20" s="1"/>
  <c r="H140" i="20"/>
  <c r="D140" i="20"/>
  <c r="E140" i="20" s="1"/>
  <c r="H139" i="20"/>
  <c r="D139" i="20"/>
  <c r="E139" i="20" s="1"/>
  <c r="H138" i="20"/>
  <c r="D138" i="20"/>
  <c r="E138" i="20" s="1"/>
  <c r="H137" i="20"/>
  <c r="D137" i="20"/>
  <c r="E137" i="20" s="1"/>
  <c r="H136" i="20"/>
  <c r="D136" i="20"/>
  <c r="E136" i="20" s="1"/>
  <c r="H135" i="20"/>
  <c r="D135" i="20"/>
  <c r="E135" i="20" s="1"/>
  <c r="H134" i="20"/>
  <c r="D134" i="20"/>
  <c r="E134" i="20" s="1"/>
  <c r="H133" i="20"/>
  <c r="D133" i="20"/>
  <c r="E133" i="20" s="1"/>
  <c r="H132" i="20"/>
  <c r="D132" i="20"/>
  <c r="E132" i="20" s="1"/>
  <c r="H131" i="20"/>
  <c r="D131" i="20"/>
  <c r="E131" i="20" s="1"/>
  <c r="H130" i="20"/>
  <c r="D130" i="20"/>
  <c r="E130" i="20" s="1"/>
  <c r="H129" i="20"/>
  <c r="D129" i="20"/>
  <c r="E129" i="20" s="1"/>
  <c r="H128" i="20"/>
  <c r="D128" i="20"/>
  <c r="E128" i="20" s="1"/>
  <c r="H127" i="20"/>
  <c r="D127" i="20"/>
  <c r="E127" i="20" s="1"/>
  <c r="H126" i="20"/>
  <c r="D126" i="20"/>
  <c r="E126" i="20" s="1"/>
  <c r="H125" i="20"/>
  <c r="D125" i="20"/>
  <c r="E125" i="20" s="1"/>
  <c r="H124" i="20"/>
  <c r="D124" i="20"/>
  <c r="E124" i="20" s="1"/>
  <c r="H123" i="20"/>
  <c r="D123" i="20"/>
  <c r="E123" i="20" s="1"/>
  <c r="H122" i="20"/>
  <c r="D122" i="20"/>
  <c r="E122" i="20" s="1"/>
  <c r="H121" i="20"/>
  <c r="D121" i="20"/>
  <c r="E121" i="20" s="1"/>
  <c r="H120" i="20"/>
  <c r="D120" i="20"/>
  <c r="E120" i="20" s="1"/>
  <c r="H119" i="20"/>
  <c r="D119" i="20"/>
  <c r="E119" i="20" s="1"/>
  <c r="H118" i="20"/>
  <c r="D118" i="20"/>
  <c r="E118" i="20" s="1"/>
  <c r="H117" i="20"/>
  <c r="D117" i="20"/>
  <c r="E117" i="20" s="1"/>
  <c r="H116" i="20"/>
  <c r="D116" i="20"/>
  <c r="E116" i="20" s="1"/>
  <c r="H115" i="20"/>
  <c r="D115" i="20"/>
  <c r="E115" i="20" s="1"/>
  <c r="H114" i="20"/>
  <c r="D114" i="20"/>
  <c r="E114" i="20" s="1"/>
  <c r="H113" i="20"/>
  <c r="D113" i="20"/>
  <c r="E113" i="20" s="1"/>
  <c r="H112" i="20"/>
  <c r="D112" i="20"/>
  <c r="E112" i="20" s="1"/>
  <c r="H111" i="20"/>
  <c r="D111" i="20"/>
  <c r="E111" i="20" s="1"/>
  <c r="H110" i="20"/>
  <c r="D110" i="20"/>
  <c r="E110" i="20" s="1"/>
  <c r="H109" i="20"/>
  <c r="D109" i="20"/>
  <c r="E109" i="20" s="1"/>
  <c r="H108" i="20"/>
  <c r="D108" i="20"/>
  <c r="E108" i="20" s="1"/>
  <c r="H107" i="20"/>
  <c r="D107" i="20"/>
  <c r="E107" i="20" s="1"/>
  <c r="H106" i="20"/>
  <c r="D106" i="20"/>
  <c r="E106" i="20" s="1"/>
  <c r="H105" i="20"/>
  <c r="D105" i="20"/>
  <c r="E105" i="20" s="1"/>
  <c r="H104" i="20"/>
  <c r="D104" i="20"/>
  <c r="E104" i="20" s="1"/>
  <c r="H103" i="20"/>
  <c r="D103" i="20"/>
  <c r="E103" i="20" s="1"/>
  <c r="H102" i="20"/>
  <c r="D102" i="20"/>
  <c r="E102" i="20" s="1"/>
  <c r="H101" i="20"/>
  <c r="D101" i="20"/>
  <c r="E101" i="20" s="1"/>
  <c r="H100" i="20"/>
  <c r="D100" i="20"/>
  <c r="E100" i="20" s="1"/>
  <c r="H99" i="20"/>
  <c r="D99" i="20"/>
  <c r="E99" i="20" s="1"/>
  <c r="H98" i="20"/>
  <c r="D98" i="20"/>
  <c r="E98" i="20" s="1"/>
  <c r="H97" i="20"/>
  <c r="D97" i="20"/>
  <c r="E97" i="20" s="1"/>
  <c r="H96" i="20"/>
  <c r="D96" i="20"/>
  <c r="E96" i="20" s="1"/>
  <c r="H95" i="20"/>
  <c r="D95" i="20"/>
  <c r="E95" i="20" s="1"/>
  <c r="H94" i="20"/>
  <c r="D94" i="20"/>
  <c r="E94" i="20" s="1"/>
  <c r="H93" i="20"/>
  <c r="D93" i="20"/>
  <c r="E93" i="20" s="1"/>
  <c r="H92" i="20"/>
  <c r="D92" i="20"/>
  <c r="E92" i="20" s="1"/>
  <c r="H91" i="20"/>
  <c r="D91" i="20"/>
  <c r="E91" i="20" s="1"/>
  <c r="H90" i="20"/>
  <c r="D90" i="20"/>
  <c r="E90" i="20" s="1"/>
  <c r="H89" i="20"/>
  <c r="D89" i="20"/>
  <c r="E89" i="20" s="1"/>
  <c r="H88" i="20"/>
  <c r="D88" i="20"/>
  <c r="E88" i="20" s="1"/>
  <c r="H87" i="20"/>
  <c r="D87" i="20"/>
  <c r="E87" i="20" s="1"/>
  <c r="H86" i="20"/>
  <c r="D86" i="20"/>
  <c r="E86" i="20" s="1"/>
  <c r="H85" i="20"/>
  <c r="D85" i="20"/>
  <c r="E85" i="20" s="1"/>
  <c r="H84" i="20"/>
  <c r="D84" i="20"/>
  <c r="E84" i="20" s="1"/>
  <c r="H83" i="20"/>
  <c r="D83" i="20"/>
  <c r="E83" i="20" s="1"/>
  <c r="H82" i="20"/>
  <c r="D82" i="20"/>
  <c r="E82" i="20" s="1"/>
  <c r="H81" i="20"/>
  <c r="D81" i="20"/>
  <c r="E81" i="20" s="1"/>
  <c r="H80" i="20"/>
  <c r="D80" i="20"/>
  <c r="E80" i="20" s="1"/>
  <c r="H79" i="20"/>
  <c r="D79" i="20"/>
  <c r="E79" i="20" s="1"/>
  <c r="H78" i="20"/>
  <c r="D78" i="20"/>
  <c r="E78" i="20" s="1"/>
  <c r="H77" i="20"/>
  <c r="D77" i="20"/>
  <c r="E77" i="20" s="1"/>
  <c r="H76" i="20"/>
  <c r="D76" i="20"/>
  <c r="E76" i="20" s="1"/>
  <c r="H75" i="20"/>
  <c r="D75" i="20"/>
  <c r="E75" i="20" s="1"/>
  <c r="H74" i="20"/>
  <c r="D74" i="20"/>
  <c r="E74" i="20" s="1"/>
  <c r="H73" i="20"/>
  <c r="D73" i="20"/>
  <c r="E73" i="20" s="1"/>
  <c r="H72" i="20"/>
  <c r="D72" i="20"/>
  <c r="E72" i="20" s="1"/>
  <c r="H71" i="20"/>
  <c r="D71" i="20"/>
  <c r="E71" i="20" s="1"/>
  <c r="H70" i="20"/>
  <c r="D70" i="20"/>
  <c r="E70" i="20" s="1"/>
  <c r="H69" i="20"/>
  <c r="D69" i="20"/>
  <c r="E69" i="20" s="1"/>
  <c r="H68" i="20"/>
  <c r="D68" i="20"/>
  <c r="E68" i="20" s="1"/>
  <c r="H67" i="20"/>
  <c r="D67" i="20"/>
  <c r="E67" i="20" s="1"/>
  <c r="H66" i="20"/>
  <c r="D66" i="20"/>
  <c r="E66" i="20" s="1"/>
  <c r="H65" i="20"/>
  <c r="D65" i="20"/>
  <c r="E65" i="20" s="1"/>
  <c r="H64" i="20"/>
  <c r="D64" i="20"/>
  <c r="E64" i="20" s="1"/>
  <c r="H63" i="20"/>
  <c r="D63" i="20"/>
  <c r="E63" i="20" s="1"/>
  <c r="H62" i="20"/>
  <c r="D62" i="20"/>
  <c r="E62" i="20" s="1"/>
  <c r="H61" i="20"/>
  <c r="D61" i="20"/>
  <c r="E61" i="20" s="1"/>
  <c r="H60" i="20"/>
  <c r="D60" i="20"/>
  <c r="E60" i="20" s="1"/>
  <c r="H59" i="20"/>
  <c r="D59" i="20"/>
  <c r="E59" i="20" s="1"/>
  <c r="H58" i="20"/>
  <c r="D58" i="20"/>
  <c r="E58" i="20" s="1"/>
  <c r="H57" i="20"/>
  <c r="D57" i="20"/>
  <c r="E57" i="20" s="1"/>
  <c r="H56" i="20"/>
  <c r="D56" i="20"/>
  <c r="E56" i="20" s="1"/>
  <c r="H55" i="20"/>
  <c r="D55" i="20"/>
  <c r="E55" i="20" s="1"/>
  <c r="H54" i="20"/>
  <c r="D54" i="20"/>
  <c r="E54" i="20" s="1"/>
  <c r="H53" i="20"/>
  <c r="D53" i="20"/>
  <c r="E53" i="20" s="1"/>
  <c r="H52" i="20"/>
  <c r="D52" i="20"/>
  <c r="E52" i="20" s="1"/>
  <c r="H51" i="20"/>
  <c r="D51" i="20"/>
  <c r="E51" i="20" s="1"/>
  <c r="H50" i="20"/>
  <c r="D50" i="20"/>
  <c r="E50" i="20" s="1"/>
  <c r="H49" i="20"/>
  <c r="D49" i="20"/>
  <c r="E49" i="20" s="1"/>
  <c r="H48" i="20"/>
  <c r="D48" i="20"/>
  <c r="E48" i="20" s="1"/>
  <c r="H47" i="20"/>
  <c r="D47" i="20"/>
  <c r="E47" i="20" s="1"/>
  <c r="H46" i="20"/>
  <c r="D46" i="20"/>
  <c r="E46" i="20" s="1"/>
  <c r="H45" i="20"/>
  <c r="D45" i="20"/>
  <c r="E45" i="20" s="1"/>
  <c r="H44" i="20"/>
  <c r="D44" i="20"/>
  <c r="E44" i="20" s="1"/>
  <c r="H43" i="20"/>
  <c r="D43" i="20"/>
  <c r="E43" i="20" s="1"/>
  <c r="H42" i="20"/>
  <c r="D42" i="20"/>
  <c r="E42" i="20" s="1"/>
  <c r="H41" i="20"/>
  <c r="D41" i="20"/>
  <c r="E41" i="20" s="1"/>
  <c r="H40" i="20"/>
  <c r="D40" i="20"/>
  <c r="E40" i="20" s="1"/>
  <c r="H39" i="20"/>
  <c r="D39" i="20"/>
  <c r="E39" i="20" s="1"/>
  <c r="H38" i="20"/>
  <c r="D38" i="20"/>
  <c r="E38" i="20" s="1"/>
  <c r="H37" i="20"/>
  <c r="D37" i="20"/>
  <c r="E37" i="20" s="1"/>
  <c r="H36" i="20"/>
  <c r="D36" i="20"/>
  <c r="E36" i="20" s="1"/>
  <c r="H35" i="20"/>
  <c r="D35" i="20"/>
  <c r="E35" i="20" s="1"/>
  <c r="H34" i="20"/>
  <c r="D34" i="20"/>
  <c r="E34" i="20" s="1"/>
  <c r="H33" i="20"/>
  <c r="D33" i="20"/>
  <c r="E33" i="20" s="1"/>
  <c r="H32" i="20"/>
  <c r="D32" i="20"/>
  <c r="E32" i="20" s="1"/>
  <c r="H31" i="20"/>
  <c r="D31" i="20"/>
  <c r="E31" i="20" s="1"/>
  <c r="H30" i="20"/>
  <c r="D30" i="20"/>
  <c r="E30" i="20" s="1"/>
  <c r="H29" i="20"/>
  <c r="D29" i="20"/>
  <c r="E29" i="20" s="1"/>
  <c r="H28" i="20"/>
  <c r="D28" i="20"/>
  <c r="E28" i="20" s="1"/>
  <c r="H27" i="20"/>
  <c r="D27" i="20"/>
  <c r="E27" i="20" s="1"/>
  <c r="H26" i="20"/>
  <c r="D26" i="20"/>
  <c r="E26" i="20" s="1"/>
  <c r="H25" i="20"/>
  <c r="D25" i="20"/>
  <c r="E25" i="20" s="1"/>
  <c r="H24" i="20"/>
  <c r="D24" i="20"/>
  <c r="E24" i="20" s="1"/>
  <c r="H23" i="20"/>
  <c r="D23" i="20"/>
  <c r="E23" i="20" s="1"/>
  <c r="H22" i="20"/>
  <c r="D22" i="20"/>
  <c r="E22" i="20" s="1"/>
  <c r="H21" i="20"/>
  <c r="D21" i="20"/>
  <c r="E21" i="20" s="1"/>
  <c r="H20" i="20"/>
  <c r="D20" i="20"/>
  <c r="E20" i="20" s="1"/>
  <c r="H19" i="20"/>
  <c r="D19" i="20"/>
  <c r="E19" i="20" s="1"/>
  <c r="H18" i="20"/>
  <c r="D18" i="20"/>
  <c r="E18" i="20" s="1"/>
  <c r="H17" i="20"/>
  <c r="D17" i="20"/>
  <c r="E17" i="20" s="1"/>
  <c r="H16" i="20"/>
  <c r="D16" i="20"/>
  <c r="E16" i="20" s="1"/>
  <c r="H15" i="20"/>
  <c r="D15" i="20"/>
  <c r="E15" i="20" s="1"/>
  <c r="H14" i="20"/>
  <c r="D14" i="20"/>
  <c r="E14" i="20" s="1"/>
  <c r="H13" i="20"/>
  <c r="D13" i="20"/>
  <c r="E13" i="20" s="1"/>
  <c r="H12" i="20"/>
  <c r="D12" i="20"/>
  <c r="E12" i="20" s="1"/>
  <c r="H11" i="20"/>
  <c r="D11" i="20"/>
  <c r="E11" i="20" s="1"/>
  <c r="H10" i="20"/>
  <c r="D10" i="20"/>
  <c r="E10" i="20" s="1"/>
  <c r="H9" i="20"/>
  <c r="D9" i="20"/>
  <c r="E9" i="20" s="1"/>
  <c r="H8" i="20"/>
  <c r="D8" i="20"/>
  <c r="E8" i="20" s="1"/>
  <c r="H7" i="20"/>
  <c r="D7" i="20"/>
  <c r="E7" i="20" s="1"/>
  <c r="H6" i="20"/>
  <c r="D6" i="20"/>
  <c r="E6" i="20" s="1"/>
  <c r="H5" i="20"/>
  <c r="D5" i="20"/>
  <c r="E5" i="20" s="1"/>
  <c r="H4" i="20"/>
  <c r="D4" i="20"/>
  <c r="E4" i="20" s="1"/>
  <c r="H3" i="20"/>
  <c r="D3" i="20"/>
  <c r="D145" i="20" l="1"/>
  <c r="H145" i="20"/>
  <c r="E3" i="20"/>
  <c r="E145" i="20" s="1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3" i="17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3" i="14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3" i="11"/>
  <c r="F231" i="17"/>
  <c r="G231" i="17" l="1"/>
  <c r="D231" i="17"/>
  <c r="G195" i="14"/>
  <c r="F195" i="14"/>
  <c r="D195" i="14"/>
  <c r="G208" i="11"/>
  <c r="F208" i="11"/>
  <c r="D208" i="11"/>
  <c r="E195" i="14" l="1"/>
  <c r="D197" i="14"/>
  <c r="H179" i="17" l="1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178" i="17"/>
  <c r="H177" i="17"/>
  <c r="H176" i="17"/>
  <c r="H175" i="17"/>
  <c r="H174" i="17"/>
  <c r="H173" i="17"/>
  <c r="H172" i="17"/>
  <c r="H171" i="17"/>
  <c r="H170" i="17"/>
  <c r="H169" i="17"/>
  <c r="E173" i="17"/>
  <c r="E178" i="17"/>
  <c r="E179" i="17"/>
  <c r="E186" i="17"/>
  <c r="E202" i="17"/>
  <c r="E206" i="17"/>
  <c r="E226" i="17"/>
  <c r="E169" i="17"/>
  <c r="E170" i="17"/>
  <c r="E171" i="17"/>
  <c r="E172" i="17"/>
  <c r="E174" i="17"/>
  <c r="E175" i="17"/>
  <c r="E176" i="17"/>
  <c r="E177" i="17"/>
  <c r="E180" i="17"/>
  <c r="E181" i="17"/>
  <c r="E182" i="17"/>
  <c r="E183" i="17"/>
  <c r="E184" i="17"/>
  <c r="E185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3" i="17"/>
  <c r="E204" i="17"/>
  <c r="E205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7" i="17"/>
  <c r="E228" i="17"/>
  <c r="E229" i="17"/>
  <c r="H85" i="17"/>
  <c r="H86" i="17"/>
  <c r="H87" i="17"/>
  <c r="H2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E15" i="17"/>
  <c r="E19" i="17"/>
  <c r="E36" i="17"/>
  <c r="E37" i="17"/>
  <c r="E44" i="17"/>
  <c r="E48" i="17"/>
  <c r="E49" i="17"/>
  <c r="E50" i="17"/>
  <c r="E63" i="17"/>
  <c r="E68" i="17"/>
  <c r="E86" i="17"/>
  <c r="E90" i="17"/>
  <c r="E99" i="17"/>
  <c r="E100" i="17"/>
  <c r="E108" i="17"/>
  <c r="E114" i="17"/>
  <c r="E150" i="17"/>
  <c r="E158" i="17"/>
  <c r="E159" i="17"/>
  <c r="E168" i="17"/>
  <c r="E9" i="17"/>
  <c r="E10" i="17"/>
  <c r="E11" i="17"/>
  <c r="E12" i="17"/>
  <c r="E13" i="17"/>
  <c r="E14" i="17"/>
  <c r="E16" i="17"/>
  <c r="E17" i="17"/>
  <c r="E18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8" i="17"/>
  <c r="E39" i="17"/>
  <c r="E40" i="17"/>
  <c r="E41" i="17"/>
  <c r="E42" i="17"/>
  <c r="E43" i="17"/>
  <c r="E45" i="17"/>
  <c r="E46" i="17"/>
  <c r="E47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4" i="17"/>
  <c r="E65" i="17"/>
  <c r="E66" i="17"/>
  <c r="E67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7" i="17"/>
  <c r="E88" i="17"/>
  <c r="E89" i="17"/>
  <c r="E91" i="17"/>
  <c r="E92" i="17"/>
  <c r="E93" i="17"/>
  <c r="E94" i="17"/>
  <c r="E95" i="17"/>
  <c r="E96" i="17"/>
  <c r="E97" i="17"/>
  <c r="E98" i="17"/>
  <c r="E101" i="17"/>
  <c r="E102" i="17"/>
  <c r="E103" i="17"/>
  <c r="E104" i="17"/>
  <c r="E105" i="17"/>
  <c r="E106" i="17"/>
  <c r="E107" i="17"/>
  <c r="E109" i="17"/>
  <c r="E110" i="17"/>
  <c r="E111" i="17"/>
  <c r="E112" i="17"/>
  <c r="E113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1" i="17"/>
  <c r="E152" i="17"/>
  <c r="E153" i="17"/>
  <c r="E154" i="17"/>
  <c r="E155" i="17"/>
  <c r="E156" i="17"/>
  <c r="E157" i="17"/>
  <c r="E160" i="17"/>
  <c r="E161" i="17"/>
  <c r="E162" i="17"/>
  <c r="E163" i="17"/>
  <c r="E164" i="17"/>
  <c r="E165" i="17"/>
  <c r="E166" i="17"/>
  <c r="E167" i="17"/>
  <c r="H8" i="17"/>
  <c r="E8" i="17"/>
  <c r="H7" i="17"/>
  <c r="E7" i="17"/>
  <c r="H6" i="17"/>
  <c r="E6" i="17"/>
  <c r="H5" i="17"/>
  <c r="E5" i="17"/>
  <c r="H4" i="17"/>
  <c r="E4" i="17"/>
  <c r="H3" i="17"/>
  <c r="E3" i="17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3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58" i="11"/>
  <c r="D185" i="8"/>
  <c r="E185" i="8" s="1"/>
  <c r="D184" i="8"/>
  <c r="E184" i="8" s="1"/>
  <c r="D183" i="8"/>
  <c r="E183" i="8" s="1"/>
  <c r="D182" i="8"/>
  <c r="E182" i="8"/>
  <c r="D181" i="8"/>
  <c r="E181" i="8"/>
  <c r="D180" i="8"/>
  <c r="E180" i="8" s="1"/>
  <c r="D179" i="8"/>
  <c r="E179" i="8" s="1"/>
  <c r="D178" i="8"/>
  <c r="E178" i="8"/>
  <c r="D177" i="8"/>
  <c r="E177" i="8" s="1"/>
  <c r="D176" i="8"/>
  <c r="E176" i="8" s="1"/>
  <c r="D175" i="8"/>
  <c r="E175" i="8" s="1"/>
  <c r="D174" i="8"/>
  <c r="E174" i="8" s="1"/>
  <c r="D173" i="8"/>
  <c r="E173" i="8" s="1"/>
  <c r="D172" i="8"/>
  <c r="E172" i="8"/>
  <c r="D171" i="8"/>
  <c r="E171" i="8"/>
  <c r="D170" i="8"/>
  <c r="E170" i="8" s="1"/>
  <c r="D169" i="8"/>
  <c r="E169" i="8" s="1"/>
  <c r="D168" i="8"/>
  <c r="E168" i="8" s="1"/>
  <c r="D167" i="8"/>
  <c r="E167" i="8"/>
  <c r="D166" i="8"/>
  <c r="E166" i="8" s="1"/>
  <c r="D165" i="8"/>
  <c r="E165" i="8" s="1"/>
  <c r="D164" i="8"/>
  <c r="E164" i="8" s="1"/>
  <c r="D163" i="8"/>
  <c r="E163" i="8" s="1"/>
  <c r="D162" i="8"/>
  <c r="E162" i="8"/>
  <c r="D161" i="8"/>
  <c r="E161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D160" i="8"/>
  <c r="E160" i="8"/>
  <c r="D159" i="8"/>
  <c r="E159" i="8"/>
  <c r="D158" i="8"/>
  <c r="E158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3" i="8"/>
  <c r="D4" i="8"/>
  <c r="E4" i="8" s="1"/>
  <c r="D5" i="8"/>
  <c r="E5" i="8" s="1"/>
  <c r="D6" i="8"/>
  <c r="D7" i="8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H157" i="8"/>
  <c r="D157" i="8"/>
  <c r="E157" i="8" s="1"/>
  <c r="H156" i="8"/>
  <c r="D156" i="8"/>
  <c r="E156" i="8" s="1"/>
  <c r="H155" i="8"/>
  <c r="D155" i="8"/>
  <c r="E155" i="8" s="1"/>
  <c r="H154" i="8"/>
  <c r="D154" i="8"/>
  <c r="E154" i="8" s="1"/>
  <c r="H153" i="8"/>
  <c r="D153" i="8"/>
  <c r="E153" i="8" s="1"/>
  <c r="H152" i="8"/>
  <c r="D152" i="8"/>
  <c r="E152" i="8" s="1"/>
  <c r="H151" i="8"/>
  <c r="D151" i="8"/>
  <c r="E151" i="8" s="1"/>
  <c r="H150" i="8"/>
  <c r="D150" i="8"/>
  <c r="E150" i="8" s="1"/>
  <c r="H149" i="8"/>
  <c r="D149" i="8"/>
  <c r="E149" i="8" s="1"/>
  <c r="H148" i="8"/>
  <c r="D148" i="8"/>
  <c r="E148" i="8" s="1"/>
  <c r="H147" i="8"/>
  <c r="D147" i="8"/>
  <c r="E147" i="8" s="1"/>
  <c r="H146" i="8"/>
  <c r="D146" i="8"/>
  <c r="E146" i="8" s="1"/>
  <c r="H145" i="8"/>
  <c r="D145" i="8"/>
  <c r="E145" i="8" s="1"/>
  <c r="H144" i="8"/>
  <c r="D144" i="8"/>
  <c r="E144" i="8" s="1"/>
  <c r="H143" i="8"/>
  <c r="D143" i="8"/>
  <c r="E143" i="8" s="1"/>
  <c r="H142" i="8"/>
  <c r="D142" i="8"/>
  <c r="E142" i="8" s="1"/>
  <c r="H141" i="8"/>
  <c r="D141" i="8"/>
  <c r="E141" i="8" s="1"/>
  <c r="H140" i="8"/>
  <c r="D140" i="8"/>
  <c r="E140" i="8" s="1"/>
  <c r="H139" i="8"/>
  <c r="D139" i="8"/>
  <c r="E139" i="8" s="1"/>
  <c r="H138" i="8"/>
  <c r="D138" i="8"/>
  <c r="E138" i="8" s="1"/>
  <c r="H137" i="8"/>
  <c r="D137" i="8"/>
  <c r="E137" i="8" s="1"/>
  <c r="H136" i="8"/>
  <c r="D136" i="8"/>
  <c r="E136" i="8" s="1"/>
  <c r="H135" i="8"/>
  <c r="D135" i="8"/>
  <c r="E135" i="8" s="1"/>
  <c r="H134" i="8"/>
  <c r="D134" i="8"/>
  <c r="E134" i="8" s="1"/>
  <c r="H133" i="8"/>
  <c r="D133" i="8"/>
  <c r="E133" i="8" s="1"/>
  <c r="H132" i="8"/>
  <c r="D132" i="8"/>
  <c r="E132" i="8" s="1"/>
  <c r="H131" i="8"/>
  <c r="D131" i="8"/>
  <c r="E131" i="8" s="1"/>
  <c r="H130" i="8"/>
  <c r="D130" i="8"/>
  <c r="E130" i="8" s="1"/>
  <c r="H129" i="8"/>
  <c r="D129" i="8"/>
  <c r="E129" i="8" s="1"/>
  <c r="H128" i="8"/>
  <c r="D128" i="8"/>
  <c r="E128" i="8" s="1"/>
  <c r="H127" i="8"/>
  <c r="D127" i="8"/>
  <c r="E127" i="8" s="1"/>
  <c r="H126" i="8"/>
  <c r="D126" i="8"/>
  <c r="E126" i="8" s="1"/>
  <c r="H125" i="8"/>
  <c r="D125" i="8"/>
  <c r="E125" i="8" s="1"/>
  <c r="H124" i="8"/>
  <c r="D124" i="8"/>
  <c r="E124" i="8" s="1"/>
  <c r="H123" i="8"/>
  <c r="D123" i="8"/>
  <c r="E123" i="8" s="1"/>
  <c r="H122" i="8"/>
  <c r="D122" i="8"/>
  <c r="E122" i="8" s="1"/>
  <c r="H121" i="8"/>
  <c r="D121" i="8"/>
  <c r="E121" i="8" s="1"/>
  <c r="H120" i="8"/>
  <c r="D120" i="8"/>
  <c r="E120" i="8" s="1"/>
  <c r="H119" i="8"/>
  <c r="D119" i="8"/>
  <c r="E119" i="8" s="1"/>
  <c r="H118" i="8"/>
  <c r="D118" i="8"/>
  <c r="E118" i="8" s="1"/>
  <c r="H117" i="8"/>
  <c r="D117" i="8"/>
  <c r="E117" i="8" s="1"/>
  <c r="H116" i="8"/>
  <c r="D116" i="8"/>
  <c r="E116" i="8" s="1"/>
  <c r="H115" i="8"/>
  <c r="D115" i="8"/>
  <c r="E115" i="8" s="1"/>
  <c r="H114" i="8"/>
  <c r="D114" i="8"/>
  <c r="E114" i="8" s="1"/>
  <c r="H113" i="8"/>
  <c r="D113" i="8"/>
  <c r="E113" i="8" s="1"/>
  <c r="H112" i="8"/>
  <c r="D112" i="8"/>
  <c r="E112" i="8" s="1"/>
  <c r="H111" i="8"/>
  <c r="D111" i="8"/>
  <c r="E111" i="8" s="1"/>
  <c r="H110" i="8"/>
  <c r="D110" i="8"/>
  <c r="E110" i="8" s="1"/>
  <c r="H109" i="8"/>
  <c r="D109" i="8"/>
  <c r="E109" i="8" s="1"/>
  <c r="H108" i="8"/>
  <c r="D108" i="8"/>
  <c r="E108" i="8" s="1"/>
  <c r="H107" i="8"/>
  <c r="D107" i="8"/>
  <c r="E107" i="8" s="1"/>
  <c r="H106" i="8"/>
  <c r="D106" i="8"/>
  <c r="E106" i="8" s="1"/>
  <c r="H105" i="8"/>
  <c r="D105" i="8"/>
  <c r="E105" i="8" s="1"/>
  <c r="H104" i="8"/>
  <c r="D104" i="8"/>
  <c r="E104" i="8" s="1"/>
  <c r="H103" i="8"/>
  <c r="D103" i="8"/>
  <c r="E103" i="8" s="1"/>
  <c r="H102" i="8"/>
  <c r="D102" i="8"/>
  <c r="E102" i="8" s="1"/>
  <c r="H101" i="8"/>
  <c r="D101" i="8"/>
  <c r="E101" i="8" s="1"/>
  <c r="H100" i="8"/>
  <c r="D100" i="8"/>
  <c r="E100" i="8" s="1"/>
  <c r="H99" i="8"/>
  <c r="D99" i="8"/>
  <c r="E99" i="8" s="1"/>
  <c r="H98" i="8"/>
  <c r="D98" i="8"/>
  <c r="E98" i="8" s="1"/>
  <c r="H97" i="8"/>
  <c r="D97" i="8"/>
  <c r="E97" i="8" s="1"/>
  <c r="H96" i="8"/>
  <c r="D96" i="8"/>
  <c r="E96" i="8" s="1"/>
  <c r="H95" i="8"/>
  <c r="D95" i="8"/>
  <c r="E95" i="8" s="1"/>
  <c r="H94" i="8"/>
  <c r="D94" i="8"/>
  <c r="E94" i="8" s="1"/>
  <c r="H93" i="8"/>
  <c r="D93" i="8"/>
  <c r="E93" i="8" s="1"/>
  <c r="H92" i="8"/>
  <c r="D92" i="8"/>
  <c r="E92" i="8" s="1"/>
  <c r="H91" i="8"/>
  <c r="D91" i="8"/>
  <c r="E91" i="8" s="1"/>
  <c r="H90" i="8"/>
  <c r="D90" i="8"/>
  <c r="E90" i="8" s="1"/>
  <c r="H89" i="8"/>
  <c r="D89" i="8"/>
  <c r="E89" i="8" s="1"/>
  <c r="H88" i="8"/>
  <c r="D88" i="8"/>
  <c r="E88" i="8" s="1"/>
  <c r="H87" i="8"/>
  <c r="D87" i="8"/>
  <c r="E87" i="8" s="1"/>
  <c r="H86" i="8"/>
  <c r="D86" i="8"/>
  <c r="E86" i="8" s="1"/>
  <c r="H85" i="8"/>
  <c r="D85" i="8"/>
  <c r="E85" i="8" s="1"/>
  <c r="H84" i="8"/>
  <c r="D84" i="8"/>
  <c r="E84" i="8" s="1"/>
  <c r="H83" i="8"/>
  <c r="D83" i="8"/>
  <c r="E83" i="8" s="1"/>
  <c r="H82" i="8"/>
  <c r="D82" i="8"/>
  <c r="E82" i="8" s="1"/>
  <c r="H81" i="8"/>
  <c r="D81" i="8"/>
  <c r="E81" i="8" s="1"/>
  <c r="H80" i="8"/>
  <c r="D80" i="8"/>
  <c r="E80" i="8" s="1"/>
  <c r="H79" i="8"/>
  <c r="D79" i="8"/>
  <c r="E79" i="8" s="1"/>
  <c r="H78" i="8"/>
  <c r="D78" i="8"/>
  <c r="E78" i="8" s="1"/>
  <c r="H77" i="8"/>
  <c r="D77" i="8"/>
  <c r="E77" i="8" s="1"/>
  <c r="H76" i="8"/>
  <c r="D76" i="8"/>
  <c r="E76" i="8" s="1"/>
  <c r="H75" i="8"/>
  <c r="D75" i="8"/>
  <c r="E75" i="8" s="1"/>
  <c r="H74" i="8"/>
  <c r="D74" i="8"/>
  <c r="E74" i="8" s="1"/>
  <c r="H73" i="8"/>
  <c r="D73" i="8"/>
  <c r="E73" i="8" s="1"/>
  <c r="H72" i="8"/>
  <c r="D72" i="8"/>
  <c r="E72" i="8" s="1"/>
  <c r="H71" i="8"/>
  <c r="D71" i="8"/>
  <c r="E71" i="8" s="1"/>
  <c r="H70" i="8"/>
  <c r="D70" i="8"/>
  <c r="E70" i="8" s="1"/>
  <c r="H69" i="8"/>
  <c r="D69" i="8"/>
  <c r="E69" i="8" s="1"/>
  <c r="H68" i="8"/>
  <c r="D68" i="8"/>
  <c r="E68" i="8" s="1"/>
  <c r="H67" i="8"/>
  <c r="D67" i="8"/>
  <c r="E67" i="8" s="1"/>
  <c r="H66" i="8"/>
  <c r="D66" i="8"/>
  <c r="E66" i="8" s="1"/>
  <c r="H65" i="8"/>
  <c r="D65" i="8"/>
  <c r="E65" i="8" s="1"/>
  <c r="H64" i="8"/>
  <c r="D64" i="8"/>
  <c r="E64" i="8" s="1"/>
  <c r="H63" i="8"/>
  <c r="D63" i="8"/>
  <c r="E63" i="8" s="1"/>
  <c r="H62" i="8"/>
  <c r="D62" i="8"/>
  <c r="E62" i="8" s="1"/>
  <c r="H61" i="8"/>
  <c r="D61" i="8"/>
  <c r="E61" i="8" s="1"/>
  <c r="H60" i="8"/>
  <c r="D60" i="8"/>
  <c r="E60" i="8" s="1"/>
  <c r="H59" i="8"/>
  <c r="D59" i="8"/>
  <c r="E59" i="8" s="1"/>
  <c r="H58" i="8"/>
  <c r="D58" i="8"/>
  <c r="E58" i="8" s="1"/>
  <c r="H57" i="8"/>
  <c r="D57" i="8"/>
  <c r="E57" i="8" s="1"/>
  <c r="H56" i="8"/>
  <c r="D56" i="8"/>
  <c r="E56" i="8" s="1"/>
  <c r="H55" i="8"/>
  <c r="D55" i="8"/>
  <c r="E55" i="8" s="1"/>
  <c r="H54" i="8"/>
  <c r="D54" i="8"/>
  <c r="E54" i="8" s="1"/>
  <c r="H53" i="8"/>
  <c r="D53" i="8"/>
  <c r="E53" i="8" s="1"/>
  <c r="H52" i="8"/>
  <c r="D52" i="8"/>
  <c r="E52" i="8" s="1"/>
  <c r="H51" i="8"/>
  <c r="D51" i="8"/>
  <c r="E51" i="8" s="1"/>
  <c r="H50" i="8"/>
  <c r="D50" i="8"/>
  <c r="E50" i="8" s="1"/>
  <c r="H49" i="8"/>
  <c r="D49" i="8"/>
  <c r="E49" i="8" s="1"/>
  <c r="H48" i="8"/>
  <c r="D48" i="8"/>
  <c r="E48" i="8" s="1"/>
  <c r="H47" i="8"/>
  <c r="D47" i="8"/>
  <c r="E47" i="8" s="1"/>
  <c r="H46" i="8"/>
  <c r="D46" i="8"/>
  <c r="E46" i="8" s="1"/>
  <c r="H45" i="8"/>
  <c r="D45" i="8"/>
  <c r="E45" i="8" s="1"/>
  <c r="H44" i="8"/>
  <c r="D44" i="8"/>
  <c r="E44" i="8" s="1"/>
  <c r="H43" i="8"/>
  <c r="D43" i="8"/>
  <c r="E43" i="8" s="1"/>
  <c r="H42" i="8"/>
  <c r="D42" i="8"/>
  <c r="E42" i="8" s="1"/>
  <c r="H41" i="8"/>
  <c r="D41" i="8"/>
  <c r="E41" i="8" s="1"/>
  <c r="H40" i="8"/>
  <c r="D40" i="8"/>
  <c r="E40" i="8" s="1"/>
  <c r="H39" i="8"/>
  <c r="D39" i="8"/>
  <c r="E39" i="8" s="1"/>
  <c r="H38" i="8"/>
  <c r="D38" i="8"/>
  <c r="E38" i="8" s="1"/>
  <c r="H37" i="8"/>
  <c r="D37" i="8"/>
  <c r="E37" i="8" s="1"/>
  <c r="H36" i="8"/>
  <c r="D36" i="8"/>
  <c r="E36" i="8" s="1"/>
  <c r="H35" i="8"/>
  <c r="D35" i="8"/>
  <c r="E35" i="8" s="1"/>
  <c r="H34" i="8"/>
  <c r="D34" i="8"/>
  <c r="E34" i="8" s="1"/>
  <c r="H33" i="8"/>
  <c r="D33" i="8"/>
  <c r="E33" i="8" s="1"/>
  <c r="H32" i="8"/>
  <c r="D32" i="8"/>
  <c r="E32" i="8" s="1"/>
  <c r="H31" i="8"/>
  <c r="D31" i="8"/>
  <c r="E31" i="8" s="1"/>
  <c r="H30" i="8"/>
  <c r="D30" i="8"/>
  <c r="E30" i="8" s="1"/>
  <c r="H29" i="8"/>
  <c r="D29" i="8"/>
  <c r="E29" i="8" s="1"/>
  <c r="H28" i="8"/>
  <c r="D28" i="8"/>
  <c r="E28" i="8" s="1"/>
  <c r="H27" i="8"/>
  <c r="D27" i="8"/>
  <c r="E27" i="8" s="1"/>
  <c r="H26" i="8"/>
  <c r="D26" i="8"/>
  <c r="E26" i="8" s="1"/>
  <c r="H25" i="8"/>
  <c r="D25" i="8"/>
  <c r="E25" i="8" s="1"/>
  <c r="H24" i="8"/>
  <c r="D24" i="8"/>
  <c r="E24" i="8" s="1"/>
  <c r="H23" i="8"/>
  <c r="D23" i="8"/>
  <c r="E23" i="8" s="1"/>
  <c r="D22" i="8"/>
  <c r="E22" i="8" s="1"/>
  <c r="D21" i="8"/>
  <c r="E21" i="8" s="1"/>
  <c r="D20" i="8"/>
  <c r="E20" i="8" s="1"/>
  <c r="D19" i="8"/>
  <c r="E19" i="8" s="1"/>
  <c r="E18" i="8"/>
  <c r="E7" i="8"/>
  <c r="E6" i="8"/>
  <c r="D3" i="8"/>
  <c r="E3" i="8" s="1"/>
  <c r="D188" i="8" l="1"/>
  <c r="H195" i="14"/>
  <c r="E231" i="17"/>
  <c r="H231" i="17"/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208" i="11" l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5" i="5"/>
  <c r="D157" i="5"/>
  <c r="E157" i="5" s="1"/>
  <c r="D156" i="5"/>
  <c r="E156" i="5" s="1"/>
  <c r="D155" i="5"/>
  <c r="E155" i="5" s="1"/>
  <c r="D154" i="5"/>
  <c r="E154" i="5" s="1"/>
  <c r="D153" i="5"/>
  <c r="E153" i="5" s="1"/>
  <c r="D152" i="5"/>
  <c r="E152" i="5" s="1"/>
  <c r="D151" i="5"/>
  <c r="E151" i="5" s="1"/>
  <c r="D150" i="5"/>
  <c r="E150" i="5" s="1"/>
  <c r="D149" i="5"/>
  <c r="E149" i="5" s="1"/>
  <c r="D148" i="5"/>
  <c r="E148" i="5" s="1"/>
  <c r="D147" i="5"/>
  <c r="E147" i="5" s="1"/>
  <c r="D146" i="5"/>
  <c r="E146" i="5" s="1"/>
  <c r="D145" i="5"/>
  <c r="E145" i="5" s="1"/>
  <c r="D144" i="5"/>
  <c r="E144" i="5" s="1"/>
  <c r="D143" i="5"/>
  <c r="E143" i="5" s="1"/>
  <c r="D142" i="5"/>
  <c r="E142" i="5" s="1"/>
  <c r="D141" i="5"/>
  <c r="E141" i="5" s="1"/>
  <c r="D140" i="5"/>
  <c r="E140" i="5" s="1"/>
  <c r="D139" i="5"/>
  <c r="E139" i="5" s="1"/>
  <c r="D138" i="5"/>
  <c r="E138" i="5" s="1"/>
  <c r="D137" i="5"/>
  <c r="E137" i="5" s="1"/>
  <c r="D136" i="5"/>
  <c r="E136" i="5" s="1"/>
  <c r="D135" i="5"/>
  <c r="E135" i="5" s="1"/>
  <c r="D134" i="5"/>
  <c r="E134" i="5" s="1"/>
  <c r="D133" i="5"/>
  <c r="E133" i="5" s="1"/>
  <c r="D132" i="5"/>
  <c r="E132" i="5" s="1"/>
  <c r="D131" i="5"/>
  <c r="E131" i="5" s="1"/>
  <c r="D130" i="5"/>
  <c r="E130" i="5" s="1"/>
  <c r="D129" i="5"/>
  <c r="E129" i="5" s="1"/>
  <c r="D128" i="5"/>
  <c r="E128" i="5" s="1"/>
  <c r="D127" i="5"/>
  <c r="E127" i="5" s="1"/>
  <c r="D126" i="5"/>
  <c r="E126" i="5" s="1"/>
  <c r="D125" i="5"/>
  <c r="E125" i="5" s="1"/>
  <c r="D124" i="5"/>
  <c r="E124" i="5" s="1"/>
  <c r="D123" i="5"/>
  <c r="E123" i="5" s="1"/>
  <c r="D122" i="5"/>
  <c r="E122" i="5" s="1"/>
  <c r="D121" i="5"/>
  <c r="E121" i="5" s="1"/>
  <c r="D120" i="5"/>
  <c r="E120" i="5" s="1"/>
  <c r="D119" i="5"/>
  <c r="E119" i="5" s="1"/>
  <c r="D118" i="5"/>
  <c r="E118" i="5" s="1"/>
  <c r="D117" i="5"/>
  <c r="E117" i="5" s="1"/>
  <c r="D116" i="5"/>
  <c r="E116" i="5" s="1"/>
  <c r="D115" i="5"/>
  <c r="E115" i="5" s="1"/>
  <c r="D114" i="5"/>
  <c r="E114" i="5" s="1"/>
  <c r="D113" i="5"/>
  <c r="E113" i="5" s="1"/>
  <c r="D112" i="5"/>
  <c r="E112" i="5" s="1"/>
  <c r="D111" i="5"/>
  <c r="E111" i="5" s="1"/>
  <c r="D110" i="5"/>
  <c r="E110" i="5" s="1"/>
  <c r="D109" i="5"/>
  <c r="E109" i="5" s="1"/>
  <c r="D108" i="5"/>
  <c r="E108" i="5" s="1"/>
  <c r="D107" i="5"/>
  <c r="E107" i="5" s="1"/>
  <c r="D106" i="5"/>
  <c r="E106" i="5" s="1"/>
  <c r="D105" i="5"/>
  <c r="E105" i="5" s="1"/>
  <c r="D104" i="5"/>
  <c r="E104" i="5" s="1"/>
  <c r="D103" i="5"/>
  <c r="E103" i="5" s="1"/>
  <c r="D102" i="5"/>
  <c r="E102" i="5" s="1"/>
  <c r="D101" i="5"/>
  <c r="E101" i="5" s="1"/>
  <c r="D100" i="5"/>
  <c r="E100" i="5" s="1"/>
  <c r="D99" i="5"/>
  <c r="E99" i="5" s="1"/>
  <c r="D98" i="5"/>
  <c r="E98" i="5" s="1"/>
  <c r="D97" i="5"/>
  <c r="E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D90" i="5"/>
  <c r="E90" i="5" s="1"/>
  <c r="D89" i="5"/>
  <c r="E89" i="5" s="1"/>
  <c r="D88" i="5"/>
  <c r="E88" i="5" s="1"/>
  <c r="D87" i="5"/>
  <c r="E87" i="5" s="1"/>
  <c r="D86" i="5"/>
  <c r="E86" i="5" s="1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9" i="5"/>
  <c r="E79" i="5" s="1"/>
  <c r="D78" i="5"/>
  <c r="E78" i="5" s="1"/>
  <c r="D77" i="5"/>
  <c r="E77" i="5" s="1"/>
  <c r="D76" i="5"/>
  <c r="E76" i="5" s="1"/>
  <c r="D75" i="5"/>
  <c r="E75" i="5" s="1"/>
  <c r="D74" i="5"/>
  <c r="E74" i="5" s="1"/>
  <c r="D73" i="5"/>
  <c r="E73" i="5" s="1"/>
  <c r="D72" i="5"/>
  <c r="E72" i="5" s="1"/>
  <c r="D71" i="5"/>
  <c r="E71" i="5" s="1"/>
  <c r="D70" i="5"/>
  <c r="E70" i="5" s="1"/>
  <c r="D69" i="5"/>
  <c r="E69" i="5" s="1"/>
  <c r="D68" i="5"/>
  <c r="E68" i="5" s="1"/>
  <c r="D67" i="5"/>
  <c r="E67" i="5" s="1"/>
  <c r="D66" i="5"/>
  <c r="E66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D56" i="5"/>
  <c r="E56" i="5" s="1"/>
  <c r="D55" i="5"/>
  <c r="E55" i="5" s="1"/>
  <c r="D54" i="5"/>
  <c r="E54" i="5" s="1"/>
  <c r="D53" i="5"/>
  <c r="E53" i="5" s="1"/>
  <c r="D52" i="5"/>
  <c r="E52" i="5" s="1"/>
  <c r="D51" i="5"/>
  <c r="E51" i="5" s="1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D43" i="5"/>
  <c r="E43" i="5" s="1"/>
  <c r="D42" i="5"/>
  <c r="E42" i="5" s="1"/>
  <c r="D41" i="5"/>
  <c r="E41" i="5" s="1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H102" i="2"/>
  <c r="E39" i="2"/>
  <c r="E51" i="2"/>
  <c r="E57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3" i="2"/>
  <c r="H104" i="2"/>
  <c r="H105" i="2"/>
  <c r="H106" i="2"/>
  <c r="H107" i="2"/>
  <c r="H108" i="2"/>
  <c r="H4" i="2"/>
  <c r="D108" i="2"/>
  <c r="E108" i="2" s="1"/>
  <c r="D107" i="2"/>
  <c r="E107" i="2" s="1"/>
  <c r="D106" i="2"/>
  <c r="E106" i="2" s="1"/>
  <c r="D105" i="2"/>
  <c r="E105" i="2" s="1"/>
  <c r="D104" i="2"/>
  <c r="E104" i="2" s="1"/>
  <c r="D103" i="2"/>
  <c r="E103" i="2" s="1"/>
  <c r="D102" i="2"/>
  <c r="E102" i="2" s="1"/>
  <c r="D101" i="2"/>
  <c r="E101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8" i="2"/>
  <c r="E88" i="2" s="1"/>
  <c r="D87" i="2"/>
  <c r="E87" i="2" s="1"/>
  <c r="D86" i="2"/>
  <c r="E86" i="2" s="1"/>
  <c r="D85" i="2"/>
  <c r="E85" i="2" s="1"/>
  <c r="D84" i="2"/>
  <c r="E84" i="2" s="1"/>
  <c r="D83" i="2"/>
  <c r="E83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D56" i="2"/>
  <c r="E56" i="2" s="1"/>
  <c r="D55" i="2"/>
  <c r="E55" i="2" s="1"/>
  <c r="D54" i="2"/>
  <c r="E54" i="2" s="1"/>
  <c r="D53" i="2"/>
  <c r="E53" i="2" s="1"/>
  <c r="D52" i="2"/>
  <c r="E52" i="2" s="1"/>
  <c r="D51" i="2"/>
  <c r="D50" i="2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5" l="1"/>
  <c r="D162" i="5"/>
  <c r="E3" i="2"/>
  <c r="D114" i="2"/>
  <c r="D193" i="8" l="1"/>
</calcChain>
</file>

<file path=xl/sharedStrings.xml><?xml version="1.0" encoding="utf-8"?>
<sst xmlns="http://schemas.openxmlformats.org/spreadsheetml/2006/main" count="6612" uniqueCount="3288">
  <si>
    <t>FECHA</t>
  </si>
  <si>
    <t>Nº FACTURA</t>
  </si>
  <si>
    <t>TOTAL</t>
  </si>
  <si>
    <t xml:space="preserve"> CONCEPTO</t>
  </si>
  <si>
    <t>B. IMPONIBLE</t>
  </si>
  <si>
    <t>FORMA DE PAGO</t>
  </si>
  <si>
    <t xml:space="preserve">RESERVA </t>
  </si>
  <si>
    <t>LIMUSINAS</t>
  </si>
  <si>
    <t>EXTRAS</t>
  </si>
  <si>
    <t>CONCEPTO</t>
  </si>
  <si>
    <t>COMISIONABLE</t>
  </si>
  <si>
    <t>PAGADO</t>
  </si>
  <si>
    <t>TRANSFERENCIA</t>
  </si>
  <si>
    <t>EFECTIVO</t>
  </si>
  <si>
    <t>GESTION SERVICIO ALQUILER LIMUSINA</t>
  </si>
  <si>
    <t>COLABORADOR</t>
  </si>
  <si>
    <t>PACK CUMPLEAÑOS</t>
  </si>
  <si>
    <t>FS2024XT 000001</t>
  </si>
  <si>
    <t>FS2024XT 000002</t>
  </si>
  <si>
    <t>FS2024XT 000003</t>
  </si>
  <si>
    <t>FS2024XT 000004</t>
  </si>
  <si>
    <t>FS2024XT 000005</t>
  </si>
  <si>
    <t>FS2024XT 000006</t>
  </si>
  <si>
    <t>FS2024XT 000007</t>
  </si>
  <si>
    <t>FS2024XT 000008</t>
  </si>
  <si>
    <t>FS2024XT 000009</t>
  </si>
  <si>
    <t>FS2024XT 000010</t>
  </si>
  <si>
    <t>FS2024XT 000011</t>
  </si>
  <si>
    <t>FS2024XT 000012</t>
  </si>
  <si>
    <t>FS2024XT 000013</t>
  </si>
  <si>
    <t>FS2024XT 000014</t>
  </si>
  <si>
    <t>FS2024XT 000015</t>
  </si>
  <si>
    <t>FS2024XT 000016</t>
  </si>
  <si>
    <t>FS2024XT 000017</t>
  </si>
  <si>
    <t>FS2024XT 000018</t>
  </si>
  <si>
    <t>FS2024XT 000019</t>
  </si>
  <si>
    <t>FS2024XT 000020</t>
  </si>
  <si>
    <t>FS2024XT 000021</t>
  </si>
  <si>
    <t>FS2024XT 000022</t>
  </si>
  <si>
    <t>FS2024XT 000023</t>
  </si>
  <si>
    <t>FS2024XT 000024</t>
  </si>
  <si>
    <t>FS2024XT 000025</t>
  </si>
  <si>
    <t>FS2024XT 000026</t>
  </si>
  <si>
    <t>FS2024XT 000027</t>
  </si>
  <si>
    <t>FS2024XT 000028</t>
  </si>
  <si>
    <t>FS2024XT 000029</t>
  </si>
  <si>
    <t>FS2024XT 000030</t>
  </si>
  <si>
    <t>FS2024XT 000031</t>
  </si>
  <si>
    <t>FS2024XT 000032</t>
  </si>
  <si>
    <t>FS2024XT 000033</t>
  </si>
  <si>
    <t>FS2024XT 000034</t>
  </si>
  <si>
    <t>FS2024XT 000035</t>
  </si>
  <si>
    <t>FS2024XT 000036</t>
  </si>
  <si>
    <t>FS2024XT 000037</t>
  </si>
  <si>
    <t>FS2024XT 000038</t>
  </si>
  <si>
    <t>FS2024XT 000039</t>
  </si>
  <si>
    <t>FS2024XT 000040</t>
  </si>
  <si>
    <t>FS2024XT 000041</t>
  </si>
  <si>
    <t>FS2024XT 000042</t>
  </si>
  <si>
    <t>FS2024XT 000043</t>
  </si>
  <si>
    <t>FS2024XT 000044</t>
  </si>
  <si>
    <t>FS2024XT 000045</t>
  </si>
  <si>
    <t>FS2024XT 000046</t>
  </si>
  <si>
    <t>FS2024XT 000047</t>
  </si>
  <si>
    <t>FS2024XT 000048</t>
  </si>
  <si>
    <t>FS2024XT 000049</t>
  </si>
  <si>
    <t>FS2024XT 000050</t>
  </si>
  <si>
    <t>FS2024XT 000051</t>
  </si>
  <si>
    <t>FS2024XT 000052</t>
  </si>
  <si>
    <t>FS2024XT 000053</t>
  </si>
  <si>
    <t>FS2024XT 000054</t>
  </si>
  <si>
    <t>FS2024XT 000055</t>
  </si>
  <si>
    <t>FS2024XT 000056</t>
  </si>
  <si>
    <t>FS2024XT 000057</t>
  </si>
  <si>
    <t>FS2024XT 000058</t>
  </si>
  <si>
    <t>FS2024XT 000059</t>
  </si>
  <si>
    <t>FS2024XT 000060</t>
  </si>
  <si>
    <t>FS2024XT 000061</t>
  </si>
  <si>
    <t>FS2024XT 000062</t>
  </si>
  <si>
    <t>FS2024XT 000063</t>
  </si>
  <si>
    <t>FS2024XT 000064</t>
  </si>
  <si>
    <t>FS2024XT 000065</t>
  </si>
  <si>
    <t>FS2024XT 000066</t>
  </si>
  <si>
    <t>FS2024XT 000067</t>
  </si>
  <si>
    <t>FS2024XT 000068</t>
  </si>
  <si>
    <t>FS2024XT 000069</t>
  </si>
  <si>
    <t>FS2024XT 000070</t>
  </si>
  <si>
    <t>FS2024XT 000071</t>
  </si>
  <si>
    <t>FS2024XT 000072</t>
  </si>
  <si>
    <t>FS2024XT 000073</t>
  </si>
  <si>
    <t>FS2024XT 000074</t>
  </si>
  <si>
    <t>FS2024XT 000075</t>
  </si>
  <si>
    <t>FS2024XT 000076</t>
  </si>
  <si>
    <t>FS2024XT 000077</t>
  </si>
  <si>
    <t>FS2024XT 000078</t>
  </si>
  <si>
    <t>FS2024XT 000079</t>
  </si>
  <si>
    <t>FS2024XT 000080</t>
  </si>
  <si>
    <t>FS2024XT 000081</t>
  </si>
  <si>
    <t>FS2024XT 000082</t>
  </si>
  <si>
    <t>FS2024XT 000083</t>
  </si>
  <si>
    <t>FS2024XT 000084</t>
  </si>
  <si>
    <t>FS2024XT 000085</t>
  </si>
  <si>
    <t>FS2024XT 000086</t>
  </si>
  <si>
    <t>FS2024XT 000087</t>
  </si>
  <si>
    <t>FS2024XT 000088</t>
  </si>
  <si>
    <t>FS2024XT 000089</t>
  </si>
  <si>
    <t>FS2024XT 000090</t>
  </si>
  <si>
    <t>FS2024XT 000091</t>
  </si>
  <si>
    <t>FS2024XT 000092</t>
  </si>
  <si>
    <t>FS2024XT 000093</t>
  </si>
  <si>
    <t>FS2024XT 000094</t>
  </si>
  <si>
    <t>FS2024XT 000095</t>
  </si>
  <si>
    <t>FS2024XT 000096</t>
  </si>
  <si>
    <t>FS2024XT 000097</t>
  </si>
  <si>
    <t>FS2024XT 000098</t>
  </si>
  <si>
    <t>FS2024XT 000099</t>
  </si>
  <si>
    <t>FS2024XT 000100</t>
  </si>
  <si>
    <t>FS2024XT 000101</t>
  </si>
  <si>
    <t>FS2024XT 000102</t>
  </si>
  <si>
    <t>FS2024XT 000103</t>
  </si>
  <si>
    <t>FS2024XT 000104</t>
  </si>
  <si>
    <t>FS2024XT 000105</t>
  </si>
  <si>
    <t>FS2024XT 000106</t>
  </si>
  <si>
    <t>FS2024XT 000107</t>
  </si>
  <si>
    <t>FS2024XT 000108</t>
  </si>
  <si>
    <t>FS2024XT 000109</t>
  </si>
  <si>
    <t>FS2024XT 000110</t>
  </si>
  <si>
    <t>FS2024XT 000111</t>
  </si>
  <si>
    <t>FS2024XT 000112</t>
  </si>
  <si>
    <t>FS2024XT 000113</t>
  </si>
  <si>
    <t>FS2024XT 000114</t>
  </si>
  <si>
    <t>FS2024XT 000115</t>
  </si>
  <si>
    <t>FS2024XT 000116</t>
  </si>
  <si>
    <t>FS2024XT 000117</t>
  </si>
  <si>
    <t>FS2024XT 000118</t>
  </si>
  <si>
    <t>FS2024XT 000119</t>
  </si>
  <si>
    <t>FS2024XT 000120</t>
  </si>
  <si>
    <t>FS2024XT 000121</t>
  </si>
  <si>
    <t>FS2024XT 000122</t>
  </si>
  <si>
    <t>FS2024XT 000123</t>
  </si>
  <si>
    <t>FS2024XT 000124</t>
  </si>
  <si>
    <t>FS2024XT 000125</t>
  </si>
  <si>
    <t>FS2024XT 000126</t>
  </si>
  <si>
    <t>FS2024XT 000127</t>
  </si>
  <si>
    <t>FS2024XT 000128</t>
  </si>
  <si>
    <t>FS2024XT 000129</t>
  </si>
  <si>
    <t>FS2024XT 000130</t>
  </si>
  <si>
    <t>FS2024XT 000131</t>
  </si>
  <si>
    <t>FS2024XT 000132</t>
  </si>
  <si>
    <t>FS2024XT 000133</t>
  </si>
  <si>
    <t>FS2024XT 000134</t>
  </si>
  <si>
    <t>FS2024XT 000135</t>
  </si>
  <si>
    <t>FS2024XT 000136</t>
  </si>
  <si>
    <t>FS2024XT 000137</t>
  </si>
  <si>
    <t>FS2024XT 000138</t>
  </si>
  <si>
    <t>FS2024XT 000139</t>
  </si>
  <si>
    <t>FS2024XT 000140</t>
  </si>
  <si>
    <t>FS2024XT 000141</t>
  </si>
  <si>
    <t>FS2024XT 000142</t>
  </si>
  <si>
    <t>FS2024XT 000143</t>
  </si>
  <si>
    <t>FS2024XT 000144</t>
  </si>
  <si>
    <t>FS2024XT 000145</t>
  </si>
  <si>
    <t>FS2024XT 000146</t>
  </si>
  <si>
    <t>FS2024XT 000147</t>
  </si>
  <si>
    <t>FS2024XT 000148</t>
  </si>
  <si>
    <t>FS2024XT 000149</t>
  </si>
  <si>
    <t>FS2024XT 000150</t>
  </si>
  <si>
    <t>FS2024XT 000151</t>
  </si>
  <si>
    <t>FS2024XT 000152</t>
  </si>
  <si>
    <t>FS2024XT 000153</t>
  </si>
  <si>
    <t>FS2024XT 000154</t>
  </si>
  <si>
    <t>FS2024XT 000155</t>
  </si>
  <si>
    <t>FS2024XT 000156</t>
  </si>
  <si>
    <t>FS2024XT 000157</t>
  </si>
  <si>
    <t>FS2024XT 000158</t>
  </si>
  <si>
    <t>FS2024XT 000159</t>
  </si>
  <si>
    <t>FS2024XT 000160</t>
  </si>
  <si>
    <t>FS2024XT 000161</t>
  </si>
  <si>
    <t>FS2024XT 000162</t>
  </si>
  <si>
    <t>FS2024XT 000163</t>
  </si>
  <si>
    <t>FS2024XT 000164</t>
  </si>
  <si>
    <t>FS2024XT 000165</t>
  </si>
  <si>
    <t>FS2024XT 000166</t>
  </si>
  <si>
    <t>FS2024XT 000167</t>
  </si>
  <si>
    <t>FS2024XT 000168</t>
  </si>
  <si>
    <t>FS2024XT 000169</t>
  </si>
  <si>
    <t>FS2024XT 000170</t>
  </si>
  <si>
    <t>FS2024XT 000171</t>
  </si>
  <si>
    <t>FS2024XT 000172</t>
  </si>
  <si>
    <t>FS2024XT 000173</t>
  </si>
  <si>
    <t>FS2024XT 000174</t>
  </si>
  <si>
    <t>FS2024XT 000175</t>
  </si>
  <si>
    <t>FS2024XT 000176</t>
  </si>
  <si>
    <t>FS2024XT 000177</t>
  </si>
  <si>
    <t>FS2024XT 000178</t>
  </si>
  <si>
    <t>FS2024XT 000179</t>
  </si>
  <si>
    <t>FS2024XT 000180</t>
  </si>
  <si>
    <t>FS2024XT 000181</t>
  </si>
  <si>
    <t>FS2024XT 000182</t>
  </si>
  <si>
    <t>FS2024XT 000183</t>
  </si>
  <si>
    <t>FS2024XT 000184</t>
  </si>
  <si>
    <t>FS2024XT 000185</t>
  </si>
  <si>
    <t>FS2024XT 000186</t>
  </si>
  <si>
    <t>FS2024XT 000187</t>
  </si>
  <si>
    <t>FS2024XT 000188</t>
  </si>
  <si>
    <t>FS2024XT 000189</t>
  </si>
  <si>
    <t>FS2024XT 000190</t>
  </si>
  <si>
    <t>FS2024XT 000191</t>
  </si>
  <si>
    <t>FS2024XT 000192</t>
  </si>
  <si>
    <t>FS2024XT 000193</t>
  </si>
  <si>
    <t>FS2024XT 000194</t>
  </si>
  <si>
    <t>FS2024XT 000195</t>
  </si>
  <si>
    <t>FS2024XT 000196</t>
  </si>
  <si>
    <t>FS2024XT 000197</t>
  </si>
  <si>
    <t>S/ NÚMERO</t>
  </si>
  <si>
    <t>2803/2023</t>
  </si>
  <si>
    <t>2806/2023</t>
  </si>
  <si>
    <t>COLAB.CAPITAL</t>
  </si>
  <si>
    <t>2804/2023</t>
  </si>
  <si>
    <t>0011/2024</t>
  </si>
  <si>
    <t>0028/2024</t>
  </si>
  <si>
    <t>0015/2024</t>
  </si>
  <si>
    <t>0002/2024</t>
  </si>
  <si>
    <t>KILOMETRAJE</t>
  </si>
  <si>
    <t>2809/2023</t>
  </si>
  <si>
    <t>0013/2024</t>
  </si>
  <si>
    <t>0031/2024</t>
  </si>
  <si>
    <t>PACK BEBIDA+ RED BULL</t>
  </si>
  <si>
    <t>004/2024</t>
  </si>
  <si>
    <t>0046/2024</t>
  </si>
  <si>
    <t>0047/2024</t>
  </si>
  <si>
    <t>003/2024</t>
  </si>
  <si>
    <t>0037/2024</t>
  </si>
  <si>
    <t>0027/2024</t>
  </si>
  <si>
    <t>RESTASURANTE</t>
  </si>
  <si>
    <t>001/2024</t>
  </si>
  <si>
    <t>2712/2023</t>
  </si>
  <si>
    <t>0045/2024</t>
  </si>
  <si>
    <t>U.H</t>
  </si>
  <si>
    <t>2810/2023</t>
  </si>
  <si>
    <t>0057/2023</t>
  </si>
  <si>
    <t>2816/2023</t>
  </si>
  <si>
    <t>0078/2023</t>
  </si>
  <si>
    <t>0054/2024</t>
  </si>
  <si>
    <t>0063/2024</t>
  </si>
  <si>
    <t>0095/2024</t>
  </si>
  <si>
    <t>0042/2024</t>
  </si>
  <si>
    <t>ROMANTICO</t>
  </si>
  <si>
    <t>0072/2024</t>
  </si>
  <si>
    <t>2801/2023</t>
  </si>
  <si>
    <t>0048/2024</t>
  </si>
  <si>
    <t>0071/2024</t>
  </si>
  <si>
    <t>0068/2024</t>
  </si>
  <si>
    <t>0074/2024</t>
  </si>
  <si>
    <t>0077/2024</t>
  </si>
  <si>
    <t>0024/2024</t>
  </si>
  <si>
    <t>0076/2024</t>
  </si>
  <si>
    <t>0090/2024</t>
  </si>
  <si>
    <t>0084/2024</t>
  </si>
  <si>
    <t>0040/2024</t>
  </si>
  <si>
    <t>0080/2024</t>
  </si>
  <si>
    <t>0081/2024</t>
  </si>
  <si>
    <t>0085/2024</t>
  </si>
  <si>
    <t>0052/2024</t>
  </si>
  <si>
    <t>UH</t>
  </si>
  <si>
    <t>0026/2024</t>
  </si>
  <si>
    <t>0089/2024</t>
  </si>
  <si>
    <t>IVA 10%</t>
  </si>
  <si>
    <t>0060/2024</t>
  </si>
  <si>
    <t>0096/2024</t>
  </si>
  <si>
    <t>0124/2024</t>
  </si>
  <si>
    <t>0064/2024</t>
  </si>
  <si>
    <t>0073/2024</t>
  </si>
  <si>
    <t>0120/2024</t>
  </si>
  <si>
    <t>0118/2024</t>
  </si>
  <si>
    <t>0105/2024</t>
  </si>
  <si>
    <t>0109/2024</t>
  </si>
  <si>
    <t>0017/2024</t>
  </si>
  <si>
    <t>0065/2024</t>
  </si>
  <si>
    <t>RTE. BULEVAR</t>
  </si>
  <si>
    <t>2714/2024</t>
  </si>
  <si>
    <t>0044/2024</t>
  </si>
  <si>
    <t>0016/2024</t>
  </si>
  <si>
    <t>0034/2024</t>
  </si>
  <si>
    <t>0101/2024</t>
  </si>
  <si>
    <t>0032/2024</t>
  </si>
  <si>
    <t>055/2024</t>
  </si>
  <si>
    <t>0092/2023</t>
  </si>
  <si>
    <t>0039-0038</t>
  </si>
  <si>
    <t>0156/2024</t>
  </si>
  <si>
    <t>FS2024XT 000198</t>
  </si>
  <si>
    <t>FS2024XT 000199</t>
  </si>
  <si>
    <t>FS2024XT 000200</t>
  </si>
  <si>
    <t>FS2024XT 000201</t>
  </si>
  <si>
    <t>FS2024XT 000202</t>
  </si>
  <si>
    <t>FS2024XT 000203</t>
  </si>
  <si>
    <t>FS2024XT 000204</t>
  </si>
  <si>
    <t>FS2024XT 000205</t>
  </si>
  <si>
    <t>FS2024XT 000206</t>
  </si>
  <si>
    <t>FS2024XT 000207</t>
  </si>
  <si>
    <t>FS2024XT 000208</t>
  </si>
  <si>
    <t>FS2024XT 000209</t>
  </si>
  <si>
    <t>FS2024XT 000210</t>
  </si>
  <si>
    <t>FS2024XT 000211</t>
  </si>
  <si>
    <t>FS2024XT 000212</t>
  </si>
  <si>
    <t>FS2024XT 000213</t>
  </si>
  <si>
    <t>FS2024XT 000214</t>
  </si>
  <si>
    <t>FS2024XT 000215</t>
  </si>
  <si>
    <t>FS2024XT 000216</t>
  </si>
  <si>
    <t>FS2024XT 000217</t>
  </si>
  <si>
    <t>FS2024XT 000218</t>
  </si>
  <si>
    <t>FS2024XT 000219</t>
  </si>
  <si>
    <t>FS2024XT 000220</t>
  </si>
  <si>
    <t>FS2024XT 000221</t>
  </si>
  <si>
    <t>FS2024XT 000222</t>
  </si>
  <si>
    <t>FS2024XT 000223</t>
  </si>
  <si>
    <t>FS2024XT 000224</t>
  </si>
  <si>
    <t>FS2024XT 000225</t>
  </si>
  <si>
    <t>FS2024XT 000226</t>
  </si>
  <si>
    <t>FS2024XT 000227</t>
  </si>
  <si>
    <t>FS2024XT 000228</t>
  </si>
  <si>
    <t>FS2024XT 000229</t>
  </si>
  <si>
    <t>FS2024XT 000230</t>
  </si>
  <si>
    <t>FS2024XT 000231</t>
  </si>
  <si>
    <t>FS2024XT 000232</t>
  </si>
  <si>
    <t>FS2024XT 000233</t>
  </si>
  <si>
    <t>FS2024XT 000234</t>
  </si>
  <si>
    <t>FS2024XT 000235</t>
  </si>
  <si>
    <t>FS2024XT 000236</t>
  </si>
  <si>
    <t>FS2024XT 000237</t>
  </si>
  <si>
    <t>FS2024XT 000238</t>
  </si>
  <si>
    <t>FS2024XT 000239</t>
  </si>
  <si>
    <t>FS2024XT 000240</t>
  </si>
  <si>
    <t>FS2024XT 000241</t>
  </si>
  <si>
    <t>FS2024XT 000242</t>
  </si>
  <si>
    <t>FS2024XT 000243</t>
  </si>
  <si>
    <t>FS2024XT 000244</t>
  </si>
  <si>
    <t>FS2024XT 000245</t>
  </si>
  <si>
    <t>FS2024XT 000246</t>
  </si>
  <si>
    <t>FS2024XT 000247</t>
  </si>
  <si>
    <t>FS2024XT 000248</t>
  </si>
  <si>
    <t>FS2024XT 000249</t>
  </si>
  <si>
    <t>FS2024XT 000250</t>
  </si>
  <si>
    <t>FS2024XT 000251</t>
  </si>
  <si>
    <t>FS2024XT 000252</t>
  </si>
  <si>
    <t>FS2024XT 000253</t>
  </si>
  <si>
    <t>FS2024XT 000254</t>
  </si>
  <si>
    <t>FS2024XT 000255</t>
  </si>
  <si>
    <t>FS2024XT 000256</t>
  </si>
  <si>
    <t>FS2024XT 000257</t>
  </si>
  <si>
    <t>FS2024XT 000258</t>
  </si>
  <si>
    <t>FS2024XT 000259</t>
  </si>
  <si>
    <t>FS2024XT 000260</t>
  </si>
  <si>
    <t>FS2024XT 000261</t>
  </si>
  <si>
    <t>0051/2024</t>
  </si>
  <si>
    <t>0137/2024</t>
  </si>
  <si>
    <t>0131/2024</t>
  </si>
  <si>
    <t>COLAB. BIG EVENTOS</t>
  </si>
  <si>
    <t>0103/2024</t>
  </si>
  <si>
    <t>0097/2024</t>
  </si>
  <si>
    <t>0082/2024</t>
  </si>
  <si>
    <t>0035/2024</t>
  </si>
  <si>
    <t>COLAB. CAPITAL</t>
  </si>
  <si>
    <t>COLAB. BORJA</t>
  </si>
  <si>
    <t>COLB. BIG EVENTOS</t>
  </si>
  <si>
    <t>0140/2024</t>
  </si>
  <si>
    <t>COLAB. PARADISE</t>
  </si>
  <si>
    <t>0159/2024</t>
  </si>
  <si>
    <t>0144/2024</t>
  </si>
  <si>
    <t>0050/2024</t>
  </si>
  <si>
    <t>0061/2024</t>
  </si>
  <si>
    <t xml:space="preserve"> 0110/2024</t>
  </si>
  <si>
    <t xml:space="preserve"> 0152/2024</t>
  </si>
  <si>
    <t>0111/2024</t>
  </si>
  <si>
    <t>COLAB.CUMPLIDO</t>
  </si>
  <si>
    <t>0148/2024</t>
  </si>
  <si>
    <t>0104/2024</t>
  </si>
  <si>
    <t>0125/2024</t>
  </si>
  <si>
    <t>0126/2024</t>
  </si>
  <si>
    <t>0177/2024</t>
  </si>
  <si>
    <t>BEBIDA</t>
  </si>
  <si>
    <t>0106/2024</t>
  </si>
  <si>
    <t>0108/2024</t>
  </si>
  <si>
    <t>0093/2024</t>
  </si>
  <si>
    <t>0130/2024</t>
  </si>
  <si>
    <t>0157/2024</t>
  </si>
  <si>
    <t>COLAB.BIG EVENTOS</t>
  </si>
  <si>
    <t>0175/2024</t>
  </si>
  <si>
    <t>COLAB. RISCO</t>
  </si>
  <si>
    <t>0172/2024</t>
  </si>
  <si>
    <t>0167/2024</t>
  </si>
  <si>
    <t>0149/2024</t>
  </si>
  <si>
    <t>0094/2024</t>
  </si>
  <si>
    <t>0153/2024</t>
  </si>
  <si>
    <t>0127/2024</t>
  </si>
  <si>
    <t>RESTAURANTE</t>
  </si>
  <si>
    <t>0202/2024</t>
  </si>
  <si>
    <t>ROMÁNTICO</t>
  </si>
  <si>
    <t>0067/2024</t>
  </si>
  <si>
    <t>0174/2024</t>
  </si>
  <si>
    <t>0209/2024</t>
  </si>
  <si>
    <t>0100/2024</t>
  </si>
  <si>
    <t>COLB.CAPITAL</t>
  </si>
  <si>
    <t>COLB.BIG EVENTOS</t>
  </si>
  <si>
    <t>0184/2024</t>
  </si>
  <si>
    <t>0165/2024</t>
  </si>
  <si>
    <t>0185/2024</t>
  </si>
  <si>
    <t>0170/2024</t>
  </si>
  <si>
    <t>0183/2024</t>
  </si>
  <si>
    <t>0158/2024</t>
  </si>
  <si>
    <t>0179/2024</t>
  </si>
  <si>
    <t>0143/2024</t>
  </si>
  <si>
    <t>0086/2024</t>
  </si>
  <si>
    <t>0150/2024</t>
  </si>
  <si>
    <t>0198/2024</t>
  </si>
  <si>
    <t>0168/2024</t>
  </si>
  <si>
    <t>0164/2024</t>
  </si>
  <si>
    <t>0053/2024</t>
  </si>
  <si>
    <t>0211/2024</t>
  </si>
  <si>
    <t>0213/2024</t>
  </si>
  <si>
    <t>COLB.FUN</t>
  </si>
  <si>
    <t>0212/2024</t>
  </si>
  <si>
    <t>0201/2024</t>
  </si>
  <si>
    <t>0133/2024</t>
  </si>
  <si>
    <t>0128/2024</t>
  </si>
  <si>
    <t>0123/2024</t>
  </si>
  <si>
    <t>0079/2024</t>
  </si>
  <si>
    <t>0200/2024</t>
  </si>
  <si>
    <t>0203/2024</t>
  </si>
  <si>
    <t>0214/2024</t>
  </si>
  <si>
    <t>0188/2024</t>
  </si>
  <si>
    <t>COLB. EXCLUSIVE</t>
  </si>
  <si>
    <t>0229/2024</t>
  </si>
  <si>
    <t>0208/2024</t>
  </si>
  <si>
    <t xml:space="preserve">COLAB. FUN </t>
  </si>
  <si>
    <t>0240/2024</t>
  </si>
  <si>
    <t>0186/2024</t>
  </si>
  <si>
    <t>`0145/2024</t>
  </si>
  <si>
    <t>0193/2024</t>
  </si>
  <si>
    <t>COLAB. TU DESPEDIDA</t>
  </si>
  <si>
    <t>0234/2024</t>
  </si>
  <si>
    <t>0218/2021</t>
  </si>
  <si>
    <t>0207/2024</t>
  </si>
  <si>
    <t>0206/2024</t>
  </si>
  <si>
    <t>0192/2024</t>
  </si>
  <si>
    <t>0117/2024</t>
  </si>
  <si>
    <t>0142/2024</t>
  </si>
  <si>
    <t>0138/2024</t>
  </si>
  <si>
    <t>COLAB.ESTEBAN</t>
  </si>
  <si>
    <t>0049/2024</t>
  </si>
  <si>
    <t>0247/2024</t>
  </si>
  <si>
    <t>0235/2024</t>
  </si>
  <si>
    <t>0154/2024</t>
  </si>
  <si>
    <t>0232/2024</t>
  </si>
  <si>
    <t>0225/2024</t>
  </si>
  <si>
    <t>0107/20224</t>
  </si>
  <si>
    <t>0173/2024</t>
  </si>
  <si>
    <t>0014/2024</t>
  </si>
  <si>
    <t>0114/2024</t>
  </si>
  <si>
    <t>0239/2024</t>
  </si>
  <si>
    <t>0139/2024</t>
  </si>
  <si>
    <t>066/2024</t>
  </si>
  <si>
    <t>0191/2024</t>
  </si>
  <si>
    <t>0222/2024</t>
  </si>
  <si>
    <t>0182/2024</t>
  </si>
  <si>
    <t>0204/2024</t>
  </si>
  <si>
    <t>0075/2024</t>
  </si>
  <si>
    <t>0252/2024</t>
  </si>
  <si>
    <t>FS2024XT 000454</t>
  </si>
  <si>
    <t>FS2024XT 000455</t>
  </si>
  <si>
    <t>FS2024XT 000456</t>
  </si>
  <si>
    <t>FS2024XT 000457</t>
  </si>
  <si>
    <t>FS2024XT 000458</t>
  </si>
  <si>
    <t>FS2024XT 000459</t>
  </si>
  <si>
    <t>FS2024XT 000460</t>
  </si>
  <si>
    <t>FS2024XT 000461</t>
  </si>
  <si>
    <t>FS2024XT 000462</t>
  </si>
  <si>
    <t>FS2024XT 000463</t>
  </si>
  <si>
    <t>FS2024XT 000464</t>
  </si>
  <si>
    <t>FS2024XT 000465</t>
  </si>
  <si>
    <t>FS2024XT 000466</t>
  </si>
  <si>
    <t>FS2024XT 000467</t>
  </si>
  <si>
    <t>FS2024XT 000468</t>
  </si>
  <si>
    <t>FS2024XT 000469</t>
  </si>
  <si>
    <t>FS2024XT 000470</t>
  </si>
  <si>
    <t>FS2024XT 000471</t>
  </si>
  <si>
    <t>FS2024XT 000472</t>
  </si>
  <si>
    <t>FS2024XT 000473</t>
  </si>
  <si>
    <t>FS2024XT 000474</t>
  </si>
  <si>
    <t>FS2024XT 000475</t>
  </si>
  <si>
    <t>FS2024XT 000476</t>
  </si>
  <si>
    <t>FS2024XT 000477</t>
  </si>
  <si>
    <t>FS2024XT 000478</t>
  </si>
  <si>
    <t>FS2024XT 000479</t>
  </si>
  <si>
    <t>FS2024XT 000480</t>
  </si>
  <si>
    <t>FS2024XT 000481</t>
  </si>
  <si>
    <t>FS2024XT 000482</t>
  </si>
  <si>
    <t>FS2024XT 000483</t>
  </si>
  <si>
    <t>FS2024XT 000484</t>
  </si>
  <si>
    <t>FS2024XT 000485</t>
  </si>
  <si>
    <t>FS2024XT 000486</t>
  </si>
  <si>
    <t>FS2024XT 000487</t>
  </si>
  <si>
    <t>FS2024XT 000488</t>
  </si>
  <si>
    <t>FS2024XT 000489</t>
  </si>
  <si>
    <t>FS2024XT 000490</t>
  </si>
  <si>
    <t>FS2024XT 000491</t>
  </si>
  <si>
    <t>FS2024XT 000492</t>
  </si>
  <si>
    <t>FS2024XT 000493</t>
  </si>
  <si>
    <t>FS2024XT 000494</t>
  </si>
  <si>
    <t>FS2024XT 000495</t>
  </si>
  <si>
    <t>FS2024XT 000496</t>
  </si>
  <si>
    <t>FS2024XT 000497</t>
  </si>
  <si>
    <t>FS2024XT 000498</t>
  </si>
  <si>
    <t>FS2024XT 000499</t>
  </si>
  <si>
    <t>FS2024XT 000500</t>
  </si>
  <si>
    <t>FS2024XT 000501</t>
  </si>
  <si>
    <t>FS2024XT 000502</t>
  </si>
  <si>
    <t>FS2024XT 000503</t>
  </si>
  <si>
    <t>FS2024XT 000504</t>
  </si>
  <si>
    <t>FS2024XT 000505</t>
  </si>
  <si>
    <t>FS2024XT 000506</t>
  </si>
  <si>
    <t>SERVICIOS PRESTADOS</t>
  </si>
  <si>
    <t>FS2024XT 000507</t>
  </si>
  <si>
    <t>FS2024XT 000508</t>
  </si>
  <si>
    <t>FS2024XT 000509</t>
  </si>
  <si>
    <t>FS2024XT 000510</t>
  </si>
  <si>
    <t>FS2024XT 000511</t>
  </si>
  <si>
    <t>FS2024XT 000512</t>
  </si>
  <si>
    <t>FS2024XT 000513</t>
  </si>
  <si>
    <t>FS2024XT 000514</t>
  </si>
  <si>
    <t>FS2024XT 000515</t>
  </si>
  <si>
    <t>FS2024XT 000516</t>
  </si>
  <si>
    <t>FS2024XT 000517</t>
  </si>
  <si>
    <t>FS2024XT 000518</t>
  </si>
  <si>
    <t>FS2024XT 000519</t>
  </si>
  <si>
    <t>FS2024XT 000520</t>
  </si>
  <si>
    <t>FS2024XT 000521</t>
  </si>
  <si>
    <t>FS2024XT 000522</t>
  </si>
  <si>
    <t>FS2024XT 000523</t>
  </si>
  <si>
    <t>FS2024XT 000524</t>
  </si>
  <si>
    <t>FS2024XT 000525</t>
  </si>
  <si>
    <t>FS2024XT 000526</t>
  </si>
  <si>
    <t>FS2024XT 000527</t>
  </si>
  <si>
    <t>FS2024XT 000528</t>
  </si>
  <si>
    <t>FS2024XT 000529</t>
  </si>
  <si>
    <t>FS2024XT 000530</t>
  </si>
  <si>
    <t>FS2024XT 000531</t>
  </si>
  <si>
    <t>FS2024XT 000532</t>
  </si>
  <si>
    <t>FS2024XT 000533</t>
  </si>
  <si>
    <t>FS2024XT 000534</t>
  </si>
  <si>
    <t>FS2024XT 000535</t>
  </si>
  <si>
    <t>FS2024XT 000536</t>
  </si>
  <si>
    <t>FS2024XT 000537</t>
  </si>
  <si>
    <t>FS2024XT 000538</t>
  </si>
  <si>
    <t>FS2024XT 000539</t>
  </si>
  <si>
    <t>FS2024XT 000540</t>
  </si>
  <si>
    <t>FS2024XT 000541</t>
  </si>
  <si>
    <t>FS2024XT 000542</t>
  </si>
  <si>
    <t>FS2024XT 000543</t>
  </si>
  <si>
    <t>FS2024XT 000544</t>
  </si>
  <si>
    <t>FS2024XT 000545</t>
  </si>
  <si>
    <t>FS2024XT 000546</t>
  </si>
  <si>
    <t>FS2024XT 000547</t>
  </si>
  <si>
    <t>FS2024XT 000548</t>
  </si>
  <si>
    <t>FS2024XT 000549</t>
  </si>
  <si>
    <t>FS2024XT 000550</t>
  </si>
  <si>
    <t>FS2024XT 000551</t>
  </si>
  <si>
    <t>FS2024XT 000552</t>
  </si>
  <si>
    <t>FS2024XT 000553</t>
  </si>
  <si>
    <t>FS2024XT 000554</t>
  </si>
  <si>
    <t>FS2024XT 000555</t>
  </si>
  <si>
    <t>FS2024XT 000556</t>
  </si>
  <si>
    <t>FS2024XT 000557</t>
  </si>
  <si>
    <t>FS2024XT 000558</t>
  </si>
  <si>
    <t>FS2024XT 000559</t>
  </si>
  <si>
    <t>FS2024XT 000560</t>
  </si>
  <si>
    <t>FS2024XT 000561</t>
  </si>
  <si>
    <t>FS2024XT 000562</t>
  </si>
  <si>
    <t>FS2024XT 000563</t>
  </si>
  <si>
    <t>FS2024XT 000564</t>
  </si>
  <si>
    <t>FS2024XT 000565</t>
  </si>
  <si>
    <t>FS2024XT 000566</t>
  </si>
  <si>
    <t>FS2024XT 000567</t>
  </si>
  <si>
    <t>FS2024XT 000568</t>
  </si>
  <si>
    <t>FS2024XT 000569</t>
  </si>
  <si>
    <t>FS2024XT 000570</t>
  </si>
  <si>
    <t>FS2024XT 000571</t>
  </si>
  <si>
    <t>FS2024XT 000572</t>
  </si>
  <si>
    <t>FS2024XT 000573</t>
  </si>
  <si>
    <t>FS2024XT 000574</t>
  </si>
  <si>
    <t>FS2024XT 000575</t>
  </si>
  <si>
    <t>FS2024XT 000576</t>
  </si>
  <si>
    <t>FS2024XT 000577</t>
  </si>
  <si>
    <t>FS2024XT 000578</t>
  </si>
  <si>
    <t>FS2024XT 000579</t>
  </si>
  <si>
    <t>FS2024XT 000580</t>
  </si>
  <si>
    <t>FS2024XT 000581</t>
  </si>
  <si>
    <t>FS2024XT 000582</t>
  </si>
  <si>
    <t>FS2024XT 000583</t>
  </si>
  <si>
    <t>FS2024XT 000584</t>
  </si>
  <si>
    <t>FS2024XT 000585</t>
  </si>
  <si>
    <t>FS2024XT 000586</t>
  </si>
  <si>
    <t>FS2024XT 000587</t>
  </si>
  <si>
    <t>FS2024XT 000588</t>
  </si>
  <si>
    <t>FS2024XT 000589</t>
  </si>
  <si>
    <t>FS2024XT 000590</t>
  </si>
  <si>
    <t>FS2024XT 000591</t>
  </si>
  <si>
    <t>FS2024XT 000592</t>
  </si>
  <si>
    <t>FS2024XT 000593</t>
  </si>
  <si>
    <t>FS2024XT 000594</t>
  </si>
  <si>
    <t>FS2024XT 000595</t>
  </si>
  <si>
    <t>FS2024XT 000596</t>
  </si>
  <si>
    <t>FS2024XT 000597</t>
  </si>
  <si>
    <t>FS2024XT 000598</t>
  </si>
  <si>
    <t>FS2024XT 000599</t>
  </si>
  <si>
    <t>FS2024XT 000600</t>
  </si>
  <si>
    <t>FS2024XT 000601</t>
  </si>
  <si>
    <t>FS2024XT 000602</t>
  </si>
  <si>
    <t>FS2024XT 000603</t>
  </si>
  <si>
    <t>FS2024XT 000604</t>
  </si>
  <si>
    <t>FS2024XT 000605</t>
  </si>
  <si>
    <t>FS2024XT 000606</t>
  </si>
  <si>
    <t>FS2024XT 000607</t>
  </si>
  <si>
    <t>FS2024XT 000608</t>
  </si>
  <si>
    <t>FS2024XT 000609</t>
  </si>
  <si>
    <t>FS2024XT 000610</t>
  </si>
  <si>
    <t>FS2024XT 000611</t>
  </si>
  <si>
    <t>FS2024XT 000612</t>
  </si>
  <si>
    <t>FS2024XT 000613</t>
  </si>
  <si>
    <t>FS2024XT 000614</t>
  </si>
  <si>
    <t>FS2024XT 000615</t>
  </si>
  <si>
    <t>FS2024XT 000616</t>
  </si>
  <si>
    <t>FS2024XT 000617</t>
  </si>
  <si>
    <t>FS2024XT 000618</t>
  </si>
  <si>
    <t>FS2024XT 000619</t>
  </si>
  <si>
    <t>FS2024XT 000620</t>
  </si>
  <si>
    <t>FS2024XT 000621</t>
  </si>
  <si>
    <t>FS2024XT 000622</t>
  </si>
  <si>
    <t>FS2024XT 000623</t>
  </si>
  <si>
    <t>FS2024XT 000624</t>
  </si>
  <si>
    <t>FS2024XT 000625</t>
  </si>
  <si>
    <t>FS2024XT 000626</t>
  </si>
  <si>
    <t>FS2024XT 000627</t>
  </si>
  <si>
    <t>FS2024XT 000628</t>
  </si>
  <si>
    <t>FS2024XT 000629</t>
  </si>
  <si>
    <t>FS2024XT 000630</t>
  </si>
  <si>
    <t>FS2024XT 000631</t>
  </si>
  <si>
    <t>FS2024XT 000632</t>
  </si>
  <si>
    <t>FS2024XT 000633</t>
  </si>
  <si>
    <t>FS2024XT 000634</t>
  </si>
  <si>
    <t>FS2024XT 000635</t>
  </si>
  <si>
    <t>FS2024XT 000636</t>
  </si>
  <si>
    <t>FS2024XT 000637</t>
  </si>
  <si>
    <t>FS2024XT 000638</t>
  </si>
  <si>
    <t>FS2024XT 000639</t>
  </si>
  <si>
    <t>FS2024XT 000640</t>
  </si>
  <si>
    <t>FS2024XT 000641</t>
  </si>
  <si>
    <t>FS2024XT 000642</t>
  </si>
  <si>
    <t>FS2024XT 000643</t>
  </si>
  <si>
    <t>FS2024XT 000644</t>
  </si>
  <si>
    <t>FS2024XT 000645</t>
  </si>
  <si>
    <t>FS2024XT 000646</t>
  </si>
  <si>
    <t>FS2024XT 000647</t>
  </si>
  <si>
    <t>FS2024XT 000648</t>
  </si>
  <si>
    <t>FS2024XT 000649</t>
  </si>
  <si>
    <t>FS2024XT 000650</t>
  </si>
  <si>
    <t>FS2024XT 000651</t>
  </si>
  <si>
    <t>FS2024XT 000652</t>
  </si>
  <si>
    <t>FS2024XT 000653</t>
  </si>
  <si>
    <t>FS2024XT 000654</t>
  </si>
  <si>
    <t>FS2024XT 000655</t>
  </si>
  <si>
    <t>FS2024XT 000656</t>
  </si>
  <si>
    <t>FS2024XT 000657</t>
  </si>
  <si>
    <t>FS2024XT 000658</t>
  </si>
  <si>
    <t>FS2024XT 000659</t>
  </si>
  <si>
    <t>FS2024XT 000660</t>
  </si>
  <si>
    <t>FS2024XT 000661</t>
  </si>
  <si>
    <t>FS2024XT 000662</t>
  </si>
  <si>
    <t>FS2024XT 000663</t>
  </si>
  <si>
    <t>FS2024XT 000664</t>
  </si>
  <si>
    <t>FS2024XT 000665</t>
  </si>
  <si>
    <t>FS2024XT 000666</t>
  </si>
  <si>
    <t>FS2024XT 000667</t>
  </si>
  <si>
    <t>FS2024XT 000668</t>
  </si>
  <si>
    <t>FS2024XT 000669</t>
  </si>
  <si>
    <t>FS2024XT 000670</t>
  </si>
  <si>
    <t>FS2024XT 000671</t>
  </si>
  <si>
    <t>FS2024XT 000672</t>
  </si>
  <si>
    <t>FS2024XT 000673</t>
  </si>
  <si>
    <t>FS2024XT 000674</t>
  </si>
  <si>
    <t>FS2024XT 000675</t>
  </si>
  <si>
    <t>FS2024XT 000676</t>
  </si>
  <si>
    <t>FS2024XT 000677</t>
  </si>
  <si>
    <t>FS2024XT 000678</t>
  </si>
  <si>
    <t>FS2024XT 000679</t>
  </si>
  <si>
    <t>FS2024XT 000680</t>
  </si>
  <si>
    <t>FS2024XT 000681</t>
  </si>
  <si>
    <t>FS2024XT 000682</t>
  </si>
  <si>
    <t>FS2024XT 000683</t>
  </si>
  <si>
    <t>FS2024XT 000684</t>
  </si>
  <si>
    <t>FS2024XT 000685</t>
  </si>
  <si>
    <t>FS2024XT 000686</t>
  </si>
  <si>
    <t>FS2024XT 000687</t>
  </si>
  <si>
    <t>FS2024XT 000688</t>
  </si>
  <si>
    <t>0392/2024</t>
  </si>
  <si>
    <t>0375/2024</t>
  </si>
  <si>
    <t>0414/2024</t>
  </si>
  <si>
    <t>0393/2024</t>
  </si>
  <si>
    <t>0408/2024</t>
  </si>
  <si>
    <t>0307/2024</t>
  </si>
  <si>
    <t>0410/2024</t>
  </si>
  <si>
    <t>0369/2024</t>
  </si>
  <si>
    <t>0352/2024</t>
  </si>
  <si>
    <t>0382/2024</t>
  </si>
  <si>
    <t>0336/2024</t>
  </si>
  <si>
    <t>COLB.PARTYHOTEL</t>
  </si>
  <si>
    <t>0351/2024</t>
  </si>
  <si>
    <t>0383/2024</t>
  </si>
  <si>
    <t>0419/2024</t>
  </si>
  <si>
    <t>069/04/2024</t>
  </si>
  <si>
    <t>COLB.PARADISE</t>
  </si>
  <si>
    <t>COLB.ESTEBAN</t>
  </si>
  <si>
    <t>0390/2024</t>
  </si>
  <si>
    <t>0340/2024</t>
  </si>
  <si>
    <t>0329/2024</t>
  </si>
  <si>
    <t>0296/2024</t>
  </si>
  <si>
    <t>0416/2024</t>
  </si>
  <si>
    <t>RTE.BULEVAR</t>
  </si>
  <si>
    <t>0389/2024</t>
  </si>
  <si>
    <t>0345/2024</t>
  </si>
  <si>
    <t>0386/2024</t>
  </si>
  <si>
    <t>0417/2024</t>
  </si>
  <si>
    <t>0398/2024</t>
  </si>
  <si>
    <t>0338/2024</t>
  </si>
  <si>
    <t>0400/2024</t>
  </si>
  <si>
    <t>0388/2024</t>
  </si>
  <si>
    <t>FS2024XT 000262</t>
  </si>
  <si>
    <t>FS2024XT 000263</t>
  </si>
  <si>
    <t>FS2024XT 000264</t>
  </si>
  <si>
    <t>FS2024XT 000265</t>
  </si>
  <si>
    <t>FS2024XT 000266</t>
  </si>
  <si>
    <t>FS2024XT 000267</t>
  </si>
  <si>
    <t>FS2024XT 000268</t>
  </si>
  <si>
    <t>FS2024XT 000269</t>
  </si>
  <si>
    <t>FS2024XT 000270</t>
  </si>
  <si>
    <t>FS2024XT 000271</t>
  </si>
  <si>
    <t>FS2024XT 000272</t>
  </si>
  <si>
    <t>FS2024XT 000273</t>
  </si>
  <si>
    <t>FS2024XT 000274</t>
  </si>
  <si>
    <t>FS2024XT 000275</t>
  </si>
  <si>
    <t>FS2024XT 000276</t>
  </si>
  <si>
    <t>FS2024XT 000277</t>
  </si>
  <si>
    <t>FS2024XT 000278</t>
  </si>
  <si>
    <t>FS2024XT 000279</t>
  </si>
  <si>
    <t>FS2024XT 000280</t>
  </si>
  <si>
    <t>FS2024XT 000281</t>
  </si>
  <si>
    <t>FS2024XT 000282</t>
  </si>
  <si>
    <t>FS2024XT 000283</t>
  </si>
  <si>
    <t>FS2024XT 000284</t>
  </si>
  <si>
    <t>FS2024XT 000285</t>
  </si>
  <si>
    <t>FS2024XT 000286</t>
  </si>
  <si>
    <t>FS2024XT 000287</t>
  </si>
  <si>
    <t>FS2024XT 000288</t>
  </si>
  <si>
    <t>FS2024XT 000289</t>
  </si>
  <si>
    <t>FS2024XT 000290</t>
  </si>
  <si>
    <t>FS2024XT 000291</t>
  </si>
  <si>
    <t>FS2024XT 000292</t>
  </si>
  <si>
    <t>FS2024XT 000293</t>
  </si>
  <si>
    <t>FS2024XT 000294</t>
  </si>
  <si>
    <t>FS2024XT 000295</t>
  </si>
  <si>
    <t>FS2024XT 000296</t>
  </si>
  <si>
    <t>FS2024XT 000297</t>
  </si>
  <si>
    <t>FS2024XT 000298</t>
  </si>
  <si>
    <t>FS2024XT 000299</t>
  </si>
  <si>
    <t>FS2024XT 000300</t>
  </si>
  <si>
    <t>FS2024XT 000301</t>
  </si>
  <si>
    <t>FS2024XT 000302</t>
  </si>
  <si>
    <t>FS2024XT 000303</t>
  </si>
  <si>
    <t>FS2024XT 000304</t>
  </si>
  <si>
    <t>FS2024XT 000305</t>
  </si>
  <si>
    <t>FS2024XT 000306</t>
  </si>
  <si>
    <t>FS2024XT 000307</t>
  </si>
  <si>
    <t>FS2024XT 000308</t>
  </si>
  <si>
    <t>FS2024XT 000309</t>
  </si>
  <si>
    <t>FS2024XT 000310</t>
  </si>
  <si>
    <t>FS2024XT 000311</t>
  </si>
  <si>
    <t>FS2024XT 000312</t>
  </si>
  <si>
    <t>FS2024XT 000313</t>
  </si>
  <si>
    <t>FS2024XT 000314</t>
  </si>
  <si>
    <t>FS2024XT 000315</t>
  </si>
  <si>
    <t>FS2024XT 000316</t>
  </si>
  <si>
    <t>FS2024XT 000317</t>
  </si>
  <si>
    <t>FS2024XT 000318</t>
  </si>
  <si>
    <t>FS2024XT 000319</t>
  </si>
  <si>
    <t>FS2024XT 000320</t>
  </si>
  <si>
    <t>FS2024XT 000321</t>
  </si>
  <si>
    <t>FS2024XT 000322</t>
  </si>
  <si>
    <t>FS2024XT 000323</t>
  </si>
  <si>
    <t>FS2024XT 000324</t>
  </si>
  <si>
    <t>FS2024XT 000325</t>
  </si>
  <si>
    <t>FS2024XT 000326</t>
  </si>
  <si>
    <t>FS2024XT 000327</t>
  </si>
  <si>
    <t>FS2024XT 000328</t>
  </si>
  <si>
    <t>FS2024XT 000329</t>
  </si>
  <si>
    <t>FS2024XT 000330</t>
  </si>
  <si>
    <t>FS2024XT 000331</t>
  </si>
  <si>
    <t>FS2024XT 000332</t>
  </si>
  <si>
    <t>FS2024XT 000333</t>
  </si>
  <si>
    <t>FS2024XT 000334</t>
  </si>
  <si>
    <t>FS2024XT 000335</t>
  </si>
  <si>
    <t>FS2024XT 000336</t>
  </si>
  <si>
    <t>FS2024XT 000337</t>
  </si>
  <si>
    <t>FS2024XT 000338</t>
  </si>
  <si>
    <t>FS2024XT 000339</t>
  </si>
  <si>
    <t>FS2024XT 000340</t>
  </si>
  <si>
    <t>FS2024XT 000341</t>
  </si>
  <si>
    <t>FS2024XT 000342</t>
  </si>
  <si>
    <t>FS2024XT 000343</t>
  </si>
  <si>
    <t>FS2024XT 000344</t>
  </si>
  <si>
    <t>FS2024XT 000345</t>
  </si>
  <si>
    <t>FS2024XT 000346</t>
  </si>
  <si>
    <t>FS2024XT 000347</t>
  </si>
  <si>
    <t>FS2024XT 000348</t>
  </si>
  <si>
    <t>FS2024XT 000349</t>
  </si>
  <si>
    <t>FS2024XT 000350</t>
  </si>
  <si>
    <t>FS2024XT 000351</t>
  </si>
  <si>
    <t>FS2024XT 000352</t>
  </si>
  <si>
    <t>FS2024XT 000353</t>
  </si>
  <si>
    <t>FS2024XT 000354</t>
  </si>
  <si>
    <t>FS2024XT 000355</t>
  </si>
  <si>
    <t>FS2024XT 000356</t>
  </si>
  <si>
    <t>FS2024XT 000357</t>
  </si>
  <si>
    <t>FS2024XT 000358</t>
  </si>
  <si>
    <t>FS2024XT 000359</t>
  </si>
  <si>
    <t>FS2024XT 000360</t>
  </si>
  <si>
    <t>FS2024XT 000361</t>
  </si>
  <si>
    <t>FS2024XT 000362</t>
  </si>
  <si>
    <t>FS2024XT 000363</t>
  </si>
  <si>
    <t>FS2024XT 000364</t>
  </si>
  <si>
    <t>FS2024XT 000365</t>
  </si>
  <si>
    <t>FS2024XT 000366</t>
  </si>
  <si>
    <t>FS2024XT 000367</t>
  </si>
  <si>
    <t>FS2024XT 000368</t>
  </si>
  <si>
    <t>FS2024XT 000369</t>
  </si>
  <si>
    <t>FS2024XT 000370</t>
  </si>
  <si>
    <t>FS2024XT 000371</t>
  </si>
  <si>
    <t>FS2024XT 000372</t>
  </si>
  <si>
    <t>FS2024XT 000373</t>
  </si>
  <si>
    <t>FS2024XT 000374</t>
  </si>
  <si>
    <t>FS2024XT 000375</t>
  </si>
  <si>
    <t>FS2024XT 000376</t>
  </si>
  <si>
    <t>FS2024XT 000377</t>
  </si>
  <si>
    <t>FS2024XT 000378</t>
  </si>
  <si>
    <t>FS2024XT 000379</t>
  </si>
  <si>
    <t>FS2024XT 000380</t>
  </si>
  <si>
    <t>FS2024XT 000381</t>
  </si>
  <si>
    <t>FS2024XT 000382</t>
  </si>
  <si>
    <t>FS2024XT 000383</t>
  </si>
  <si>
    <t>FS2024XT 000384</t>
  </si>
  <si>
    <t>FS2024XT 000385</t>
  </si>
  <si>
    <t>FS2024XT 000386</t>
  </si>
  <si>
    <t>FS2024XT 000387</t>
  </si>
  <si>
    <t>FS2024XT 000388</t>
  </si>
  <si>
    <t>FS2024XT 000389</t>
  </si>
  <si>
    <t>FS2024XT 000390</t>
  </si>
  <si>
    <t>FS2024XT 000391</t>
  </si>
  <si>
    <t>FS2024XT 000392</t>
  </si>
  <si>
    <t>FS2024XT 000393</t>
  </si>
  <si>
    <t>FS2024XT 000394</t>
  </si>
  <si>
    <t>FS2024XT 000395</t>
  </si>
  <si>
    <t>FS2024XT 000396</t>
  </si>
  <si>
    <t>FS2024XT 000397</t>
  </si>
  <si>
    <t>FS2024XT 000398</t>
  </si>
  <si>
    <t>FS2024XT 000399</t>
  </si>
  <si>
    <t>FS2024XT 000400</t>
  </si>
  <si>
    <t>FS2024XT 000401</t>
  </si>
  <si>
    <t>FS2024XT 000402</t>
  </si>
  <si>
    <t>FS2024XT 000403</t>
  </si>
  <si>
    <t>FS2024XT 000404</t>
  </si>
  <si>
    <t>FS2024XT 000405</t>
  </si>
  <si>
    <t>FS2024XT 000406</t>
  </si>
  <si>
    <t>FS2024XT 000407</t>
  </si>
  <si>
    <t>FS2024XT 000408</t>
  </si>
  <si>
    <t>FS2024XT 000409</t>
  </si>
  <si>
    <t>FS2024XT 000410</t>
  </si>
  <si>
    <t>FS2024XT 000411</t>
  </si>
  <si>
    <t>FS2024XT 000412</t>
  </si>
  <si>
    <t>FS2024XT 000413</t>
  </si>
  <si>
    <t>FS2024XT 000414</t>
  </si>
  <si>
    <t>FS2024XT 000415</t>
  </si>
  <si>
    <t>FS2024XT 000416</t>
  </si>
  <si>
    <t>FS2024XT 000417</t>
  </si>
  <si>
    <t>FS2024XT 000418</t>
  </si>
  <si>
    <t>COLB.JOEL</t>
  </si>
  <si>
    <t>0162/2024</t>
  </si>
  <si>
    <t>0161/2024</t>
  </si>
  <si>
    <t>0146/2024</t>
  </si>
  <si>
    <t>COLB.RAUL</t>
  </si>
  <si>
    <t>0270/2024</t>
  </si>
  <si>
    <t>0266/2024</t>
  </si>
  <si>
    <t>0271/2024</t>
  </si>
  <si>
    <t>COLB.EXCLUXIVE</t>
  </si>
  <si>
    <t>0259/2024</t>
  </si>
  <si>
    <t>0216/2024</t>
  </si>
  <si>
    <t>0205/2024</t>
  </si>
  <si>
    <t>0255/2024</t>
  </si>
  <si>
    <t>0189/2024</t>
  </si>
  <si>
    <t>0190/2024</t>
  </si>
  <si>
    <t>0151/2024</t>
  </si>
  <si>
    <t>0155/2024</t>
  </si>
  <si>
    <t>0171/2024</t>
  </si>
  <si>
    <t>COLAB.HUGO</t>
  </si>
  <si>
    <t>COLB. ESTO ES HOLLYWOOD</t>
  </si>
  <si>
    <t>0176/2024</t>
  </si>
  <si>
    <t>0136/2024</t>
  </si>
  <si>
    <t>0262/2024</t>
  </si>
  <si>
    <t>0194/2024</t>
  </si>
  <si>
    <t>0284/2024</t>
  </si>
  <si>
    <t>0290/2024</t>
  </si>
  <si>
    <t>0287/2024</t>
  </si>
  <si>
    <t>0244/2024</t>
  </si>
  <si>
    <t>0288/2024</t>
  </si>
  <si>
    <t>0292/2024</t>
  </si>
  <si>
    <t>0273/2024</t>
  </si>
  <si>
    <t>0300/2024</t>
  </si>
  <si>
    <t>0246/2024</t>
  </si>
  <si>
    <t>0289/2024</t>
  </si>
  <si>
    <t>0245/2024</t>
  </si>
  <si>
    <t>0221/2024</t>
  </si>
  <si>
    <t>0227/2024</t>
  </si>
  <si>
    <t>0260/2024</t>
  </si>
  <si>
    <t>0134/2024</t>
  </si>
  <si>
    <t>0257/2024</t>
  </si>
  <si>
    <t>0231/2024</t>
  </si>
  <si>
    <t>COLAB. HOLLYWOOD</t>
  </si>
  <si>
    <t>0302/2024</t>
  </si>
  <si>
    <t>0230/2024</t>
  </si>
  <si>
    <t>0309/2024</t>
  </si>
  <si>
    <t>0305/2024</t>
  </si>
  <si>
    <t>0199/2024</t>
  </si>
  <si>
    <t>0310/2024</t>
  </si>
  <si>
    <t>0274/2024</t>
  </si>
  <si>
    <t>COLB. CUMPLIDO</t>
  </si>
  <si>
    <t>0237/2024</t>
  </si>
  <si>
    <t>COLB.JULIO</t>
  </si>
  <si>
    <t>0251/2024</t>
  </si>
  <si>
    <t>0301/2024</t>
  </si>
  <si>
    <t>0319/2024</t>
  </si>
  <si>
    <t>0331/2024</t>
  </si>
  <si>
    <t>BOYS</t>
  </si>
  <si>
    <t>COLB.JESUS</t>
  </si>
  <si>
    <t>0323/2024</t>
  </si>
  <si>
    <t>0261/2024</t>
  </si>
  <si>
    <t>0308/2024</t>
  </si>
  <si>
    <t>0243/2024</t>
  </si>
  <si>
    <t>0283/2024</t>
  </si>
  <si>
    <t>0281/2024</t>
  </si>
  <si>
    <t>0328/2024</t>
  </si>
  <si>
    <t>0248/2024</t>
  </si>
  <si>
    <t>COLB.HUGO</t>
  </si>
  <si>
    <t>0166/2024</t>
  </si>
  <si>
    <t>0280/2024</t>
  </si>
  <si>
    <t>0311/2024</t>
  </si>
  <si>
    <t>0135/2024</t>
  </si>
  <si>
    <t>0258/2024</t>
  </si>
  <si>
    <t>0286/2024</t>
  </si>
  <si>
    <t>COLB.BIG</t>
  </si>
  <si>
    <t>0277/2024</t>
  </si>
  <si>
    <t>0297/2024</t>
  </si>
  <si>
    <t>0332/2024</t>
  </si>
  <si>
    <t>0228/2024</t>
  </si>
  <si>
    <t>0250/2024</t>
  </si>
  <si>
    <t>0326/2024</t>
  </si>
  <si>
    <t>0279/2024</t>
  </si>
  <si>
    <t>0334/2024</t>
  </si>
  <si>
    <t>0238/2024</t>
  </si>
  <si>
    <t>0320/2024</t>
  </si>
  <si>
    <t>0268/2024</t>
  </si>
  <si>
    <t>0169/2024</t>
  </si>
  <si>
    <t>COLB.FUN BUYS</t>
  </si>
  <si>
    <t>0242/2024</t>
  </si>
  <si>
    <t>0272/2024</t>
  </si>
  <si>
    <t>0339/2024</t>
  </si>
  <si>
    <t>0344/2024</t>
  </si>
  <si>
    <t>0282/2024</t>
  </si>
  <si>
    <t>COLB.DESCONECTA</t>
  </si>
  <si>
    <t>0088/2024</t>
  </si>
  <si>
    <t>0264/2024</t>
  </si>
  <si>
    <t>0160/2024</t>
  </si>
  <si>
    <t>0347/2024</t>
  </si>
  <si>
    <t>0349/2024</t>
  </si>
  <si>
    <t>0324/2024</t>
  </si>
  <si>
    <t>FS2024XT 000419</t>
  </si>
  <si>
    <t>FS2024XT 000420</t>
  </si>
  <si>
    <t>FS2024XT 000421</t>
  </si>
  <si>
    <t>FS2024XT 000422</t>
  </si>
  <si>
    <t>FS2024XT 000423</t>
  </si>
  <si>
    <t>FS2024XT 000424</t>
  </si>
  <si>
    <t>FS2024XT 000425</t>
  </si>
  <si>
    <t>FS2024XT 000426</t>
  </si>
  <si>
    <t>FS2024XT 000427</t>
  </si>
  <si>
    <t>FS2024XT 000428</t>
  </si>
  <si>
    <t>FS2024XT 000429</t>
  </si>
  <si>
    <t>FS2024XT 000430</t>
  </si>
  <si>
    <t>FS2024XT 000431</t>
  </si>
  <si>
    <t>FS2024XT 000432</t>
  </si>
  <si>
    <t>FS2024XT 000433</t>
  </si>
  <si>
    <t>FS2024XT 000434</t>
  </si>
  <si>
    <t>FS2024XT 000435</t>
  </si>
  <si>
    <t>FS2024XT 000436</t>
  </si>
  <si>
    <t>FS2024XT 000437</t>
  </si>
  <si>
    <t>FS2024XT 000438</t>
  </si>
  <si>
    <t>FS2024XT 000439</t>
  </si>
  <si>
    <t>FS2024XT 000440</t>
  </si>
  <si>
    <t>FS2024XT 000441</t>
  </si>
  <si>
    <t>FS2024XT 000442</t>
  </si>
  <si>
    <t>FS2024XT 000443</t>
  </si>
  <si>
    <t>FS2024XT 000444</t>
  </si>
  <si>
    <t>FS2024XT 000445</t>
  </si>
  <si>
    <t>FS2024XT 000446</t>
  </si>
  <si>
    <t>FS2024XT 000447</t>
  </si>
  <si>
    <t>FS2024XT 000448</t>
  </si>
  <si>
    <t>FS2024XT 000449</t>
  </si>
  <si>
    <t>FS2024XT 000450</t>
  </si>
  <si>
    <t>FS2024XT 000451</t>
  </si>
  <si>
    <t>FS2024XT 000452</t>
  </si>
  <si>
    <t>0337/2024</t>
  </si>
  <si>
    <t>COLB.FRANCISCO</t>
  </si>
  <si>
    <t>COLB.CUMPLIDO</t>
  </si>
  <si>
    <t>0263/2024</t>
  </si>
  <si>
    <t>0341/2024</t>
  </si>
  <si>
    <t>0376/2024</t>
  </si>
  <si>
    <t>0381/2024</t>
  </si>
  <si>
    <t>0278/2024</t>
  </si>
  <si>
    <t>0333/2024</t>
  </si>
  <si>
    <t>0330/2024</t>
  </si>
  <si>
    <t>0370/2024</t>
  </si>
  <si>
    <t>COLB.PARTY</t>
  </si>
  <si>
    <t>0321/2024</t>
  </si>
  <si>
    <t>0316/2024</t>
  </si>
  <si>
    <t>0195/2024</t>
  </si>
  <si>
    <t>FS2024XT 000453</t>
  </si>
  <si>
    <t>0036/20254</t>
  </si>
  <si>
    <t>CUMPLEAÑOS</t>
  </si>
  <si>
    <t>0405/2024</t>
  </si>
  <si>
    <t>0394/2024</t>
  </si>
  <si>
    <t>0312/2024</t>
  </si>
  <si>
    <t>0380/2024</t>
  </si>
  <si>
    <t>0413/2024</t>
  </si>
  <si>
    <t>0112/2024</t>
  </si>
  <si>
    <t>0432/2024</t>
  </si>
  <si>
    <t>COLB.EVENTOS</t>
  </si>
  <si>
    <t>0368/2024</t>
  </si>
  <si>
    <t>0367/2024</t>
  </si>
  <si>
    <t>0384/2024</t>
  </si>
  <si>
    <t>COLB. FUN BUS</t>
  </si>
  <si>
    <t>0436/2024</t>
  </si>
  <si>
    <t>0438/2024</t>
  </si>
  <si>
    <t>0457/2024</t>
  </si>
  <si>
    <t>COLB.TRAVELCARE</t>
  </si>
  <si>
    <t>0343/2024</t>
  </si>
  <si>
    <t>0412/2024</t>
  </si>
  <si>
    <t>0440/2024</t>
  </si>
  <si>
    <t>0411/2024</t>
  </si>
  <si>
    <t>0435/2024</t>
  </si>
  <si>
    <t>0391/2024</t>
  </si>
  <si>
    <t>0449/2024</t>
  </si>
  <si>
    <t>0399/2024</t>
  </si>
  <si>
    <t>0315/2024</t>
  </si>
  <si>
    <t>0102/2024</t>
  </si>
  <si>
    <t>COLB.FUN BUS</t>
  </si>
  <si>
    <t>0404/2024</t>
  </si>
  <si>
    <t>0442/2024</t>
  </si>
  <si>
    <t>0303/024</t>
  </si>
  <si>
    <t>0472/2024</t>
  </si>
  <si>
    <t>0424/2024</t>
  </si>
  <si>
    <t>0502/2024</t>
  </si>
  <si>
    <t>0483/2024</t>
  </si>
  <si>
    <t>0496/2024</t>
  </si>
  <si>
    <t>0360/2024</t>
  </si>
  <si>
    <t>0475/2024</t>
  </si>
  <si>
    <t>0163/2024</t>
  </si>
  <si>
    <t>0439/2024</t>
  </si>
  <si>
    <t>0362/2024</t>
  </si>
  <si>
    <t>0346/2024</t>
  </si>
  <si>
    <t>0487/2024</t>
  </si>
  <si>
    <t>COLAB.BORJA</t>
  </si>
  <si>
    <t>0396/2024</t>
  </si>
  <si>
    <t>0437/2024</t>
  </si>
  <si>
    <t>0470/2024</t>
  </si>
  <si>
    <t>0249/2024</t>
  </si>
  <si>
    <t>0463/2024</t>
  </si>
  <si>
    <t>0484/2024</t>
  </si>
  <si>
    <t>COLB.AITOR</t>
  </si>
  <si>
    <t>0420/2024</t>
  </si>
  <si>
    <t>0458/2024</t>
  </si>
  <si>
    <t>0121/2024</t>
  </si>
  <si>
    <t>0295/2024</t>
  </si>
  <si>
    <t>0372/2024</t>
  </si>
  <si>
    <t>0374/2024</t>
  </si>
  <si>
    <t>0350/2024</t>
  </si>
  <si>
    <t>0364/2024</t>
  </si>
  <si>
    <t>0428/2024</t>
  </si>
  <si>
    <t>0387/2024</t>
  </si>
  <si>
    <t>0385/2024</t>
  </si>
  <si>
    <t>0476/2024</t>
  </si>
  <si>
    <t>0379/2024</t>
  </si>
  <si>
    <t>0342/2024</t>
  </si>
  <si>
    <t>0402/2024</t>
  </si>
  <si>
    <t>0322/2024</t>
  </si>
  <si>
    <t>AIR SOFT</t>
  </si>
  <si>
    <t>FINCA</t>
  </si>
  <si>
    <t>0477/2024</t>
  </si>
  <si>
    <t>0403/2024</t>
  </si>
  <si>
    <t>0431/2024</t>
  </si>
  <si>
    <t>0482/2024</t>
  </si>
  <si>
    <t>0418/2024</t>
  </si>
  <si>
    <t>0515/2024</t>
  </si>
  <si>
    <t>0504/2024</t>
  </si>
  <si>
    <t>0518/2024</t>
  </si>
  <si>
    <t>0524/2024</t>
  </si>
  <si>
    <t>S/ N.RESERVA</t>
  </si>
  <si>
    <t>0510/2024</t>
  </si>
  <si>
    <t>0480/2024</t>
  </si>
  <si>
    <t>0526/2024</t>
  </si>
  <si>
    <t>FOTOGRAFO</t>
  </si>
  <si>
    <t>0427/2024</t>
  </si>
  <si>
    <t>0527/2024</t>
  </si>
  <si>
    <t>0441/2024</t>
  </si>
  <si>
    <t>0425/2024</t>
  </si>
  <si>
    <t>COLB.DAVID</t>
  </si>
  <si>
    <t>0304/2024</t>
  </si>
  <si>
    <t>0493/2024</t>
  </si>
  <si>
    <t>0450/2024</t>
  </si>
  <si>
    <t>0508/2024</t>
  </si>
  <si>
    <t>0542/2024</t>
  </si>
  <si>
    <t>0537/2024</t>
  </si>
  <si>
    <t>0531/2024</t>
  </si>
  <si>
    <t>0533/2024</t>
  </si>
  <si>
    <t>0453/2024</t>
  </si>
  <si>
    <t>COLB. MIST-TAS</t>
  </si>
  <si>
    <t>0506/2024</t>
  </si>
  <si>
    <t>0254/2024</t>
  </si>
  <si>
    <t>0294/2024</t>
  </si>
  <si>
    <t>0464/2024</t>
  </si>
  <si>
    <t>0497/2024</t>
  </si>
  <si>
    <t>0547/2024</t>
  </si>
  <si>
    <t>0552/2024</t>
  </si>
  <si>
    <t>FS2024XT 000689</t>
  </si>
  <si>
    <t>FS2024XT 000690</t>
  </si>
  <si>
    <t>FS2024XT 000691</t>
  </si>
  <si>
    <t>FS2024XT 000692</t>
  </si>
  <si>
    <t>FS2024XT 000693</t>
  </si>
  <si>
    <t>FS2024XT 000694</t>
  </si>
  <si>
    <t>FS2024XT 000695</t>
  </si>
  <si>
    <t>FS2024XT 000696</t>
  </si>
  <si>
    <t>FS2024XT 000697</t>
  </si>
  <si>
    <t>FS2024XT 000698</t>
  </si>
  <si>
    <t>FS2024XT 000699</t>
  </si>
  <si>
    <t>FS2024XT 000700</t>
  </si>
  <si>
    <t>FS2024XT 000701</t>
  </si>
  <si>
    <t>FS2024XT 000702</t>
  </si>
  <si>
    <t>FS2024XT 000703</t>
  </si>
  <si>
    <t>FS2024XT 000704</t>
  </si>
  <si>
    <t>FS2024XT 000705</t>
  </si>
  <si>
    <t>FS2024XT 000706</t>
  </si>
  <si>
    <t>FS2024XT 000707</t>
  </si>
  <si>
    <t>FS2024XT 000708</t>
  </si>
  <si>
    <t>FS2024XT 000709</t>
  </si>
  <si>
    <t>FS2024XT 000710</t>
  </si>
  <si>
    <t>FS2024XT 000711</t>
  </si>
  <si>
    <t>FS2024XT 000712</t>
  </si>
  <si>
    <t>FS2024XT 000713</t>
  </si>
  <si>
    <t>FS2024XT 000714</t>
  </si>
  <si>
    <t>FS2024XT 000715</t>
  </si>
  <si>
    <t>FS2024XT 000716</t>
  </si>
  <si>
    <t>FS2024XT 000717</t>
  </si>
  <si>
    <t>FS2024XT 000718</t>
  </si>
  <si>
    <t>FS2024XT 000719</t>
  </si>
  <si>
    <t>FS2024XT 000720</t>
  </si>
  <si>
    <t>FS2024XT 000721</t>
  </si>
  <si>
    <t>FS2024XT 000722</t>
  </si>
  <si>
    <t>FS2024XT 000723</t>
  </si>
  <si>
    <t>FS2024XT 000724</t>
  </si>
  <si>
    <t>FS2024XT 000725</t>
  </si>
  <si>
    <t>FS2024XT 000726</t>
  </si>
  <si>
    <t>FS2024XT 000727</t>
  </si>
  <si>
    <t>FS2024XT 000728</t>
  </si>
  <si>
    <t>FS2024XT 000729</t>
  </si>
  <si>
    <t>FS2024XT 000730</t>
  </si>
  <si>
    <t>FS2024XT 000731</t>
  </si>
  <si>
    <t>FS2024XT 000732</t>
  </si>
  <si>
    <t>FS2024XT 000733</t>
  </si>
  <si>
    <t>FS2024XT 000734</t>
  </si>
  <si>
    <t>FS2024XT 000735</t>
  </si>
  <si>
    <t>FS2024XT 000736</t>
  </si>
  <si>
    <t>FS2024XT 000737</t>
  </si>
  <si>
    <t>FS2024XT 000738</t>
  </si>
  <si>
    <t>FS2024XT 000739</t>
  </si>
  <si>
    <t>FS2024XT 000740</t>
  </si>
  <si>
    <t>FS2024XT 000741</t>
  </si>
  <si>
    <t>FS2024XT 000742</t>
  </si>
  <si>
    <t>FS2024XT 000743</t>
  </si>
  <si>
    <t>FS2024XT 000744</t>
  </si>
  <si>
    <t>FS2024XT 000745</t>
  </si>
  <si>
    <t>FS2024XT 000746</t>
  </si>
  <si>
    <t>FS2024XT 000747</t>
  </si>
  <si>
    <t>FS2024XT 000748</t>
  </si>
  <si>
    <t>FS2024XT 000749</t>
  </si>
  <si>
    <t>FS2024XT 000750</t>
  </si>
  <si>
    <t>FS2024XT 000751</t>
  </si>
  <si>
    <t>FS2024XT 000752</t>
  </si>
  <si>
    <t>FS2024XT 000753</t>
  </si>
  <si>
    <t>FS2024XT 000754</t>
  </si>
  <si>
    <t>FS2024XT 000755</t>
  </si>
  <si>
    <t>FS2024XT 000756</t>
  </si>
  <si>
    <t>FS2024XT 000757</t>
  </si>
  <si>
    <t>FS2024XT 000758</t>
  </si>
  <si>
    <t>FS2024XT 000759</t>
  </si>
  <si>
    <t>FS2024XT 000760</t>
  </si>
  <si>
    <t>FS2024XT 000761</t>
  </si>
  <si>
    <t>FS2024XT 000762</t>
  </si>
  <si>
    <t>FS2024XT 000763</t>
  </si>
  <si>
    <t>FS2024XT 000764</t>
  </si>
  <si>
    <t>FS2024XT 000765</t>
  </si>
  <si>
    <t>FS2024XT 000766</t>
  </si>
  <si>
    <t>FS2024XT 000767</t>
  </si>
  <si>
    <t>FS2024XT 000768</t>
  </si>
  <si>
    <t>FS2024XT 000769</t>
  </si>
  <si>
    <t>FS2024XT 000770</t>
  </si>
  <si>
    <t>FS2024XT 000771</t>
  </si>
  <si>
    <t>FS2024XT 000772</t>
  </si>
  <si>
    <t>FS2024XT 000773</t>
  </si>
  <si>
    <t>FS2024XT 000774</t>
  </si>
  <si>
    <t>FS2024XT 000775</t>
  </si>
  <si>
    <t>FS2024XT 000776</t>
  </si>
  <si>
    <t>FS2024XT 000777</t>
  </si>
  <si>
    <t>FS2024XT 000778</t>
  </si>
  <si>
    <t>FS2024XT 000779</t>
  </si>
  <si>
    <t>FS2024XT 000780</t>
  </si>
  <si>
    <t>FS2024XT 000781</t>
  </si>
  <si>
    <t>FS2024XT 000782</t>
  </si>
  <si>
    <t>FS2024XT 000783</t>
  </si>
  <si>
    <t>FS2024XT 000784</t>
  </si>
  <si>
    <t>FS2024XT 000785</t>
  </si>
  <si>
    <t>FS2024XT 000786</t>
  </si>
  <si>
    <t>FS2024XT 000787</t>
  </si>
  <si>
    <t>FS2024XT 000788</t>
  </si>
  <si>
    <t>FS2024XT 000789</t>
  </si>
  <si>
    <t>FS2024XT 000790</t>
  </si>
  <si>
    <t>FS2024XT 000791</t>
  </si>
  <si>
    <t>FS2024XT 000792</t>
  </si>
  <si>
    <t>FS2024XT 000793</t>
  </si>
  <si>
    <t>FS2024XT 000794</t>
  </si>
  <si>
    <t>FS2024XT 000795</t>
  </si>
  <si>
    <t>FS2024XT 000796</t>
  </si>
  <si>
    <t>FS2024XT 000797</t>
  </si>
  <si>
    <t>FS2024XT 000798</t>
  </si>
  <si>
    <t>FS2024XT 000799</t>
  </si>
  <si>
    <t>FS2024XT 000800</t>
  </si>
  <si>
    <t>FS2024XT 000801</t>
  </si>
  <si>
    <t>FS2024XT 000802</t>
  </si>
  <si>
    <t>FS2024XT 000803</t>
  </si>
  <si>
    <t>FS2024XT 000804</t>
  </si>
  <si>
    <t>FS2024XT 000805</t>
  </si>
  <si>
    <t>FS2024XT 000806</t>
  </si>
  <si>
    <t>FS2024XT 000807</t>
  </si>
  <si>
    <t>FS2024XT 000808</t>
  </si>
  <si>
    <t>FS2024XT 000809</t>
  </si>
  <si>
    <t>FS2024XT 000810</t>
  </si>
  <si>
    <t>FS2024XT 000811</t>
  </si>
  <si>
    <t>FS2024XT 000812</t>
  </si>
  <si>
    <t>FS2024XT 000813</t>
  </si>
  <si>
    <t>FS2024XT 000814</t>
  </si>
  <si>
    <t>FS2024XT 000815</t>
  </si>
  <si>
    <t>FS2024XT 000816</t>
  </si>
  <si>
    <t>FS2024XT 000817</t>
  </si>
  <si>
    <t>FS2024XT 000818</t>
  </si>
  <si>
    <t>FS2024XT 000819</t>
  </si>
  <si>
    <t>FS2024XT 000820</t>
  </si>
  <si>
    <t>FS2024XT 000821</t>
  </si>
  <si>
    <t>FS2024XT 000822</t>
  </si>
  <si>
    <t>FS2024XT 000823</t>
  </si>
  <si>
    <t>FS2024XT 000824</t>
  </si>
  <si>
    <t>FS2024XT 000825</t>
  </si>
  <si>
    <t>FS2024XT 000826</t>
  </si>
  <si>
    <t>FS2024XT 000827</t>
  </si>
  <si>
    <t>FS2024XT 000828</t>
  </si>
  <si>
    <t>FS2024XT 000829</t>
  </si>
  <si>
    <t>FS2024XT 000830</t>
  </si>
  <si>
    <t>FS2024XT 000831</t>
  </si>
  <si>
    <t>FS2024XT 000832</t>
  </si>
  <si>
    <t>FS2024XT 000833</t>
  </si>
  <si>
    <t>FS2024XT 000834</t>
  </si>
  <si>
    <t>FS2024XT 000835</t>
  </si>
  <si>
    <t>FS2024XT 000836</t>
  </si>
  <si>
    <t>FS2024XT 000837</t>
  </si>
  <si>
    <t>FS2024XT 000838</t>
  </si>
  <si>
    <t>FS2024XT 000839</t>
  </si>
  <si>
    <t>FS2024XT 000840</t>
  </si>
  <si>
    <t>FS2024XT 000841</t>
  </si>
  <si>
    <t>FS2024XT 000842</t>
  </si>
  <si>
    <t>FS2024XT 000843</t>
  </si>
  <si>
    <t>FS2024XT 000844</t>
  </si>
  <si>
    <t>FS2024XT 000845</t>
  </si>
  <si>
    <t>FS2024XT 000846</t>
  </si>
  <si>
    <t>FS2024XT 000847</t>
  </si>
  <si>
    <t>FS2024XT 000848</t>
  </si>
  <si>
    <t>FS2024XT 000849</t>
  </si>
  <si>
    <t>FS2024XT 000850</t>
  </si>
  <si>
    <t>FS2024XT 000851</t>
  </si>
  <si>
    <t>FS2024XT 000852</t>
  </si>
  <si>
    <t>FS2024XT 000853</t>
  </si>
  <si>
    <t>FS2024XT 000854</t>
  </si>
  <si>
    <t>FS2024XT 000855</t>
  </si>
  <si>
    <t>FS2024XT 000856</t>
  </si>
  <si>
    <t>FS2024XT 000857</t>
  </si>
  <si>
    <t>FS2024XT 000858</t>
  </si>
  <si>
    <t>FS2024XT 000859</t>
  </si>
  <si>
    <t>FS2024XT 000860</t>
  </si>
  <si>
    <t>FS2024XT 000861</t>
  </si>
  <si>
    <t>FS2024XT 000862</t>
  </si>
  <si>
    <t>FS2024XT 000863</t>
  </si>
  <si>
    <t>FS2024XT 000864</t>
  </si>
  <si>
    <t>FS2024XT 000865</t>
  </si>
  <si>
    <t>FS2024XT 000866</t>
  </si>
  <si>
    <t>FS2024XT 000867</t>
  </si>
  <si>
    <t>FS2024XT 000868</t>
  </si>
  <si>
    <t>FS2024XT 000869</t>
  </si>
  <si>
    <t>FS2024XT 000870</t>
  </si>
  <si>
    <t>FS2024XT 000871</t>
  </si>
  <si>
    <t>FS2024XT 000872</t>
  </si>
  <si>
    <t>FS2024XT 000873</t>
  </si>
  <si>
    <t>FS2024XT 000874</t>
  </si>
  <si>
    <t>FS2024XT 000875</t>
  </si>
  <si>
    <t>FS2024XT 000876</t>
  </si>
  <si>
    <t>FS2024XT 000877</t>
  </si>
  <si>
    <t>FS2024XT 000878</t>
  </si>
  <si>
    <t>FS2024XT 000879</t>
  </si>
  <si>
    <t>FS2024XT 000880</t>
  </si>
  <si>
    <t>FS2024XT 000881</t>
  </si>
  <si>
    <t>FS2024XT 000882</t>
  </si>
  <si>
    <t>FS2024XT 000883</t>
  </si>
  <si>
    <t>FS2024XT 000884</t>
  </si>
  <si>
    <t>FS2024XT 000885</t>
  </si>
  <si>
    <t>FS2024XT 000886</t>
  </si>
  <si>
    <t>FS2024XT 000887</t>
  </si>
  <si>
    <t>FS2024XT 000888</t>
  </si>
  <si>
    <t>FS2024XT 000889</t>
  </si>
  <si>
    <t>FS2024XT 000890</t>
  </si>
  <si>
    <t>FS2024XT 000891</t>
  </si>
  <si>
    <t>FS2024XT 000892</t>
  </si>
  <si>
    <t>FS2024XT 000893</t>
  </si>
  <si>
    <t>0525/2024</t>
  </si>
  <si>
    <t>0556/2024</t>
  </si>
  <si>
    <t>0549/2024</t>
  </si>
  <si>
    <t>0503/2024</t>
  </si>
  <si>
    <t>S/N.RESERVA</t>
  </si>
  <si>
    <t>0455/2024</t>
  </si>
  <si>
    <t>0498/2024</t>
  </si>
  <si>
    <t>0451/2024</t>
  </si>
  <si>
    <t>0509/2024</t>
  </si>
  <si>
    <t>0377/2024</t>
  </si>
  <si>
    <t>COLB.MIST-TA</t>
  </si>
  <si>
    <t>0462/2024</t>
  </si>
  <si>
    <t>0298/2024</t>
  </si>
  <si>
    <t>0522/2024</t>
  </si>
  <si>
    <t>COLB.ALEJANDRO</t>
  </si>
  <si>
    <t>0516/2024</t>
  </si>
  <si>
    <t>0456/2024</t>
  </si>
  <si>
    <t>COLB.BORJA</t>
  </si>
  <si>
    <t>0619/2024</t>
  </si>
  <si>
    <t>0378/2024</t>
  </si>
  <si>
    <t>0548/2024</t>
  </si>
  <si>
    <t>0521/2024</t>
  </si>
  <si>
    <t>COLB.FUNBUS</t>
  </si>
  <si>
    <t>0615/2024</t>
  </si>
  <si>
    <t>0489/2024</t>
  </si>
  <si>
    <t>0598/2024</t>
  </si>
  <si>
    <t>0467/2024</t>
  </si>
  <si>
    <t>0599/2024</t>
  </si>
  <si>
    <t>0366/2024</t>
  </si>
  <si>
    <t>0479/2024</t>
  </si>
  <si>
    <t>0553/2024</t>
  </si>
  <si>
    <t>0604/2024</t>
  </si>
  <si>
    <t>0485/2024</t>
  </si>
  <si>
    <t>0354/2024</t>
  </si>
  <si>
    <t>0492/2024</t>
  </si>
  <si>
    <t>0607/2024</t>
  </si>
  <si>
    <t>COLB.CORTIJO</t>
  </si>
  <si>
    <t>0540/2024</t>
  </si>
  <si>
    <t>0490/2024</t>
  </si>
  <si>
    <t>STREEPER</t>
  </si>
  <si>
    <t>COLB.ESTO ES HOLLYWOOD</t>
  </si>
  <si>
    <t>0590/2024</t>
  </si>
  <si>
    <t>0511/2024</t>
  </si>
  <si>
    <t>0600/2024</t>
  </si>
  <si>
    <t>0335/2024</t>
  </si>
  <si>
    <t>0558/2024</t>
  </si>
  <si>
    <t>0559/2024</t>
  </si>
  <si>
    <t>0597/2027</t>
  </si>
  <si>
    <t>0596/2024</t>
  </si>
  <si>
    <t>0594/2024</t>
  </si>
  <si>
    <t>0434/2024</t>
  </si>
  <si>
    <t>0397/2024</t>
  </si>
  <si>
    <t>0499/2024</t>
  </si>
  <si>
    <t>0639/2024</t>
  </si>
  <si>
    <t>COLB.EXCLUSIVE</t>
  </si>
  <si>
    <t>0512/2024</t>
  </si>
  <si>
    <t>0606/2024</t>
  </si>
  <si>
    <t>0423/2024</t>
  </si>
  <si>
    <t>0645/2024</t>
  </si>
  <si>
    <t>0611/2024</t>
  </si>
  <si>
    <t>009/2024</t>
  </si>
  <si>
    <t>0353/2024</t>
  </si>
  <si>
    <t>0602/2024</t>
  </si>
  <si>
    <t>0517/2024</t>
  </si>
  <si>
    <t>0653/2024</t>
  </si>
  <si>
    <t>0359/2024</t>
  </si>
  <si>
    <t>0628/2024</t>
  </si>
  <si>
    <t>0365/2024</t>
  </si>
  <si>
    <t>0592/2024</t>
  </si>
  <si>
    <t>0459/2024</t>
  </si>
  <si>
    <t>0623/2024</t>
  </si>
  <si>
    <t>0196/2024</t>
  </si>
  <si>
    <t>0544/2024</t>
  </si>
  <si>
    <t>0650/2024</t>
  </si>
  <si>
    <t>2787/2024</t>
  </si>
  <si>
    <t>0655/2024</t>
  </si>
  <si>
    <t>0141/2024</t>
  </si>
  <si>
    <t>0371/2024</t>
  </si>
  <si>
    <t>0466/2024</t>
  </si>
  <si>
    <t>0656/2024</t>
  </si>
  <si>
    <t>0535/2024</t>
  </si>
  <si>
    <t>0536/2024</t>
  </si>
  <si>
    <t>0621/2024</t>
  </si>
  <si>
    <t>COLB.INFIESTA</t>
  </si>
  <si>
    <t>0454/2024</t>
  </si>
  <si>
    <t>0610/2024</t>
  </si>
  <si>
    <t>0660/2024</t>
  </si>
  <si>
    <t>0659/2024</t>
  </si>
  <si>
    <t>0448/20204</t>
  </si>
  <si>
    <t>0446/2024</t>
  </si>
  <si>
    <t>0644/2024</t>
  </si>
  <si>
    <t>0523/2024</t>
  </si>
  <si>
    <t>0663/2024</t>
  </si>
  <si>
    <t>0545/2024</t>
  </si>
  <si>
    <t>06384/2024</t>
  </si>
  <si>
    <t>0670/2024</t>
  </si>
  <si>
    <t>0642/2024</t>
  </si>
  <si>
    <t>0474/2024</t>
  </si>
  <si>
    <t>0668/2024</t>
  </si>
  <si>
    <t>0678/2024</t>
  </si>
  <si>
    <t>0632/2024</t>
  </si>
  <si>
    <t>0625/2024</t>
  </si>
  <si>
    <t>0688/2024</t>
  </si>
  <si>
    <t>0473/2024</t>
  </si>
  <si>
    <t>0680/2024</t>
  </si>
  <si>
    <t>0119/2024</t>
  </si>
  <si>
    <t>0538/2024</t>
  </si>
  <si>
    <t>0626/2024</t>
  </si>
  <si>
    <t>0654/2024</t>
  </si>
  <si>
    <t>0673-0674/2024</t>
  </si>
  <si>
    <t>0677/2024</t>
  </si>
  <si>
    <t>0658/2024</t>
  </si>
  <si>
    <t>0667/2024</t>
  </si>
  <si>
    <t>0614/20024</t>
  </si>
  <si>
    <t>0507/2024</t>
  </si>
  <si>
    <t>0539/2024</t>
  </si>
  <si>
    <t>0682/2024</t>
  </si>
  <si>
    <t>0609/2024</t>
  </si>
  <si>
    <t>0685/2024</t>
  </si>
  <si>
    <t>0652/2024</t>
  </si>
  <si>
    <t>0687/2024</t>
  </si>
  <si>
    <t>0635/2024</t>
  </si>
  <si>
    <t>0720/2024</t>
  </si>
  <si>
    <t>0711/2024</t>
  </si>
  <si>
    <t>0641/2024</t>
  </si>
  <si>
    <t>0616/2024</t>
  </si>
  <si>
    <t>0083/2024</t>
  </si>
  <si>
    <t>0541/2024</t>
  </si>
  <si>
    <t>0714/2024</t>
  </si>
  <si>
    <t>0710/2024</t>
  </si>
  <si>
    <t>COLB.EVENTOS MÁGICOS</t>
  </si>
  <si>
    <t>0495/2024</t>
  </si>
  <si>
    <t>FS2024XT 000894</t>
  </si>
  <si>
    <t>FS2024XT 000895</t>
  </si>
  <si>
    <t>FS2024XT 000896</t>
  </si>
  <si>
    <t>FS2024XT 000897</t>
  </si>
  <si>
    <t>FS2024XT 000898</t>
  </si>
  <si>
    <t>FS2024XT 000899</t>
  </si>
  <si>
    <t>FS2024XT 000900</t>
  </si>
  <si>
    <t>FS2024XT 000901</t>
  </si>
  <si>
    <t>FS2024XT 000902</t>
  </si>
  <si>
    <t>FS2024XT 000903</t>
  </si>
  <si>
    <t>FS2024XT 000904</t>
  </si>
  <si>
    <t>FS2024XT 000905</t>
  </si>
  <si>
    <t>FS2024XT 000906</t>
  </si>
  <si>
    <t>FS2024XT 000907</t>
  </si>
  <si>
    <t>FS2024XT 000908</t>
  </si>
  <si>
    <t>FS2024XT 000909</t>
  </si>
  <si>
    <t>FS2024XT 000910</t>
  </si>
  <si>
    <t>FS2024XT 000911</t>
  </si>
  <si>
    <t>FS2024XT 000912</t>
  </si>
  <si>
    <t>FS2024XT 000913</t>
  </si>
  <si>
    <t>FS2024XT 000914</t>
  </si>
  <si>
    <t>FS2024XT 000915</t>
  </si>
  <si>
    <t>FS2024XT 000916</t>
  </si>
  <si>
    <t>FS2024XT 000917</t>
  </si>
  <si>
    <t>FS2024XT 000918</t>
  </si>
  <si>
    <t>FS2024XT 000919</t>
  </si>
  <si>
    <t>FS2024XT 000920</t>
  </si>
  <si>
    <t>FS2024XT 000921</t>
  </si>
  <si>
    <t>FS2024XT 000922</t>
  </si>
  <si>
    <t>FS2024XT 000923</t>
  </si>
  <si>
    <t>FS2024XT 000924</t>
  </si>
  <si>
    <t>FS2024XT 000925</t>
  </si>
  <si>
    <t>FS2024XT 000926</t>
  </si>
  <si>
    <t>FS2024XT 000927</t>
  </si>
  <si>
    <t>FS2024XT 000928</t>
  </si>
  <si>
    <t>FS2024XT 000929</t>
  </si>
  <si>
    <t>FS2024XT 000930</t>
  </si>
  <si>
    <t>FS2024XT 000931</t>
  </si>
  <si>
    <t>FS2024XT 000932</t>
  </si>
  <si>
    <t>FS2024XT 000933</t>
  </si>
  <si>
    <t>FS2024XT 000934</t>
  </si>
  <si>
    <t>FS2024XT 000935</t>
  </si>
  <si>
    <t>FS2024XT 000936</t>
  </si>
  <si>
    <t>FS2024XT 000937</t>
  </si>
  <si>
    <t>FS2024XT 000938</t>
  </si>
  <si>
    <t>FS2024XT 000939</t>
  </si>
  <si>
    <t>FS2024XT 000940</t>
  </si>
  <si>
    <t>FS2024XT 000941</t>
  </si>
  <si>
    <t>FS2024XT 000942</t>
  </si>
  <si>
    <t>FS2024XT 000943</t>
  </si>
  <si>
    <t>FS2024XT 000944</t>
  </si>
  <si>
    <t>FS2024XT 000945</t>
  </si>
  <si>
    <t>FS2024XT 000946</t>
  </si>
  <si>
    <t>FS2024XT 000947</t>
  </si>
  <si>
    <t>FS2024XT 000948</t>
  </si>
  <si>
    <t>FS2024XT 000949</t>
  </si>
  <si>
    <t>FS2024XT 000950</t>
  </si>
  <si>
    <t>FS2024XT 000951</t>
  </si>
  <si>
    <t>FS2024XT 000952</t>
  </si>
  <si>
    <t>FS2024XT 000953</t>
  </si>
  <si>
    <t>FS2024XT 000954</t>
  </si>
  <si>
    <t>FS2024XT 000955</t>
  </si>
  <si>
    <t>FS2024XT 000956</t>
  </si>
  <si>
    <t>FS2024XT 000957</t>
  </si>
  <si>
    <t>FS2024XT 000958</t>
  </si>
  <si>
    <t>FS2024XT 000959</t>
  </si>
  <si>
    <t>FS2024XT 000960</t>
  </si>
  <si>
    <t>FS2024XT 000961</t>
  </si>
  <si>
    <t>FS2024XT 000962</t>
  </si>
  <si>
    <t>FS2024XT 000963</t>
  </si>
  <si>
    <t>FS2024XT 000964</t>
  </si>
  <si>
    <t>FS2024XT 000965</t>
  </si>
  <si>
    <t>FS2024XT 000966</t>
  </si>
  <si>
    <t>FS2024XT 000967</t>
  </si>
  <si>
    <t>FS2024XT 000968</t>
  </si>
  <si>
    <t>FS2024XT 000969</t>
  </si>
  <si>
    <t>FS2024XT 000970</t>
  </si>
  <si>
    <t>FS2024XT 000971</t>
  </si>
  <si>
    <t>FS2024XT 000972</t>
  </si>
  <si>
    <t>FS2024XT 000973</t>
  </si>
  <si>
    <t>FS2024XT 000974</t>
  </si>
  <si>
    <t>FS2024XT 000975</t>
  </si>
  <si>
    <t>FS2024XT 000976</t>
  </si>
  <si>
    <t>FS2024XT 000977</t>
  </si>
  <si>
    <t>FS2024XT 000978</t>
  </si>
  <si>
    <t>FS2024XT 000979</t>
  </si>
  <si>
    <t>FS2024XT 000980</t>
  </si>
  <si>
    <t>FS2024XT 000981</t>
  </si>
  <si>
    <t>FS2024XT 000982</t>
  </si>
  <si>
    <t>FS2024XT 000983</t>
  </si>
  <si>
    <t>FS2024XT 000984</t>
  </si>
  <si>
    <t>FS2024XT 000985</t>
  </si>
  <si>
    <t>FS2024XT 000986</t>
  </si>
  <si>
    <t>FS2024XT 000987</t>
  </si>
  <si>
    <t>FS2024XT 000988</t>
  </si>
  <si>
    <t>FS2024XT 000989</t>
  </si>
  <si>
    <t>FS2024XT 000990</t>
  </si>
  <si>
    <t>FS2024XT 000991</t>
  </si>
  <si>
    <t>FS2024XT 000992</t>
  </si>
  <si>
    <t>FS2024XT 000993</t>
  </si>
  <si>
    <t>FS2024XT 000994</t>
  </si>
  <si>
    <t>FS2024XT 000995</t>
  </si>
  <si>
    <t>FS2024XT 000996</t>
  </si>
  <si>
    <t>FS2024XT 000997</t>
  </si>
  <si>
    <t>FS2024XT 000998</t>
  </si>
  <si>
    <t>FS2024XT 000999</t>
  </si>
  <si>
    <t>FS2024XT 001000</t>
  </si>
  <si>
    <t>FS2024XT 001001</t>
  </si>
  <si>
    <t>FS2024XT 001002</t>
  </si>
  <si>
    <t>FS2024XT 001003</t>
  </si>
  <si>
    <t>FS2024XT 001004</t>
  </si>
  <si>
    <t>FS2024XT 001005</t>
  </si>
  <si>
    <t>FS2024XT 001006</t>
  </si>
  <si>
    <t>FS2024XT 001007</t>
  </si>
  <si>
    <t>0291/20024</t>
  </si>
  <si>
    <t>0703/2024</t>
  </si>
  <si>
    <t>0712/2024</t>
  </si>
  <si>
    <t>COLB.SILVIA</t>
  </si>
  <si>
    <t>0622/2024</t>
  </si>
  <si>
    <t>0701/2024</t>
  </si>
  <si>
    <t>0721/2024</t>
  </si>
  <si>
    <t>0314/2024</t>
  </si>
  <si>
    <t>0494/2024</t>
  </si>
  <si>
    <t>0713/2024</t>
  </si>
  <si>
    <t>0707/2024</t>
  </si>
  <si>
    <t>0690/2024</t>
  </si>
  <si>
    <t>0726/2024</t>
  </si>
  <si>
    <t>0729/2024</t>
  </si>
  <si>
    <t>0750/2024</t>
  </si>
  <si>
    <t>0666/2024</t>
  </si>
  <si>
    <t>0693/2024</t>
  </si>
  <si>
    <t>0719/2024</t>
  </si>
  <si>
    <t>0401/2024</t>
  </si>
  <si>
    <t>0355/2024</t>
  </si>
  <si>
    <t>0631/2024</t>
  </si>
  <si>
    <t>0669/2024</t>
  </si>
  <si>
    <t>0624/2024</t>
  </si>
  <si>
    <t>0715/2024</t>
  </si>
  <si>
    <t>S/N. RESERVA</t>
  </si>
  <si>
    <t>0744/2024</t>
  </si>
  <si>
    <t>0421/2024</t>
  </si>
  <si>
    <t>0500/2024</t>
  </si>
  <si>
    <t>0618/2024</t>
  </si>
  <si>
    <t>0630/2024</t>
  </si>
  <si>
    <t>0700/2024</t>
  </si>
  <si>
    <t>0751/2024</t>
  </si>
  <si>
    <t>0732/2024</t>
  </si>
  <si>
    <t>0731/2024</t>
  </si>
  <si>
    <t>COLB.EDU</t>
  </si>
  <si>
    <t>0696/2024</t>
  </si>
  <si>
    <t>0373/2024</t>
  </si>
  <si>
    <t>0363/2024</t>
  </si>
  <si>
    <t>0709/2024</t>
  </si>
  <si>
    <t>0740/2024</t>
  </si>
  <si>
    <t>0285/2024</t>
  </si>
  <si>
    <t>0651/2024</t>
  </si>
  <si>
    <t>0755/2024</t>
  </si>
  <si>
    <t>0753/2024</t>
  </si>
  <si>
    <t>0683/2024</t>
  </si>
  <si>
    <t>0406/2024</t>
  </si>
  <si>
    <t>COLB.MIGUEL DESPEDIDAS</t>
  </si>
  <si>
    <t>0634/2024</t>
  </si>
  <si>
    <t>0648/2024</t>
  </si>
  <si>
    <t>0519/2024</t>
  </si>
  <si>
    <t>0743/2024</t>
  </si>
  <si>
    <t>0767/2024</t>
  </si>
  <si>
    <t>0766/2024</t>
  </si>
  <si>
    <t>0791/2024</t>
  </si>
  <si>
    <t>COLB.DESTINIA</t>
  </si>
  <si>
    <t>0768/2024</t>
  </si>
  <si>
    <t>0754/2024</t>
  </si>
  <si>
    <t>0694/2024</t>
  </si>
  <si>
    <t>0746/2024</t>
  </si>
  <si>
    <t>0617/2024</t>
  </si>
  <si>
    <t>0780/2024</t>
  </si>
  <si>
    <t>0792/2024</t>
  </si>
  <si>
    <t>0718/2024</t>
  </si>
  <si>
    <t>0747/2024</t>
  </si>
  <si>
    <t>0783/2024</t>
  </si>
  <si>
    <t>0691/2024</t>
  </si>
  <si>
    <t>0705/2024</t>
  </si>
  <si>
    <t>0805/2024</t>
  </si>
  <si>
    <t>0737/2024</t>
  </si>
  <si>
    <t>0763/82024</t>
  </si>
  <si>
    <t>0779/2024</t>
  </si>
  <si>
    <t>0771/2024</t>
  </si>
  <si>
    <t>0784/2024</t>
  </si>
  <si>
    <t>0686/2024</t>
  </si>
  <si>
    <t>0460/2024</t>
  </si>
  <si>
    <t>0770/2024</t>
  </si>
  <si>
    <t>0433/2024</t>
  </si>
  <si>
    <t>COLB.LAMEJOR DESPEDIDA</t>
  </si>
  <si>
    <t>0471/2024</t>
  </si>
  <si>
    <t>0681/2024</t>
  </si>
  <si>
    <t>0749/2024</t>
  </si>
  <si>
    <t>0724/20243</t>
  </si>
  <si>
    <t>COLB.SUSANA</t>
  </si>
  <si>
    <t>COLB.WEY BODA</t>
  </si>
  <si>
    <t>0788/2024</t>
  </si>
  <si>
    <t>0795/2024</t>
  </si>
  <si>
    <t>0797/2024</t>
  </si>
  <si>
    <t>0629/2024</t>
  </si>
  <si>
    <t>0752/2024</t>
  </si>
  <si>
    <t>0804/2024</t>
  </si>
  <si>
    <t>0741/2024</t>
  </si>
  <si>
    <t>0793/2024</t>
  </si>
  <si>
    <t>0772/2024</t>
  </si>
  <si>
    <t>0821/2024</t>
  </si>
  <si>
    <t>0782/2024</t>
  </si>
  <si>
    <t>0699/2024</t>
  </si>
  <si>
    <t>0827/2024</t>
  </si>
  <si>
    <t>0790/2024</t>
  </si>
  <si>
    <t>0803/2024</t>
  </si>
  <si>
    <t>0661/2024</t>
  </si>
  <si>
    <t>0762/2024</t>
  </si>
  <si>
    <t>0748/2024</t>
  </si>
  <si>
    <t>0603/2024</t>
  </si>
  <si>
    <t>0789/2024</t>
  </si>
  <si>
    <t>0809/2024</t>
  </si>
  <si>
    <t>0759/2024</t>
  </si>
  <si>
    <t>0637/2024</t>
  </si>
  <si>
    <t>0815/2024</t>
  </si>
  <si>
    <t>0813/2024</t>
  </si>
  <si>
    <t>0781/2024</t>
  </si>
  <si>
    <t>0733/2024</t>
  </si>
  <si>
    <t>0491/2024</t>
  </si>
  <si>
    <t>FS2024XT 001008</t>
  </si>
  <si>
    <t>FS2024XT 001009</t>
  </si>
  <si>
    <t>FS2024XT 001010</t>
  </si>
  <si>
    <t>FS2024XT 001011</t>
  </si>
  <si>
    <t>FS2024XT 001012</t>
  </si>
  <si>
    <t>FS2024XT 001013</t>
  </si>
  <si>
    <t>FS2024XT 001014</t>
  </si>
  <si>
    <t>FS2024XT 001015</t>
  </si>
  <si>
    <t>FS2024XT 001016</t>
  </si>
  <si>
    <t>FS2024XT 001017</t>
  </si>
  <si>
    <t>FS2024XT 001018</t>
  </si>
  <si>
    <t>FS2024XT 001019</t>
  </si>
  <si>
    <t>FS2024XT 001020</t>
  </si>
  <si>
    <t>FS2024XT 001021</t>
  </si>
  <si>
    <t>FS2024XT 001022</t>
  </si>
  <si>
    <t>FS2024XT 001023</t>
  </si>
  <si>
    <t>FS2024XT 001024</t>
  </si>
  <si>
    <t>FS2024XT 001025</t>
  </si>
  <si>
    <t>FS2024XT 001026</t>
  </si>
  <si>
    <t>FS2024XT 001027</t>
  </si>
  <si>
    <t>FS2024XT 001028</t>
  </si>
  <si>
    <t>FS2024XT 001029</t>
  </si>
  <si>
    <t>FS2024XT 001030</t>
  </si>
  <si>
    <t>FS2024XT 001031</t>
  </si>
  <si>
    <t>FS2024XT 001032</t>
  </si>
  <si>
    <t>FS2024XT 001033</t>
  </si>
  <si>
    <t>FS2024XT 001034</t>
  </si>
  <si>
    <t>FS2024XT 001035</t>
  </si>
  <si>
    <t>FS2024XT 001036</t>
  </si>
  <si>
    <t>FS2024XT 001037</t>
  </si>
  <si>
    <t>FS2024XT 001038</t>
  </si>
  <si>
    <t>FS2024XT 001039</t>
  </si>
  <si>
    <t>FS2024XT 001040</t>
  </si>
  <si>
    <t>FS2024XT 001041</t>
  </si>
  <si>
    <t>FS2024XT 001042</t>
  </si>
  <si>
    <t>FS2024XT 001043</t>
  </si>
  <si>
    <t>FS2024XT 001044</t>
  </si>
  <si>
    <t>FS2024XT 001045</t>
  </si>
  <si>
    <t>FS2024XT 001046</t>
  </si>
  <si>
    <t>FS2024XT 001047</t>
  </si>
  <si>
    <t>FS2024XT 001048</t>
  </si>
  <si>
    <t>FS2024XT 001049</t>
  </si>
  <si>
    <t>FS2024XT 001050</t>
  </si>
  <si>
    <t>FS2024XT 001051</t>
  </si>
  <si>
    <t>FS2024XT 001052</t>
  </si>
  <si>
    <t>FS2024XT 001053</t>
  </si>
  <si>
    <t>FS2024XT 001054</t>
  </si>
  <si>
    <t>FS2024XT 001055</t>
  </si>
  <si>
    <t>FS2024XT 001056</t>
  </si>
  <si>
    <t>FS2024XT 001057</t>
  </si>
  <si>
    <t>FS2024XT 001058</t>
  </si>
  <si>
    <t>FS2024XT 001059</t>
  </si>
  <si>
    <t>FS2024XT 001060</t>
  </si>
  <si>
    <t>FS2024XT 001061</t>
  </si>
  <si>
    <t>FS2024XT 001062</t>
  </si>
  <si>
    <t>FS2024XT 001063</t>
  </si>
  <si>
    <t>FS2024XT 001064</t>
  </si>
  <si>
    <t>FS2024XT 001065</t>
  </si>
  <si>
    <t>FS2024XT 001066</t>
  </si>
  <si>
    <t>FS2024XT 001067</t>
  </si>
  <si>
    <t>FS2024XT 001068</t>
  </si>
  <si>
    <t>0799/2024</t>
  </si>
  <si>
    <t>0638/2024</t>
  </si>
  <si>
    <t>0528/2024</t>
  </si>
  <si>
    <t>0716/2024</t>
  </si>
  <si>
    <t>0823/2024</t>
  </si>
  <si>
    <t>0810/2024</t>
  </si>
  <si>
    <t>0672/2024</t>
  </si>
  <si>
    <t>0801/2024</t>
  </si>
  <si>
    <t>0734/2024</t>
  </si>
  <si>
    <t>0664/2024</t>
  </si>
  <si>
    <t>0883/2024</t>
  </si>
  <si>
    <t>0831/2024</t>
  </si>
  <si>
    <t>0817/2024</t>
  </si>
  <si>
    <t>COLB.MARTIN ESPECTACULOS</t>
  </si>
  <si>
    <t>0698/2024</t>
  </si>
  <si>
    <t>0848/2024</t>
  </si>
  <si>
    <t>0825/2024</t>
  </si>
  <si>
    <t>0820/2024</t>
  </si>
  <si>
    <t>0723/2024</t>
  </si>
  <si>
    <t>COLB.JORGE CURIOSITI</t>
  </si>
  <si>
    <t>0605/2024</t>
  </si>
  <si>
    <t>0845/2024</t>
  </si>
  <si>
    <t>0774/2024</t>
  </si>
  <si>
    <t>0858/2024</t>
  </si>
  <si>
    <t>0708/2024</t>
  </si>
  <si>
    <t>0758/2024</t>
  </si>
  <si>
    <t>0856/2024</t>
  </si>
  <si>
    <t>0819/2024</t>
  </si>
  <si>
    <t>0849/20524</t>
  </si>
  <si>
    <t>0706/2024</t>
  </si>
  <si>
    <t>0776/2024</t>
  </si>
  <si>
    <t>0785/2024</t>
  </si>
  <si>
    <t>0728/2024</t>
  </si>
  <si>
    <t>COLB.EL CORTIJO</t>
  </si>
  <si>
    <t>0738/2024</t>
  </si>
  <si>
    <t>0814/2024</t>
  </si>
  <si>
    <t>0595/2024</t>
  </si>
  <si>
    <t>0847/2024</t>
  </si>
  <si>
    <t>0676/2024</t>
  </si>
  <si>
    <t>0778/2024</t>
  </si>
  <si>
    <t>0327/2024</t>
  </si>
  <si>
    <t>0786/2024</t>
  </si>
  <si>
    <t>0761/2024</t>
  </si>
  <si>
    <t>0794/2024</t>
  </si>
  <si>
    <t>0859/2024</t>
  </si>
  <si>
    <t>B.I</t>
  </si>
  <si>
    <t>I.VA</t>
  </si>
  <si>
    <t>BANCO</t>
  </si>
  <si>
    <t xml:space="preserve">BANCO </t>
  </si>
  <si>
    <t>FS2024XT 001069</t>
  </si>
  <si>
    <t>FS2024XT 001070</t>
  </si>
  <si>
    <t>FS2024XT 001071</t>
  </si>
  <si>
    <t>FS2024XT 001072</t>
  </si>
  <si>
    <t>FS2024XT 001073</t>
  </si>
  <si>
    <t>FS2024XT 001074</t>
  </si>
  <si>
    <t>FS2024XT 001075</t>
  </si>
  <si>
    <t>FS2024XT 001076</t>
  </si>
  <si>
    <t>FS2024XT 001077</t>
  </si>
  <si>
    <t>FS2024XT 001078</t>
  </si>
  <si>
    <t>FS2024XT 001079</t>
  </si>
  <si>
    <t>FS2024XT 001080</t>
  </si>
  <si>
    <t>FS2024XT 001081</t>
  </si>
  <si>
    <t>FS2024XT 001082</t>
  </si>
  <si>
    <t>FS2024XT 001083</t>
  </si>
  <si>
    <t>FS2024XT 001084</t>
  </si>
  <si>
    <t>FS2024XT 001085</t>
  </si>
  <si>
    <t>FS2024XT 001086</t>
  </si>
  <si>
    <t>FS2024XT 001087</t>
  </si>
  <si>
    <t>FS2024XT 001088</t>
  </si>
  <si>
    <t>FS2024XT 001089</t>
  </si>
  <si>
    <t>FS2024XT 001090</t>
  </si>
  <si>
    <t>FS2024XT 001091</t>
  </si>
  <si>
    <t>FS2024XT 001092</t>
  </si>
  <si>
    <t>FS2024XT 001093</t>
  </si>
  <si>
    <t>FS2024XT 001094</t>
  </si>
  <si>
    <t>FS2024XT 001095</t>
  </si>
  <si>
    <t>FS2024XT 001096</t>
  </si>
  <si>
    <t>FS2024XT 001097</t>
  </si>
  <si>
    <t>FS2024XT 001098</t>
  </si>
  <si>
    <t>FS2024XT 001099</t>
  </si>
  <si>
    <t>FS2024XT 001100</t>
  </si>
  <si>
    <t>FS2024XT 001101</t>
  </si>
  <si>
    <t>FS2024XT 001102</t>
  </si>
  <si>
    <t>FS2024XT 001103</t>
  </si>
  <si>
    <t>FS2024XT 001104</t>
  </si>
  <si>
    <t>FS2024XT 001105</t>
  </si>
  <si>
    <t>FS2024XT 001106</t>
  </si>
  <si>
    <t>FS2024XT 001107</t>
  </si>
  <si>
    <t>FS2024XT 001108</t>
  </si>
  <si>
    <t>FS2024XT 001109</t>
  </si>
  <si>
    <t>FS2024XT 001110</t>
  </si>
  <si>
    <t>FS2024XT 001111</t>
  </si>
  <si>
    <t>FS2024XT 001112</t>
  </si>
  <si>
    <t>FS2024XT 001113</t>
  </si>
  <si>
    <t>FS2024XT 001114</t>
  </si>
  <si>
    <t>FS2024XT 001115</t>
  </si>
  <si>
    <t>FS2024XT 001116</t>
  </si>
  <si>
    <t>FS2024XT 001117</t>
  </si>
  <si>
    <t>FS2024XT 001118</t>
  </si>
  <si>
    <t>FS2024XT 001119</t>
  </si>
  <si>
    <t>FS2024XT 001120</t>
  </si>
  <si>
    <t>FS2024XT 001121</t>
  </si>
  <si>
    <t>FS2024XT 001122</t>
  </si>
  <si>
    <t>FS2024XT 001123</t>
  </si>
  <si>
    <t>FS2024XT 001124</t>
  </si>
  <si>
    <t>FS2024XT 001125</t>
  </si>
  <si>
    <t>FS2024XT 001126</t>
  </si>
  <si>
    <t>FS2024XT 001127</t>
  </si>
  <si>
    <t>FS2024XT 001128</t>
  </si>
  <si>
    <t>FS2024XT 001129</t>
  </si>
  <si>
    <t>FS2024XT 001130</t>
  </si>
  <si>
    <t>FS2024XT 001131</t>
  </si>
  <si>
    <t>FS2024XT 001132</t>
  </si>
  <si>
    <t>FS2024XT 001133</t>
  </si>
  <si>
    <t>FS2024XT 001134</t>
  </si>
  <si>
    <t>FS2024XT 001135</t>
  </si>
  <si>
    <t>FS2024XT 001136</t>
  </si>
  <si>
    <t>FS2024XT 001137</t>
  </si>
  <si>
    <t>FS2024XT 001138</t>
  </si>
  <si>
    <t>FS2024XT 001139</t>
  </si>
  <si>
    <t>FS2024XT 001140</t>
  </si>
  <si>
    <t>FS2024XT 001141</t>
  </si>
  <si>
    <t>FS2024XT 001142</t>
  </si>
  <si>
    <t>FS2024XT 001143</t>
  </si>
  <si>
    <t>FS2024XT 001144</t>
  </si>
  <si>
    <t>FS2024XT 001145</t>
  </si>
  <si>
    <t>FS2024XT 001146</t>
  </si>
  <si>
    <t>FS2024XT 001147</t>
  </si>
  <si>
    <t>FS2024XT 001148</t>
  </si>
  <si>
    <t>FS2024XT 001149</t>
  </si>
  <si>
    <t>FS2024XT 001150</t>
  </si>
  <si>
    <t>FS2024XT 001151</t>
  </si>
  <si>
    <t>FS2024XT 001152</t>
  </si>
  <si>
    <t>FS2024XT 001153</t>
  </si>
  <si>
    <t>FS2024XT 001154</t>
  </si>
  <si>
    <t>FS2024XT 001155</t>
  </si>
  <si>
    <t>FS2024XT 001156</t>
  </si>
  <si>
    <t>FS2024XT 001157</t>
  </si>
  <si>
    <t>FS2024XT 001158</t>
  </si>
  <si>
    <t>FS2024XT 001159</t>
  </si>
  <si>
    <t>FS2024XT 001160</t>
  </si>
  <si>
    <t>FS2024XT 001161</t>
  </si>
  <si>
    <t>FS2024XT 001162</t>
  </si>
  <si>
    <t>FS2024XT 001163</t>
  </si>
  <si>
    <t>FS2024XT 001164</t>
  </si>
  <si>
    <t>FS2024XT 001165</t>
  </si>
  <si>
    <t>FS2024XT 001166</t>
  </si>
  <si>
    <t>FS2024XT 001167</t>
  </si>
  <si>
    <t>FS2024XT 001168</t>
  </si>
  <si>
    <t>FS2024XT 001169</t>
  </si>
  <si>
    <t>FS2024XT 001170</t>
  </si>
  <si>
    <t>FS2024XT 001171</t>
  </si>
  <si>
    <t>FS2024XT 001172</t>
  </si>
  <si>
    <t>FS2024XT 001173</t>
  </si>
  <si>
    <t>FS2024XT 001174</t>
  </si>
  <si>
    <t>FS2024XT 001175</t>
  </si>
  <si>
    <t>FS2024XT 001176</t>
  </si>
  <si>
    <t>FS2024XT 001177</t>
  </si>
  <si>
    <t>FS2024XT 001178</t>
  </si>
  <si>
    <t>FS2024XT 001179</t>
  </si>
  <si>
    <t>FS2024XT 001180</t>
  </si>
  <si>
    <t>FS2024XT 001181</t>
  </si>
  <si>
    <t>FS2024XT 001182</t>
  </si>
  <si>
    <t>FS2024XT 001183</t>
  </si>
  <si>
    <t>FS2024XT 001184</t>
  </si>
  <si>
    <t>FS2024XT 001185</t>
  </si>
  <si>
    <t>FS2024XT 001186</t>
  </si>
  <si>
    <t>FS2024XT 001187</t>
  </si>
  <si>
    <t>FS2024XT 001188</t>
  </si>
  <si>
    <t>FS2024XT 001189</t>
  </si>
  <si>
    <t>FS2024XT 001190</t>
  </si>
  <si>
    <t>FS2024XT 001191</t>
  </si>
  <si>
    <t>FS2024XT 001192</t>
  </si>
  <si>
    <t>FS2024XT 001193</t>
  </si>
  <si>
    <t>FS2024XT 001194</t>
  </si>
  <si>
    <t>FS2024XT 001195</t>
  </si>
  <si>
    <t>FS2024XT 001196</t>
  </si>
  <si>
    <t>FS2024XT 001197</t>
  </si>
  <si>
    <t>FS2024XT 001198</t>
  </si>
  <si>
    <t>FS2024XT 001199</t>
  </si>
  <si>
    <t>FS2024XT 001200</t>
  </si>
  <si>
    <t>FS2024XT 001201</t>
  </si>
  <si>
    <t>FS2024XT 001202</t>
  </si>
  <si>
    <t>FS2024XT 001203</t>
  </si>
  <si>
    <t>FS2024XT 001204</t>
  </si>
  <si>
    <t>FS2024XT 001205</t>
  </si>
  <si>
    <t>FS2024XT 001206</t>
  </si>
  <si>
    <t>FS2024XT 001207</t>
  </si>
  <si>
    <t>FS2024XT 001208</t>
  </si>
  <si>
    <t>FS2024XT 001209</t>
  </si>
  <si>
    <t>FS2024XT 001210</t>
  </si>
  <si>
    <t>FS2024XT 001211</t>
  </si>
  <si>
    <t>FS2024XT 001212</t>
  </si>
  <si>
    <t>FS2024XT 001213</t>
  </si>
  <si>
    <t>FS2024XT 001214</t>
  </si>
  <si>
    <t>FS2024XT 001215</t>
  </si>
  <si>
    <t>FS2024XT 001216</t>
  </si>
  <si>
    <t>FS2024XT 001217</t>
  </si>
  <si>
    <t>FS2024XT 001218</t>
  </si>
  <si>
    <t>FS2024XT 001219</t>
  </si>
  <si>
    <t>FS2024XT 001220</t>
  </si>
  <si>
    <t>FS2024XT 001221</t>
  </si>
  <si>
    <t>FS2024XT 001222</t>
  </si>
  <si>
    <t>FS2024XT 001223</t>
  </si>
  <si>
    <t>FS2024XT 001224</t>
  </si>
  <si>
    <t>FS2024XT 001225</t>
  </si>
  <si>
    <t>FS2024XT 001226</t>
  </si>
  <si>
    <t>FS2024XT 001227</t>
  </si>
  <si>
    <t>FS2024XT 001228</t>
  </si>
  <si>
    <t>FS2024XT 001229</t>
  </si>
  <si>
    <t>FS2024XT 001230</t>
  </si>
  <si>
    <t>FS2024XT 001231</t>
  </si>
  <si>
    <t>FS2024XT 001232</t>
  </si>
  <si>
    <t>FS2024XT 001233</t>
  </si>
  <si>
    <t>FS2024XT 001234</t>
  </si>
  <si>
    <t>FS2024XT 001235</t>
  </si>
  <si>
    <t>FS2024XT 001236</t>
  </si>
  <si>
    <t>FS2024XT 001237</t>
  </si>
  <si>
    <t>FS2024XT 001238</t>
  </si>
  <si>
    <t>FS2024XT 001239</t>
  </si>
  <si>
    <t>FS2024XT 001240</t>
  </si>
  <si>
    <t>FS2024XT 001241</t>
  </si>
  <si>
    <t>FS2024XT 001242</t>
  </si>
  <si>
    <t>FS2024XT 001243</t>
  </si>
  <si>
    <t>FS2024XT 001244</t>
  </si>
  <si>
    <t>FS2024XT 001245</t>
  </si>
  <si>
    <t>FS2024XT 001246</t>
  </si>
  <si>
    <t>FS2024XT 001247</t>
  </si>
  <si>
    <t>FS2024XT 001248</t>
  </si>
  <si>
    <t>FS2024XT 001249</t>
  </si>
  <si>
    <t>FS2024XT 001250</t>
  </si>
  <si>
    <t>FS2024XT 001251</t>
  </si>
  <si>
    <t>FS2024XT 001252</t>
  </si>
  <si>
    <t>FS2024XT 001253</t>
  </si>
  <si>
    <t>FS2024XT 001254</t>
  </si>
  <si>
    <t>FS2024XT 001255</t>
  </si>
  <si>
    <t>FS2024XT 001256</t>
  </si>
  <si>
    <t>FS2024XT 001257</t>
  </si>
  <si>
    <t>FS2024XT 001258</t>
  </si>
  <si>
    <t>FS2024XT 001259</t>
  </si>
  <si>
    <t>FS2024XT 001260</t>
  </si>
  <si>
    <t>FS2024XT 001261</t>
  </si>
  <si>
    <t>FS2024XT 001262</t>
  </si>
  <si>
    <t>FS2024XT 001263</t>
  </si>
  <si>
    <t>FS2024XT 001264</t>
  </si>
  <si>
    <t>FS2024XT 001265</t>
  </si>
  <si>
    <t>FS2024XT 001266</t>
  </si>
  <si>
    <t>FS2024XT 001267</t>
  </si>
  <si>
    <t>FS2024XT 001268</t>
  </si>
  <si>
    <t>FS2024XT 001269</t>
  </si>
  <si>
    <t>FS2024XT 001270</t>
  </si>
  <si>
    <t>FS2024XT 001271</t>
  </si>
  <si>
    <t>FS2024XT 001272</t>
  </si>
  <si>
    <t>FS2024XT 001273</t>
  </si>
  <si>
    <t>FS2024XT 001274</t>
  </si>
  <si>
    <t>FS2024XT 001275</t>
  </si>
  <si>
    <t>FS2024XT 001276</t>
  </si>
  <si>
    <t>FS2024XT 001277</t>
  </si>
  <si>
    <t>FS2024XT 001278</t>
  </si>
  <si>
    <t>FS2024XT 001279</t>
  </si>
  <si>
    <t>FS2024XT 001280</t>
  </si>
  <si>
    <t>FS2024XT 001281</t>
  </si>
  <si>
    <t>FS2024XT 001282</t>
  </si>
  <si>
    <t>FS2024XT 001283</t>
  </si>
  <si>
    <t>FS2024XT 001284</t>
  </si>
  <si>
    <t>FS2024XT 001285</t>
  </si>
  <si>
    <t>FS2024XT 001286</t>
  </si>
  <si>
    <t>FS2024XT 001287</t>
  </si>
  <si>
    <t>FS2024XT 001288</t>
  </si>
  <si>
    <t>FS2024XT 001289</t>
  </si>
  <si>
    <t>FS2024XT 001290</t>
  </si>
  <si>
    <t>FS2024XT 001291</t>
  </si>
  <si>
    <t>FS2024XT 001292</t>
  </si>
  <si>
    <t>FS2024XT 001293</t>
  </si>
  <si>
    <t>FS2024XT 001294</t>
  </si>
  <si>
    <t>0874/2024</t>
  </si>
  <si>
    <t>0867/2024</t>
  </si>
  <si>
    <t>0868/2024</t>
  </si>
  <si>
    <t>0872/2024</t>
  </si>
  <si>
    <t>0862/2024</t>
  </si>
  <si>
    <t>0871/2024</t>
  </si>
  <si>
    <t>0812/2024</t>
  </si>
  <si>
    <t>0806/2024</t>
  </si>
  <si>
    <t>S/N RESERVA</t>
  </si>
  <si>
    <t>0836/2024</t>
  </si>
  <si>
    <t>0839/2024</t>
  </si>
  <si>
    <t>0882/2024</t>
  </si>
  <si>
    <t>0807/2024</t>
  </si>
  <si>
    <t>0826/2024</t>
  </si>
  <si>
    <t>0058/2024</t>
  </si>
  <si>
    <t>0873/2024</t>
  </si>
  <si>
    <t>0861/2024</t>
  </si>
  <si>
    <t>0529/2024</t>
  </si>
  <si>
    <t>0830/2024</t>
  </si>
  <si>
    <t>0865/2024</t>
  </si>
  <si>
    <t>0880/2024</t>
  </si>
  <si>
    <t>0816/2024</t>
  </si>
  <si>
    <t>0894/2024</t>
  </si>
  <si>
    <t>0885/2024</t>
  </si>
  <si>
    <t>088/2024</t>
  </si>
  <si>
    <t>0891/2024</t>
  </si>
  <si>
    <t>0893/2024</t>
  </si>
  <si>
    <t>0736/2024</t>
  </si>
  <si>
    <t>0613/2024</t>
  </si>
  <si>
    <t>0896/2024</t>
  </si>
  <si>
    <t>0898/2024</t>
  </si>
  <si>
    <t>0869/2024</t>
  </si>
  <si>
    <t>0878/2024</t>
  </si>
  <si>
    <t>0233/2024</t>
  </si>
  <si>
    <t>COLB.EDUARDO</t>
  </si>
  <si>
    <t>0798/2024</t>
  </si>
  <si>
    <t>0854/2024</t>
  </si>
  <si>
    <t>0843/2024</t>
  </si>
  <si>
    <t>COLB.ANDERSON</t>
  </si>
  <si>
    <t>0875/2024</t>
  </si>
  <si>
    <t>0864/2024</t>
  </si>
  <si>
    <t>0892/2024</t>
  </si>
  <si>
    <t>0773/2024</t>
  </si>
  <si>
    <t>0551/2024</t>
  </si>
  <si>
    <t>0850/2024</t>
  </si>
  <si>
    <t>0890/2024</t>
  </si>
  <si>
    <t>0915/2024</t>
  </si>
  <si>
    <t>0903/2024</t>
  </si>
  <si>
    <t>SERVICIOS PRESTADOS GESTION LIMUSINAS 2 TRIMESTRE</t>
  </si>
  <si>
    <t>PAGOS EN EFECTIVO A CUENTA DURANTE EL TRIMESTRE</t>
  </si>
  <si>
    <t>IVA 21%</t>
  </si>
  <si>
    <t xml:space="preserve"> RECEPTOR: SERVICIOS PRIVADOS</t>
  </si>
  <si>
    <t>FS2024XT 001295</t>
  </si>
  <si>
    <t>FS2024XT 001296</t>
  </si>
  <si>
    <t>0904/2024</t>
  </si>
  <si>
    <t>0923/2024</t>
  </si>
  <si>
    <t>0914/2024</t>
  </si>
  <si>
    <t>0917/2024</t>
  </si>
  <si>
    <t>0916/2024</t>
  </si>
  <si>
    <t>0860/2024</t>
  </si>
  <si>
    <t>0910/2024</t>
  </si>
  <si>
    <t>0912/2024</t>
  </si>
  <si>
    <t>0468/2024</t>
  </si>
  <si>
    <t>0924/2024</t>
  </si>
  <si>
    <t>0899/2024</t>
  </si>
  <si>
    <t>0922/20204</t>
  </si>
  <si>
    <t>0844/2024</t>
  </si>
  <si>
    <t>0925/2024</t>
  </si>
  <si>
    <t>0842/2024</t>
  </si>
  <si>
    <t>0851/82024</t>
  </si>
  <si>
    <t>0900/2024</t>
  </si>
  <si>
    <t>0901/2024</t>
  </si>
  <si>
    <t>0756/2024</t>
  </si>
  <si>
    <t>0929/2024</t>
  </si>
  <si>
    <t>0936/2024</t>
  </si>
  <si>
    <t>0928/2024</t>
  </si>
  <si>
    <t>COLB. LIMUSINE TRANSFER</t>
  </si>
  <si>
    <t>0921/2024</t>
  </si>
  <si>
    <t>0944/2024</t>
  </si>
  <si>
    <t>0877/2024</t>
  </si>
  <si>
    <t>0945/2024</t>
  </si>
  <si>
    <t>0927/2024</t>
  </si>
  <si>
    <t>0692/2024</t>
  </si>
  <si>
    <t>0876/2024</t>
  </si>
  <si>
    <t>0933/2024</t>
  </si>
  <si>
    <t>0800/2024</t>
  </si>
  <si>
    <t>0835/2024</t>
  </si>
  <si>
    <t>0949/2024</t>
  </si>
  <si>
    <t>0889/2024</t>
  </si>
  <si>
    <t>0430/2024</t>
  </si>
  <si>
    <t>0937/2024</t>
  </si>
  <si>
    <t>0318/2024</t>
  </si>
  <si>
    <t>0930/2024</t>
  </si>
  <si>
    <t>0764/2024</t>
  </si>
  <si>
    <t>0887/2024</t>
  </si>
  <si>
    <t>0946/2024</t>
  </si>
  <si>
    <t>0954/2024</t>
  </si>
  <si>
    <t>0951/2024</t>
  </si>
  <si>
    <t>0958/2024</t>
  </si>
  <si>
    <t>0935/2024</t>
  </si>
  <si>
    <t>0943/2024</t>
  </si>
  <si>
    <t>0955/2024</t>
  </si>
  <si>
    <t>0950/2024</t>
  </si>
  <si>
    <t>FS2024XT 001297</t>
  </si>
  <si>
    <t>FS2024XT 001298</t>
  </si>
  <si>
    <t>FS2024XT 001299</t>
  </si>
  <si>
    <t>FS2024XT 001300</t>
  </si>
  <si>
    <t>FS2024XT 001301</t>
  </si>
  <si>
    <t>FS2024XT 001302</t>
  </si>
  <si>
    <t>FS2024XT 001303</t>
  </si>
  <si>
    <t>FS2024XT 001304</t>
  </si>
  <si>
    <t>FS2024XT 001305</t>
  </si>
  <si>
    <t>FS2024XT 001306</t>
  </si>
  <si>
    <t>FS2024XT 001307</t>
  </si>
  <si>
    <t>FS2024XT 001308</t>
  </si>
  <si>
    <t>FS2024XT 001309</t>
  </si>
  <si>
    <t>FS2024XT 001310</t>
  </si>
  <si>
    <t>FS2024XT 001311</t>
  </si>
  <si>
    <t>FS2024XT 001312</t>
  </si>
  <si>
    <t>FS2024XT 001313</t>
  </si>
  <si>
    <t>FS2024XT 001314</t>
  </si>
  <si>
    <t>FS2024XT 001315</t>
  </si>
  <si>
    <t>FS2024XT 001316</t>
  </si>
  <si>
    <t>FS2024XT 001317</t>
  </si>
  <si>
    <t>FS2024XT 001318</t>
  </si>
  <si>
    <t>FS2024XT 001319</t>
  </si>
  <si>
    <t>FS2024XT 001320</t>
  </si>
  <si>
    <t>FS2024XT 001321</t>
  </si>
  <si>
    <t>FS2024XT 001322</t>
  </si>
  <si>
    <t>FS2024XT 001323</t>
  </si>
  <si>
    <t>FS2024XT 001324</t>
  </si>
  <si>
    <t>FS2024XT 001325</t>
  </si>
  <si>
    <t>FS2024XT 001326</t>
  </si>
  <si>
    <t>FS2024XT 001327</t>
  </si>
  <si>
    <t>FS2024XT 001328</t>
  </si>
  <si>
    <t>FS2024XT 001329</t>
  </si>
  <si>
    <t>FS2024XT 001330</t>
  </si>
  <si>
    <t>FS2024XT 001331</t>
  </si>
  <si>
    <t>FS2024XT 001332</t>
  </si>
  <si>
    <t>FS2024XT 001333</t>
  </si>
  <si>
    <t>FS2024XT 001334</t>
  </si>
  <si>
    <t>FS2024XT 001335</t>
  </si>
  <si>
    <t>FS2024XT 001336</t>
  </si>
  <si>
    <t>FS2024XT 001337</t>
  </si>
  <si>
    <t>FS2024XT 001338</t>
  </si>
  <si>
    <t>FS2024XT 001339</t>
  </si>
  <si>
    <t>FS2024XT 001340</t>
  </si>
  <si>
    <t>FS2024XT 001341</t>
  </si>
  <si>
    <t>FS2024XT 001342</t>
  </si>
  <si>
    <t>FS2024XT 001343</t>
  </si>
  <si>
    <t>FS2024XT 001344</t>
  </si>
  <si>
    <t>FS2024XT 001345</t>
  </si>
  <si>
    <t>FS2024XT 001346</t>
  </si>
  <si>
    <t>FS2024XT 001347</t>
  </si>
  <si>
    <t>FS2024XT 001348</t>
  </si>
  <si>
    <t>FS2024XT 001349</t>
  </si>
  <si>
    <t>FS2024XT 001350</t>
  </si>
  <si>
    <t>FS2024XT 001351</t>
  </si>
  <si>
    <t>FS2024XT 001352</t>
  </si>
  <si>
    <t>FS2024XT 001353</t>
  </si>
  <si>
    <t>FS2024XT 001354</t>
  </si>
  <si>
    <t>FS2024XT 001355</t>
  </si>
  <si>
    <t>FS2024XT 001356</t>
  </si>
  <si>
    <t>FS2024XT 001357</t>
  </si>
  <si>
    <t>FS2024XT 001358</t>
  </si>
  <si>
    <t>FS2024XT 001359</t>
  </si>
  <si>
    <t>FS2024XT 001360</t>
  </si>
  <si>
    <t>FS2024XT 001361</t>
  </si>
  <si>
    <t>FS2024XT 001362</t>
  </si>
  <si>
    <t>FS2024XT 001363</t>
  </si>
  <si>
    <t>FS2024XT 001364</t>
  </si>
  <si>
    <t>FS2024XT 001365</t>
  </si>
  <si>
    <t>FS2024XT 001366</t>
  </si>
  <si>
    <t>FS2024XT 001367</t>
  </si>
  <si>
    <t>FS2024XT 001368</t>
  </si>
  <si>
    <t>FS2024XT 001369</t>
  </si>
  <si>
    <t>FS2024XT 001370</t>
  </si>
  <si>
    <t>FS2024XT 001371</t>
  </si>
  <si>
    <t>FS2024XT 001372</t>
  </si>
  <si>
    <t>FS2024XT 001373</t>
  </si>
  <si>
    <t>FS2024XT 001374</t>
  </si>
  <si>
    <t>FS2024XT 001375</t>
  </si>
  <si>
    <t>FS2024XT 001376</t>
  </si>
  <si>
    <t>FS2024XT 001377</t>
  </si>
  <si>
    <t>FS2024XT 001378</t>
  </si>
  <si>
    <t>FS2024XT 001379</t>
  </si>
  <si>
    <t>FS2024XT 001380</t>
  </si>
  <si>
    <t>FS2024XT 001381</t>
  </si>
  <si>
    <t>FS2024XT 001382</t>
  </si>
  <si>
    <t>FS2024XT 001383</t>
  </si>
  <si>
    <t>FS2024XT 001384</t>
  </si>
  <si>
    <t>FS2024XT 001385</t>
  </si>
  <si>
    <t>FS2024XT 001386</t>
  </si>
  <si>
    <t>FS2024XT 001387</t>
  </si>
  <si>
    <t>FS2024XT 001388</t>
  </si>
  <si>
    <t>FS2024XT 001389</t>
  </si>
  <si>
    <t>FS2024XT 001390</t>
  </si>
  <si>
    <t>FS2024XT 001391</t>
  </si>
  <si>
    <t>FS2024XT 001392</t>
  </si>
  <si>
    <t>FS2024XT 001393</t>
  </si>
  <si>
    <t>FS2024XT 001394</t>
  </si>
  <si>
    <t>FS2024XT 001395</t>
  </si>
  <si>
    <t>FS2024XT 001396</t>
  </si>
  <si>
    <t>FS2024XT 001397</t>
  </si>
  <si>
    <t>FS2024XT 001398</t>
  </si>
  <si>
    <t>FS2024XT 001399</t>
  </si>
  <si>
    <t>FS2024XT 001400</t>
  </si>
  <si>
    <t>FS2024XT 001401</t>
  </si>
  <si>
    <t>FS2024XT 001402</t>
  </si>
  <si>
    <t>FS2024XT 001403</t>
  </si>
  <si>
    <t>FS2024XT 001404</t>
  </si>
  <si>
    <t>FS2024XT 001405</t>
  </si>
  <si>
    <t>FS2024XT 001406</t>
  </si>
  <si>
    <t>FS2024XT 001407</t>
  </si>
  <si>
    <t>FS2024XT 001408</t>
  </si>
  <si>
    <t>FS2024XT 001409</t>
  </si>
  <si>
    <t>FS2024XT 001410</t>
  </si>
  <si>
    <t>FS2024XT 001411</t>
  </si>
  <si>
    <t>FS2024XT 001412</t>
  </si>
  <si>
    <t>FS2024XT 001413</t>
  </si>
  <si>
    <t>FS2024XT 001414</t>
  </si>
  <si>
    <t>FS2024XT 001415</t>
  </si>
  <si>
    <t>FS2024XT 001416</t>
  </si>
  <si>
    <t>FS2024XT 001417</t>
  </si>
  <si>
    <t>FS2024XT 001418</t>
  </si>
  <si>
    <t>FS2024XT 001419</t>
  </si>
  <si>
    <t>FS2024XT 001420</t>
  </si>
  <si>
    <t>FS2024XT 001421</t>
  </si>
  <si>
    <t>FS2024XT 001422</t>
  </si>
  <si>
    <t>FS2024XT 001423</t>
  </si>
  <si>
    <t>FS2024XT 001424</t>
  </si>
  <si>
    <t>FS2024XT 001425</t>
  </si>
  <si>
    <t>FS2024XT 001426</t>
  </si>
  <si>
    <t>FS2024XT 001427</t>
  </si>
  <si>
    <t>FS2024XT 001428</t>
  </si>
  <si>
    <t>FS2024XT 001429</t>
  </si>
  <si>
    <t>FS2024XT 001430</t>
  </si>
  <si>
    <t>FS2024XT 001431</t>
  </si>
  <si>
    <t>FS2024XT 001432</t>
  </si>
  <si>
    <t>FS2024XT 001433</t>
  </si>
  <si>
    <t>FS2024XT 001434</t>
  </si>
  <si>
    <t>FS2024XT 001435</t>
  </si>
  <si>
    <t>FS2024XT 001436</t>
  </si>
  <si>
    <t>FS2024XT 001437</t>
  </si>
  <si>
    <t>FS2024XT 001438</t>
  </si>
  <si>
    <t>0905/2024</t>
  </si>
  <si>
    <t>0962/2024</t>
  </si>
  <si>
    <t>0969/2024</t>
  </si>
  <si>
    <t>0895/2024</t>
  </si>
  <si>
    <t>*ENERO 2024</t>
  </si>
  <si>
    <t>0113/2024</t>
  </si>
  <si>
    <t>0306/2024</t>
  </si>
  <si>
    <t>0965/2024</t>
  </si>
  <si>
    <t>0879/2024</t>
  </si>
  <si>
    <t>PLATAFORMA YUMPING</t>
  </si>
  <si>
    <t>0840/2024</t>
  </si>
  <si>
    <t>STREAPER</t>
  </si>
  <si>
    <t>0907/2024</t>
  </si>
  <si>
    <t>0841/2024</t>
  </si>
  <si>
    <t>0853/2024</t>
  </si>
  <si>
    <t>0886/2024</t>
  </si>
  <si>
    <t>0960/2024</t>
  </si>
  <si>
    <t>0976/2024</t>
  </si>
  <si>
    <t>0926/2024</t>
  </si>
  <si>
    <t>0957/2024</t>
  </si>
  <si>
    <t>0959/2024</t>
  </si>
  <si>
    <t>0913/2024</t>
  </si>
  <si>
    <t>0881/2024</t>
  </si>
  <si>
    <t>0934/2024</t>
  </si>
  <si>
    <t>0948/2024</t>
  </si>
  <si>
    <t>0940/2024</t>
  </si>
  <si>
    <t>0513/2024</t>
  </si>
  <si>
    <t>0775/2024</t>
  </si>
  <si>
    <t>0931/2024</t>
  </si>
  <si>
    <t>0985/2024</t>
  </si>
  <si>
    <t>0986/2024</t>
  </si>
  <si>
    <t>0979/2024</t>
  </si>
  <si>
    <t>0906/2024</t>
  </si>
  <si>
    <t>0970/2027</t>
  </si>
  <si>
    <t>0983/2024</t>
  </si>
  <si>
    <t>0995/2024</t>
  </si>
  <si>
    <t>0982/2024</t>
  </si>
  <si>
    <t>01000/2024</t>
  </si>
  <si>
    <t>0997/2024</t>
  </si>
  <si>
    <t>0765/2024</t>
  </si>
  <si>
    <t>01004/2024</t>
  </si>
  <si>
    <t>0996/2024</t>
  </si>
  <si>
    <t>01009/2024</t>
  </si>
  <si>
    <t>01012/2024</t>
  </si>
  <si>
    <t>0939/2024</t>
  </si>
  <si>
    <t>01017/2024</t>
  </si>
  <si>
    <t>01013/2024</t>
  </si>
  <si>
    <t>01011/2024</t>
  </si>
  <si>
    <t>0633/2024</t>
  </si>
  <si>
    <t>0978/2024</t>
  </si>
  <si>
    <t>0989/2024</t>
  </si>
  <si>
    <t>01015/2024</t>
  </si>
  <si>
    <t>01014/2024</t>
  </si>
  <si>
    <t>0953/2024</t>
  </si>
  <si>
    <t>0991/2024</t>
  </si>
  <si>
    <t>01023/2024</t>
  </si>
  <si>
    <t>COLB.TEATRO PLACER</t>
  </si>
  <si>
    <t>01008/2024</t>
  </si>
  <si>
    <t>01025/2024</t>
  </si>
  <si>
    <t>FS2024XT 001439</t>
  </si>
  <si>
    <t>FS2024XT 001440</t>
  </si>
  <si>
    <t>FS2024XT 001441</t>
  </si>
  <si>
    <t>FS2024XT 001442</t>
  </si>
  <si>
    <t>FS2024XT 001443</t>
  </si>
  <si>
    <t>FS2024XT 001444</t>
  </si>
  <si>
    <t>FS2024XT 001445</t>
  </si>
  <si>
    <t>FS2024XT 001446</t>
  </si>
  <si>
    <t>FS2024XT 001447</t>
  </si>
  <si>
    <t>FS2024XT 001448</t>
  </si>
  <si>
    <t>FS2024XT 001449</t>
  </si>
  <si>
    <t>FS2024XT 001450</t>
  </si>
  <si>
    <t>FS2024XT 001451</t>
  </si>
  <si>
    <t>FS2024XT 001452</t>
  </si>
  <si>
    <t>FS2024XT 001453</t>
  </si>
  <si>
    <t>FS2024XT 001454</t>
  </si>
  <si>
    <t>FS2024XT 001455</t>
  </si>
  <si>
    <t>FS2024XT 001456</t>
  </si>
  <si>
    <t>FS2024XT 001457</t>
  </si>
  <si>
    <t>FS2024XT 001458</t>
  </si>
  <si>
    <t>FS2024XT 001459</t>
  </si>
  <si>
    <t>FS2024XT 001460</t>
  </si>
  <si>
    <t>FS2024XT 001461</t>
  </si>
  <si>
    <t>FS2024XT 001462</t>
  </si>
  <si>
    <t>FS2024XT 001463</t>
  </si>
  <si>
    <t>FS2024XT 001464</t>
  </si>
  <si>
    <t>FS2024XT 001465</t>
  </si>
  <si>
    <t>FS2024XT 001466</t>
  </si>
  <si>
    <t>FS2024XT 001467</t>
  </si>
  <si>
    <t>FS2024XT 001468</t>
  </si>
  <si>
    <t>FS2024XT 001469</t>
  </si>
  <si>
    <t>FS2024XT 001470</t>
  </si>
  <si>
    <t>FS2024XT 001471</t>
  </si>
  <si>
    <t>FS2024XT 001472</t>
  </si>
  <si>
    <t>FS2024XT 001473</t>
  </si>
  <si>
    <t>FS2024XT 001474</t>
  </si>
  <si>
    <t>FS2024XT 001475</t>
  </si>
  <si>
    <t>FS2024XT 001476</t>
  </si>
  <si>
    <t>FS2024XT 001477</t>
  </si>
  <si>
    <t>FS2024XT 001478</t>
  </si>
  <si>
    <t>FS2024XT 001479</t>
  </si>
  <si>
    <t>FS2024XT 001480</t>
  </si>
  <si>
    <t>FS2024XT 001481</t>
  </si>
  <si>
    <t>FS2024XT 001482</t>
  </si>
  <si>
    <t>FS2024XT 001483</t>
  </si>
  <si>
    <t>FS2024XT 001484</t>
  </si>
  <si>
    <t>FS2024XT 001485</t>
  </si>
  <si>
    <t>FS2024XT 001486</t>
  </si>
  <si>
    <t>FS2024XT 001487</t>
  </si>
  <si>
    <t>FS2024XT 001488</t>
  </si>
  <si>
    <t>FS2024XT 001489</t>
  </si>
  <si>
    <t>FS2024XT 001490</t>
  </si>
  <si>
    <t>FS2024XT 001491</t>
  </si>
  <si>
    <t>FS2024XT 001492</t>
  </si>
  <si>
    <t>FS2024XT 001493</t>
  </si>
  <si>
    <t>FS2024XT 001494</t>
  </si>
  <si>
    <t>FS2024XT 001495</t>
  </si>
  <si>
    <t>FS2024XT 001496</t>
  </si>
  <si>
    <t>FS2024XT 001497</t>
  </si>
  <si>
    <t>FS2024XT 001498</t>
  </si>
  <si>
    <t>FS2024XT 001499</t>
  </si>
  <si>
    <t>FS2024XT 001500</t>
  </si>
  <si>
    <t>FS2024XT 001501</t>
  </si>
  <si>
    <t>FS2024XT 001502</t>
  </si>
  <si>
    <t>FS2024XT 001503</t>
  </si>
  <si>
    <t>FS2024XT 001504</t>
  </si>
  <si>
    <t>FS2024XT 001505</t>
  </si>
  <si>
    <t>FS2024XT 001506</t>
  </si>
  <si>
    <t>FS2024XT 001507</t>
  </si>
  <si>
    <t>FS2024XT 001508</t>
  </si>
  <si>
    <t>FS2024XT 001509</t>
  </si>
  <si>
    <t>FS2024XT 001510</t>
  </si>
  <si>
    <t>FS2024XT 001511</t>
  </si>
  <si>
    <t>FS2024XT 001512</t>
  </si>
  <si>
    <t>FS2024XT 001513</t>
  </si>
  <si>
    <t>FS2024XT 001514</t>
  </si>
  <si>
    <t>FS2024XT 001515</t>
  </si>
  <si>
    <t>FS2024XT 001516</t>
  </si>
  <si>
    <t>FS2024XT 001517</t>
  </si>
  <si>
    <t>FS2024XT 001518</t>
  </si>
  <si>
    <t>FS2024XT 001519</t>
  </si>
  <si>
    <t>FS2024XT 001520</t>
  </si>
  <si>
    <t>FS2024XT 001521</t>
  </si>
  <si>
    <t>FS2024XT 001522</t>
  </si>
  <si>
    <t>FS2024XT 001523</t>
  </si>
  <si>
    <t>FS2024XT 001524</t>
  </si>
  <si>
    <t>FS2024XT 001525</t>
  </si>
  <si>
    <t>FS2024XT 001526</t>
  </si>
  <si>
    <t>FS2024XT 001527</t>
  </si>
  <si>
    <t>FS2024XT 001528</t>
  </si>
  <si>
    <t>FS2024XT 001529</t>
  </si>
  <si>
    <t>FS2024XT 001530</t>
  </si>
  <si>
    <t>FS2024XT 001531</t>
  </si>
  <si>
    <t>01016/2024</t>
  </si>
  <si>
    <t>01018/2024</t>
  </si>
  <si>
    <t>01006/2024</t>
  </si>
  <si>
    <t>01003/2024</t>
  </si>
  <si>
    <t>01028/2024</t>
  </si>
  <si>
    <t>0998/2024</t>
  </si>
  <si>
    <t>01047/2024</t>
  </si>
  <si>
    <t>01038/2024</t>
  </si>
  <si>
    <t>01064/2024</t>
  </si>
  <si>
    <t>01063/2024</t>
  </si>
  <si>
    <t>01046/2024</t>
  </si>
  <si>
    <t>01042/2024</t>
  </si>
  <si>
    <t>00415/2024</t>
  </si>
  <si>
    <t>0975/2024</t>
  </si>
  <si>
    <t>0974/2024</t>
  </si>
  <si>
    <t>01060/2024</t>
  </si>
  <si>
    <t>0999/2024</t>
  </si>
  <si>
    <t>0963/2024</t>
  </si>
  <si>
    <t>01033/2024</t>
  </si>
  <si>
    <t>01041/2024</t>
  </si>
  <si>
    <t>0973/2024</t>
  </si>
  <si>
    <t>COLB.MARIA ABSOLUTE</t>
  </si>
  <si>
    <t>0980/2024</t>
  </si>
  <si>
    <t>01040/2024</t>
  </si>
  <si>
    <t>01001/2024</t>
  </si>
  <si>
    <t>0993/2024</t>
  </si>
  <si>
    <t>0981/2024</t>
  </si>
  <si>
    <t>01027/2024</t>
  </si>
  <si>
    <t>01020/2024</t>
  </si>
  <si>
    <t>01019/2024</t>
  </si>
  <si>
    <t>01076/2024</t>
  </si>
  <si>
    <t>01075/2024</t>
  </si>
  <si>
    <t>0911/2024</t>
  </si>
  <si>
    <t>01045/2024</t>
  </si>
  <si>
    <t>0967/2024</t>
  </si>
  <si>
    <t>01087/2024</t>
  </si>
  <si>
    <t>PAGADOS</t>
  </si>
  <si>
    <t>01034/2024</t>
  </si>
  <si>
    <t>01022/2024</t>
  </si>
  <si>
    <t>01032/2024</t>
  </si>
  <si>
    <t>0961/2024</t>
  </si>
  <si>
    <t>01055/2024</t>
  </si>
  <si>
    <t>0971/2024</t>
  </si>
  <si>
    <t>01074/2024</t>
  </si>
  <si>
    <t>01021/2024</t>
  </si>
  <si>
    <t>0984/2024</t>
  </si>
  <si>
    <t>01002/2024</t>
  </si>
  <si>
    <t>01085/2024</t>
  </si>
  <si>
    <t>01073/2024</t>
  </si>
  <si>
    <t>01054/2024</t>
  </si>
  <si>
    <t>01057/2024</t>
  </si>
  <si>
    <t>01048/2024</t>
  </si>
  <si>
    <t>01088/2024</t>
  </si>
  <si>
    <t>01083/2024</t>
  </si>
  <si>
    <t>01065/2024</t>
  </si>
  <si>
    <t>01071/2024</t>
  </si>
  <si>
    <t>01104/2024</t>
  </si>
  <si>
    <t>01111/2024</t>
  </si>
  <si>
    <t>01070/2024</t>
  </si>
  <si>
    <t>01024/2024</t>
  </si>
  <si>
    <t>01113/2024</t>
  </si>
  <si>
    <t>01077/2024</t>
  </si>
  <si>
    <t>01078/2024</t>
  </si>
  <si>
    <t>01098/2024</t>
  </si>
  <si>
    <t>01044/2024</t>
  </si>
  <si>
    <t>01090/2024</t>
  </si>
  <si>
    <t>01101/2024</t>
  </si>
  <si>
    <t>COLB.PEOPLE</t>
  </si>
  <si>
    <t>01043/2024</t>
  </si>
  <si>
    <t>0760/2024</t>
  </si>
  <si>
    <t>01069/2024</t>
  </si>
  <si>
    <t>COLB.DECONECTA</t>
  </si>
  <si>
    <t>01080/2024</t>
  </si>
  <si>
    <t>01091/2024</t>
  </si>
  <si>
    <t>01109/2024</t>
  </si>
  <si>
    <t>01093/2024</t>
  </si>
  <si>
    <t>01112/2024</t>
  </si>
  <si>
    <t>01117/2024</t>
  </si>
  <si>
    <t>01139/2024</t>
  </si>
  <si>
    <t>01120/2024</t>
  </si>
  <si>
    <t>COLB. CLAUDIA</t>
  </si>
  <si>
    <t>COLB.CLAUDIA</t>
  </si>
  <si>
    <t>0275/2024</t>
  </si>
  <si>
    <t>01037/2024</t>
  </si>
  <si>
    <t>01114/2024</t>
  </si>
  <si>
    <t>01153/2024</t>
  </si>
  <si>
    <t>01140/2024</t>
  </si>
  <si>
    <t>01136/2024</t>
  </si>
  <si>
    <t>COLAB.DESCONECTA</t>
  </si>
  <si>
    <t>01145/2024</t>
  </si>
  <si>
    <t>0964/2024</t>
  </si>
  <si>
    <t>01129/2024</t>
  </si>
  <si>
    <t>01146/2024</t>
  </si>
  <si>
    <t>01127/2024</t>
  </si>
  <si>
    <t>01068/2024</t>
  </si>
  <si>
    <t>01030/2024</t>
  </si>
  <si>
    <t>01089/2024</t>
  </si>
  <si>
    <t>01108/2024</t>
  </si>
  <si>
    <t>COLB.JAVIER TACO</t>
  </si>
  <si>
    <t>0972/2024</t>
  </si>
  <si>
    <t>0697/2024</t>
  </si>
  <si>
    <t>01118/2024</t>
  </si>
  <si>
    <t>01123/2024</t>
  </si>
  <si>
    <t>01130/2024</t>
  </si>
  <si>
    <t>0908/2024</t>
  </si>
  <si>
    <t>01005/2024</t>
  </si>
  <si>
    <t>01059/2024</t>
  </si>
  <si>
    <t>01092/2024</t>
  </si>
  <si>
    <t>01026/2024</t>
  </si>
  <si>
    <t>01095/2024</t>
  </si>
  <si>
    <t>01158/2024</t>
  </si>
  <si>
    <t>FS2024XT 001532</t>
  </si>
  <si>
    <t>FS2024XT 001533</t>
  </si>
  <si>
    <t>FS2024XT 001534</t>
  </si>
  <si>
    <t>FS2024XT 001535</t>
  </si>
  <si>
    <t>FS2024XT 001536</t>
  </si>
  <si>
    <t>FS2024XT 001537</t>
  </si>
  <si>
    <t>FS2024XT 001538</t>
  </si>
  <si>
    <t>FS2024XT 001539</t>
  </si>
  <si>
    <t>FS2024XT 001540</t>
  </si>
  <si>
    <t>FS2024XT 001541</t>
  </si>
  <si>
    <t>FS2024XT 001542</t>
  </si>
  <si>
    <t>FS2024XT 001543</t>
  </si>
  <si>
    <t>FS2024XT 001544</t>
  </si>
  <si>
    <t>FS2024XT 001545</t>
  </si>
  <si>
    <t>FS2024XT 001546</t>
  </si>
  <si>
    <t>FS2024XT 001547</t>
  </si>
  <si>
    <t>FS2024XT 001548</t>
  </si>
  <si>
    <t>FS2024XT 001549</t>
  </si>
  <si>
    <t>FS2024XT 001550</t>
  </si>
  <si>
    <t>FS2024XT 001551</t>
  </si>
  <si>
    <t>FS2024XT 001552</t>
  </si>
  <si>
    <t>FS2024XT 001553</t>
  </si>
  <si>
    <t>FS2024XT 001554</t>
  </si>
  <si>
    <t>FS2024XT 001555</t>
  </si>
  <si>
    <t>FS2024XT 001556</t>
  </si>
  <si>
    <t>FS2024XT 001557</t>
  </si>
  <si>
    <t>FS2024XT 001558</t>
  </si>
  <si>
    <t>FS2024XT 001559</t>
  </si>
  <si>
    <t>FS2024XT 001560</t>
  </si>
  <si>
    <t>FS2024XT 001561</t>
  </si>
  <si>
    <t>FS2024XT 001562</t>
  </si>
  <si>
    <t>FS2024XT 001563</t>
  </si>
  <si>
    <t>FS2024XT 001564</t>
  </si>
  <si>
    <t>FS2024XT 001565</t>
  </si>
  <si>
    <t>FS2024XT 001566</t>
  </si>
  <si>
    <t>FS2024XT 001567</t>
  </si>
  <si>
    <t>FS2024XT 001568</t>
  </si>
  <si>
    <t>FS2024XT 001569</t>
  </si>
  <si>
    <t>FS2024XT 001570</t>
  </si>
  <si>
    <t>FS2024XT 001571</t>
  </si>
  <si>
    <t>FS2024XT 001572</t>
  </si>
  <si>
    <t>FS2024XT 001573</t>
  </si>
  <si>
    <t>FS2024XT 001574</t>
  </si>
  <si>
    <t>FS2024XT 001575</t>
  </si>
  <si>
    <t>FS2024XT 001576</t>
  </si>
  <si>
    <t>FS2024XT 001577</t>
  </si>
  <si>
    <t>FS2024XT 001578</t>
  </si>
  <si>
    <t>FS2024XT 001579</t>
  </si>
  <si>
    <t>FS2024XT 001580</t>
  </si>
  <si>
    <t>FS2024XT 001581</t>
  </si>
  <si>
    <t>FS2024XT 001582</t>
  </si>
  <si>
    <t>FS2024XT 001583</t>
  </si>
  <si>
    <t>FS2024XT 001584</t>
  </si>
  <si>
    <t>FS2024XT 001585</t>
  </si>
  <si>
    <t>FS2024XT 001586</t>
  </si>
  <si>
    <t>FS2024XT 001587</t>
  </si>
  <si>
    <t>FS2024XT 001588</t>
  </si>
  <si>
    <t>FS2024XT 001589</t>
  </si>
  <si>
    <t>FS2024XT 001590</t>
  </si>
  <si>
    <t>FS2024XT 001591</t>
  </si>
  <si>
    <t>FS2024XT 001592</t>
  </si>
  <si>
    <t>FS2024XT 001593</t>
  </si>
  <si>
    <t>FS2024XT 001594</t>
  </si>
  <si>
    <t>FS2024XT 001595</t>
  </si>
  <si>
    <t>FS2024XT 001596</t>
  </si>
  <si>
    <t>FS2024XT 001597</t>
  </si>
  <si>
    <t>FS2024XT 001598</t>
  </si>
  <si>
    <t>FS2024XT 001599</t>
  </si>
  <si>
    <t>FS2024XT 001600</t>
  </si>
  <si>
    <t>FS2024XT 001601</t>
  </si>
  <si>
    <t>FS2024XT 001602</t>
  </si>
  <si>
    <t>FS2024XT 001603</t>
  </si>
  <si>
    <t>FS2024XT 001604</t>
  </si>
  <si>
    <t>FS2024XT 001605</t>
  </si>
  <si>
    <t>FS2024XT 001606</t>
  </si>
  <si>
    <t>FS2024XT 001607</t>
  </si>
  <si>
    <t>FS2024XT 001608</t>
  </si>
  <si>
    <t>FS2024XT 001609</t>
  </si>
  <si>
    <t>FS2024XT 001610</t>
  </si>
  <si>
    <t>FS2024XT 001611</t>
  </si>
  <si>
    <t>FS2024XT 001612</t>
  </si>
  <si>
    <t>FS2024XT 001613</t>
  </si>
  <si>
    <t>FS2024XT 001614</t>
  </si>
  <si>
    <t>FS2024XT 001615</t>
  </si>
  <si>
    <t>FS2024XT 001616</t>
  </si>
  <si>
    <t>FS2024XT 001617</t>
  </si>
  <si>
    <t>FS2024XT 001618</t>
  </si>
  <si>
    <t>FS2024XT 001619</t>
  </si>
  <si>
    <t>FS2024XT 001620</t>
  </si>
  <si>
    <t>FS2024XT 001621</t>
  </si>
  <si>
    <t>FS2024XT 001622</t>
  </si>
  <si>
    <t>FS2024XT 001623</t>
  </si>
  <si>
    <t>FS2024XT 001624</t>
  </si>
  <si>
    <t>FS2024XT 001625</t>
  </si>
  <si>
    <t>FS2024XT 001626</t>
  </si>
  <si>
    <t>FS2024XT 001627</t>
  </si>
  <si>
    <t>FS2024XT 001628</t>
  </si>
  <si>
    <t>FS2024XT 001629</t>
  </si>
  <si>
    <t>FS2024XT 001630</t>
  </si>
  <si>
    <t>FS2024XT 001631</t>
  </si>
  <si>
    <t>FS2024XT 001632</t>
  </si>
  <si>
    <t>FS2024XT 001633</t>
  </si>
  <si>
    <t>FS2024XT 001634</t>
  </si>
  <si>
    <t>FS2024XT 001635</t>
  </si>
  <si>
    <t>FS2024XT 001636</t>
  </si>
  <si>
    <t>FS2024XT 001637</t>
  </si>
  <si>
    <t>FS2024XT 001638</t>
  </si>
  <si>
    <t>FS2024XT 001639</t>
  </si>
  <si>
    <t>FS2024XT 001640</t>
  </si>
  <si>
    <t>FS2024XT 001641</t>
  </si>
  <si>
    <t>FS2024XT 001642</t>
  </si>
  <si>
    <t>FS2024XT 001643</t>
  </si>
  <si>
    <t>FS2024XT 001644</t>
  </si>
  <si>
    <t>FS2024XT 001645</t>
  </si>
  <si>
    <t>FS2024XT 001646</t>
  </si>
  <si>
    <t>FS2024XT 001647</t>
  </si>
  <si>
    <t>FS2024XT 001648</t>
  </si>
  <si>
    <t>FS2024XT 001649</t>
  </si>
  <si>
    <t>FS2024XT 001650</t>
  </si>
  <si>
    <t>FS2024XT 001651</t>
  </si>
  <si>
    <t>FS2024XT 001652</t>
  </si>
  <si>
    <t>FS2024XT 001653</t>
  </si>
  <si>
    <t>FS2024XT 001654</t>
  </si>
  <si>
    <t>FS2024XT 001655</t>
  </si>
  <si>
    <t>FS2024XT 001656</t>
  </si>
  <si>
    <t>FS2024XT 001657</t>
  </si>
  <si>
    <t>FS2024XT 001658</t>
  </si>
  <si>
    <t>FS2024XT 001659</t>
  </si>
  <si>
    <t>FS2024XT 001660</t>
  </si>
  <si>
    <t>FS2024XT 001661</t>
  </si>
  <si>
    <t>FS2024XT 001662</t>
  </si>
  <si>
    <t>FS2024XT 001663</t>
  </si>
  <si>
    <t>FS2024XT 001664</t>
  </si>
  <si>
    <t>FS2024XT 001665</t>
  </si>
  <si>
    <t>COLA.CAPITAL</t>
  </si>
  <si>
    <t>01056/2024</t>
  </si>
  <si>
    <t>01165/2024</t>
  </si>
  <si>
    <t>01159/20204</t>
  </si>
  <si>
    <t>0110/2024</t>
  </si>
  <si>
    <t>COB.BIG EVENTOS</t>
  </si>
  <si>
    <t>01126/2024</t>
  </si>
  <si>
    <t>01168/2024</t>
  </si>
  <si>
    <t>01173/2024</t>
  </si>
  <si>
    <t>01135/2024</t>
  </si>
  <si>
    <t>01155/2024</t>
  </si>
  <si>
    <t>01049/2024</t>
  </si>
  <si>
    <t>01164/2024</t>
  </si>
  <si>
    <t>01151/2024</t>
  </si>
  <si>
    <t>01094/2024</t>
  </si>
  <si>
    <t>01086/2024</t>
  </si>
  <si>
    <t>01137/2024</t>
  </si>
  <si>
    <t>PARADISE EVENTS</t>
  </si>
  <si>
    <t>01156/2024</t>
  </si>
  <si>
    <t>01218/2024</t>
  </si>
  <si>
    <t>01210/2024</t>
  </si>
  <si>
    <t>01192/2024</t>
  </si>
  <si>
    <t>01214/2024</t>
  </si>
  <si>
    <t>01215/2024</t>
  </si>
  <si>
    <t>01182/2024</t>
  </si>
  <si>
    <t>01181/2024</t>
  </si>
  <si>
    <t>01172/2024</t>
  </si>
  <si>
    <t>01166/2024</t>
  </si>
  <si>
    <t>01167/2024</t>
  </si>
  <si>
    <t>01179/2024</t>
  </si>
  <si>
    <t>01084/2024</t>
  </si>
  <si>
    <t>01121/2024</t>
  </si>
  <si>
    <t>01119/2024</t>
  </si>
  <si>
    <t>01198/2024</t>
  </si>
  <si>
    <t>01194/2024</t>
  </si>
  <si>
    <t>01102/2024</t>
  </si>
  <si>
    <t>01142/2024</t>
  </si>
  <si>
    <t>01134/2024</t>
  </si>
  <si>
    <t>01125/2024</t>
  </si>
  <si>
    <t>01148/2024</t>
  </si>
  <si>
    <t>01202/2024</t>
  </si>
  <si>
    <t>COLB. EVENTOS MÁGICOS</t>
  </si>
  <si>
    <t>01190/2024</t>
  </si>
  <si>
    <t>0987/2024</t>
  </si>
  <si>
    <t>01131/2024</t>
  </si>
  <si>
    <t>01147/2024</t>
  </si>
  <si>
    <t>01180/2024</t>
  </si>
  <si>
    <t>0988/2024</t>
  </si>
  <si>
    <t>0947/2024</t>
  </si>
  <si>
    <t>01174/2024</t>
  </si>
  <si>
    <t>01220/2024</t>
  </si>
  <si>
    <t>01221/2024</t>
  </si>
  <si>
    <t>01212/2024</t>
  </si>
  <si>
    <t>01186/2024</t>
  </si>
  <si>
    <t>01225/2024</t>
  </si>
  <si>
    <t>01188/2024</t>
  </si>
  <si>
    <t>01235/2024</t>
  </si>
  <si>
    <t>01241/2024</t>
  </si>
  <si>
    <t>01141/2024</t>
  </si>
  <si>
    <t>01195/2024</t>
  </si>
  <si>
    <t>01081/2024</t>
  </si>
  <si>
    <t>01106/2024</t>
  </si>
  <si>
    <t>01231/2024</t>
  </si>
  <si>
    <t>01233/2024</t>
  </si>
  <si>
    <t>01157/2024</t>
  </si>
  <si>
    <t>01232/2024</t>
  </si>
  <si>
    <t>01239/2024</t>
  </si>
  <si>
    <t>01079/2024</t>
  </si>
  <si>
    <t>01191/2024</t>
  </si>
  <si>
    <t>01082/2024</t>
  </si>
  <si>
    <t>01213/2024</t>
  </si>
  <si>
    <t>COLB.FOTOGRAFO</t>
  </si>
  <si>
    <t>01058/2024</t>
  </si>
  <si>
    <t>01227/2024</t>
  </si>
  <si>
    <t>01238/2024</t>
  </si>
  <si>
    <t>01177/2024</t>
  </si>
  <si>
    <t>01204/2024</t>
  </si>
  <si>
    <t>01243/2024</t>
  </si>
  <si>
    <t>01256/2024</t>
  </si>
  <si>
    <t>01200/2024</t>
  </si>
  <si>
    <t>pack cumpleaños</t>
  </si>
  <si>
    <t>01242/2024</t>
  </si>
  <si>
    <t>01254/2024</t>
  </si>
  <si>
    <t>COLB. PARADISE</t>
  </si>
  <si>
    <t>01226/2024</t>
  </si>
  <si>
    <t>01169/2024</t>
  </si>
  <si>
    <t>01207/2024</t>
  </si>
  <si>
    <t>01150/2024</t>
  </si>
  <si>
    <t>01248/2024</t>
  </si>
  <si>
    <t>01244/2024</t>
  </si>
  <si>
    <t>PACK BEBIDA</t>
  </si>
  <si>
    <t>01162/2024</t>
  </si>
  <si>
    <t>01265/2024</t>
  </si>
  <si>
    <t>01278/2024</t>
  </si>
  <si>
    <t>01264/2024</t>
  </si>
  <si>
    <t>01211/2024</t>
  </si>
  <si>
    <t>01259/2024</t>
  </si>
  <si>
    <t>01103/2024</t>
  </si>
  <si>
    <t>01201/2024</t>
  </si>
  <si>
    <t>01222/2024</t>
  </si>
  <si>
    <t>01072/2024</t>
  </si>
  <si>
    <t>01183/2024</t>
  </si>
  <si>
    <t>01161/2024</t>
  </si>
  <si>
    <t>01269/2024</t>
  </si>
  <si>
    <t>01260/2024</t>
  </si>
  <si>
    <t>01154/2024</t>
  </si>
  <si>
    <t>01271/2024</t>
  </si>
  <si>
    <t>01234/2024</t>
  </si>
  <si>
    <t>01274/2024</t>
  </si>
  <si>
    <t>01292/2024</t>
  </si>
  <si>
    <t>01279/2024</t>
  </si>
  <si>
    <t>01293/2024</t>
  </si>
  <si>
    <t>01189/2024</t>
  </si>
  <si>
    <t>01258/2024</t>
  </si>
  <si>
    <t>JAVI</t>
  </si>
  <si>
    <t>01297/2024</t>
  </si>
  <si>
    <t>01138/2024</t>
  </si>
  <si>
    <t>01217/2024</t>
  </si>
  <si>
    <t xml:space="preserve">COLB.DAVID </t>
  </si>
  <si>
    <t>FS2024XT 001666</t>
  </si>
  <si>
    <t>FS2024XT 001667</t>
  </si>
  <si>
    <t>FS2024XT 001668</t>
  </si>
  <si>
    <t>FS2024XT 001669</t>
  </si>
  <si>
    <t>FS2024XT 001670</t>
  </si>
  <si>
    <t>FS2024XT 001671</t>
  </si>
  <si>
    <t>FS2024XT 001672</t>
  </si>
  <si>
    <t>FS2024XT 001673</t>
  </si>
  <si>
    <t>FS2024XT 001674</t>
  </si>
  <si>
    <t>FS2024XT 001675</t>
  </si>
  <si>
    <t>FS2024XT 001676</t>
  </si>
  <si>
    <t>FS2024XT 001677</t>
  </si>
  <si>
    <t>FS2024XT 001678</t>
  </si>
  <si>
    <t>FS2024XT 001679</t>
  </si>
  <si>
    <t>FS2024XT 001680</t>
  </si>
  <si>
    <t>FS2024XT 001681</t>
  </si>
  <si>
    <t>FS2024XT 001682</t>
  </si>
  <si>
    <t>FS2024XT 001683</t>
  </si>
  <si>
    <t>FS2024XT 001684</t>
  </si>
  <si>
    <t>FS2024XT 001685</t>
  </si>
  <si>
    <t>FS2024XT 001686</t>
  </si>
  <si>
    <t>FS2024XT 001687</t>
  </si>
  <si>
    <t>FS2024XT 001688</t>
  </si>
  <si>
    <t>FS2024XT 001689</t>
  </si>
  <si>
    <t>FS2024XT 001690</t>
  </si>
  <si>
    <t>FS2024XT 001691</t>
  </si>
  <si>
    <t>FS2024XT 001692</t>
  </si>
  <si>
    <t>FS2024XT 001693</t>
  </si>
  <si>
    <t>FS2024XT 001694</t>
  </si>
  <si>
    <t>FS2024XT 001695</t>
  </si>
  <si>
    <t>FS2024XT 001696</t>
  </si>
  <si>
    <t>FS2024XT 001697</t>
  </si>
  <si>
    <t>FS2024XT 001698</t>
  </si>
  <si>
    <t>FS2024XT 001699</t>
  </si>
  <si>
    <t>FS2024XT 001700</t>
  </si>
  <si>
    <t>FS2024XT 001701</t>
  </si>
  <si>
    <t>FS2024XT 001702</t>
  </si>
  <si>
    <t>FS2024XT 001703</t>
  </si>
  <si>
    <t>FS2024XT 001704</t>
  </si>
  <si>
    <t>FS2024XT 001705</t>
  </si>
  <si>
    <t>FS2024XT 001706</t>
  </si>
  <si>
    <t>FS2024XT 001707</t>
  </si>
  <si>
    <t>FS2024XT 001708</t>
  </si>
  <si>
    <t>FS2024XT 001709</t>
  </si>
  <si>
    <t>FS2024XT 001710</t>
  </si>
  <si>
    <t>FS2024XT 001711</t>
  </si>
  <si>
    <t>FS2024XT 001712</t>
  </si>
  <si>
    <t>FS2024XT 001713</t>
  </si>
  <si>
    <t>FS2024XT 001714</t>
  </si>
  <si>
    <t>FS2024XT 001715</t>
  </si>
  <si>
    <t>FS2024XT 001716</t>
  </si>
  <si>
    <t>FS2024XT 001717</t>
  </si>
  <si>
    <t>FS2024XT 001718</t>
  </si>
  <si>
    <t>FS2024XT 001719</t>
  </si>
  <si>
    <t>FS2024XT 001720</t>
  </si>
  <si>
    <t>FS2024XT 001721</t>
  </si>
  <si>
    <t>FS2024XT 001722</t>
  </si>
  <si>
    <t>FS2024XT 001723</t>
  </si>
  <si>
    <t>FS2024XT 001724</t>
  </si>
  <si>
    <t>FS2024XT 001725</t>
  </si>
  <si>
    <t>FS2024XT 001726</t>
  </si>
  <si>
    <t>FS2024XT 001727</t>
  </si>
  <si>
    <t>FS2024XT 001728</t>
  </si>
  <si>
    <t>FS2024XT 001729</t>
  </si>
  <si>
    <t>FS2024XT 001730</t>
  </si>
  <si>
    <t>FS2024XT 001731</t>
  </si>
  <si>
    <t>FS2024XT 001732</t>
  </si>
  <si>
    <t>FS2024XT 001733</t>
  </si>
  <si>
    <t>FS2024XT 001734</t>
  </si>
  <si>
    <t>FS2024XT 001735</t>
  </si>
  <si>
    <t>FS2024XT 001736</t>
  </si>
  <si>
    <t>FS2024XT 001737</t>
  </si>
  <si>
    <t>FS2024XT 001738</t>
  </si>
  <si>
    <t>FS2024XT 001739</t>
  </si>
  <si>
    <t>FS2024XT 001740</t>
  </si>
  <si>
    <t>FS2024XT 001741</t>
  </si>
  <si>
    <t>FS2024XT 001742</t>
  </si>
  <si>
    <t>FS2024XT 001743</t>
  </si>
  <si>
    <t>FS2024XT 001744</t>
  </si>
  <si>
    <t>FS2024XT 001745</t>
  </si>
  <si>
    <t>FS2024XT 001746</t>
  </si>
  <si>
    <t>FS2024XT 001747</t>
  </si>
  <si>
    <t>01208/2024</t>
  </si>
  <si>
    <t>01250/2024</t>
  </si>
  <si>
    <t>01209/2024</t>
  </si>
  <si>
    <t>01175/2024</t>
  </si>
  <si>
    <t>01270/2024</t>
  </si>
  <si>
    <t>01306/2024</t>
  </si>
  <si>
    <t>01247/2024</t>
  </si>
  <si>
    <t>01286/2024</t>
  </si>
  <si>
    <t>01300/2024</t>
  </si>
  <si>
    <t>01216/2024</t>
  </si>
  <si>
    <t>01314/2024</t>
  </si>
  <si>
    <t>01196/2024</t>
  </si>
  <si>
    <t>01298/2024</t>
  </si>
  <si>
    <t>01307/2024</t>
  </si>
  <si>
    <t>01316/2024</t>
  </si>
  <si>
    <t>01246/2024</t>
  </si>
  <si>
    <t>01318/2024</t>
  </si>
  <si>
    <t>01324/2024</t>
  </si>
  <si>
    <t>01333/2024</t>
  </si>
  <si>
    <t>012746/2024</t>
  </si>
  <si>
    <t>01317/2024</t>
  </si>
  <si>
    <t>01334/2024</t>
  </si>
  <si>
    <t>01352/2024</t>
  </si>
  <si>
    <t>01304/2024</t>
  </si>
  <si>
    <t>01348/2024</t>
  </si>
  <si>
    <t>01340/2024</t>
  </si>
  <si>
    <t>013020/2024</t>
  </si>
  <si>
    <t>01322/2024</t>
  </si>
  <si>
    <t>01185/2024</t>
  </si>
  <si>
    <t>01267/2024</t>
  </si>
  <si>
    <t>01353/2024</t>
  </si>
  <si>
    <t>01249/2024</t>
  </si>
  <si>
    <t>01230/2024</t>
  </si>
  <si>
    <t>DAVID PROMOTOR</t>
  </si>
  <si>
    <t>01312/2024</t>
  </si>
  <si>
    <t>01323/2024</t>
  </si>
  <si>
    <t>01205/2024</t>
  </si>
  <si>
    <t>1363/2024</t>
  </si>
  <si>
    <t>01365/2024</t>
  </si>
  <si>
    <t>01176/2024</t>
  </si>
  <si>
    <t>01199/2024</t>
  </si>
  <si>
    <t>01310/2024</t>
  </si>
  <si>
    <t>01329/2024</t>
  </si>
  <si>
    <t>01296/2024</t>
  </si>
  <si>
    <t>01236/2024</t>
  </si>
  <si>
    <t>01237/2024</t>
  </si>
  <si>
    <t>01369/2024</t>
  </si>
  <si>
    <t>01315/2024</t>
  </si>
  <si>
    <t>DAVID PROMOTOS</t>
  </si>
  <si>
    <t>1368/2024</t>
  </si>
  <si>
    <t>01163/2024</t>
  </si>
  <si>
    <t>01372/2024</t>
  </si>
  <si>
    <t>01347/2024</t>
  </si>
  <si>
    <t>01360/2024</t>
  </si>
  <si>
    <t>01335/2024</t>
  </si>
  <si>
    <t>01325/2024</t>
  </si>
  <si>
    <t>01346/2024</t>
  </si>
  <si>
    <t>01294/2024</t>
  </si>
  <si>
    <t>01338/2024</t>
  </si>
  <si>
    <t>ELEGANCCE</t>
  </si>
  <si>
    <t>FOREXCAR</t>
  </si>
  <si>
    <t>TRAVELLIFE EVENTS DMC, S.L</t>
  </si>
  <si>
    <t>ELEGANCE</t>
  </si>
  <si>
    <t>01381/2024</t>
  </si>
  <si>
    <t>colb. David</t>
  </si>
  <si>
    <t>01252/2024</t>
  </si>
  <si>
    <t>01354/2024</t>
  </si>
  <si>
    <t>01405/2024</t>
  </si>
  <si>
    <t>01388/2024</t>
  </si>
  <si>
    <t>01384/2024</t>
  </si>
  <si>
    <t>01370/2024</t>
  </si>
  <si>
    <t>01378/2024</t>
  </si>
  <si>
    <t>01283/2024</t>
  </si>
  <si>
    <t>01263/2024</t>
  </si>
  <si>
    <t>01357/2024</t>
  </si>
  <si>
    <t>01387/2024</t>
  </si>
  <si>
    <t>01404/2024</t>
  </si>
  <si>
    <t>01351/2024</t>
  </si>
  <si>
    <t>01291/2024</t>
  </si>
  <si>
    <t>01342/2024</t>
  </si>
  <si>
    <t>01367/2024</t>
  </si>
  <si>
    <t>COLB.MARTIN</t>
  </si>
  <si>
    <t>COLB. RAUL</t>
  </si>
  <si>
    <t>01305/2024</t>
  </si>
  <si>
    <t>COLB.DESPEDIDAS</t>
  </si>
  <si>
    <t>01377/2024</t>
  </si>
  <si>
    <t>01107/2024</t>
  </si>
  <si>
    <t>01336/2024</t>
  </si>
  <si>
    <t>01407/2024</t>
  </si>
  <si>
    <t>01355/2024</t>
  </si>
  <si>
    <t>01396/2024</t>
  </si>
  <si>
    <t xml:space="preserve">REIG Y MARCO SL </t>
  </si>
  <si>
    <t>01425/2024</t>
  </si>
  <si>
    <t>01421/2024</t>
  </si>
  <si>
    <t>01349/2024</t>
  </si>
  <si>
    <t>01416/2024</t>
  </si>
  <si>
    <t>01440/2024</t>
  </si>
  <si>
    <t>01427/2024</t>
  </si>
  <si>
    <t>01431/2024</t>
  </si>
  <si>
    <t>01320/2024</t>
  </si>
  <si>
    <t>01439/2024</t>
  </si>
  <si>
    <t>01380/2024</t>
  </si>
  <si>
    <t>01443/2024</t>
  </si>
  <si>
    <t>01371/2024</t>
  </si>
  <si>
    <t>01193/2024</t>
  </si>
  <si>
    <t>01309/2024</t>
  </si>
  <si>
    <t>01224/2024</t>
  </si>
  <si>
    <t>COLB. DESP.MOLA MOLA</t>
  </si>
  <si>
    <t>COLB. STRIPPER COLLECTION</t>
  </si>
  <si>
    <t>01426/2024</t>
  </si>
  <si>
    <t>01344/2024</t>
  </si>
  <si>
    <t>01319/2024</t>
  </si>
  <si>
    <t>01424/2024</t>
  </si>
  <si>
    <t>01376/2024</t>
  </si>
  <si>
    <t>01382/2024</t>
  </si>
  <si>
    <t>01383/2024</t>
  </si>
  <si>
    <t>01428/2024</t>
  </si>
  <si>
    <t>01364/2024</t>
  </si>
  <si>
    <t>01287/2024</t>
  </si>
  <si>
    <t>01422/2024</t>
  </si>
  <si>
    <t>FS2024XT 001748</t>
  </si>
  <si>
    <t>FS2024XT 001749</t>
  </si>
  <si>
    <t>FS2024XT 001750</t>
  </si>
  <si>
    <t>FS2024XT 001751</t>
  </si>
  <si>
    <t>FS2024XT 001752</t>
  </si>
  <si>
    <t>FS2024XT 001753</t>
  </si>
  <si>
    <t>FS2024XT 001754</t>
  </si>
  <si>
    <t>FS2024XT 001755</t>
  </si>
  <si>
    <t>FS2024XT 001756</t>
  </si>
  <si>
    <t>FS2024XT 001757</t>
  </si>
  <si>
    <t>FS2024XT 001758</t>
  </si>
  <si>
    <t>FS2024XT 001759</t>
  </si>
  <si>
    <t>FS2024XT 001760</t>
  </si>
  <si>
    <t>FS2024XT 001761</t>
  </si>
  <si>
    <t>FS2024XT 001762</t>
  </si>
  <si>
    <t>FS2024XT 001763</t>
  </si>
  <si>
    <t>FS2024XT 001764</t>
  </si>
  <si>
    <t>FS2024XT 001765</t>
  </si>
  <si>
    <t>FS2024XT 001766</t>
  </si>
  <si>
    <t>FS2024XT 001767</t>
  </si>
  <si>
    <t>FS2024XT 001768</t>
  </si>
  <si>
    <t>FS2024XT 001769</t>
  </si>
  <si>
    <t>FS2024XT 001770</t>
  </si>
  <si>
    <t>FS2024XT 001771</t>
  </si>
  <si>
    <t>FS2024XT 001772</t>
  </si>
  <si>
    <t>FS2024XT 001773</t>
  </si>
  <si>
    <t>FS2024XT 001774</t>
  </si>
  <si>
    <t>FS2024XT 001775</t>
  </si>
  <si>
    <t>FS2024XT 001776</t>
  </si>
  <si>
    <t>FS2024XT 001777</t>
  </si>
  <si>
    <t>FS2024XT 001778</t>
  </si>
  <si>
    <t>FS2024XT 001779</t>
  </si>
  <si>
    <t>FS2024XT 001780</t>
  </si>
  <si>
    <t>FS2024XT 001781</t>
  </si>
  <si>
    <t>FS2024XT 001782</t>
  </si>
  <si>
    <t>FS2024XT 001783</t>
  </si>
  <si>
    <t>FS2024XT 001784</t>
  </si>
  <si>
    <t>FS2024XT 001785</t>
  </si>
  <si>
    <t>FS2024XT 001786</t>
  </si>
  <si>
    <t>FS2024XT 001787</t>
  </si>
  <si>
    <t>FS2024XT 001788</t>
  </si>
  <si>
    <t>FS2024XT 001789</t>
  </si>
  <si>
    <t>FS2024XT 001790</t>
  </si>
  <si>
    <t>FS2024XT 001791</t>
  </si>
  <si>
    <t>FS2024XT 001792</t>
  </si>
  <si>
    <t>FS2024XT 001793</t>
  </si>
  <si>
    <t>FS2024XT 001794</t>
  </si>
  <si>
    <t>FS2024XT 001795</t>
  </si>
  <si>
    <t>FS2024XT 001796</t>
  </si>
  <si>
    <t>FS2024XT 001797</t>
  </si>
  <si>
    <t>FS2024XT 001798</t>
  </si>
  <si>
    <t>FS2024XT 001799</t>
  </si>
  <si>
    <t>FS2024XT 001800</t>
  </si>
  <si>
    <t>FS2024XT 001801</t>
  </si>
  <si>
    <t>FS2024XT 001802</t>
  </si>
  <si>
    <t>FS2024XT 001803</t>
  </si>
  <si>
    <t>FS2024XT 001804</t>
  </si>
  <si>
    <t>FS2024XT 001805</t>
  </si>
  <si>
    <t>FS2024XT 001806</t>
  </si>
  <si>
    <t>FS2024XT 001807</t>
  </si>
  <si>
    <t>FS2024XT 001808</t>
  </si>
  <si>
    <t>FS2024XT 001809</t>
  </si>
  <si>
    <t>FS2024XT 001810</t>
  </si>
  <si>
    <t>FS2024XT 001811</t>
  </si>
  <si>
    <t>FS2024XT 001812</t>
  </si>
  <si>
    <t>FS2024XT 001813</t>
  </si>
  <si>
    <t>FS2024XT 001814</t>
  </si>
  <si>
    <t>FS2024XT 001815</t>
  </si>
  <si>
    <t>FS2024XT 001816</t>
  </si>
  <si>
    <t>FS2024XT 001817</t>
  </si>
  <si>
    <t>FS2024XT 001818</t>
  </si>
  <si>
    <t>FS2024XT 001819</t>
  </si>
  <si>
    <t>FS2024XT 001820</t>
  </si>
  <si>
    <t>FS2024XT 001821</t>
  </si>
  <si>
    <t>FS2024XT 001822</t>
  </si>
  <si>
    <t>FS2024XT 001823</t>
  </si>
  <si>
    <t>FS2024XT 001824</t>
  </si>
  <si>
    <t>FS2024XT 001825</t>
  </si>
  <si>
    <t>FS2024XT 001826</t>
  </si>
  <si>
    <t>FS2024XT 001827</t>
  </si>
  <si>
    <t>FS2024XT 001828</t>
  </si>
  <si>
    <t>FS2024XT 001829</t>
  </si>
  <si>
    <t>FS2024XT 001830</t>
  </si>
  <si>
    <t>FS2024XT 001831</t>
  </si>
  <si>
    <t>FS2024XT 001832</t>
  </si>
  <si>
    <t>FS2024XT 001833</t>
  </si>
  <si>
    <t>FS2024XT 001834</t>
  </si>
  <si>
    <t>FS2024XT 001835</t>
  </si>
  <si>
    <t>FS2024XT 001836</t>
  </si>
  <si>
    <t>FS2024XT 001837</t>
  </si>
  <si>
    <t>FS2024XT 001838</t>
  </si>
  <si>
    <t>FS2024XT 001839</t>
  </si>
  <si>
    <t>FS2024XT 001840</t>
  </si>
  <si>
    <t>FS2024XT 001841</t>
  </si>
  <si>
    <t>FS2024XT 001842</t>
  </si>
  <si>
    <t>FS2024XT 001843</t>
  </si>
  <si>
    <t>FS2024XT 001844</t>
  </si>
  <si>
    <t>FS2024XT 001845</t>
  </si>
  <si>
    <t>FS2024XT 001846</t>
  </si>
  <si>
    <t>FS2024XT 001847</t>
  </si>
  <si>
    <t>FS2024XT 001848</t>
  </si>
  <si>
    <t>FS2024XT 001849</t>
  </si>
  <si>
    <t>FS2024XT 001850</t>
  </si>
  <si>
    <t>FS2024XT 001851</t>
  </si>
  <si>
    <t>FS2024XT 001852</t>
  </si>
  <si>
    <t>FS2024XT 001853</t>
  </si>
  <si>
    <t>FS2024XT 001854</t>
  </si>
  <si>
    <t>FS2024XT 001855</t>
  </si>
  <si>
    <t>FS2024XT 001856</t>
  </si>
  <si>
    <t>FS2024XT 001857</t>
  </si>
  <si>
    <t>FS2024XT 001858</t>
  </si>
  <si>
    <t>FS2024XT 001859</t>
  </si>
  <si>
    <t>FS2024XT 001860</t>
  </si>
  <si>
    <t>FS2024XT 001861</t>
  </si>
  <si>
    <t>FS2024XT 001862</t>
  </si>
  <si>
    <t>FS2024XT 001863</t>
  </si>
  <si>
    <t>FS2024XT 001864</t>
  </si>
  <si>
    <t>FS2024XT 001865</t>
  </si>
  <si>
    <t>FS2024XT 001866</t>
  </si>
  <si>
    <t>FS2024XT 001867</t>
  </si>
  <si>
    <t>FS2024XT 001868</t>
  </si>
  <si>
    <t>FS2024XT 001869</t>
  </si>
  <si>
    <t>FS2024XT 001870</t>
  </si>
  <si>
    <t>FS2024XT 001871</t>
  </si>
  <si>
    <t>FS2024XT 001872</t>
  </si>
  <si>
    <t>FS2024XT 001873</t>
  </si>
  <si>
    <t>FS2024XT 001874</t>
  </si>
  <si>
    <t>FS2024XT 001875</t>
  </si>
  <si>
    <t>FS2024XT 001876</t>
  </si>
  <si>
    <t>FS2024XT 001877</t>
  </si>
  <si>
    <t>FS2024XT 001878</t>
  </si>
  <si>
    <t>FS2024XT 001879</t>
  </si>
  <si>
    <t>FS2024XT 001880</t>
  </si>
  <si>
    <t>FS2024XT 001881</t>
  </si>
  <si>
    <t>FS2024XT 001882</t>
  </si>
  <si>
    <t>FS2024XT 001883</t>
  </si>
  <si>
    <t>FS2024XT 001884</t>
  </si>
  <si>
    <t>FS2024XT 001885</t>
  </si>
  <si>
    <t>FS2024XT 001886</t>
  </si>
  <si>
    <t>FS2024XT 001887</t>
  </si>
  <si>
    <t>FS2024XT 001888</t>
  </si>
  <si>
    <t>FS2024XT 001889</t>
  </si>
  <si>
    <t>FS2024XT 001890</t>
  </si>
  <si>
    <t>FS2024XT 001891</t>
  </si>
  <si>
    <t>FS2024XT 001892</t>
  </si>
  <si>
    <t>FS2024XT 001893</t>
  </si>
  <si>
    <t>FS2024XT 001894</t>
  </si>
  <si>
    <t>FS2024XT 001895</t>
  </si>
  <si>
    <t>FS2024XT 001896</t>
  </si>
  <si>
    <t>FS2024XT 001897</t>
  </si>
  <si>
    <t>FS2024XT 001898</t>
  </si>
  <si>
    <t>FS2024XT 001899</t>
  </si>
  <si>
    <t>FS2024XT 001900</t>
  </si>
  <si>
    <t>FS2024XT 001901</t>
  </si>
  <si>
    <t>FS2024XT 001902</t>
  </si>
  <si>
    <t>FS2024XT 001903</t>
  </si>
  <si>
    <t>FS2024XT 001904</t>
  </si>
  <si>
    <t>FS2024XT 001905</t>
  </si>
  <si>
    <t>FS2024XT 001906</t>
  </si>
  <si>
    <t>FS2024XT 001907</t>
  </si>
  <si>
    <t>FS2024XT 001908</t>
  </si>
  <si>
    <t>FS2024XT 001909</t>
  </si>
  <si>
    <t>FS2024XT 001910</t>
  </si>
  <si>
    <t>FS2024XT 001911</t>
  </si>
  <si>
    <t>FS2024XT 001912</t>
  </si>
  <si>
    <t>FS2024XT 001913</t>
  </si>
  <si>
    <t>FS2024XT 001914</t>
  </si>
  <si>
    <t>FS2024XT 001915</t>
  </si>
  <si>
    <t>FS2024XT 001916</t>
  </si>
  <si>
    <t>FS2024XT 001917</t>
  </si>
  <si>
    <t>01446/2024</t>
  </si>
  <si>
    <t>01444/2024</t>
  </si>
  <si>
    <t>PACK DESPEDIDAS</t>
  </si>
  <si>
    <t>PACK</t>
  </si>
  <si>
    <t>01462/2024</t>
  </si>
  <si>
    <t>01358/2024</t>
  </si>
  <si>
    <t>01448/2024</t>
  </si>
  <si>
    <t>01470/2024</t>
  </si>
  <si>
    <t>01373/2024</t>
  </si>
  <si>
    <t>01437/2024</t>
  </si>
  <si>
    <t>01441/2024</t>
  </si>
  <si>
    <t>01395/2024</t>
  </si>
  <si>
    <t>01471/2024</t>
  </si>
  <si>
    <t>01219/2024</t>
  </si>
  <si>
    <t>01394/2024</t>
  </si>
  <si>
    <t>01400/2024</t>
  </si>
  <si>
    <t>014085/2024</t>
  </si>
  <si>
    <t>01277/2024</t>
  </si>
  <si>
    <t>01460/2024</t>
  </si>
  <si>
    <t>01458/2024</t>
  </si>
  <si>
    <t>01459/2024</t>
  </si>
  <si>
    <t>01447/2024</t>
  </si>
  <si>
    <t>01464/2024</t>
  </si>
  <si>
    <t>01362/2024</t>
  </si>
  <si>
    <t>COLB.LA SUEGRA</t>
  </si>
  <si>
    <t>01457/2024</t>
  </si>
  <si>
    <t>01345/2024</t>
  </si>
  <si>
    <t>01397/2024</t>
  </si>
  <si>
    <t>01420/2024</t>
  </si>
  <si>
    <t>01454/2024</t>
  </si>
  <si>
    <t>01303/2024</t>
  </si>
  <si>
    <t>01461/2024</t>
  </si>
  <si>
    <t>01449/2024</t>
  </si>
  <si>
    <t>01434/2024</t>
  </si>
  <si>
    <t>01476/2024</t>
  </si>
  <si>
    <t>01385/2024</t>
  </si>
  <si>
    <t>1474/2024</t>
  </si>
  <si>
    <t>01469/2024</t>
  </si>
  <si>
    <t>01343/2024</t>
  </si>
  <si>
    <t>01412/2024</t>
  </si>
  <si>
    <t>01284/2024</t>
  </si>
  <si>
    <t>01492/2024</t>
  </si>
  <si>
    <t>01491/2024</t>
  </si>
  <si>
    <t>01477/2024</t>
  </si>
  <si>
    <t>01493/2024</t>
  </si>
  <si>
    <t>01433/2024</t>
  </si>
  <si>
    <t>01285/2024</t>
  </si>
  <si>
    <t>01290/2024</t>
  </si>
  <si>
    <t>PACK BOTELLA +CENA</t>
  </si>
  <si>
    <t>01497/2024</t>
  </si>
  <si>
    <t>01478/2024</t>
  </si>
  <si>
    <t>01465/2024</t>
  </si>
  <si>
    <t>01435/2024</t>
  </si>
  <si>
    <t>01466/2024</t>
  </si>
  <si>
    <t>01401/2024</t>
  </si>
  <si>
    <t>01487/2024</t>
  </si>
  <si>
    <t>01500/2024</t>
  </si>
  <si>
    <t>01455/2024</t>
  </si>
  <si>
    <t>01502/2024</t>
  </si>
  <si>
    <t>01490/2024</t>
  </si>
  <si>
    <t>01503/2024</t>
  </si>
  <si>
    <t>01508/2024</t>
  </si>
  <si>
    <t>01512/2024</t>
  </si>
  <si>
    <t>COLB. DAVID</t>
  </si>
  <si>
    <t>01505/2024</t>
  </si>
  <si>
    <t>01479/2024</t>
  </si>
  <si>
    <t>01410/2024</t>
  </si>
  <si>
    <t>01438/2024</t>
  </si>
  <si>
    <t>01411/2024</t>
  </si>
  <si>
    <t>01178/2024</t>
  </si>
  <si>
    <t>01450/2024</t>
  </si>
  <si>
    <t>01468/2024</t>
  </si>
  <si>
    <t>01429/2024</t>
  </si>
  <si>
    <t>01788/2024</t>
  </si>
  <si>
    <t>01423/2024</t>
  </si>
  <si>
    <t>01390/2024</t>
  </si>
  <si>
    <t>01463/2024</t>
  </si>
  <si>
    <t>01275/2024</t>
  </si>
  <si>
    <t>01228/2024</t>
  </si>
  <si>
    <t>01501/2024</t>
  </si>
  <si>
    <t>01483/2024</t>
  </si>
  <si>
    <t>01415/2024</t>
  </si>
  <si>
    <t>01481/2024</t>
  </si>
  <si>
    <t>01506/2024</t>
  </si>
  <si>
    <t>01509/2024</t>
  </si>
  <si>
    <t>01517/2024</t>
  </si>
  <si>
    <t>01524/2024</t>
  </si>
  <si>
    <t>01504/2024</t>
  </si>
  <si>
    <t>01430/2024</t>
  </si>
  <si>
    <t>01510/2024</t>
  </si>
  <si>
    <t>01413/2024</t>
  </si>
  <si>
    <t>suplmento navidad+hotel</t>
  </si>
  <si>
    <t>01361/2024</t>
  </si>
  <si>
    <t>01482/2024</t>
  </si>
  <si>
    <t>1522/2024</t>
  </si>
  <si>
    <t>01528/2024</t>
  </si>
  <si>
    <t>01480/2024</t>
  </si>
  <si>
    <t>01498/2024</t>
  </si>
  <si>
    <t>01484/2024</t>
  </si>
  <si>
    <t>01515/2024</t>
  </si>
  <si>
    <t>01486/2024</t>
  </si>
  <si>
    <t>01514/2024</t>
  </si>
  <si>
    <t>01525/2024</t>
  </si>
  <si>
    <t>01535/2024</t>
  </si>
  <si>
    <t>01530/2024</t>
  </si>
  <si>
    <t>01529/2024</t>
  </si>
  <si>
    <t>01519/2024</t>
  </si>
  <si>
    <t>01521/2024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</si>
</sst>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&quot;€&quot;;[Red]\-#,##0\ &quot;€&quot;"/>
    <numFmt numFmtId="165" formatCode="#,##0.00\ &quot;€&quot;;[Red]\-#,##0.00\ &quot;€&quot;"/>
    <numFmt numFmtId="166" formatCode="_-* #,##0.00\ &quot;€&quot;_-;\-* #,##0.00\ &quot;€&quot;_-;_-* &quot;-&quot;??\ &quot;€&quot;_-;_-@_-"/>
    <numFmt numFmtId="167" formatCode="&quot; &quot;#,##0.00&quot; &quot;[$€-C0A]&quot; &quot;;&quot;-&quot;#,##0.00&quot; &quot;[$€-C0A]&quot; &quot;;&quot; -&quot;00&quot; &quot;[$€-C0A]&quot; &quot;;&quot; &quot;@&quot; &quot;"/>
    <numFmt numFmtId="168" formatCode="#,##0.00&quot; &quot;[$€-C0A];[Red]&quot;-&quot;#,##0.00&quot; &quot;[$€-C0A]"/>
    <numFmt numFmtId="169" formatCode="#,##0&quot; &quot;[$€-C0A];[Red]&quot;-&quot;#,##0&quot; &quot;[$€-C0A]"/>
    <numFmt numFmtId="170" formatCode="#,##0.00\ _€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1" xfId="0" applyBorder="1"/>
    <xf numFmtId="166" fontId="1" fillId="0" borderId="3" xfId="1" applyFill="1" applyBorder="1"/>
    <xf numFmtId="166" fontId="1" fillId="0" borderId="3" xfId="1" applyBorder="1"/>
    <xf numFmtId="14" fontId="0" fillId="0" borderId="3" xfId="0" applyNumberFormat="1" applyBorder="1"/>
    <xf numFmtId="14" fontId="0" fillId="0" borderId="0" xfId="0" applyNumberFormat="1"/>
    <xf numFmtId="166" fontId="1" fillId="0" borderId="1" xfId="1" applyBorder="1"/>
    <xf numFmtId="0" fontId="3" fillId="0" borderId="6" xfId="0" applyFont="1" applyBorder="1"/>
    <xf numFmtId="0" fontId="0" fillId="0" borderId="6" xfId="0" applyBorder="1"/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166" fontId="3" fillId="0" borderId="1" xfId="1" applyFont="1" applyBorder="1"/>
    <xf numFmtId="168" fontId="3" fillId="0" borderId="1" xfId="0" applyNumberFormat="1" applyFont="1" applyBorder="1" applyAlignment="1">
      <alignment horizontal="right" vertical="center"/>
    </xf>
    <xf numFmtId="168" fontId="3" fillId="0" borderId="1" xfId="1" applyNumberFormat="1" applyFont="1" applyBorder="1"/>
    <xf numFmtId="49" fontId="3" fillId="0" borderId="1" xfId="1" applyNumberFormat="1" applyFont="1" applyBorder="1"/>
    <xf numFmtId="166" fontId="1" fillId="0" borderId="4" xfId="1" applyBorder="1"/>
    <xf numFmtId="167" fontId="3" fillId="0" borderId="1" xfId="0" applyNumberFormat="1" applyFont="1" applyBorder="1" applyAlignment="1">
      <alignment horizontal="right" vertical="center"/>
    </xf>
    <xf numFmtId="166" fontId="0" fillId="0" borderId="3" xfId="1" applyFont="1" applyBorder="1"/>
    <xf numFmtId="165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6" fontId="2" fillId="0" borderId="4" xfId="1" applyFont="1" applyBorder="1"/>
    <xf numFmtId="166" fontId="3" fillId="0" borderId="1" xfId="1" applyFont="1" applyBorder="1" applyAlignment="1">
      <alignment vertical="center" wrapText="1"/>
    </xf>
    <xf numFmtId="169" fontId="1" fillId="0" borderId="4" xfId="1" applyNumberFormat="1" applyBorder="1"/>
    <xf numFmtId="169" fontId="1" fillId="0" borderId="3" xfId="1" applyNumberFormat="1" applyBorder="1"/>
    <xf numFmtId="164" fontId="3" fillId="0" borderId="1" xfId="1" applyNumberFormat="1" applyFont="1" applyBorder="1"/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left" vertical="center" wrapText="1"/>
    </xf>
    <xf numFmtId="166" fontId="3" fillId="0" borderId="1" xfId="1" applyFont="1" applyBorder="1" applyAlignment="1">
      <alignment horizontal="right"/>
    </xf>
    <xf numFmtId="14" fontId="0" fillId="0" borderId="0" xfId="0" applyNumberFormat="1" applyAlignment="1">
      <alignment horizontal="left"/>
    </xf>
    <xf numFmtId="49" fontId="0" fillId="0" borderId="1" xfId="1" applyNumberFormat="1" applyFont="1" applyBorder="1"/>
    <xf numFmtId="166" fontId="0" fillId="0" borderId="1" xfId="1" applyFont="1" applyBorder="1"/>
    <xf numFmtId="14" fontId="3" fillId="0" borderId="1" xfId="1" applyNumberFormat="1" applyFont="1" applyBorder="1" applyAlignment="1">
      <alignment horizontal="left"/>
    </xf>
    <xf numFmtId="169" fontId="3" fillId="0" borderId="1" xfId="0" applyNumberFormat="1" applyFont="1" applyBorder="1"/>
    <xf numFmtId="165" fontId="3" fillId="0" borderId="7" xfId="0" applyNumberFormat="1" applyFont="1" applyBorder="1" applyAlignment="1">
      <alignment vertical="center" wrapText="1"/>
    </xf>
    <xf numFmtId="166" fontId="3" fillId="0" borderId="7" xfId="1" applyFont="1" applyBorder="1"/>
    <xf numFmtId="169" fontId="3" fillId="0" borderId="7" xfId="0" applyNumberFormat="1" applyFont="1" applyBorder="1"/>
    <xf numFmtId="0" fontId="3" fillId="0" borderId="7" xfId="0" applyFont="1" applyBorder="1"/>
    <xf numFmtId="166" fontId="1" fillId="0" borderId="8" xfId="1" applyBorder="1"/>
    <xf numFmtId="166" fontId="1" fillId="0" borderId="6" xfId="1" applyBorder="1"/>
    <xf numFmtId="165" fontId="0" fillId="0" borderId="1" xfId="0" applyNumberFormat="1" applyBorder="1" applyAlignment="1">
      <alignment vertical="center" wrapText="1"/>
    </xf>
    <xf numFmtId="169" fontId="0" fillId="0" borderId="1" xfId="0" applyNumberFormat="1" applyBorder="1"/>
    <xf numFmtId="14" fontId="0" fillId="0" borderId="1" xfId="0" applyNumberFormat="1" applyBorder="1"/>
    <xf numFmtId="164" fontId="1" fillId="0" borderId="1" xfId="1" applyNumberFormat="1" applyBorder="1"/>
    <xf numFmtId="165" fontId="0" fillId="0" borderId="7" xfId="0" applyNumberFormat="1" applyBorder="1" applyAlignment="1">
      <alignment vertical="center" wrapText="1"/>
    </xf>
    <xf numFmtId="166" fontId="3" fillId="0" borderId="7" xfId="1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66" fontId="1" fillId="0" borderId="7" xfId="1" applyBorder="1"/>
    <xf numFmtId="169" fontId="0" fillId="0" borderId="7" xfId="0" applyNumberFormat="1" applyBorder="1"/>
    <xf numFmtId="0" fontId="0" fillId="0" borderId="7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166" fontId="0" fillId="0" borderId="1" xfId="1" applyFont="1" applyBorder="1" applyAlignment="1">
      <alignment horizontal="right" vertical="center"/>
    </xf>
    <xf numFmtId="166" fontId="1" fillId="0" borderId="1" xfId="1" applyFill="1" applyBorder="1"/>
    <xf numFmtId="0" fontId="3" fillId="0" borderId="9" xfId="0" applyFont="1" applyBorder="1"/>
    <xf numFmtId="14" fontId="0" fillId="0" borderId="1" xfId="0" applyNumberFormat="1" applyBorder="1" applyAlignment="1">
      <alignment horizontal="left" vertical="center" wrapText="1"/>
    </xf>
    <xf numFmtId="14" fontId="1" fillId="0" borderId="1" xfId="1" applyNumberFormat="1" applyBorder="1" applyAlignment="1">
      <alignment horizontal="left"/>
    </xf>
    <xf numFmtId="49" fontId="3" fillId="3" borderId="1" xfId="1" applyNumberFormat="1" applyFont="1" applyFill="1" applyBorder="1"/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1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13" fontId="3" fillId="0" borderId="1" xfId="0" applyNumberFormat="1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66" fontId="1" fillId="2" borderId="1" xfId="1" applyFill="1" applyBorder="1"/>
    <xf numFmtId="0" fontId="0" fillId="6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166" fontId="0" fillId="2" borderId="1" xfId="1" applyFont="1" applyFill="1" applyBorder="1"/>
    <xf numFmtId="0" fontId="0" fillId="4" borderId="1" xfId="0" applyFill="1" applyBorder="1"/>
    <xf numFmtId="0" fontId="0" fillId="11" borderId="1" xfId="0" applyFill="1" applyBorder="1"/>
    <xf numFmtId="166" fontId="0" fillId="12" borderId="1" xfId="1" applyFont="1" applyFill="1" applyBorder="1"/>
    <xf numFmtId="49" fontId="3" fillId="0" borderId="1" xfId="1" applyNumberFormat="1" applyFont="1" applyFill="1" applyBorder="1"/>
    <xf numFmtId="166" fontId="3" fillId="0" borderId="1" xfId="1" applyFont="1" applyFill="1" applyBorder="1"/>
    <xf numFmtId="166" fontId="1" fillId="0" borderId="4" xfId="1" applyFill="1" applyBorder="1"/>
    <xf numFmtId="166" fontId="0" fillId="0" borderId="3" xfId="1" applyFont="1" applyFill="1" applyBorder="1"/>
    <xf numFmtId="166" fontId="2" fillId="0" borderId="4" xfId="1" applyFont="1" applyFill="1" applyBorder="1"/>
    <xf numFmtId="169" fontId="1" fillId="0" borderId="4" xfId="1" applyNumberFormat="1" applyFill="1" applyBorder="1"/>
    <xf numFmtId="169" fontId="1" fillId="0" borderId="3" xfId="1" applyNumberFormat="1" applyFill="1" applyBorder="1"/>
    <xf numFmtId="164" fontId="3" fillId="0" borderId="1" xfId="1" applyNumberFormat="1" applyFont="1" applyFill="1" applyBorder="1"/>
    <xf numFmtId="166" fontId="3" fillId="0" borderId="1" xfId="1" applyFont="1" applyFill="1" applyBorder="1" applyAlignment="1">
      <alignment horizontal="right"/>
    </xf>
    <xf numFmtId="49" fontId="0" fillId="0" borderId="1" xfId="1" applyNumberFormat="1" applyFont="1" applyFill="1" applyBorder="1"/>
    <xf numFmtId="166" fontId="0" fillId="0" borderId="1" xfId="1" applyFont="1" applyFill="1" applyBorder="1"/>
    <xf numFmtId="166" fontId="3" fillId="0" borderId="7" xfId="1" applyFont="1" applyFill="1" applyBorder="1"/>
    <xf numFmtId="166" fontId="1" fillId="0" borderId="8" xfId="1" applyFill="1" applyBorder="1"/>
    <xf numFmtId="166" fontId="1" fillId="0" borderId="6" xfId="1" applyFill="1" applyBorder="1"/>
    <xf numFmtId="164" fontId="1" fillId="0" borderId="1" xfId="1" applyNumberFormat="1" applyFill="1" applyBorder="1"/>
    <xf numFmtId="166" fontId="1" fillId="0" borderId="7" xfId="1" applyFill="1" applyBorder="1"/>
    <xf numFmtId="165" fontId="0" fillId="0" borderId="10" xfId="0" applyNumberFormat="1" applyBorder="1" applyAlignment="1">
      <alignment vertical="center" wrapText="1"/>
    </xf>
    <xf numFmtId="14" fontId="0" fillId="0" borderId="1" xfId="0" applyNumberFormat="1" applyBorder="1" applyAlignment="1">
      <alignment horizontal="left"/>
    </xf>
    <xf numFmtId="166" fontId="0" fillId="0" borderId="1" xfId="0" applyNumberFormat="1" applyBorder="1"/>
    <xf numFmtId="14" fontId="0" fillId="0" borderId="3" xfId="0" applyNumberFormat="1" applyBorder="1" applyAlignment="1">
      <alignment horizontal="left"/>
    </xf>
    <xf numFmtId="166" fontId="0" fillId="0" borderId="0" xfId="1" applyFont="1"/>
    <xf numFmtId="166" fontId="0" fillId="0" borderId="0" xfId="0" applyNumberFormat="1"/>
    <xf numFmtId="14" fontId="3" fillId="0" borderId="1" xfId="0" applyNumberFormat="1" applyFont="1" applyBorder="1" applyAlignment="1">
      <alignment vertical="center" wrapText="1"/>
    </xf>
    <xf numFmtId="0" fontId="0" fillId="2" borderId="0" xfId="0" applyFill="1"/>
    <xf numFmtId="168" fontId="0" fillId="0" borderId="1" xfId="0" applyNumberFormat="1" applyBorder="1"/>
    <xf numFmtId="0" fontId="0" fillId="0" borderId="10" xfId="0" applyBorder="1"/>
    <xf numFmtId="14" fontId="0" fillId="2" borderId="1" xfId="0" applyNumberFormat="1" applyFill="1" applyBorder="1"/>
    <xf numFmtId="0" fontId="3" fillId="2" borderId="1" xfId="0" applyFont="1" applyFill="1" applyBorder="1"/>
    <xf numFmtId="0" fontId="0" fillId="2" borderId="10" xfId="0" applyFill="1" applyBorder="1"/>
    <xf numFmtId="166" fontId="0" fillId="2" borderId="0" xfId="1" applyFont="1" applyFill="1" applyBorder="1"/>
    <xf numFmtId="170" fontId="0" fillId="0" borderId="1" xfId="1" applyNumberFormat="1" applyFont="1" applyBorder="1"/>
    <xf numFmtId="14" fontId="0" fillId="12" borderId="1" xfId="0" applyNumberFormat="1" applyFill="1" applyBorder="1"/>
    <xf numFmtId="0" fontId="3" fillId="12" borderId="1" xfId="0" applyFont="1" applyFill="1" applyBorder="1"/>
    <xf numFmtId="168" fontId="3" fillId="0" borderId="1" xfId="1" applyNumberFormat="1" applyFont="1" applyFill="1" applyBorder="1"/>
    <xf numFmtId="164" fontId="0" fillId="0" borderId="1" xfId="0" applyNumberFormat="1" applyBorder="1"/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71"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00FF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1C9D-59AB-492C-AA96-0A2CAF49DCC9}">
  <dimension ref="A1:O199"/>
  <sheetViews>
    <sheetView topLeftCell="A90" workbookViewId="0">
      <selection activeCell="D115" sqref="D115"/>
    </sheetView>
  </sheetViews>
  <sheetFormatPr baseColWidth="10" defaultRowHeight="14.4" x14ac:dyDescent="0.3"/>
  <cols>
    <col min="1" max="1" width="14.5546875" customWidth="1"/>
    <col min="2" max="2" width="18.44140625" customWidth="1"/>
    <col min="3" max="3" width="37" customWidth="1"/>
    <col min="4" max="4" width="15.5546875" customWidth="1"/>
    <col min="7" max="7" width="15.88671875" customWidth="1"/>
    <col min="9" max="9" width="24" customWidth="1"/>
    <col min="12" max="12" width="13.6640625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10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3"/>
      <c r="N2" s="115"/>
      <c r="O2" s="113"/>
    </row>
    <row r="3" spans="1:15" x14ac:dyDescent="0.3">
      <c r="A3" s="9">
        <v>45292</v>
      </c>
      <c r="B3" s="10" t="s">
        <v>17</v>
      </c>
      <c r="C3" s="10" t="s">
        <v>14</v>
      </c>
      <c r="D3" s="11">
        <f t="shared" ref="D3:D66" si="0">F3/1.21</f>
        <v>223.14049586776861</v>
      </c>
      <c r="E3" s="11">
        <f>D3*10/100</f>
        <v>22.314049586776861</v>
      </c>
      <c r="F3" s="12">
        <v>270</v>
      </c>
      <c r="G3" s="11">
        <v>50</v>
      </c>
      <c r="H3" s="13">
        <v>220</v>
      </c>
      <c r="I3" s="14" t="s">
        <v>214</v>
      </c>
      <c r="J3" s="11">
        <v>270</v>
      </c>
      <c r="K3" s="11"/>
      <c r="L3" s="10"/>
      <c r="M3" s="15"/>
      <c r="N3" s="3"/>
      <c r="O3" s="3"/>
    </row>
    <row r="4" spans="1:15" x14ac:dyDescent="0.3">
      <c r="A4" s="9">
        <v>45293</v>
      </c>
      <c r="B4" s="10" t="s">
        <v>18</v>
      </c>
      <c r="C4" s="10" t="s">
        <v>14</v>
      </c>
      <c r="D4" s="11">
        <f t="shared" si="0"/>
        <v>256.198347107438</v>
      </c>
      <c r="E4" s="11">
        <f t="shared" ref="E4:E67" si="1">D4*10/100</f>
        <v>25.619834710743799</v>
      </c>
      <c r="F4" s="16">
        <v>310</v>
      </c>
      <c r="G4" s="11">
        <v>50</v>
      </c>
      <c r="H4" s="13">
        <f>F4-G4</f>
        <v>260</v>
      </c>
      <c r="I4" s="14" t="s">
        <v>215</v>
      </c>
      <c r="J4" s="11">
        <v>270</v>
      </c>
      <c r="K4" s="11">
        <v>40</v>
      </c>
      <c r="L4" s="10" t="s">
        <v>16</v>
      </c>
      <c r="M4" s="15"/>
      <c r="N4" s="3"/>
      <c r="O4" s="3"/>
    </row>
    <row r="5" spans="1:15" x14ac:dyDescent="0.3">
      <c r="A5" s="9">
        <v>45293</v>
      </c>
      <c r="B5" s="10" t="s">
        <v>19</v>
      </c>
      <c r="C5" s="10" t="s">
        <v>14</v>
      </c>
      <c r="D5" s="11">
        <f t="shared" si="0"/>
        <v>140.49586776859505</v>
      </c>
      <c r="E5" s="11">
        <f t="shared" si="1"/>
        <v>14.049586776859506</v>
      </c>
      <c r="F5" s="16">
        <v>170</v>
      </c>
      <c r="G5" s="11">
        <v>50</v>
      </c>
      <c r="H5" s="13">
        <f t="shared" ref="H5:H68" si="2">F5-G5</f>
        <v>120</v>
      </c>
      <c r="I5" s="14" t="s">
        <v>216</v>
      </c>
      <c r="J5" s="11">
        <v>170</v>
      </c>
      <c r="K5" s="11"/>
      <c r="L5" s="10"/>
      <c r="M5" s="15"/>
      <c r="N5" s="3"/>
      <c r="O5" s="3"/>
    </row>
    <row r="6" spans="1:15" x14ac:dyDescent="0.3">
      <c r="A6" s="9">
        <v>45293</v>
      </c>
      <c r="B6" s="10" t="s">
        <v>20</v>
      </c>
      <c r="C6" s="10" t="s">
        <v>14</v>
      </c>
      <c r="D6" s="11">
        <f t="shared" si="0"/>
        <v>115.70247933884298</v>
      </c>
      <c r="E6" s="11">
        <f t="shared" si="1"/>
        <v>11.570247933884298</v>
      </c>
      <c r="F6" s="16">
        <v>140</v>
      </c>
      <c r="G6" s="11"/>
      <c r="H6" s="13">
        <f t="shared" si="2"/>
        <v>140</v>
      </c>
      <c r="I6" s="14" t="s">
        <v>217</v>
      </c>
      <c r="J6" s="11">
        <v>140</v>
      </c>
      <c r="K6" s="11"/>
      <c r="L6" s="10"/>
      <c r="M6" s="15"/>
      <c r="N6" s="3"/>
      <c r="O6" s="3"/>
    </row>
    <row r="7" spans="1:15" x14ac:dyDescent="0.3">
      <c r="A7" s="9">
        <v>45293</v>
      </c>
      <c r="B7" s="10" t="s">
        <v>21</v>
      </c>
      <c r="C7" s="10" t="s">
        <v>14</v>
      </c>
      <c r="D7" s="11">
        <f t="shared" si="0"/>
        <v>330.57851239669424</v>
      </c>
      <c r="E7" s="11">
        <f t="shared" si="1"/>
        <v>33.057851239669425</v>
      </c>
      <c r="F7" s="16">
        <v>400</v>
      </c>
      <c r="G7" s="11"/>
      <c r="H7" s="13">
        <f t="shared" si="2"/>
        <v>400</v>
      </c>
      <c r="I7" s="14" t="s">
        <v>217</v>
      </c>
      <c r="J7" s="11">
        <v>400</v>
      </c>
      <c r="K7" s="11"/>
      <c r="L7" s="10"/>
      <c r="M7" s="15"/>
      <c r="N7" s="17"/>
      <c r="O7" s="3"/>
    </row>
    <row r="8" spans="1:15" x14ac:dyDescent="0.3">
      <c r="A8" s="9">
        <v>45297</v>
      </c>
      <c r="B8" s="10" t="s">
        <v>22</v>
      </c>
      <c r="C8" s="10" t="s">
        <v>14</v>
      </c>
      <c r="D8" s="11">
        <f t="shared" si="0"/>
        <v>297.52066115702479</v>
      </c>
      <c r="E8" s="11">
        <f t="shared" si="1"/>
        <v>29.752066115702476</v>
      </c>
      <c r="F8" s="12">
        <v>360</v>
      </c>
      <c r="G8" s="11">
        <v>50</v>
      </c>
      <c r="H8" s="13">
        <f t="shared" si="2"/>
        <v>310</v>
      </c>
      <c r="I8" s="14" t="s">
        <v>218</v>
      </c>
      <c r="J8" s="11">
        <v>360</v>
      </c>
      <c r="K8" s="11"/>
      <c r="L8" s="10"/>
      <c r="M8" s="15"/>
      <c r="N8" s="3"/>
      <c r="O8" s="3"/>
    </row>
    <row r="9" spans="1:15" x14ac:dyDescent="0.3">
      <c r="A9" s="9">
        <v>45297</v>
      </c>
      <c r="B9" s="10" t="s">
        <v>23</v>
      </c>
      <c r="C9" s="10" t="s">
        <v>14</v>
      </c>
      <c r="D9" s="11">
        <f t="shared" si="0"/>
        <v>181.81818181818181</v>
      </c>
      <c r="E9" s="11">
        <f t="shared" si="1"/>
        <v>18.18181818181818</v>
      </c>
      <c r="F9" s="18">
        <v>220</v>
      </c>
      <c r="G9" s="18">
        <v>50</v>
      </c>
      <c r="H9" s="13">
        <f t="shared" si="2"/>
        <v>170</v>
      </c>
      <c r="I9" s="19" t="s">
        <v>219</v>
      </c>
      <c r="J9" s="11">
        <v>220</v>
      </c>
      <c r="K9" s="11"/>
      <c r="L9" s="10"/>
      <c r="M9" s="15"/>
      <c r="N9" s="3"/>
      <c r="O9" s="3"/>
    </row>
    <row r="10" spans="1:15" x14ac:dyDescent="0.3">
      <c r="A10" s="9">
        <v>45297</v>
      </c>
      <c r="B10" s="10" t="s">
        <v>24</v>
      </c>
      <c r="C10" s="10" t="s">
        <v>14</v>
      </c>
      <c r="D10" s="11">
        <f t="shared" si="0"/>
        <v>181.81818181818181</v>
      </c>
      <c r="E10" s="11">
        <f t="shared" si="1"/>
        <v>18.18181818181818</v>
      </c>
      <c r="F10" s="18">
        <v>220</v>
      </c>
      <c r="G10" s="18">
        <v>50</v>
      </c>
      <c r="H10" s="13">
        <f t="shared" si="2"/>
        <v>170</v>
      </c>
      <c r="I10" s="19" t="s">
        <v>220</v>
      </c>
      <c r="J10" s="11">
        <v>220</v>
      </c>
      <c r="K10" s="11"/>
      <c r="L10" s="10"/>
      <c r="M10" s="15"/>
      <c r="N10" s="3"/>
      <c r="O10" s="3"/>
    </row>
    <row r="11" spans="1:15" x14ac:dyDescent="0.3">
      <c r="A11" s="9">
        <v>45297</v>
      </c>
      <c r="B11" s="10" t="s">
        <v>25</v>
      </c>
      <c r="C11" s="10" t="s">
        <v>14</v>
      </c>
      <c r="D11" s="11">
        <f t="shared" si="0"/>
        <v>181.81818181818181</v>
      </c>
      <c r="E11" s="11">
        <f t="shared" si="1"/>
        <v>18.18181818181818</v>
      </c>
      <c r="F11" s="18">
        <v>220</v>
      </c>
      <c r="G11" s="18">
        <v>50</v>
      </c>
      <c r="H11" s="13">
        <f t="shared" si="2"/>
        <v>170</v>
      </c>
      <c r="I11" s="19" t="s">
        <v>221</v>
      </c>
      <c r="J11" s="11">
        <v>220</v>
      </c>
      <c r="K11" s="11"/>
      <c r="L11" s="10"/>
      <c r="M11" s="15"/>
      <c r="N11" s="3"/>
      <c r="O11" s="3"/>
    </row>
    <row r="12" spans="1:15" x14ac:dyDescent="0.3">
      <c r="A12" s="9">
        <v>45297</v>
      </c>
      <c r="B12" s="10" t="s">
        <v>26</v>
      </c>
      <c r="C12" s="10" t="s">
        <v>14</v>
      </c>
      <c r="D12" s="11">
        <f t="shared" si="0"/>
        <v>107.43801652892563</v>
      </c>
      <c r="E12" s="11">
        <f t="shared" si="1"/>
        <v>10.743801652892563</v>
      </c>
      <c r="F12" s="18">
        <v>130</v>
      </c>
      <c r="G12" s="18"/>
      <c r="H12" s="13">
        <f t="shared" si="2"/>
        <v>130</v>
      </c>
      <c r="I12" s="19" t="s">
        <v>15</v>
      </c>
      <c r="J12" s="11">
        <v>130</v>
      </c>
      <c r="K12" s="11"/>
      <c r="L12" s="10"/>
      <c r="M12" s="15"/>
      <c r="N12" s="3"/>
      <c r="O12" s="3"/>
    </row>
    <row r="13" spans="1:15" x14ac:dyDescent="0.3">
      <c r="A13" s="9">
        <v>45297</v>
      </c>
      <c r="B13" s="10" t="s">
        <v>27</v>
      </c>
      <c r="C13" s="10" t="s">
        <v>14</v>
      </c>
      <c r="D13" s="11">
        <f t="shared" si="0"/>
        <v>107.43801652892563</v>
      </c>
      <c r="E13" s="11">
        <f t="shared" si="1"/>
        <v>10.743801652892563</v>
      </c>
      <c r="F13" s="18">
        <v>130</v>
      </c>
      <c r="G13" s="18"/>
      <c r="H13" s="13">
        <f t="shared" si="2"/>
        <v>130</v>
      </c>
      <c r="I13" s="19" t="s">
        <v>15</v>
      </c>
      <c r="J13" s="11">
        <v>130</v>
      </c>
      <c r="K13" s="11"/>
      <c r="L13" s="10"/>
      <c r="M13" s="15"/>
      <c r="N13" s="3"/>
      <c r="O13" s="3"/>
    </row>
    <row r="14" spans="1:15" x14ac:dyDescent="0.3">
      <c r="A14" s="9">
        <v>45297</v>
      </c>
      <c r="B14" s="10" t="s">
        <v>28</v>
      </c>
      <c r="C14" s="10" t="s">
        <v>14</v>
      </c>
      <c r="D14" s="11">
        <f t="shared" si="0"/>
        <v>165.28925619834712</v>
      </c>
      <c r="E14" s="11">
        <f t="shared" si="1"/>
        <v>16.528925619834713</v>
      </c>
      <c r="F14" s="18">
        <v>200</v>
      </c>
      <c r="G14" s="18">
        <v>200</v>
      </c>
      <c r="H14" s="13">
        <f t="shared" si="2"/>
        <v>0</v>
      </c>
      <c r="I14" s="19" t="s">
        <v>15</v>
      </c>
      <c r="J14" s="11">
        <v>200</v>
      </c>
      <c r="K14" s="11"/>
      <c r="L14" s="10"/>
      <c r="M14" s="15"/>
      <c r="N14" s="3"/>
      <c r="O14" s="3"/>
    </row>
    <row r="15" spans="1:15" x14ac:dyDescent="0.3">
      <c r="A15" s="9">
        <v>45297</v>
      </c>
      <c r="B15" s="10" t="s">
        <v>29</v>
      </c>
      <c r="C15" s="10" t="s">
        <v>14</v>
      </c>
      <c r="D15" s="11">
        <f t="shared" si="0"/>
        <v>272.72727272727275</v>
      </c>
      <c r="E15" s="11">
        <f t="shared" si="1"/>
        <v>27.272727272727273</v>
      </c>
      <c r="F15" s="18">
        <v>330</v>
      </c>
      <c r="G15" s="18">
        <v>50</v>
      </c>
      <c r="H15" s="13">
        <f t="shared" si="2"/>
        <v>280</v>
      </c>
      <c r="I15" s="19" t="s">
        <v>222</v>
      </c>
      <c r="J15" s="11">
        <v>270</v>
      </c>
      <c r="K15" s="11">
        <v>20</v>
      </c>
      <c r="L15" s="10" t="s">
        <v>223</v>
      </c>
      <c r="M15" s="15">
        <v>40</v>
      </c>
      <c r="N15" s="3" t="s">
        <v>16</v>
      </c>
      <c r="O15" s="3"/>
    </row>
    <row r="16" spans="1:15" x14ac:dyDescent="0.3">
      <c r="A16" s="9">
        <v>45298</v>
      </c>
      <c r="B16" s="10" t="s">
        <v>30</v>
      </c>
      <c r="C16" s="10" t="s">
        <v>14</v>
      </c>
      <c r="D16" s="11">
        <f t="shared" si="0"/>
        <v>173.55371900826447</v>
      </c>
      <c r="E16" s="11">
        <f t="shared" si="1"/>
        <v>17.355371900826448</v>
      </c>
      <c r="F16" s="18">
        <v>210</v>
      </c>
      <c r="G16" s="18">
        <v>50</v>
      </c>
      <c r="H16" s="13">
        <f t="shared" si="2"/>
        <v>160</v>
      </c>
      <c r="I16" s="19" t="s">
        <v>224</v>
      </c>
      <c r="J16" s="11">
        <v>170</v>
      </c>
      <c r="K16" s="11">
        <v>30</v>
      </c>
      <c r="L16" s="10" t="s">
        <v>223</v>
      </c>
      <c r="M16" s="20"/>
      <c r="N16" s="3"/>
      <c r="O16" s="3"/>
    </row>
    <row r="17" spans="1:15" x14ac:dyDescent="0.3">
      <c r="A17" s="9">
        <v>45298</v>
      </c>
      <c r="B17" s="10" t="s">
        <v>31</v>
      </c>
      <c r="C17" s="10" t="s">
        <v>14</v>
      </c>
      <c r="D17" s="11">
        <f t="shared" si="0"/>
        <v>140.49586776859505</v>
      </c>
      <c r="E17" s="11">
        <f t="shared" si="1"/>
        <v>14.049586776859506</v>
      </c>
      <c r="F17" s="18">
        <v>170</v>
      </c>
      <c r="G17" s="18">
        <v>50</v>
      </c>
      <c r="H17" s="13">
        <f t="shared" si="2"/>
        <v>120</v>
      </c>
      <c r="I17" s="19" t="s">
        <v>225</v>
      </c>
      <c r="J17" s="11">
        <v>170</v>
      </c>
      <c r="K17" s="11"/>
      <c r="L17" s="10"/>
      <c r="M17" s="15"/>
      <c r="N17" s="3"/>
      <c r="O17" s="3"/>
    </row>
    <row r="18" spans="1:15" x14ac:dyDescent="0.3">
      <c r="A18" s="9">
        <v>45301</v>
      </c>
      <c r="B18" s="10" t="s">
        <v>32</v>
      </c>
      <c r="C18" s="10" t="s">
        <v>14</v>
      </c>
      <c r="D18" s="11">
        <f t="shared" si="0"/>
        <v>283.47107438016531</v>
      </c>
      <c r="E18" s="11">
        <f t="shared" si="1"/>
        <v>28.347107438016529</v>
      </c>
      <c r="F18" s="18">
        <v>343</v>
      </c>
      <c r="G18" s="18">
        <v>50</v>
      </c>
      <c r="H18" s="13">
        <f t="shared" si="2"/>
        <v>293</v>
      </c>
      <c r="I18" s="19" t="s">
        <v>226</v>
      </c>
      <c r="J18" s="11">
        <v>220</v>
      </c>
      <c r="K18" s="11">
        <v>40</v>
      </c>
      <c r="L18" s="10" t="s">
        <v>16</v>
      </c>
      <c r="M18" s="15">
        <v>83</v>
      </c>
      <c r="N18" s="3" t="s">
        <v>227</v>
      </c>
      <c r="O18" s="3"/>
    </row>
    <row r="19" spans="1:15" x14ac:dyDescent="0.3">
      <c r="A19" s="9">
        <v>45303</v>
      </c>
      <c r="B19" s="10" t="s">
        <v>33</v>
      </c>
      <c r="C19" s="10" t="s">
        <v>14</v>
      </c>
      <c r="D19" s="11">
        <f t="shared" si="0"/>
        <v>148.7603305785124</v>
      </c>
      <c r="E19" s="11">
        <f t="shared" si="1"/>
        <v>14.876033057851238</v>
      </c>
      <c r="F19" s="18">
        <v>180</v>
      </c>
      <c r="G19" s="18"/>
      <c r="H19" s="13">
        <f t="shared" si="2"/>
        <v>180</v>
      </c>
      <c r="I19" s="19" t="s">
        <v>15</v>
      </c>
      <c r="J19" s="11">
        <v>180</v>
      </c>
      <c r="K19" s="11"/>
      <c r="L19" s="10"/>
      <c r="M19" s="15"/>
      <c r="N19" s="3"/>
      <c r="O19" s="3"/>
    </row>
    <row r="20" spans="1:15" x14ac:dyDescent="0.3">
      <c r="A20" s="9">
        <v>45303</v>
      </c>
      <c r="B20" s="10" t="s">
        <v>34</v>
      </c>
      <c r="C20" s="10" t="s">
        <v>14</v>
      </c>
      <c r="D20" s="11">
        <f t="shared" si="0"/>
        <v>247.93388429752068</v>
      </c>
      <c r="E20" s="11">
        <f t="shared" si="1"/>
        <v>24.793388429752067</v>
      </c>
      <c r="F20" s="18">
        <v>300</v>
      </c>
      <c r="G20" s="18">
        <v>50</v>
      </c>
      <c r="H20" s="13">
        <f t="shared" si="2"/>
        <v>250</v>
      </c>
      <c r="I20" s="19" t="s">
        <v>228</v>
      </c>
      <c r="J20" s="11">
        <v>270</v>
      </c>
      <c r="K20" s="11">
        <v>30</v>
      </c>
      <c r="L20" s="10" t="s">
        <v>223</v>
      </c>
      <c r="M20" s="15"/>
      <c r="N20" s="3"/>
      <c r="O20" s="3"/>
    </row>
    <row r="21" spans="1:15" x14ac:dyDescent="0.3">
      <c r="A21" s="9">
        <v>45303</v>
      </c>
      <c r="B21" s="10" t="s">
        <v>35</v>
      </c>
      <c r="C21" s="10" t="s">
        <v>14</v>
      </c>
      <c r="D21" s="11">
        <f t="shared" si="0"/>
        <v>148.7603305785124</v>
      </c>
      <c r="E21" s="11">
        <f t="shared" si="1"/>
        <v>14.876033057851238</v>
      </c>
      <c r="F21" s="18">
        <v>180</v>
      </c>
      <c r="G21" s="21"/>
      <c r="H21" s="13">
        <f t="shared" si="2"/>
        <v>180</v>
      </c>
      <c r="I21" s="19" t="s">
        <v>15</v>
      </c>
      <c r="J21" s="11">
        <v>180</v>
      </c>
      <c r="K21" s="11"/>
      <c r="L21" s="10"/>
      <c r="M21" s="15"/>
      <c r="N21" s="3"/>
      <c r="O21" s="3"/>
    </row>
    <row r="22" spans="1:15" x14ac:dyDescent="0.3">
      <c r="A22" s="9">
        <v>45303</v>
      </c>
      <c r="B22" s="10" t="s">
        <v>36</v>
      </c>
      <c r="C22" s="10" t="s">
        <v>14</v>
      </c>
      <c r="D22" s="11">
        <f t="shared" si="0"/>
        <v>239.6694214876033</v>
      </c>
      <c r="E22" s="11">
        <f t="shared" si="1"/>
        <v>23.966942148760332</v>
      </c>
      <c r="F22" s="18">
        <v>290</v>
      </c>
      <c r="G22" s="11">
        <v>50</v>
      </c>
      <c r="H22" s="13">
        <f t="shared" si="2"/>
        <v>240</v>
      </c>
      <c r="I22" s="19" t="s">
        <v>229</v>
      </c>
      <c r="J22" s="11">
        <v>270</v>
      </c>
      <c r="K22" s="11">
        <v>20</v>
      </c>
      <c r="L22" s="10" t="s">
        <v>223</v>
      </c>
      <c r="M22" s="15"/>
      <c r="N22" s="3"/>
      <c r="O22" s="3"/>
    </row>
    <row r="23" spans="1:15" x14ac:dyDescent="0.3">
      <c r="A23" s="9">
        <v>45303</v>
      </c>
      <c r="B23" s="10" t="s">
        <v>37</v>
      </c>
      <c r="C23" s="10" t="s">
        <v>14</v>
      </c>
      <c r="D23" s="11">
        <f t="shared" si="0"/>
        <v>223.14049586776861</v>
      </c>
      <c r="E23" s="11">
        <f t="shared" si="1"/>
        <v>22.314049586776861</v>
      </c>
      <c r="F23" s="18">
        <v>270</v>
      </c>
      <c r="G23" s="11">
        <v>50</v>
      </c>
      <c r="H23" s="13">
        <f t="shared" si="2"/>
        <v>220</v>
      </c>
      <c r="I23" s="19" t="s">
        <v>230</v>
      </c>
      <c r="J23" s="11">
        <v>270</v>
      </c>
      <c r="K23" s="11"/>
      <c r="L23" s="10"/>
      <c r="M23" s="15"/>
      <c r="N23" s="3"/>
      <c r="O23" s="3"/>
    </row>
    <row r="24" spans="1:15" x14ac:dyDescent="0.3">
      <c r="A24" s="9">
        <v>45303</v>
      </c>
      <c r="B24" s="10" t="s">
        <v>38</v>
      </c>
      <c r="C24" s="10" t="s">
        <v>14</v>
      </c>
      <c r="D24" s="11">
        <f t="shared" si="0"/>
        <v>256.198347107438</v>
      </c>
      <c r="E24" s="11">
        <f t="shared" si="1"/>
        <v>25.619834710743799</v>
      </c>
      <c r="F24" s="18">
        <v>310</v>
      </c>
      <c r="G24" s="11">
        <v>50</v>
      </c>
      <c r="H24" s="13">
        <f t="shared" si="2"/>
        <v>260</v>
      </c>
      <c r="I24" s="19" t="s">
        <v>231</v>
      </c>
      <c r="J24" s="11">
        <v>270</v>
      </c>
      <c r="K24" s="11">
        <v>40</v>
      </c>
      <c r="L24" s="10" t="s">
        <v>16</v>
      </c>
      <c r="M24" s="15"/>
      <c r="N24" s="3"/>
      <c r="O24" s="3"/>
    </row>
    <row r="25" spans="1:15" x14ac:dyDescent="0.3">
      <c r="A25" s="9">
        <v>45303</v>
      </c>
      <c r="B25" s="10" t="s">
        <v>39</v>
      </c>
      <c r="C25" s="10" t="s">
        <v>14</v>
      </c>
      <c r="D25" s="11">
        <f t="shared" si="0"/>
        <v>148.7603305785124</v>
      </c>
      <c r="E25" s="11">
        <f t="shared" si="1"/>
        <v>14.876033057851238</v>
      </c>
      <c r="F25" s="18">
        <v>180</v>
      </c>
      <c r="G25" s="11"/>
      <c r="H25" s="13">
        <f t="shared" si="2"/>
        <v>180</v>
      </c>
      <c r="I25" s="19" t="s">
        <v>15</v>
      </c>
      <c r="J25" s="11">
        <v>180</v>
      </c>
      <c r="K25" s="11"/>
      <c r="L25" s="10"/>
      <c r="M25" s="15"/>
      <c r="N25" s="3"/>
      <c r="O25" s="3"/>
    </row>
    <row r="26" spans="1:15" x14ac:dyDescent="0.3">
      <c r="A26" s="9">
        <v>45303</v>
      </c>
      <c r="B26" s="10" t="s">
        <v>40</v>
      </c>
      <c r="C26" s="10" t="s">
        <v>14</v>
      </c>
      <c r="D26" s="11">
        <f t="shared" si="0"/>
        <v>132.2314049586777</v>
      </c>
      <c r="E26" s="11">
        <f t="shared" si="1"/>
        <v>13.223140495867769</v>
      </c>
      <c r="F26" s="16">
        <v>160</v>
      </c>
      <c r="G26" s="11"/>
      <c r="H26" s="13">
        <f t="shared" si="2"/>
        <v>160</v>
      </c>
      <c r="I26" s="19" t="s">
        <v>15</v>
      </c>
      <c r="J26" s="11">
        <v>160</v>
      </c>
      <c r="K26" s="11"/>
      <c r="L26" s="10"/>
      <c r="M26" s="22"/>
      <c r="N26" s="23"/>
      <c r="O26" s="23"/>
    </row>
    <row r="27" spans="1:15" x14ac:dyDescent="0.3">
      <c r="A27" s="9">
        <v>45303</v>
      </c>
      <c r="B27" s="10" t="s">
        <v>41</v>
      </c>
      <c r="C27" s="10" t="s">
        <v>14</v>
      </c>
      <c r="D27" s="11">
        <f t="shared" si="0"/>
        <v>140.49586776859505</v>
      </c>
      <c r="E27" s="11">
        <f t="shared" si="1"/>
        <v>14.049586776859506</v>
      </c>
      <c r="F27" s="16">
        <v>170</v>
      </c>
      <c r="G27" s="11">
        <v>50</v>
      </c>
      <c r="H27" s="13">
        <f t="shared" si="2"/>
        <v>120</v>
      </c>
      <c r="I27" s="19" t="s">
        <v>232</v>
      </c>
      <c r="J27" s="11">
        <v>170</v>
      </c>
      <c r="K27" s="24"/>
      <c r="L27" s="25"/>
      <c r="M27" s="15"/>
      <c r="N27" s="3"/>
      <c r="O27" s="3"/>
    </row>
    <row r="28" spans="1:15" x14ac:dyDescent="0.3">
      <c r="A28" s="9">
        <v>45303</v>
      </c>
      <c r="B28" s="10" t="s">
        <v>42</v>
      </c>
      <c r="C28" s="10" t="s">
        <v>14</v>
      </c>
      <c r="D28" s="11">
        <f t="shared" si="0"/>
        <v>442.14876033057851</v>
      </c>
      <c r="E28" s="11">
        <f t="shared" si="1"/>
        <v>44.214876033057855</v>
      </c>
      <c r="F28" s="16">
        <v>535</v>
      </c>
      <c r="G28" s="11">
        <v>100</v>
      </c>
      <c r="H28" s="13">
        <f t="shared" si="2"/>
        <v>435</v>
      </c>
      <c r="I28" s="14" t="s">
        <v>233</v>
      </c>
      <c r="J28" s="11">
        <v>270</v>
      </c>
      <c r="K28" s="11">
        <v>40</v>
      </c>
      <c r="L28" s="25" t="s">
        <v>16</v>
      </c>
      <c r="M28" s="15">
        <v>225</v>
      </c>
      <c r="N28" s="3" t="s">
        <v>234</v>
      </c>
      <c r="O28" s="3"/>
    </row>
    <row r="29" spans="1:15" x14ac:dyDescent="0.3">
      <c r="A29" s="9">
        <v>45303</v>
      </c>
      <c r="B29" s="10" t="s">
        <v>43</v>
      </c>
      <c r="C29" s="10" t="s">
        <v>14</v>
      </c>
      <c r="D29" s="11">
        <f t="shared" si="0"/>
        <v>140.49586776859505</v>
      </c>
      <c r="E29" s="11">
        <f t="shared" si="1"/>
        <v>14.049586776859506</v>
      </c>
      <c r="F29" s="16">
        <v>170</v>
      </c>
      <c r="G29" s="11">
        <v>50</v>
      </c>
      <c r="H29" s="13">
        <f t="shared" si="2"/>
        <v>120</v>
      </c>
      <c r="I29" s="10" t="s">
        <v>235</v>
      </c>
      <c r="J29" s="11">
        <v>170</v>
      </c>
      <c r="K29" s="11"/>
      <c r="L29" s="10"/>
      <c r="M29" s="15"/>
      <c r="N29" s="3"/>
      <c r="O29" s="3"/>
    </row>
    <row r="30" spans="1:15" x14ac:dyDescent="0.3">
      <c r="A30" s="9">
        <v>45303</v>
      </c>
      <c r="B30" s="10" t="s">
        <v>44</v>
      </c>
      <c r="C30" s="10" t="s">
        <v>14</v>
      </c>
      <c r="D30" s="11">
        <f t="shared" si="0"/>
        <v>198.34710743801654</v>
      </c>
      <c r="E30" s="11">
        <f t="shared" si="1"/>
        <v>19.834710743801654</v>
      </c>
      <c r="F30" s="16">
        <v>240</v>
      </c>
      <c r="G30" s="11">
        <v>50</v>
      </c>
      <c r="H30" s="13">
        <f t="shared" si="2"/>
        <v>190</v>
      </c>
      <c r="I30" s="19" t="s">
        <v>236</v>
      </c>
      <c r="J30" s="11">
        <v>240</v>
      </c>
      <c r="K30" s="11"/>
      <c r="L30" s="10"/>
      <c r="M30" s="15"/>
      <c r="N30" s="3"/>
      <c r="O30" s="3"/>
    </row>
    <row r="31" spans="1:15" x14ac:dyDescent="0.3">
      <c r="A31" s="9">
        <v>45303</v>
      </c>
      <c r="B31" s="10" t="s">
        <v>45</v>
      </c>
      <c r="C31" s="10" t="s">
        <v>14</v>
      </c>
      <c r="D31" s="11">
        <f t="shared" si="0"/>
        <v>115.70247933884298</v>
      </c>
      <c r="E31" s="11">
        <f t="shared" si="1"/>
        <v>11.570247933884298</v>
      </c>
      <c r="F31" s="16">
        <v>140</v>
      </c>
      <c r="G31" s="11"/>
      <c r="H31" s="13">
        <f t="shared" si="2"/>
        <v>140</v>
      </c>
      <c r="I31" s="19" t="s">
        <v>15</v>
      </c>
      <c r="J31" s="11">
        <v>140</v>
      </c>
      <c r="K31" s="11"/>
      <c r="L31" s="10"/>
      <c r="M31" s="15"/>
      <c r="N31" s="3"/>
      <c r="O31" s="3"/>
    </row>
    <row r="32" spans="1:15" x14ac:dyDescent="0.3">
      <c r="A32" s="9">
        <v>45303</v>
      </c>
      <c r="B32" s="10" t="s">
        <v>46</v>
      </c>
      <c r="C32" s="10" t="s">
        <v>14</v>
      </c>
      <c r="D32" s="11">
        <f t="shared" si="0"/>
        <v>157.02479338842977</v>
      </c>
      <c r="E32" s="11">
        <f t="shared" si="1"/>
        <v>15.702479338842977</v>
      </c>
      <c r="F32" s="16">
        <v>190</v>
      </c>
      <c r="G32" s="11">
        <v>50</v>
      </c>
      <c r="H32" s="13">
        <f t="shared" si="2"/>
        <v>140</v>
      </c>
      <c r="I32" s="14" t="s">
        <v>237</v>
      </c>
      <c r="J32" s="11">
        <v>170</v>
      </c>
      <c r="K32" s="11">
        <v>20</v>
      </c>
      <c r="L32" s="10" t="s">
        <v>223</v>
      </c>
      <c r="M32" s="15"/>
      <c r="N32" s="3"/>
      <c r="O32" s="3"/>
    </row>
    <row r="33" spans="1:15" x14ac:dyDescent="0.3">
      <c r="A33" s="9">
        <v>45304</v>
      </c>
      <c r="B33" s="10" t="s">
        <v>47</v>
      </c>
      <c r="C33" s="10" t="s">
        <v>14</v>
      </c>
      <c r="D33" s="11">
        <f t="shared" si="0"/>
        <v>148.7603305785124</v>
      </c>
      <c r="E33" s="11">
        <f t="shared" si="1"/>
        <v>14.876033057851238</v>
      </c>
      <c r="F33" s="16">
        <v>180</v>
      </c>
      <c r="G33" s="11"/>
      <c r="H33" s="13">
        <f t="shared" si="2"/>
        <v>180</v>
      </c>
      <c r="I33" s="14" t="s">
        <v>15</v>
      </c>
      <c r="J33" s="11">
        <v>180</v>
      </c>
      <c r="K33" s="11"/>
      <c r="L33" s="10"/>
      <c r="M33" s="15"/>
      <c r="N33" s="3"/>
      <c r="O33" s="3"/>
    </row>
    <row r="34" spans="1:15" x14ac:dyDescent="0.3">
      <c r="A34" s="9">
        <v>45304</v>
      </c>
      <c r="B34" s="10" t="s">
        <v>48</v>
      </c>
      <c r="C34" s="10" t="s">
        <v>14</v>
      </c>
      <c r="D34" s="11">
        <f t="shared" si="0"/>
        <v>123.96694214876034</v>
      </c>
      <c r="E34" s="11">
        <f t="shared" si="1"/>
        <v>12.396694214876034</v>
      </c>
      <c r="F34" s="16">
        <v>150</v>
      </c>
      <c r="G34" s="11"/>
      <c r="H34" s="13">
        <f t="shared" si="2"/>
        <v>150</v>
      </c>
      <c r="I34" s="14" t="s">
        <v>15</v>
      </c>
      <c r="J34" s="11">
        <v>150</v>
      </c>
      <c r="K34" s="11"/>
      <c r="L34" s="10"/>
      <c r="M34" s="15"/>
      <c r="N34" s="3"/>
      <c r="O34" s="3"/>
    </row>
    <row r="35" spans="1:15" x14ac:dyDescent="0.3">
      <c r="A35" s="9">
        <v>45304</v>
      </c>
      <c r="B35" s="10" t="s">
        <v>49</v>
      </c>
      <c r="C35" s="10" t="s">
        <v>14</v>
      </c>
      <c r="D35" s="11">
        <f t="shared" si="0"/>
        <v>173.55371900826447</v>
      </c>
      <c r="E35" s="11">
        <f t="shared" si="1"/>
        <v>17.355371900826448</v>
      </c>
      <c r="F35" s="16">
        <v>210</v>
      </c>
      <c r="G35" s="11">
        <v>50</v>
      </c>
      <c r="H35" s="13">
        <f t="shared" si="2"/>
        <v>160</v>
      </c>
      <c r="I35" s="14" t="s">
        <v>238</v>
      </c>
      <c r="J35" s="11">
        <v>170</v>
      </c>
      <c r="K35" s="11">
        <v>40</v>
      </c>
      <c r="L35" s="10" t="s">
        <v>16</v>
      </c>
      <c r="M35" s="15"/>
      <c r="N35" s="3"/>
      <c r="O35" s="3"/>
    </row>
    <row r="36" spans="1:15" x14ac:dyDescent="0.3">
      <c r="A36" s="9">
        <v>45304</v>
      </c>
      <c r="B36" s="10" t="s">
        <v>50</v>
      </c>
      <c r="C36" s="10" t="s">
        <v>14</v>
      </c>
      <c r="D36" s="11">
        <f t="shared" si="0"/>
        <v>157.02479338842977</v>
      </c>
      <c r="E36" s="11">
        <f t="shared" si="1"/>
        <v>15.702479338842977</v>
      </c>
      <c r="F36" s="16">
        <v>190</v>
      </c>
      <c r="G36" s="11">
        <v>50</v>
      </c>
      <c r="H36" s="13">
        <f t="shared" si="2"/>
        <v>140</v>
      </c>
      <c r="I36" s="19" t="s">
        <v>239</v>
      </c>
      <c r="J36" s="11">
        <v>170</v>
      </c>
      <c r="K36" s="11">
        <v>20</v>
      </c>
      <c r="L36" s="10" t="s">
        <v>223</v>
      </c>
      <c r="M36" s="15"/>
      <c r="N36" s="3"/>
      <c r="O36" s="3"/>
    </row>
    <row r="37" spans="1:15" x14ac:dyDescent="0.3">
      <c r="A37" s="9">
        <v>45304</v>
      </c>
      <c r="B37" s="10" t="s">
        <v>51</v>
      </c>
      <c r="C37" s="10" t="s">
        <v>14</v>
      </c>
      <c r="D37" s="11">
        <f t="shared" si="0"/>
        <v>148.7603305785124</v>
      </c>
      <c r="E37" s="11">
        <f t="shared" si="1"/>
        <v>14.876033057851238</v>
      </c>
      <c r="F37" s="16">
        <v>180</v>
      </c>
      <c r="G37" s="11"/>
      <c r="H37" s="13">
        <f t="shared" si="2"/>
        <v>180</v>
      </c>
      <c r="I37" s="19" t="s">
        <v>15</v>
      </c>
      <c r="J37" s="11">
        <v>180</v>
      </c>
      <c r="K37" s="11"/>
      <c r="L37" s="10"/>
      <c r="M37" s="15"/>
      <c r="N37" s="3"/>
      <c r="O37" s="3"/>
    </row>
    <row r="38" spans="1:15" x14ac:dyDescent="0.3">
      <c r="A38" s="26">
        <v>45305</v>
      </c>
      <c r="B38" s="10" t="s">
        <v>52</v>
      </c>
      <c r="C38" s="10" t="s">
        <v>14</v>
      </c>
      <c r="D38" s="11">
        <f t="shared" si="0"/>
        <v>243.801652892562</v>
      </c>
      <c r="E38" s="11">
        <f t="shared" si="1"/>
        <v>24.380165289256201</v>
      </c>
      <c r="F38" s="18">
        <v>295</v>
      </c>
      <c r="G38" s="18"/>
      <c r="H38" s="13">
        <f t="shared" si="2"/>
        <v>295</v>
      </c>
      <c r="I38" s="19" t="s">
        <v>240</v>
      </c>
      <c r="J38" s="11">
        <v>295</v>
      </c>
      <c r="K38" s="27"/>
      <c r="L38" s="10"/>
      <c r="M38" s="15"/>
      <c r="N38" s="3"/>
      <c r="O38" s="3"/>
    </row>
    <row r="39" spans="1:15" x14ac:dyDescent="0.3">
      <c r="A39" s="26">
        <v>45305</v>
      </c>
      <c r="B39" s="10" t="s">
        <v>53</v>
      </c>
      <c r="C39" s="10" t="s">
        <v>14</v>
      </c>
      <c r="D39" s="11">
        <f t="shared" si="0"/>
        <v>165.28925619834712</v>
      </c>
      <c r="E39" s="11">
        <f t="shared" si="1"/>
        <v>16.528925619834713</v>
      </c>
      <c r="F39" s="18">
        <v>200</v>
      </c>
      <c r="G39" s="18"/>
      <c r="H39" s="13">
        <f t="shared" si="2"/>
        <v>200</v>
      </c>
      <c r="I39" s="19" t="s">
        <v>15</v>
      </c>
      <c r="J39" s="11">
        <v>200</v>
      </c>
      <c r="K39" s="11"/>
      <c r="L39" s="10"/>
      <c r="M39" s="15"/>
      <c r="N39" s="3"/>
      <c r="O39" s="3"/>
    </row>
    <row r="40" spans="1:15" x14ac:dyDescent="0.3">
      <c r="A40" s="26">
        <v>45305</v>
      </c>
      <c r="B40" s="10" t="s">
        <v>54</v>
      </c>
      <c r="C40" s="10" t="s">
        <v>14</v>
      </c>
      <c r="D40" s="11">
        <f t="shared" si="0"/>
        <v>173.55371900826447</v>
      </c>
      <c r="E40" s="11">
        <f t="shared" si="1"/>
        <v>17.355371900826448</v>
      </c>
      <c r="F40" s="18">
        <v>210</v>
      </c>
      <c r="G40" s="18">
        <v>50</v>
      </c>
      <c r="H40" s="13">
        <f t="shared" si="2"/>
        <v>160</v>
      </c>
      <c r="I40" s="19" t="s">
        <v>241</v>
      </c>
      <c r="J40" s="11">
        <v>160</v>
      </c>
      <c r="K40" s="11">
        <v>40</v>
      </c>
      <c r="L40" s="10" t="s">
        <v>16</v>
      </c>
      <c r="M40" s="15"/>
      <c r="N40" s="3"/>
      <c r="O40" s="3"/>
    </row>
    <row r="41" spans="1:15" x14ac:dyDescent="0.3">
      <c r="A41" s="26">
        <v>45306</v>
      </c>
      <c r="B41" s="10" t="s">
        <v>55</v>
      </c>
      <c r="C41" s="10" t="s">
        <v>14</v>
      </c>
      <c r="D41" s="11">
        <f t="shared" si="0"/>
        <v>157.02479338842977</v>
      </c>
      <c r="E41" s="11">
        <f t="shared" si="1"/>
        <v>15.702479338842977</v>
      </c>
      <c r="F41" s="18">
        <v>190</v>
      </c>
      <c r="G41" s="18"/>
      <c r="H41" s="13">
        <f t="shared" si="2"/>
        <v>190</v>
      </c>
      <c r="I41" s="19" t="s">
        <v>15</v>
      </c>
      <c r="J41" s="11">
        <v>190</v>
      </c>
      <c r="K41" s="11"/>
      <c r="L41" s="10"/>
      <c r="M41" s="15"/>
      <c r="N41" s="3"/>
      <c r="O41" s="3"/>
    </row>
    <row r="42" spans="1:15" x14ac:dyDescent="0.3">
      <c r="A42" s="26">
        <v>45309</v>
      </c>
      <c r="B42" s="10" t="s">
        <v>56</v>
      </c>
      <c r="C42" s="10" t="s">
        <v>14</v>
      </c>
      <c r="D42" s="11">
        <f t="shared" si="0"/>
        <v>115.70247933884298</v>
      </c>
      <c r="E42" s="11">
        <f t="shared" si="1"/>
        <v>11.570247933884298</v>
      </c>
      <c r="F42" s="18">
        <v>140</v>
      </c>
      <c r="G42" s="18"/>
      <c r="H42" s="13">
        <f t="shared" si="2"/>
        <v>140</v>
      </c>
      <c r="I42" s="19" t="s">
        <v>15</v>
      </c>
      <c r="J42" s="11">
        <v>140</v>
      </c>
      <c r="K42" s="11"/>
      <c r="L42" s="10"/>
      <c r="M42" s="15"/>
      <c r="N42" s="3"/>
      <c r="O42" s="3"/>
    </row>
    <row r="43" spans="1:15" x14ac:dyDescent="0.3">
      <c r="A43" s="26">
        <v>45309</v>
      </c>
      <c r="B43" s="10" t="s">
        <v>57</v>
      </c>
      <c r="C43" s="10" t="s">
        <v>14</v>
      </c>
      <c r="D43" s="11">
        <f t="shared" si="0"/>
        <v>322.31404958677689</v>
      </c>
      <c r="E43" s="11">
        <f t="shared" si="1"/>
        <v>32.231404958677693</v>
      </c>
      <c r="F43" s="18">
        <v>390</v>
      </c>
      <c r="G43" s="18"/>
      <c r="H43" s="13">
        <f t="shared" si="2"/>
        <v>390</v>
      </c>
      <c r="I43" s="19" t="s">
        <v>15</v>
      </c>
      <c r="J43" s="11">
        <v>390</v>
      </c>
      <c r="K43" s="11"/>
      <c r="L43" s="10"/>
      <c r="M43" s="15"/>
      <c r="N43" s="3"/>
      <c r="O43" s="3"/>
    </row>
    <row r="44" spans="1:15" x14ac:dyDescent="0.3">
      <c r="A44" s="26">
        <v>45310</v>
      </c>
      <c r="B44" s="10" t="s">
        <v>58</v>
      </c>
      <c r="C44" s="10" t="s">
        <v>14</v>
      </c>
      <c r="D44" s="11">
        <f t="shared" si="0"/>
        <v>173.55371900826447</v>
      </c>
      <c r="E44" s="11">
        <f t="shared" si="1"/>
        <v>17.355371900826448</v>
      </c>
      <c r="F44" s="18">
        <v>210</v>
      </c>
      <c r="G44" s="18">
        <v>50</v>
      </c>
      <c r="H44" s="13">
        <f t="shared" si="2"/>
        <v>160</v>
      </c>
      <c r="I44" s="19" t="s">
        <v>242</v>
      </c>
      <c r="J44" s="11">
        <v>210</v>
      </c>
      <c r="K44" s="11"/>
      <c r="L44" s="10"/>
      <c r="M44" s="15"/>
      <c r="N44" s="3"/>
      <c r="O44" s="3"/>
    </row>
    <row r="45" spans="1:15" x14ac:dyDescent="0.3">
      <c r="A45" s="26">
        <v>45310</v>
      </c>
      <c r="B45" s="10" t="s">
        <v>59</v>
      </c>
      <c r="C45" s="10" t="s">
        <v>14</v>
      </c>
      <c r="D45" s="11">
        <f t="shared" si="0"/>
        <v>297.52066115702479</v>
      </c>
      <c r="E45" s="11">
        <f t="shared" si="1"/>
        <v>29.752066115702476</v>
      </c>
      <c r="F45" s="18">
        <v>360</v>
      </c>
      <c r="G45" s="18"/>
      <c r="H45" s="13">
        <f t="shared" si="2"/>
        <v>360</v>
      </c>
      <c r="I45" s="19" t="s">
        <v>15</v>
      </c>
      <c r="J45" s="11">
        <v>360</v>
      </c>
      <c r="K45" s="11"/>
      <c r="L45" s="10"/>
      <c r="M45" s="15"/>
      <c r="N45" s="3"/>
      <c r="O45" s="3"/>
    </row>
    <row r="46" spans="1:15" x14ac:dyDescent="0.3">
      <c r="A46" s="26">
        <v>45310</v>
      </c>
      <c r="B46" s="10" t="s">
        <v>60</v>
      </c>
      <c r="C46" s="10" t="s">
        <v>14</v>
      </c>
      <c r="D46" s="11">
        <f t="shared" si="0"/>
        <v>177.68595041322314</v>
      </c>
      <c r="E46" s="11">
        <f t="shared" si="1"/>
        <v>17.768595041322314</v>
      </c>
      <c r="F46" s="18">
        <v>215</v>
      </c>
      <c r="G46" s="18">
        <v>50</v>
      </c>
      <c r="H46" s="13">
        <f t="shared" si="2"/>
        <v>165</v>
      </c>
      <c r="I46" s="19" t="s">
        <v>243</v>
      </c>
      <c r="J46" s="11">
        <v>170</v>
      </c>
      <c r="K46" s="11">
        <v>45</v>
      </c>
      <c r="L46" s="10" t="s">
        <v>16</v>
      </c>
      <c r="M46" s="15"/>
      <c r="N46" s="3"/>
      <c r="O46" s="3"/>
    </row>
    <row r="47" spans="1:15" x14ac:dyDescent="0.3">
      <c r="A47" s="26">
        <v>45310</v>
      </c>
      <c r="B47" s="10" t="s">
        <v>61</v>
      </c>
      <c r="C47" s="10" t="s">
        <v>14</v>
      </c>
      <c r="D47" s="11">
        <f t="shared" si="0"/>
        <v>177.68595041322314</v>
      </c>
      <c r="E47" s="11">
        <f t="shared" si="1"/>
        <v>17.768595041322314</v>
      </c>
      <c r="F47" s="18">
        <v>215</v>
      </c>
      <c r="G47" s="18">
        <v>50</v>
      </c>
      <c r="H47" s="13">
        <f t="shared" si="2"/>
        <v>165</v>
      </c>
      <c r="I47" s="19" t="s">
        <v>244</v>
      </c>
      <c r="J47" s="11">
        <v>170</v>
      </c>
      <c r="K47" s="11">
        <v>45</v>
      </c>
      <c r="L47" s="10" t="s">
        <v>16</v>
      </c>
      <c r="M47" s="15"/>
      <c r="N47" s="3"/>
      <c r="O47" s="3"/>
    </row>
    <row r="48" spans="1:15" x14ac:dyDescent="0.3">
      <c r="A48" s="26">
        <v>45310</v>
      </c>
      <c r="B48" s="10" t="s">
        <v>62</v>
      </c>
      <c r="C48" s="10" t="s">
        <v>14</v>
      </c>
      <c r="D48" s="11">
        <f t="shared" si="0"/>
        <v>173.55371900826447</v>
      </c>
      <c r="E48" s="11">
        <f t="shared" si="1"/>
        <v>17.355371900826448</v>
      </c>
      <c r="F48" s="18">
        <v>210</v>
      </c>
      <c r="G48" s="18">
        <v>50</v>
      </c>
      <c r="H48" s="13">
        <f t="shared" si="2"/>
        <v>160</v>
      </c>
      <c r="I48" s="19" t="s">
        <v>245</v>
      </c>
      <c r="J48" s="11">
        <v>170</v>
      </c>
      <c r="K48" s="11">
        <v>40</v>
      </c>
      <c r="L48" s="10" t="s">
        <v>223</v>
      </c>
      <c r="M48" s="15"/>
      <c r="N48" s="3"/>
      <c r="O48" s="3"/>
    </row>
    <row r="49" spans="1:15" x14ac:dyDescent="0.3">
      <c r="A49" s="26">
        <v>45310</v>
      </c>
      <c r="B49" s="10" t="s">
        <v>63</v>
      </c>
      <c r="C49" s="10" t="s">
        <v>14</v>
      </c>
      <c r="D49" s="11">
        <f t="shared" si="0"/>
        <v>177.68595041322314</v>
      </c>
      <c r="E49" s="11">
        <f t="shared" si="1"/>
        <v>17.768595041322314</v>
      </c>
      <c r="F49" s="18">
        <v>215</v>
      </c>
      <c r="G49" s="18"/>
      <c r="H49" s="13">
        <f t="shared" si="2"/>
        <v>215</v>
      </c>
      <c r="I49" s="19" t="s">
        <v>246</v>
      </c>
      <c r="J49" s="11">
        <v>170</v>
      </c>
      <c r="K49" s="11">
        <v>45</v>
      </c>
      <c r="L49" s="10" t="s">
        <v>247</v>
      </c>
      <c r="M49" s="15"/>
      <c r="N49" s="3"/>
      <c r="O49" s="3"/>
    </row>
    <row r="50" spans="1:15" x14ac:dyDescent="0.3">
      <c r="A50" s="26">
        <v>45311</v>
      </c>
      <c r="B50" s="10" t="s">
        <v>64</v>
      </c>
      <c r="C50" s="10" t="s">
        <v>14</v>
      </c>
      <c r="D50" s="11">
        <f t="shared" si="0"/>
        <v>190.08264462809919</v>
      </c>
      <c r="E50" s="11">
        <f t="shared" si="1"/>
        <v>19.008264462809919</v>
      </c>
      <c r="F50" s="18">
        <v>230</v>
      </c>
      <c r="G50" s="18">
        <v>50</v>
      </c>
      <c r="H50" s="13">
        <f t="shared" si="2"/>
        <v>180</v>
      </c>
      <c r="I50" s="19" t="s">
        <v>248</v>
      </c>
      <c r="J50" s="11">
        <v>170</v>
      </c>
      <c r="K50" s="11">
        <v>60</v>
      </c>
      <c r="L50" s="10" t="s">
        <v>223</v>
      </c>
      <c r="M50" s="15"/>
      <c r="N50" s="3"/>
      <c r="O50" s="3"/>
    </row>
    <row r="51" spans="1:15" x14ac:dyDescent="0.3">
      <c r="A51" s="26">
        <v>45311</v>
      </c>
      <c r="B51" s="10" t="s">
        <v>65</v>
      </c>
      <c r="C51" s="10" t="s">
        <v>14</v>
      </c>
      <c r="D51" s="11">
        <f t="shared" si="0"/>
        <v>115.70247933884298</v>
      </c>
      <c r="E51" s="11">
        <f t="shared" si="1"/>
        <v>11.570247933884298</v>
      </c>
      <c r="F51" s="18">
        <v>140</v>
      </c>
      <c r="G51" s="18"/>
      <c r="H51" s="13">
        <f t="shared" si="2"/>
        <v>140</v>
      </c>
      <c r="I51" s="19" t="s">
        <v>15</v>
      </c>
      <c r="J51" s="11">
        <v>140</v>
      </c>
      <c r="K51" s="11"/>
      <c r="L51" s="10"/>
      <c r="M51" s="15"/>
      <c r="N51" s="3"/>
      <c r="O51" s="3"/>
    </row>
    <row r="52" spans="1:15" x14ac:dyDescent="0.3">
      <c r="A52" s="28">
        <v>45311</v>
      </c>
      <c r="B52" s="10" t="s">
        <v>66</v>
      </c>
      <c r="C52" s="10" t="s">
        <v>14</v>
      </c>
      <c r="D52" s="11">
        <f t="shared" si="0"/>
        <v>173.55371900826447</v>
      </c>
      <c r="E52" s="11">
        <f t="shared" si="1"/>
        <v>17.355371900826448</v>
      </c>
      <c r="F52" s="18">
        <v>210</v>
      </c>
      <c r="G52" s="18">
        <v>50</v>
      </c>
      <c r="H52" s="13">
        <f t="shared" si="2"/>
        <v>160</v>
      </c>
      <c r="I52" s="29" t="s">
        <v>249</v>
      </c>
      <c r="J52" s="30">
        <v>170</v>
      </c>
      <c r="K52" s="30">
        <v>40</v>
      </c>
      <c r="L52" s="1" t="s">
        <v>16</v>
      </c>
      <c r="M52" s="15"/>
      <c r="N52" s="3"/>
      <c r="O52" s="23"/>
    </row>
    <row r="53" spans="1:15" x14ac:dyDescent="0.3">
      <c r="A53" s="26">
        <v>45311</v>
      </c>
      <c r="B53" s="10" t="s">
        <v>67</v>
      </c>
      <c r="C53" s="10" t="s">
        <v>14</v>
      </c>
      <c r="D53" s="11">
        <f t="shared" si="0"/>
        <v>115.70247933884298</v>
      </c>
      <c r="E53" s="11">
        <f t="shared" si="1"/>
        <v>11.570247933884298</v>
      </c>
      <c r="F53" s="18">
        <v>140</v>
      </c>
      <c r="G53" s="18"/>
      <c r="H53" s="13">
        <f t="shared" si="2"/>
        <v>140</v>
      </c>
      <c r="I53" s="19" t="s">
        <v>15</v>
      </c>
      <c r="J53" s="11">
        <v>140</v>
      </c>
      <c r="K53" s="11"/>
      <c r="L53" s="10"/>
      <c r="M53" s="15"/>
      <c r="N53" s="3"/>
      <c r="O53" s="3"/>
    </row>
    <row r="54" spans="1:15" x14ac:dyDescent="0.3">
      <c r="A54" s="26">
        <v>45311</v>
      </c>
      <c r="B54" s="10" t="s">
        <v>68</v>
      </c>
      <c r="C54" s="10" t="s">
        <v>14</v>
      </c>
      <c r="D54" s="11">
        <f t="shared" si="0"/>
        <v>140.49586776859505</v>
      </c>
      <c r="E54" s="11">
        <f t="shared" si="1"/>
        <v>14.049586776859506</v>
      </c>
      <c r="F54" s="18">
        <v>170</v>
      </c>
      <c r="G54" s="18">
        <v>50</v>
      </c>
      <c r="H54" s="13">
        <f t="shared" si="2"/>
        <v>120</v>
      </c>
      <c r="I54" s="19" t="s">
        <v>250</v>
      </c>
      <c r="J54" s="11">
        <v>170</v>
      </c>
      <c r="K54" s="11"/>
      <c r="L54" s="10"/>
      <c r="M54" s="15"/>
      <c r="N54" s="3"/>
      <c r="O54" s="3"/>
    </row>
    <row r="55" spans="1:15" x14ac:dyDescent="0.3">
      <c r="A55" s="26">
        <v>45311</v>
      </c>
      <c r="B55" s="10" t="s">
        <v>69</v>
      </c>
      <c r="C55" s="10" t="s">
        <v>14</v>
      </c>
      <c r="D55" s="11">
        <f t="shared" si="0"/>
        <v>177.68595041322314</v>
      </c>
      <c r="E55" s="11">
        <f t="shared" si="1"/>
        <v>17.768595041322314</v>
      </c>
      <c r="F55" s="18">
        <v>215</v>
      </c>
      <c r="G55" s="18">
        <v>50</v>
      </c>
      <c r="H55" s="13">
        <f t="shared" si="2"/>
        <v>165</v>
      </c>
      <c r="I55" s="19" t="s">
        <v>251</v>
      </c>
      <c r="J55" s="11">
        <v>170</v>
      </c>
      <c r="K55" s="11">
        <v>45</v>
      </c>
      <c r="L55" s="10" t="s">
        <v>16</v>
      </c>
      <c r="M55" s="15"/>
      <c r="N55" s="3"/>
      <c r="O55" s="3"/>
    </row>
    <row r="56" spans="1:15" x14ac:dyDescent="0.3">
      <c r="A56" s="26">
        <v>45311</v>
      </c>
      <c r="B56" s="10" t="s">
        <v>70</v>
      </c>
      <c r="C56" s="10" t="s">
        <v>14</v>
      </c>
      <c r="D56" s="11">
        <f t="shared" si="0"/>
        <v>177.68595041322314</v>
      </c>
      <c r="E56" s="11">
        <f t="shared" si="1"/>
        <v>17.768595041322314</v>
      </c>
      <c r="F56" s="18">
        <v>215</v>
      </c>
      <c r="G56" s="18">
        <v>50</v>
      </c>
      <c r="H56" s="13">
        <f t="shared" si="2"/>
        <v>165</v>
      </c>
      <c r="I56" s="19" t="s">
        <v>252</v>
      </c>
      <c r="J56" s="11">
        <v>170</v>
      </c>
      <c r="K56" s="11">
        <v>45</v>
      </c>
      <c r="L56" s="10" t="s">
        <v>16</v>
      </c>
      <c r="M56" s="15"/>
      <c r="N56" s="3"/>
      <c r="O56" s="3"/>
    </row>
    <row r="57" spans="1:15" x14ac:dyDescent="0.3">
      <c r="A57" s="26">
        <v>45311</v>
      </c>
      <c r="B57" s="10" t="s">
        <v>71</v>
      </c>
      <c r="C57" s="10" t="s">
        <v>14</v>
      </c>
      <c r="D57" s="11">
        <f t="shared" si="0"/>
        <v>140.49586776859505</v>
      </c>
      <c r="E57" s="11">
        <f t="shared" si="1"/>
        <v>14.049586776859506</v>
      </c>
      <c r="F57" s="18">
        <v>170</v>
      </c>
      <c r="G57" s="18">
        <v>50</v>
      </c>
      <c r="H57" s="13">
        <f t="shared" si="2"/>
        <v>120</v>
      </c>
      <c r="I57" s="19" t="s">
        <v>253</v>
      </c>
      <c r="J57" s="11">
        <v>170</v>
      </c>
      <c r="K57" s="11"/>
      <c r="L57" s="10"/>
      <c r="M57" s="15"/>
      <c r="N57" s="3"/>
      <c r="O57" s="3"/>
    </row>
    <row r="58" spans="1:15" x14ac:dyDescent="0.3">
      <c r="A58" s="26">
        <v>45311</v>
      </c>
      <c r="B58" s="10" t="s">
        <v>72</v>
      </c>
      <c r="C58" s="10" t="s">
        <v>14</v>
      </c>
      <c r="D58" s="11">
        <f t="shared" si="0"/>
        <v>140.49586776859505</v>
      </c>
      <c r="E58" s="11">
        <f t="shared" si="1"/>
        <v>14.049586776859506</v>
      </c>
      <c r="F58" s="18">
        <v>170</v>
      </c>
      <c r="G58" s="18">
        <v>50</v>
      </c>
      <c r="H58" s="13">
        <f t="shared" si="2"/>
        <v>120</v>
      </c>
      <c r="I58" s="19" t="s">
        <v>254</v>
      </c>
      <c r="J58" s="11">
        <v>170</v>
      </c>
      <c r="K58" s="11"/>
      <c r="L58" s="10"/>
      <c r="M58" s="15"/>
      <c r="N58" s="3"/>
      <c r="O58" s="3"/>
    </row>
    <row r="59" spans="1:15" x14ac:dyDescent="0.3">
      <c r="A59" s="26">
        <v>45311</v>
      </c>
      <c r="B59" s="10" t="s">
        <v>73</v>
      </c>
      <c r="C59" s="10" t="s">
        <v>14</v>
      </c>
      <c r="D59" s="11">
        <f t="shared" si="0"/>
        <v>123.96694214876034</v>
      </c>
      <c r="E59" s="11">
        <f t="shared" si="1"/>
        <v>12.396694214876034</v>
      </c>
      <c r="F59" s="18">
        <v>150</v>
      </c>
      <c r="G59" s="18"/>
      <c r="H59" s="13">
        <f t="shared" si="2"/>
        <v>150</v>
      </c>
      <c r="I59" s="19" t="s">
        <v>15</v>
      </c>
      <c r="J59" s="11">
        <v>150</v>
      </c>
      <c r="K59" s="11"/>
      <c r="L59" s="10"/>
      <c r="M59" s="15"/>
      <c r="N59" s="3"/>
      <c r="O59" s="3"/>
    </row>
    <row r="60" spans="1:15" x14ac:dyDescent="0.3">
      <c r="A60" s="26">
        <v>45311</v>
      </c>
      <c r="B60" s="10" t="s">
        <v>74</v>
      </c>
      <c r="C60" s="10" t="s">
        <v>14</v>
      </c>
      <c r="D60" s="11">
        <f t="shared" si="0"/>
        <v>181.81818181818181</v>
      </c>
      <c r="E60" s="11">
        <f t="shared" si="1"/>
        <v>18.18181818181818</v>
      </c>
      <c r="F60" s="18">
        <v>220</v>
      </c>
      <c r="G60" s="18">
        <v>50</v>
      </c>
      <c r="H60" s="13">
        <f t="shared" si="2"/>
        <v>170</v>
      </c>
      <c r="I60" s="19" t="s">
        <v>255</v>
      </c>
      <c r="J60" s="11">
        <v>220</v>
      </c>
      <c r="K60" s="11"/>
      <c r="L60" s="10"/>
      <c r="M60" s="15"/>
      <c r="N60" s="3"/>
      <c r="O60" s="3"/>
    </row>
    <row r="61" spans="1:15" x14ac:dyDescent="0.3">
      <c r="A61" s="26">
        <v>45311</v>
      </c>
      <c r="B61" s="10" t="s">
        <v>75</v>
      </c>
      <c r="C61" s="10" t="s">
        <v>14</v>
      </c>
      <c r="D61" s="11">
        <f t="shared" si="0"/>
        <v>214.87603305785126</v>
      </c>
      <c r="E61" s="11">
        <f t="shared" si="1"/>
        <v>21.487603305785125</v>
      </c>
      <c r="F61" s="18">
        <v>260</v>
      </c>
      <c r="G61" s="18">
        <v>50</v>
      </c>
      <c r="H61" s="13">
        <f t="shared" si="2"/>
        <v>210</v>
      </c>
      <c r="I61" s="19" t="s">
        <v>256</v>
      </c>
      <c r="J61" s="11">
        <v>220</v>
      </c>
      <c r="K61" s="11">
        <v>40</v>
      </c>
      <c r="L61" s="10" t="s">
        <v>223</v>
      </c>
      <c r="M61" s="15"/>
      <c r="N61" s="3"/>
      <c r="O61" s="3"/>
    </row>
    <row r="62" spans="1:15" x14ac:dyDescent="0.3">
      <c r="A62" s="26">
        <v>45311</v>
      </c>
      <c r="B62" s="10" t="s">
        <v>76</v>
      </c>
      <c r="C62" s="10" t="s">
        <v>14</v>
      </c>
      <c r="D62" s="11">
        <f t="shared" si="0"/>
        <v>181.81818181818181</v>
      </c>
      <c r="E62" s="11">
        <f t="shared" si="1"/>
        <v>18.18181818181818</v>
      </c>
      <c r="F62" s="18">
        <v>220</v>
      </c>
      <c r="G62" s="18">
        <v>50</v>
      </c>
      <c r="H62" s="13">
        <f t="shared" si="2"/>
        <v>170</v>
      </c>
      <c r="I62" s="19" t="s">
        <v>257</v>
      </c>
      <c r="J62" s="11">
        <v>220</v>
      </c>
      <c r="K62" s="11"/>
      <c r="L62" s="10"/>
      <c r="M62" s="15"/>
      <c r="N62" s="3"/>
      <c r="O62" s="3"/>
    </row>
    <row r="63" spans="1:15" x14ac:dyDescent="0.3">
      <c r="A63" s="31">
        <v>45311</v>
      </c>
      <c r="B63" s="10" t="s">
        <v>77</v>
      </c>
      <c r="C63" s="10" t="s">
        <v>14</v>
      </c>
      <c r="D63" s="11">
        <f t="shared" si="0"/>
        <v>165.28925619834712</v>
      </c>
      <c r="E63" s="11">
        <f t="shared" si="1"/>
        <v>16.528925619834713</v>
      </c>
      <c r="F63" s="18">
        <v>200</v>
      </c>
      <c r="G63" s="18"/>
      <c r="H63" s="13">
        <f t="shared" si="2"/>
        <v>200</v>
      </c>
      <c r="I63" s="19" t="s">
        <v>15</v>
      </c>
      <c r="J63" s="11">
        <v>200</v>
      </c>
      <c r="K63" s="11"/>
      <c r="L63" s="10"/>
      <c r="M63" s="15"/>
      <c r="N63" s="3"/>
      <c r="O63" s="3"/>
    </row>
    <row r="64" spans="1:15" x14ac:dyDescent="0.3">
      <c r="A64" s="31">
        <v>45311</v>
      </c>
      <c r="B64" s="10" t="s">
        <v>78</v>
      </c>
      <c r="C64" s="10" t="s">
        <v>14</v>
      </c>
      <c r="D64" s="11">
        <f t="shared" si="0"/>
        <v>239.6694214876033</v>
      </c>
      <c r="E64" s="11">
        <f t="shared" si="1"/>
        <v>23.966942148760332</v>
      </c>
      <c r="F64" s="18">
        <v>290</v>
      </c>
      <c r="G64" s="18"/>
      <c r="H64" s="13">
        <f t="shared" si="2"/>
        <v>290</v>
      </c>
      <c r="I64" s="19" t="s">
        <v>258</v>
      </c>
      <c r="J64" s="11">
        <v>270</v>
      </c>
      <c r="K64" s="11">
        <v>20</v>
      </c>
      <c r="L64" s="10" t="s">
        <v>223</v>
      </c>
      <c r="M64" s="15"/>
      <c r="N64" s="3"/>
      <c r="O64" s="3"/>
    </row>
    <row r="65" spans="1:15" x14ac:dyDescent="0.3">
      <c r="A65" s="31">
        <v>45311</v>
      </c>
      <c r="B65" s="10" t="s">
        <v>79</v>
      </c>
      <c r="C65" s="10" t="s">
        <v>14</v>
      </c>
      <c r="D65" s="11">
        <f t="shared" si="0"/>
        <v>173.55371900826447</v>
      </c>
      <c r="E65" s="11">
        <f t="shared" si="1"/>
        <v>17.355371900826448</v>
      </c>
      <c r="F65" s="18">
        <v>210</v>
      </c>
      <c r="G65" s="18"/>
      <c r="H65" s="13">
        <f t="shared" si="2"/>
        <v>210</v>
      </c>
      <c r="I65" s="19" t="s">
        <v>15</v>
      </c>
      <c r="J65" s="11">
        <v>210</v>
      </c>
      <c r="K65" s="11"/>
      <c r="L65" s="10"/>
      <c r="M65" s="15"/>
      <c r="N65" s="3"/>
      <c r="O65" s="3"/>
    </row>
    <row r="66" spans="1:15" x14ac:dyDescent="0.3">
      <c r="A66" s="31">
        <v>45311</v>
      </c>
      <c r="B66" s="10" t="s">
        <v>80</v>
      </c>
      <c r="C66" s="10" t="s">
        <v>14</v>
      </c>
      <c r="D66" s="11">
        <f t="shared" si="0"/>
        <v>256.198347107438</v>
      </c>
      <c r="E66" s="11">
        <f t="shared" si="1"/>
        <v>25.619834710743799</v>
      </c>
      <c r="F66" s="18">
        <v>310</v>
      </c>
      <c r="G66" s="18"/>
      <c r="H66" s="13">
        <f t="shared" si="2"/>
        <v>310</v>
      </c>
      <c r="I66" s="19" t="s">
        <v>259</v>
      </c>
      <c r="J66" s="11">
        <v>270</v>
      </c>
      <c r="K66" s="11">
        <v>40</v>
      </c>
      <c r="L66" s="10" t="s">
        <v>16</v>
      </c>
      <c r="M66" s="15"/>
      <c r="N66" s="3"/>
      <c r="O66" s="3"/>
    </row>
    <row r="67" spans="1:15" x14ac:dyDescent="0.3">
      <c r="A67" s="26">
        <v>45311</v>
      </c>
      <c r="B67" s="10" t="s">
        <v>81</v>
      </c>
      <c r="C67" s="10" t="s">
        <v>14</v>
      </c>
      <c r="D67" s="11">
        <f t="shared" ref="D67:D108" si="3">F67/1.21</f>
        <v>181.81818181818181</v>
      </c>
      <c r="E67" s="11">
        <f t="shared" si="1"/>
        <v>18.18181818181818</v>
      </c>
      <c r="F67" s="18">
        <v>220</v>
      </c>
      <c r="G67" s="18"/>
      <c r="H67" s="13">
        <f t="shared" si="2"/>
        <v>220</v>
      </c>
      <c r="I67" s="19" t="s">
        <v>260</v>
      </c>
      <c r="J67" s="11">
        <v>220</v>
      </c>
      <c r="K67" s="11"/>
      <c r="L67" s="10"/>
      <c r="M67" s="15"/>
      <c r="N67" s="3"/>
      <c r="O67" s="3"/>
    </row>
    <row r="68" spans="1:15" x14ac:dyDescent="0.3">
      <c r="A68" s="26">
        <v>45311</v>
      </c>
      <c r="B68" s="10" t="s">
        <v>82</v>
      </c>
      <c r="C68" s="10" t="s">
        <v>14</v>
      </c>
      <c r="D68" s="11">
        <f t="shared" si="3"/>
        <v>239.6694214876033</v>
      </c>
      <c r="E68" s="11">
        <f t="shared" ref="E68:E108" si="4">D68*10/100</f>
        <v>23.966942148760332</v>
      </c>
      <c r="F68" s="18">
        <v>290</v>
      </c>
      <c r="G68" s="18">
        <v>290</v>
      </c>
      <c r="H68" s="13">
        <f t="shared" si="2"/>
        <v>0</v>
      </c>
      <c r="I68" s="19" t="s">
        <v>261</v>
      </c>
      <c r="J68" s="11">
        <v>270</v>
      </c>
      <c r="K68" s="11">
        <v>20</v>
      </c>
      <c r="L68" s="10" t="s">
        <v>223</v>
      </c>
      <c r="M68" s="15"/>
      <c r="N68" s="3"/>
      <c r="O68" s="3"/>
    </row>
    <row r="69" spans="1:15" x14ac:dyDescent="0.3">
      <c r="A69" s="26">
        <v>45311</v>
      </c>
      <c r="B69" s="10" t="s">
        <v>83</v>
      </c>
      <c r="C69" s="10" t="s">
        <v>14</v>
      </c>
      <c r="D69" s="11">
        <f t="shared" si="3"/>
        <v>165.28925619834712</v>
      </c>
      <c r="E69" s="11">
        <f t="shared" si="4"/>
        <v>16.528925619834713</v>
      </c>
      <c r="F69" s="18">
        <v>200</v>
      </c>
      <c r="G69" s="18">
        <v>50</v>
      </c>
      <c r="H69" s="13">
        <f t="shared" ref="H69:H108" si="5">F69-G69</f>
        <v>150</v>
      </c>
      <c r="I69" s="19" t="s">
        <v>262</v>
      </c>
      <c r="J69" s="11">
        <v>200</v>
      </c>
      <c r="K69" s="11"/>
      <c r="L69" s="10"/>
      <c r="M69" s="15"/>
      <c r="N69" s="3"/>
      <c r="O69" s="3"/>
    </row>
    <row r="70" spans="1:15" x14ac:dyDescent="0.3">
      <c r="A70" s="26">
        <v>45311</v>
      </c>
      <c r="B70" s="10" t="s">
        <v>84</v>
      </c>
      <c r="C70" s="10" t="s">
        <v>14</v>
      </c>
      <c r="D70" s="11">
        <f t="shared" si="3"/>
        <v>165.28925619834712</v>
      </c>
      <c r="E70" s="11">
        <f t="shared" si="4"/>
        <v>16.528925619834713</v>
      </c>
      <c r="F70" s="18">
        <v>200</v>
      </c>
      <c r="G70" s="18"/>
      <c r="H70" s="13">
        <f t="shared" si="5"/>
        <v>200</v>
      </c>
      <c r="I70" s="19" t="s">
        <v>15</v>
      </c>
      <c r="J70" s="11">
        <v>180</v>
      </c>
      <c r="K70" s="11"/>
      <c r="L70" s="10"/>
      <c r="M70" s="15"/>
      <c r="N70" s="3"/>
      <c r="O70" s="3"/>
    </row>
    <row r="71" spans="1:15" x14ac:dyDescent="0.3">
      <c r="A71" s="26">
        <v>45311</v>
      </c>
      <c r="B71" s="10" t="s">
        <v>85</v>
      </c>
      <c r="C71" s="10" t="s">
        <v>14</v>
      </c>
      <c r="D71" s="11">
        <f t="shared" si="3"/>
        <v>235.53719008264463</v>
      </c>
      <c r="E71" s="11">
        <f t="shared" si="4"/>
        <v>23.553719008264462</v>
      </c>
      <c r="F71" s="18">
        <v>285</v>
      </c>
      <c r="G71" s="18">
        <v>150</v>
      </c>
      <c r="H71" s="13">
        <f t="shared" si="5"/>
        <v>135</v>
      </c>
      <c r="I71" s="19" t="s">
        <v>263</v>
      </c>
      <c r="J71" s="11">
        <v>220</v>
      </c>
      <c r="K71" s="11">
        <v>45</v>
      </c>
      <c r="L71" s="10" t="s">
        <v>16</v>
      </c>
      <c r="M71" s="15">
        <v>20</v>
      </c>
      <c r="N71" s="3" t="s">
        <v>223</v>
      </c>
      <c r="O71" s="3"/>
    </row>
    <row r="72" spans="1:15" x14ac:dyDescent="0.3">
      <c r="A72" s="26">
        <v>45311</v>
      </c>
      <c r="B72" s="10" t="s">
        <v>86</v>
      </c>
      <c r="C72" s="10" t="s">
        <v>14</v>
      </c>
      <c r="D72" s="11">
        <f t="shared" si="3"/>
        <v>181.81818181818181</v>
      </c>
      <c r="E72" s="11">
        <f t="shared" si="4"/>
        <v>18.18181818181818</v>
      </c>
      <c r="F72" s="18">
        <v>220</v>
      </c>
      <c r="G72" s="18">
        <v>50</v>
      </c>
      <c r="H72" s="13">
        <f t="shared" si="5"/>
        <v>170</v>
      </c>
      <c r="I72" s="19" t="s">
        <v>264</v>
      </c>
      <c r="J72" s="11">
        <v>220</v>
      </c>
      <c r="K72" s="11"/>
      <c r="L72" s="10"/>
      <c r="M72" s="15"/>
      <c r="N72" s="3"/>
      <c r="O72" s="3"/>
    </row>
    <row r="73" spans="1:15" x14ac:dyDescent="0.3">
      <c r="A73" s="26">
        <v>45312</v>
      </c>
      <c r="B73" s="10" t="s">
        <v>87</v>
      </c>
      <c r="C73" s="10" t="s">
        <v>14</v>
      </c>
      <c r="D73" s="11">
        <f t="shared" si="3"/>
        <v>148.7603305785124</v>
      </c>
      <c r="E73" s="11">
        <f t="shared" si="4"/>
        <v>14.876033057851238</v>
      </c>
      <c r="F73" s="18">
        <v>180</v>
      </c>
      <c r="G73" s="18"/>
      <c r="H73" s="13">
        <f t="shared" si="5"/>
        <v>180</v>
      </c>
      <c r="I73" s="19" t="s">
        <v>15</v>
      </c>
      <c r="J73" s="11">
        <v>180</v>
      </c>
      <c r="K73" s="11"/>
      <c r="L73" s="10"/>
      <c r="M73" s="15"/>
      <c r="N73" s="3"/>
      <c r="O73" s="3"/>
    </row>
    <row r="74" spans="1:15" x14ac:dyDescent="0.3">
      <c r="A74" s="26">
        <v>45312</v>
      </c>
      <c r="B74" s="10" t="s">
        <v>88</v>
      </c>
      <c r="C74" s="10" t="s">
        <v>14</v>
      </c>
      <c r="D74" s="11">
        <f t="shared" si="3"/>
        <v>132.2314049586777</v>
      </c>
      <c r="E74" s="11">
        <f t="shared" si="4"/>
        <v>13.223140495867769</v>
      </c>
      <c r="F74" s="18">
        <v>160</v>
      </c>
      <c r="G74" s="18"/>
      <c r="H74" s="13">
        <f t="shared" si="5"/>
        <v>160</v>
      </c>
      <c r="I74" s="19" t="s">
        <v>15</v>
      </c>
      <c r="J74" s="11">
        <v>160</v>
      </c>
      <c r="K74" s="11"/>
      <c r="L74" s="10"/>
      <c r="M74" s="15"/>
      <c r="N74" s="3"/>
      <c r="O74" s="3"/>
    </row>
    <row r="75" spans="1:15" x14ac:dyDescent="0.3">
      <c r="A75" s="26">
        <v>45312</v>
      </c>
      <c r="B75" s="10" t="s">
        <v>89</v>
      </c>
      <c r="C75" s="10" t="s">
        <v>14</v>
      </c>
      <c r="D75" s="11">
        <f t="shared" si="3"/>
        <v>264.4628099173554</v>
      </c>
      <c r="E75" s="11">
        <f t="shared" si="4"/>
        <v>26.446280991735538</v>
      </c>
      <c r="F75" s="18">
        <v>320</v>
      </c>
      <c r="G75" s="21">
        <v>50</v>
      </c>
      <c r="H75" s="13">
        <f t="shared" si="5"/>
        <v>270</v>
      </c>
      <c r="I75" s="19" t="s">
        <v>265</v>
      </c>
      <c r="J75" s="11">
        <v>320</v>
      </c>
      <c r="K75" s="11"/>
      <c r="L75" s="10"/>
      <c r="M75" s="15"/>
      <c r="N75" s="3"/>
      <c r="O75" s="3"/>
    </row>
    <row r="76" spans="1:15" x14ac:dyDescent="0.3">
      <c r="A76" s="26">
        <v>45312</v>
      </c>
      <c r="B76" s="10" t="s">
        <v>90</v>
      </c>
      <c r="C76" s="10" t="s">
        <v>14</v>
      </c>
      <c r="D76" s="11">
        <f t="shared" si="3"/>
        <v>140.49586776859505</v>
      </c>
      <c r="E76" s="11">
        <f t="shared" si="4"/>
        <v>14.049586776859506</v>
      </c>
      <c r="F76" s="18">
        <v>170</v>
      </c>
      <c r="G76" s="18">
        <v>50</v>
      </c>
      <c r="H76" s="13">
        <f t="shared" si="5"/>
        <v>120</v>
      </c>
      <c r="I76" s="19" t="s">
        <v>266</v>
      </c>
      <c r="J76" s="11">
        <v>170</v>
      </c>
      <c r="K76" s="11"/>
      <c r="L76" s="10"/>
      <c r="M76" s="15"/>
      <c r="N76" s="3"/>
      <c r="O76" s="3"/>
    </row>
    <row r="77" spans="1:15" x14ac:dyDescent="0.3">
      <c r="A77" s="26">
        <v>45317</v>
      </c>
      <c r="B77" s="10" t="s">
        <v>91</v>
      </c>
      <c r="C77" s="10" t="s">
        <v>14</v>
      </c>
      <c r="D77" s="11">
        <f t="shared" si="3"/>
        <v>177.68595041322314</v>
      </c>
      <c r="E77" s="11">
        <f t="shared" si="4"/>
        <v>17.768595041322314</v>
      </c>
      <c r="F77" s="18">
        <v>215</v>
      </c>
      <c r="G77" s="18">
        <v>50</v>
      </c>
      <c r="H77" s="13">
        <f t="shared" si="5"/>
        <v>165</v>
      </c>
      <c r="I77" s="19" t="s">
        <v>268</v>
      </c>
      <c r="J77" s="11">
        <v>170</v>
      </c>
      <c r="K77" s="32">
        <v>45</v>
      </c>
      <c r="L77" s="10" t="s">
        <v>16</v>
      </c>
      <c r="M77" s="15"/>
      <c r="N77" s="3"/>
      <c r="O77" s="3"/>
    </row>
    <row r="78" spans="1:15" x14ac:dyDescent="0.3">
      <c r="A78" s="26">
        <v>45317</v>
      </c>
      <c r="B78" s="10" t="s">
        <v>92</v>
      </c>
      <c r="C78" s="10" t="s">
        <v>14</v>
      </c>
      <c r="D78" s="11">
        <f t="shared" si="3"/>
        <v>115.70247933884298</v>
      </c>
      <c r="E78" s="11">
        <f t="shared" si="4"/>
        <v>11.570247933884298</v>
      </c>
      <c r="F78" s="33">
        <v>140</v>
      </c>
      <c r="G78" s="33"/>
      <c r="H78" s="13">
        <f t="shared" si="5"/>
        <v>140</v>
      </c>
      <c r="I78" s="19" t="s">
        <v>15</v>
      </c>
      <c r="J78" s="34">
        <v>140</v>
      </c>
      <c r="K78" s="35"/>
      <c r="L78" s="36"/>
      <c r="M78" s="37"/>
      <c r="N78" s="38"/>
      <c r="O78" s="38"/>
    </row>
    <row r="79" spans="1:15" x14ac:dyDescent="0.3">
      <c r="A79" s="26">
        <v>45317</v>
      </c>
      <c r="B79" s="10" t="s">
        <v>93</v>
      </c>
      <c r="C79" s="10" t="s">
        <v>14</v>
      </c>
      <c r="D79" s="11">
        <f t="shared" si="3"/>
        <v>181.81818181818181</v>
      </c>
      <c r="E79" s="11">
        <f t="shared" si="4"/>
        <v>18.18181818181818</v>
      </c>
      <c r="F79" s="39">
        <v>220</v>
      </c>
      <c r="G79" s="18"/>
      <c r="H79" s="13">
        <f t="shared" si="5"/>
        <v>220</v>
      </c>
      <c r="I79" s="19"/>
      <c r="J79" s="6">
        <v>220</v>
      </c>
      <c r="K79" s="40"/>
      <c r="L79" s="1"/>
      <c r="M79" s="6"/>
      <c r="N79" s="6"/>
      <c r="O79" s="6"/>
    </row>
    <row r="80" spans="1:15" x14ac:dyDescent="0.3">
      <c r="A80" s="26">
        <v>45317</v>
      </c>
      <c r="B80" s="10" t="s">
        <v>94</v>
      </c>
      <c r="C80" s="10" t="s">
        <v>14</v>
      </c>
      <c r="D80" s="11">
        <f t="shared" si="3"/>
        <v>140.49586776859505</v>
      </c>
      <c r="E80" s="11">
        <f t="shared" si="4"/>
        <v>14.049586776859506</v>
      </c>
      <c r="F80" s="39">
        <v>170</v>
      </c>
      <c r="G80" s="18">
        <v>50</v>
      </c>
      <c r="H80" s="13">
        <f t="shared" si="5"/>
        <v>120</v>
      </c>
      <c r="I80" s="19" t="s">
        <v>269</v>
      </c>
      <c r="J80" s="6">
        <v>170</v>
      </c>
      <c r="K80" s="40"/>
      <c r="L80" s="1"/>
      <c r="M80" s="6"/>
      <c r="N80" s="6"/>
      <c r="O80" s="6"/>
    </row>
    <row r="81" spans="1:15" x14ac:dyDescent="0.3">
      <c r="A81" s="26">
        <v>45318</v>
      </c>
      <c r="B81" s="10" t="s">
        <v>95</v>
      </c>
      <c r="C81" s="10" t="s">
        <v>14</v>
      </c>
      <c r="D81" s="11">
        <f t="shared" si="3"/>
        <v>206.61157024793388</v>
      </c>
      <c r="E81" s="11">
        <f t="shared" si="4"/>
        <v>20.661157024793386</v>
      </c>
      <c r="F81" s="39">
        <v>250</v>
      </c>
      <c r="G81" s="18">
        <v>50</v>
      </c>
      <c r="H81" s="13">
        <f t="shared" si="5"/>
        <v>200</v>
      </c>
      <c r="I81" s="19" t="s">
        <v>270</v>
      </c>
      <c r="J81" s="6">
        <v>250</v>
      </c>
      <c r="K81" s="40"/>
      <c r="L81" s="1"/>
      <c r="M81" s="6"/>
      <c r="N81" s="6"/>
      <c r="O81" s="6"/>
    </row>
    <row r="82" spans="1:15" x14ac:dyDescent="0.3">
      <c r="A82" s="26">
        <v>45318</v>
      </c>
      <c r="B82" s="10" t="s">
        <v>96</v>
      </c>
      <c r="C82" s="10" t="s">
        <v>14</v>
      </c>
      <c r="D82" s="11">
        <f t="shared" si="3"/>
        <v>157.02479338842977</v>
      </c>
      <c r="E82" s="11">
        <f t="shared" si="4"/>
        <v>15.702479338842977</v>
      </c>
      <c r="F82" s="39">
        <v>190</v>
      </c>
      <c r="G82" s="18"/>
      <c r="H82" s="13">
        <f t="shared" si="5"/>
        <v>190</v>
      </c>
      <c r="I82" s="19" t="s">
        <v>15</v>
      </c>
      <c r="J82" s="6">
        <v>190</v>
      </c>
      <c r="K82" s="40"/>
      <c r="L82" s="1"/>
      <c r="M82" s="6"/>
      <c r="N82" s="6"/>
      <c r="O82" s="6"/>
    </row>
    <row r="83" spans="1:15" x14ac:dyDescent="0.3">
      <c r="A83" s="26">
        <v>45318</v>
      </c>
      <c r="B83" s="10" t="s">
        <v>97</v>
      </c>
      <c r="C83" s="10" t="s">
        <v>14</v>
      </c>
      <c r="D83" s="11">
        <f t="shared" si="3"/>
        <v>148.7603305785124</v>
      </c>
      <c r="E83" s="11">
        <f t="shared" si="4"/>
        <v>14.876033057851238</v>
      </c>
      <c r="F83" s="39">
        <v>180</v>
      </c>
      <c r="G83" s="21"/>
      <c r="H83" s="13">
        <f t="shared" si="5"/>
        <v>180</v>
      </c>
      <c r="I83" s="19" t="s">
        <v>15</v>
      </c>
      <c r="J83" s="6">
        <v>180</v>
      </c>
      <c r="K83" s="40"/>
      <c r="L83" s="1"/>
      <c r="M83" s="6"/>
      <c r="N83" s="6"/>
      <c r="O83" s="6"/>
    </row>
    <row r="84" spans="1:15" x14ac:dyDescent="0.3">
      <c r="A84" s="26">
        <v>45318</v>
      </c>
      <c r="B84" s="10" t="s">
        <v>98</v>
      </c>
      <c r="C84" s="10" t="s">
        <v>14</v>
      </c>
      <c r="D84" s="11">
        <f t="shared" si="3"/>
        <v>181.81818181818181</v>
      </c>
      <c r="E84" s="11">
        <f t="shared" si="4"/>
        <v>18.18181818181818</v>
      </c>
      <c r="F84" s="39">
        <v>220</v>
      </c>
      <c r="G84" s="18">
        <v>50</v>
      </c>
      <c r="H84" s="13">
        <f t="shared" si="5"/>
        <v>170</v>
      </c>
      <c r="I84" s="19" t="s">
        <v>271</v>
      </c>
      <c r="J84" s="6">
        <v>220</v>
      </c>
      <c r="K84" s="40"/>
      <c r="L84" s="1"/>
      <c r="M84" s="6"/>
      <c r="N84" s="6"/>
      <c r="O84" s="6"/>
    </row>
    <row r="85" spans="1:15" x14ac:dyDescent="0.3">
      <c r="A85" s="26">
        <v>45318</v>
      </c>
      <c r="B85" s="53" t="s">
        <v>99</v>
      </c>
      <c r="C85" s="10" t="s">
        <v>14</v>
      </c>
      <c r="D85" s="11">
        <f t="shared" si="3"/>
        <v>140.49586776859505</v>
      </c>
      <c r="E85" s="11">
        <f t="shared" si="4"/>
        <v>14.049586776859506</v>
      </c>
      <c r="F85" s="39">
        <v>170</v>
      </c>
      <c r="G85" s="18">
        <v>50</v>
      </c>
      <c r="H85" s="13">
        <f t="shared" si="5"/>
        <v>120</v>
      </c>
      <c r="I85" s="19" t="s">
        <v>272</v>
      </c>
      <c r="J85" s="6">
        <v>170</v>
      </c>
      <c r="K85" s="40"/>
      <c r="L85" s="1"/>
      <c r="M85" s="6"/>
      <c r="N85" s="6"/>
      <c r="O85" s="6"/>
    </row>
    <row r="86" spans="1:15" x14ac:dyDescent="0.3">
      <c r="A86" s="54">
        <v>45318</v>
      </c>
      <c r="B86" s="53" t="s">
        <v>100</v>
      </c>
      <c r="C86" s="10" t="s">
        <v>14</v>
      </c>
      <c r="D86" s="11">
        <f t="shared" si="3"/>
        <v>177.68595041322314</v>
      </c>
      <c r="E86" s="11">
        <f t="shared" si="4"/>
        <v>17.768595041322314</v>
      </c>
      <c r="F86" s="39">
        <v>215</v>
      </c>
      <c r="G86" s="18">
        <v>50</v>
      </c>
      <c r="H86" s="13">
        <f t="shared" si="5"/>
        <v>165</v>
      </c>
      <c r="I86" s="19" t="s">
        <v>273</v>
      </c>
      <c r="J86" s="6">
        <v>170</v>
      </c>
      <c r="K86" s="40">
        <v>45</v>
      </c>
      <c r="L86" s="1" t="s">
        <v>16</v>
      </c>
      <c r="M86" s="6"/>
      <c r="N86" s="6"/>
      <c r="O86" s="6"/>
    </row>
    <row r="87" spans="1:15" x14ac:dyDescent="0.3">
      <c r="A87" s="54">
        <v>45318</v>
      </c>
      <c r="B87" s="53" t="s">
        <v>101</v>
      </c>
      <c r="C87" s="10" t="s">
        <v>14</v>
      </c>
      <c r="D87" s="11">
        <f t="shared" si="3"/>
        <v>99.173553719008268</v>
      </c>
      <c r="E87" s="11">
        <f t="shared" si="4"/>
        <v>9.9173553719008272</v>
      </c>
      <c r="F87" s="39">
        <v>120</v>
      </c>
      <c r="G87" s="18">
        <v>50</v>
      </c>
      <c r="H87" s="13">
        <f t="shared" si="5"/>
        <v>70</v>
      </c>
      <c r="I87" s="19" t="s">
        <v>274</v>
      </c>
      <c r="J87" s="6">
        <v>120</v>
      </c>
      <c r="K87" s="40"/>
      <c r="L87" s="41"/>
      <c r="M87" s="6"/>
      <c r="N87" s="6"/>
      <c r="O87" s="6"/>
    </row>
    <row r="88" spans="1:15" x14ac:dyDescent="0.3">
      <c r="A88" s="54">
        <v>45318</v>
      </c>
      <c r="B88" s="53" t="s">
        <v>102</v>
      </c>
      <c r="C88" s="10" t="s">
        <v>14</v>
      </c>
      <c r="D88" s="11">
        <f t="shared" si="3"/>
        <v>140.49586776859505</v>
      </c>
      <c r="E88" s="11">
        <f t="shared" si="4"/>
        <v>14.049586776859506</v>
      </c>
      <c r="F88" s="39">
        <v>170</v>
      </c>
      <c r="G88" s="18">
        <v>50</v>
      </c>
      <c r="H88" s="13">
        <f t="shared" si="5"/>
        <v>120</v>
      </c>
      <c r="I88" s="19" t="s">
        <v>275</v>
      </c>
      <c r="J88" s="6">
        <v>170</v>
      </c>
      <c r="K88" s="40"/>
      <c r="L88" s="1"/>
      <c r="M88" s="42"/>
      <c r="N88" s="6"/>
      <c r="O88" s="6"/>
    </row>
    <row r="89" spans="1:15" x14ac:dyDescent="0.3">
      <c r="A89" s="54">
        <v>45318</v>
      </c>
      <c r="B89" s="53" t="s">
        <v>103</v>
      </c>
      <c r="C89" s="10" t="s">
        <v>14</v>
      </c>
      <c r="D89" s="11">
        <f t="shared" si="3"/>
        <v>173.55371900826447</v>
      </c>
      <c r="E89" s="11">
        <f t="shared" si="4"/>
        <v>17.355371900826448</v>
      </c>
      <c r="F89" s="39">
        <v>210</v>
      </c>
      <c r="G89" s="18"/>
      <c r="H89" s="13">
        <f t="shared" si="5"/>
        <v>210</v>
      </c>
      <c r="I89" s="19" t="s">
        <v>15</v>
      </c>
      <c r="J89" s="6">
        <v>210</v>
      </c>
      <c r="K89" s="40"/>
      <c r="L89" s="1"/>
      <c r="M89" s="6"/>
      <c r="N89" s="6"/>
      <c r="O89" s="6"/>
    </row>
    <row r="90" spans="1:15" x14ac:dyDescent="0.3">
      <c r="A90" s="54">
        <v>45318</v>
      </c>
      <c r="B90" s="53" t="s">
        <v>104</v>
      </c>
      <c r="C90" s="10" t="s">
        <v>14</v>
      </c>
      <c r="D90" s="11">
        <f t="shared" si="3"/>
        <v>157.02479338842977</v>
      </c>
      <c r="E90" s="11">
        <f t="shared" si="4"/>
        <v>15.702479338842977</v>
      </c>
      <c r="F90" s="39">
        <v>190</v>
      </c>
      <c r="G90" s="18"/>
      <c r="H90" s="13">
        <f t="shared" si="5"/>
        <v>190</v>
      </c>
      <c r="I90" s="19" t="s">
        <v>15</v>
      </c>
      <c r="J90" s="6">
        <v>190</v>
      </c>
      <c r="K90" s="40"/>
      <c r="L90" s="1"/>
      <c r="M90" s="6"/>
      <c r="N90" s="6"/>
      <c r="O90" s="6"/>
    </row>
    <row r="91" spans="1:15" x14ac:dyDescent="0.3">
      <c r="A91" s="54">
        <v>45318</v>
      </c>
      <c r="B91" s="53" t="s">
        <v>105</v>
      </c>
      <c r="C91" s="10" t="s">
        <v>14</v>
      </c>
      <c r="D91" s="11">
        <f t="shared" si="3"/>
        <v>363.63636363636363</v>
      </c>
      <c r="E91" s="11">
        <f t="shared" si="4"/>
        <v>36.36363636363636</v>
      </c>
      <c r="F91" s="39">
        <v>440</v>
      </c>
      <c r="G91" s="18">
        <v>100</v>
      </c>
      <c r="H91" s="13">
        <f t="shared" si="5"/>
        <v>340</v>
      </c>
      <c r="I91" s="19" t="s">
        <v>277</v>
      </c>
      <c r="J91" s="6">
        <v>220</v>
      </c>
      <c r="K91" s="40">
        <v>45</v>
      </c>
      <c r="L91" s="1" t="s">
        <v>16</v>
      </c>
      <c r="M91" s="6">
        <v>175</v>
      </c>
      <c r="N91" s="6" t="s">
        <v>279</v>
      </c>
      <c r="O91" s="6"/>
    </row>
    <row r="92" spans="1:15" x14ac:dyDescent="0.3">
      <c r="A92" s="54">
        <v>45318</v>
      </c>
      <c r="B92" s="53" t="s">
        <v>106</v>
      </c>
      <c r="C92" s="10" t="s">
        <v>14</v>
      </c>
      <c r="D92" s="11">
        <f t="shared" si="3"/>
        <v>223.14049586776861</v>
      </c>
      <c r="E92" s="11">
        <f t="shared" si="4"/>
        <v>22.314049586776861</v>
      </c>
      <c r="F92" s="39">
        <v>270</v>
      </c>
      <c r="G92" s="18">
        <v>50</v>
      </c>
      <c r="H92" s="13">
        <f t="shared" si="5"/>
        <v>220</v>
      </c>
      <c r="I92" s="19" t="s">
        <v>276</v>
      </c>
      <c r="J92" s="6">
        <v>270</v>
      </c>
      <c r="K92" s="40"/>
      <c r="L92" s="1"/>
      <c r="M92" s="6"/>
      <c r="N92" s="6"/>
      <c r="O92" s="6"/>
    </row>
    <row r="93" spans="1:15" x14ac:dyDescent="0.3">
      <c r="A93" s="54">
        <v>45318</v>
      </c>
      <c r="B93" s="53" t="s">
        <v>107</v>
      </c>
      <c r="C93" s="10" t="s">
        <v>14</v>
      </c>
      <c r="D93" s="11">
        <f t="shared" si="3"/>
        <v>223.14049586776861</v>
      </c>
      <c r="E93" s="11">
        <f t="shared" si="4"/>
        <v>22.314049586776861</v>
      </c>
      <c r="F93" s="39">
        <v>270</v>
      </c>
      <c r="G93" s="18">
        <v>50</v>
      </c>
      <c r="H93" s="13">
        <f t="shared" si="5"/>
        <v>220</v>
      </c>
      <c r="I93" s="19" t="s">
        <v>278</v>
      </c>
      <c r="J93" s="6">
        <v>270</v>
      </c>
      <c r="K93" s="40"/>
      <c r="L93" s="1"/>
      <c r="M93" s="6"/>
      <c r="N93" s="6"/>
      <c r="O93" s="6"/>
    </row>
    <row r="94" spans="1:15" x14ac:dyDescent="0.3">
      <c r="A94" s="54">
        <v>45318</v>
      </c>
      <c r="B94" s="53" t="s">
        <v>108</v>
      </c>
      <c r="C94" s="10" t="s">
        <v>14</v>
      </c>
      <c r="D94" s="11">
        <f t="shared" si="3"/>
        <v>280.9917355371901</v>
      </c>
      <c r="E94" s="11">
        <f t="shared" si="4"/>
        <v>28.099173553719012</v>
      </c>
      <c r="F94" s="39">
        <v>340</v>
      </c>
      <c r="G94" s="18">
        <v>50</v>
      </c>
      <c r="H94" s="13">
        <f t="shared" si="5"/>
        <v>290</v>
      </c>
      <c r="I94" s="19" t="s">
        <v>280</v>
      </c>
      <c r="J94" s="6">
        <v>340</v>
      </c>
      <c r="K94" s="40"/>
      <c r="L94" s="1"/>
      <c r="M94" s="6"/>
      <c r="N94" s="6"/>
      <c r="O94" s="6"/>
    </row>
    <row r="95" spans="1:15" x14ac:dyDescent="0.3">
      <c r="A95" s="54">
        <v>45318</v>
      </c>
      <c r="B95" s="53" t="s">
        <v>109</v>
      </c>
      <c r="C95" s="10" t="s">
        <v>14</v>
      </c>
      <c r="D95" s="11">
        <f t="shared" si="3"/>
        <v>202.47933884297521</v>
      </c>
      <c r="E95" s="11">
        <f t="shared" si="4"/>
        <v>20.247933884297524</v>
      </c>
      <c r="F95" s="39">
        <v>245</v>
      </c>
      <c r="G95" s="18">
        <v>50</v>
      </c>
      <c r="H95" s="13">
        <f t="shared" si="5"/>
        <v>195</v>
      </c>
      <c r="I95" s="19" t="s">
        <v>281</v>
      </c>
      <c r="J95" s="6">
        <v>170</v>
      </c>
      <c r="K95" s="40">
        <v>45</v>
      </c>
      <c r="L95" s="1" t="s">
        <v>16</v>
      </c>
      <c r="M95" s="6">
        <v>30</v>
      </c>
      <c r="N95" s="6" t="s">
        <v>223</v>
      </c>
      <c r="O95" s="6"/>
    </row>
    <row r="96" spans="1:15" x14ac:dyDescent="0.3">
      <c r="A96" s="54">
        <v>45318</v>
      </c>
      <c r="B96" s="53" t="s">
        <v>110</v>
      </c>
      <c r="C96" s="10" t="s">
        <v>14</v>
      </c>
      <c r="D96" s="11">
        <f t="shared" si="3"/>
        <v>132.2314049586777</v>
      </c>
      <c r="E96" s="11">
        <f t="shared" si="4"/>
        <v>13.223140495867769</v>
      </c>
      <c r="F96" s="39">
        <v>160</v>
      </c>
      <c r="G96" s="18"/>
      <c r="H96" s="13">
        <f t="shared" si="5"/>
        <v>160</v>
      </c>
      <c r="I96" s="19" t="s">
        <v>15</v>
      </c>
      <c r="J96" s="6">
        <v>160</v>
      </c>
      <c r="K96" s="40"/>
      <c r="L96" s="1"/>
      <c r="M96" s="6"/>
      <c r="N96" s="6"/>
      <c r="O96" s="6"/>
    </row>
    <row r="97" spans="1:15" x14ac:dyDescent="0.3">
      <c r="A97" s="54">
        <v>45318</v>
      </c>
      <c r="B97" s="53" t="s">
        <v>111</v>
      </c>
      <c r="C97" s="10" t="s">
        <v>14</v>
      </c>
      <c r="D97" s="11">
        <f t="shared" si="3"/>
        <v>115.70247933884298</v>
      </c>
      <c r="E97" s="11">
        <f t="shared" si="4"/>
        <v>11.570247933884298</v>
      </c>
      <c r="F97" s="43">
        <v>140</v>
      </c>
      <c r="G97" s="44"/>
      <c r="H97" s="13">
        <f t="shared" si="5"/>
        <v>140</v>
      </c>
      <c r="I97" s="45" t="s">
        <v>15</v>
      </c>
      <c r="J97" s="46">
        <v>140</v>
      </c>
      <c r="K97" s="47"/>
      <c r="L97" s="48"/>
      <c r="M97" s="46"/>
      <c r="N97" s="46"/>
      <c r="O97" s="46"/>
    </row>
    <row r="98" spans="1:15" x14ac:dyDescent="0.3">
      <c r="A98" s="54">
        <v>45318</v>
      </c>
      <c r="B98" s="53" t="s">
        <v>112</v>
      </c>
      <c r="C98" s="10" t="s">
        <v>14</v>
      </c>
      <c r="D98" s="11">
        <f t="shared" si="3"/>
        <v>165.28925619834712</v>
      </c>
      <c r="E98" s="11">
        <f t="shared" si="4"/>
        <v>16.528925619834713</v>
      </c>
      <c r="F98" s="30">
        <v>200</v>
      </c>
      <c r="G98" s="30">
        <v>50</v>
      </c>
      <c r="H98" s="13">
        <f t="shared" si="5"/>
        <v>150</v>
      </c>
      <c r="I98" s="49" t="s">
        <v>282</v>
      </c>
      <c r="J98" s="6">
        <v>170</v>
      </c>
      <c r="K98" s="40">
        <v>30</v>
      </c>
      <c r="L98" s="1" t="s">
        <v>223</v>
      </c>
      <c r="M98" s="6"/>
      <c r="N98" s="6"/>
      <c r="O98" s="6"/>
    </row>
    <row r="99" spans="1:15" x14ac:dyDescent="0.3">
      <c r="A99" s="54">
        <v>45318</v>
      </c>
      <c r="B99" s="53" t="s">
        <v>113</v>
      </c>
      <c r="C99" s="10" t="s">
        <v>14</v>
      </c>
      <c r="D99" s="11">
        <f t="shared" si="3"/>
        <v>115.70247933884298</v>
      </c>
      <c r="E99" s="11">
        <f t="shared" si="4"/>
        <v>11.570247933884298</v>
      </c>
      <c r="F99" s="30">
        <v>140</v>
      </c>
      <c r="G99" s="30"/>
      <c r="H99" s="13">
        <f t="shared" si="5"/>
        <v>140</v>
      </c>
      <c r="I99" s="49" t="s">
        <v>15</v>
      </c>
      <c r="J99" s="6">
        <v>140</v>
      </c>
      <c r="K99" s="40"/>
      <c r="L99" s="1"/>
      <c r="M99" s="6"/>
      <c r="N99" s="6"/>
      <c r="O99" s="6"/>
    </row>
    <row r="100" spans="1:15" x14ac:dyDescent="0.3">
      <c r="A100" s="50">
        <v>45318</v>
      </c>
      <c r="B100" s="53" t="s">
        <v>114</v>
      </c>
      <c r="C100" s="10" t="s">
        <v>14</v>
      </c>
      <c r="D100" s="11">
        <f t="shared" si="3"/>
        <v>214.87603305785126</v>
      </c>
      <c r="E100" s="11">
        <f t="shared" si="4"/>
        <v>21.487603305785125</v>
      </c>
      <c r="F100" s="51">
        <v>260</v>
      </c>
      <c r="G100" s="6">
        <v>50</v>
      </c>
      <c r="H100" s="13">
        <f t="shared" si="5"/>
        <v>210</v>
      </c>
      <c r="I100" s="49" t="s">
        <v>283</v>
      </c>
      <c r="J100" s="6">
        <v>220</v>
      </c>
      <c r="K100" s="40">
        <v>40</v>
      </c>
      <c r="L100" s="1" t="s">
        <v>16</v>
      </c>
      <c r="M100" s="6"/>
      <c r="N100" s="6"/>
      <c r="O100" s="6"/>
    </row>
    <row r="101" spans="1:15" x14ac:dyDescent="0.3">
      <c r="A101" s="50">
        <v>45318</v>
      </c>
      <c r="B101" s="10" t="s">
        <v>115</v>
      </c>
      <c r="C101" s="10" t="s">
        <v>14</v>
      </c>
      <c r="D101" s="11">
        <f t="shared" si="3"/>
        <v>148.7603305785124</v>
      </c>
      <c r="E101" s="11">
        <f t="shared" si="4"/>
        <v>14.876033057851238</v>
      </c>
      <c r="F101" s="51">
        <v>180</v>
      </c>
      <c r="G101" s="6"/>
      <c r="H101" s="13">
        <f t="shared" si="5"/>
        <v>180</v>
      </c>
      <c r="I101" s="49" t="s">
        <v>15</v>
      </c>
      <c r="J101" s="6">
        <v>180</v>
      </c>
      <c r="K101" s="40"/>
      <c r="L101" s="1"/>
      <c r="M101" s="6"/>
      <c r="N101" s="6"/>
      <c r="O101" s="6"/>
    </row>
    <row r="102" spans="1:15" x14ac:dyDescent="0.3">
      <c r="A102" s="50">
        <v>45319</v>
      </c>
      <c r="B102" s="10" t="s">
        <v>116</v>
      </c>
      <c r="C102" s="10" t="s">
        <v>14</v>
      </c>
      <c r="D102" s="11">
        <f t="shared" si="3"/>
        <v>177.68595041322314</v>
      </c>
      <c r="E102" s="11">
        <f t="shared" si="4"/>
        <v>17.768595041322314</v>
      </c>
      <c r="F102" s="51">
        <v>215</v>
      </c>
      <c r="G102" s="6">
        <v>50</v>
      </c>
      <c r="H102" s="13">
        <f t="shared" si="5"/>
        <v>165</v>
      </c>
      <c r="I102" s="49" t="s">
        <v>284</v>
      </c>
      <c r="J102" s="6">
        <v>170</v>
      </c>
      <c r="K102" s="40">
        <v>45</v>
      </c>
      <c r="L102" s="1" t="s">
        <v>16</v>
      </c>
      <c r="M102" s="6"/>
      <c r="N102" s="52"/>
      <c r="O102" s="6"/>
    </row>
    <row r="103" spans="1:15" x14ac:dyDescent="0.3">
      <c r="A103" s="50">
        <v>45319</v>
      </c>
      <c r="B103" s="10" t="s">
        <v>117</v>
      </c>
      <c r="C103" s="10" t="s">
        <v>14</v>
      </c>
      <c r="D103" s="11">
        <f t="shared" si="3"/>
        <v>322.31404958677689</v>
      </c>
      <c r="E103" s="11">
        <f t="shared" si="4"/>
        <v>32.231404958677693</v>
      </c>
      <c r="F103" s="51">
        <v>390</v>
      </c>
      <c r="G103" s="6">
        <v>50</v>
      </c>
      <c r="H103" s="13">
        <f t="shared" si="5"/>
        <v>340</v>
      </c>
      <c r="I103" s="49" t="s">
        <v>285</v>
      </c>
      <c r="J103" s="6">
        <v>390</v>
      </c>
      <c r="K103" s="40"/>
      <c r="L103" s="1"/>
      <c r="M103" s="6"/>
      <c r="N103" s="6"/>
      <c r="O103" s="6"/>
    </row>
    <row r="104" spans="1:15" x14ac:dyDescent="0.3">
      <c r="A104" s="50">
        <v>45319</v>
      </c>
      <c r="B104" s="10" t="s">
        <v>118</v>
      </c>
      <c r="C104" s="10" t="s">
        <v>14</v>
      </c>
      <c r="D104" s="11">
        <f t="shared" si="3"/>
        <v>173.55371900826447</v>
      </c>
      <c r="E104" s="11">
        <f t="shared" si="4"/>
        <v>17.355371900826448</v>
      </c>
      <c r="F104" s="51">
        <v>210</v>
      </c>
      <c r="G104" s="6">
        <v>50</v>
      </c>
      <c r="H104" s="13">
        <f t="shared" si="5"/>
        <v>160</v>
      </c>
      <c r="I104" s="49" t="s">
        <v>264</v>
      </c>
      <c r="J104" s="6">
        <v>170</v>
      </c>
      <c r="K104" s="40">
        <v>40</v>
      </c>
      <c r="L104" s="1" t="s">
        <v>223</v>
      </c>
      <c r="M104" s="6"/>
      <c r="N104" s="6"/>
      <c r="O104" s="6"/>
    </row>
    <row r="105" spans="1:15" x14ac:dyDescent="0.3">
      <c r="A105" s="50">
        <v>45319</v>
      </c>
      <c r="B105" s="10" t="s">
        <v>119</v>
      </c>
      <c r="C105" s="10" t="s">
        <v>14</v>
      </c>
      <c r="D105" s="11">
        <f t="shared" si="3"/>
        <v>235.53719008264463</v>
      </c>
      <c r="E105" s="11">
        <f t="shared" si="4"/>
        <v>23.553719008264462</v>
      </c>
      <c r="F105" s="51">
        <v>285</v>
      </c>
      <c r="G105" s="6">
        <v>50</v>
      </c>
      <c r="H105" s="13">
        <f t="shared" si="5"/>
        <v>235</v>
      </c>
      <c r="I105" s="49" t="s">
        <v>286</v>
      </c>
      <c r="J105" s="6">
        <v>270</v>
      </c>
      <c r="K105" s="40">
        <v>15</v>
      </c>
      <c r="L105" s="1" t="s">
        <v>223</v>
      </c>
      <c r="M105" s="6"/>
      <c r="N105" s="6"/>
      <c r="O105" s="6"/>
    </row>
    <row r="106" spans="1:15" x14ac:dyDescent="0.3">
      <c r="A106" s="50">
        <v>45320</v>
      </c>
      <c r="B106" s="10" t="s">
        <v>120</v>
      </c>
      <c r="C106" s="10" t="s">
        <v>14</v>
      </c>
      <c r="D106" s="11">
        <f t="shared" si="3"/>
        <v>165.28925619834712</v>
      </c>
      <c r="E106" s="11">
        <f t="shared" si="4"/>
        <v>16.528925619834713</v>
      </c>
      <c r="F106" s="51">
        <v>200</v>
      </c>
      <c r="G106" s="6"/>
      <c r="H106" s="13">
        <f t="shared" si="5"/>
        <v>200</v>
      </c>
      <c r="I106" s="49" t="s">
        <v>15</v>
      </c>
      <c r="J106" s="6">
        <v>200</v>
      </c>
      <c r="K106" s="40"/>
      <c r="L106" s="1"/>
      <c r="M106" s="6"/>
      <c r="N106" s="6"/>
      <c r="O106" s="6"/>
    </row>
    <row r="107" spans="1:15" x14ac:dyDescent="0.3">
      <c r="A107" s="50">
        <v>45321</v>
      </c>
      <c r="B107" s="10" t="s">
        <v>121</v>
      </c>
      <c r="C107" s="10" t="s">
        <v>14</v>
      </c>
      <c r="D107" s="11">
        <f t="shared" si="3"/>
        <v>140.49586776859505</v>
      </c>
      <c r="E107" s="11">
        <f t="shared" si="4"/>
        <v>14.049586776859506</v>
      </c>
      <c r="F107" s="51">
        <v>170</v>
      </c>
      <c r="G107" s="6">
        <v>50</v>
      </c>
      <c r="H107" s="13">
        <f t="shared" si="5"/>
        <v>120</v>
      </c>
      <c r="I107" s="49" t="s">
        <v>287</v>
      </c>
      <c r="J107" s="6">
        <v>170</v>
      </c>
      <c r="K107" s="40"/>
      <c r="L107" s="1"/>
      <c r="M107" s="6"/>
      <c r="N107" s="6"/>
      <c r="O107" s="6"/>
    </row>
    <row r="108" spans="1:15" x14ac:dyDescent="0.3">
      <c r="A108" s="55">
        <v>45321</v>
      </c>
      <c r="B108" s="10" t="s">
        <v>122</v>
      </c>
      <c r="C108" s="10" t="s">
        <v>14</v>
      </c>
      <c r="D108" s="11">
        <f t="shared" si="3"/>
        <v>247.93388429752068</v>
      </c>
      <c r="E108" s="11">
        <f t="shared" si="4"/>
        <v>24.793388429752067</v>
      </c>
      <c r="F108" s="51">
        <v>300</v>
      </c>
      <c r="G108" s="6">
        <v>100</v>
      </c>
      <c r="H108" s="13">
        <f t="shared" si="5"/>
        <v>200</v>
      </c>
      <c r="I108" s="49" t="s">
        <v>288</v>
      </c>
      <c r="J108" s="6">
        <v>300</v>
      </c>
      <c r="K108" s="40"/>
      <c r="L108" s="1"/>
      <c r="M108" s="6"/>
      <c r="N108" s="6"/>
      <c r="O108" s="6"/>
    </row>
    <row r="109" spans="1:15" x14ac:dyDescent="0.3">
      <c r="A109" s="50"/>
      <c r="B109" s="10"/>
      <c r="C109" s="10"/>
      <c r="D109" s="11"/>
      <c r="E109" s="11"/>
      <c r="F109" s="51"/>
      <c r="G109" s="6"/>
      <c r="H109" s="13"/>
      <c r="I109" s="49"/>
      <c r="J109" s="6"/>
      <c r="K109" s="40"/>
      <c r="L109" s="1"/>
      <c r="M109" s="6"/>
      <c r="N109" s="6"/>
      <c r="O109" s="6"/>
    </row>
    <row r="110" spans="1:15" x14ac:dyDescent="0.3">
      <c r="A110" s="50"/>
      <c r="B110" s="10"/>
      <c r="C110" s="10"/>
      <c r="D110" s="11"/>
      <c r="E110" s="11"/>
      <c r="F110" s="51"/>
      <c r="G110" s="6"/>
      <c r="H110" s="13"/>
      <c r="I110" s="49"/>
      <c r="J110" s="6"/>
      <c r="K110" s="40"/>
      <c r="L110" s="1"/>
      <c r="M110" s="6"/>
      <c r="N110" s="6"/>
      <c r="O110" s="6"/>
    </row>
    <row r="111" spans="1:15" x14ac:dyDescent="0.3">
      <c r="A111" s="50"/>
      <c r="B111" s="10"/>
      <c r="C111" s="10"/>
      <c r="D111" s="11"/>
      <c r="E111" s="11"/>
      <c r="F111" s="51"/>
      <c r="G111" s="6"/>
      <c r="H111" s="13"/>
      <c r="I111" s="49"/>
      <c r="J111" s="6"/>
      <c r="K111" s="40"/>
      <c r="L111" s="1"/>
      <c r="M111" s="6"/>
      <c r="N111" s="6"/>
      <c r="O111" s="6"/>
    </row>
    <row r="112" spans="1:15" x14ac:dyDescent="0.3">
      <c r="A112" s="50"/>
      <c r="B112" s="10"/>
      <c r="C112" s="10"/>
      <c r="D112" s="11"/>
      <c r="E112" s="11"/>
      <c r="F112" s="51"/>
      <c r="G112" s="6"/>
      <c r="H112" s="13"/>
      <c r="I112" s="49"/>
      <c r="J112" s="6"/>
      <c r="K112" s="40"/>
      <c r="L112" s="1"/>
      <c r="M112" s="6"/>
      <c r="N112" s="6"/>
      <c r="O112" s="6"/>
    </row>
    <row r="113" spans="1:15" x14ac:dyDescent="0.3">
      <c r="A113" s="50"/>
      <c r="B113" s="10"/>
      <c r="C113" s="10"/>
      <c r="D113" s="11"/>
      <c r="E113" s="11"/>
      <c r="F113" s="51"/>
      <c r="G113" s="6"/>
      <c r="H113" s="13"/>
      <c r="I113" s="49"/>
      <c r="J113" s="6"/>
      <c r="K113" s="40"/>
      <c r="L113" s="1"/>
      <c r="M113" s="6"/>
      <c r="N113" s="6"/>
      <c r="O113" s="6"/>
    </row>
    <row r="114" spans="1:15" x14ac:dyDescent="0.3">
      <c r="A114" s="50"/>
      <c r="B114" s="10"/>
      <c r="C114" s="10"/>
      <c r="D114" s="11">
        <f>SUM(D3:D113)</f>
        <v>19618.181818181816</v>
      </c>
      <c r="E114" s="11"/>
      <c r="F114" s="51"/>
      <c r="G114" s="6"/>
      <c r="H114" s="13"/>
      <c r="I114" s="49"/>
      <c r="J114" s="6"/>
      <c r="K114" s="40"/>
      <c r="L114" s="1"/>
      <c r="M114" s="6"/>
      <c r="N114" s="6"/>
      <c r="O114" s="6"/>
    </row>
    <row r="115" spans="1:15" x14ac:dyDescent="0.3">
      <c r="A115" s="50"/>
      <c r="B115" s="10"/>
      <c r="C115" s="10"/>
      <c r="D115" s="11"/>
      <c r="E115" s="11"/>
      <c r="F115" s="51"/>
      <c r="G115" s="6"/>
      <c r="H115" s="13"/>
      <c r="I115" s="49"/>
      <c r="J115" s="6"/>
      <c r="K115" s="40"/>
      <c r="L115" s="1"/>
      <c r="M115" s="6"/>
      <c r="N115" s="6"/>
      <c r="O115" s="6"/>
    </row>
    <row r="116" spans="1:15" x14ac:dyDescent="0.3">
      <c r="A116" s="50"/>
      <c r="B116" s="10"/>
      <c r="C116" s="10"/>
      <c r="D116" s="11"/>
      <c r="E116" s="11"/>
      <c r="F116" s="51"/>
      <c r="G116" s="6"/>
      <c r="H116" s="13"/>
      <c r="I116" s="49"/>
      <c r="J116" s="6"/>
      <c r="K116" s="40"/>
      <c r="L116" s="1"/>
      <c r="M116" s="6"/>
      <c r="N116" s="6"/>
      <c r="O116" s="6"/>
    </row>
    <row r="117" spans="1:15" x14ac:dyDescent="0.3">
      <c r="A117" s="50"/>
      <c r="B117" s="10"/>
      <c r="C117" s="10"/>
      <c r="D117" s="11"/>
      <c r="E117" s="11"/>
      <c r="F117" s="51"/>
      <c r="G117" s="6"/>
      <c r="H117" s="13"/>
      <c r="I117" s="49"/>
      <c r="J117" s="6"/>
      <c r="K117" s="40"/>
      <c r="L117" s="1"/>
      <c r="M117" s="6"/>
      <c r="N117" s="6"/>
      <c r="O117" s="6"/>
    </row>
    <row r="118" spans="1:15" x14ac:dyDescent="0.3">
      <c r="A118" s="50"/>
      <c r="B118" s="10"/>
      <c r="C118" s="10"/>
      <c r="D118" s="11"/>
      <c r="E118" s="11"/>
      <c r="F118" s="51"/>
      <c r="G118" s="6"/>
      <c r="H118" s="13"/>
      <c r="I118" s="49"/>
      <c r="J118" s="6"/>
      <c r="K118" s="40"/>
      <c r="L118" s="1"/>
      <c r="M118" s="6"/>
      <c r="N118" s="6"/>
      <c r="O118" s="6"/>
    </row>
    <row r="119" spans="1:15" x14ac:dyDescent="0.3">
      <c r="A119" s="50"/>
      <c r="B119" s="10"/>
      <c r="C119" s="10"/>
      <c r="D119" s="11"/>
      <c r="E119" s="11"/>
      <c r="F119" s="51"/>
      <c r="G119" s="6"/>
      <c r="H119" s="13"/>
      <c r="I119" s="49"/>
      <c r="J119" s="6"/>
      <c r="K119" s="40"/>
      <c r="L119" s="1"/>
      <c r="M119" s="6"/>
      <c r="N119" s="6"/>
      <c r="O119" s="6"/>
    </row>
    <row r="120" spans="1:15" x14ac:dyDescent="0.3">
      <c r="A120" s="50"/>
      <c r="B120" s="10"/>
      <c r="C120" s="10"/>
      <c r="D120" s="11"/>
      <c r="E120" s="11"/>
      <c r="F120" s="51"/>
      <c r="G120" s="6"/>
      <c r="H120" s="13"/>
      <c r="I120" s="49"/>
      <c r="J120" s="6"/>
      <c r="K120" s="40"/>
      <c r="L120" s="1"/>
      <c r="M120" s="6"/>
      <c r="N120" s="6"/>
      <c r="O120" s="6"/>
    </row>
    <row r="121" spans="1:15" x14ac:dyDescent="0.3">
      <c r="A121" s="50"/>
      <c r="B121" s="10"/>
      <c r="C121" s="10"/>
      <c r="D121" s="11"/>
      <c r="E121" s="11"/>
      <c r="F121" s="51"/>
      <c r="G121" s="6"/>
      <c r="H121" s="13"/>
      <c r="I121" s="49"/>
      <c r="J121" s="6"/>
      <c r="K121" s="40"/>
      <c r="L121" s="1"/>
      <c r="M121" s="6"/>
      <c r="N121" s="6"/>
      <c r="O121" s="6"/>
    </row>
    <row r="122" spans="1:15" x14ac:dyDescent="0.3">
      <c r="A122" s="50"/>
      <c r="B122" s="10"/>
      <c r="C122" s="10"/>
      <c r="D122" s="11"/>
      <c r="E122" s="11"/>
      <c r="F122" s="51"/>
      <c r="G122" s="6"/>
      <c r="H122" s="13"/>
      <c r="I122" s="49"/>
      <c r="J122" s="6"/>
      <c r="K122" s="40"/>
      <c r="L122" s="1"/>
      <c r="M122" s="6"/>
      <c r="N122" s="6"/>
      <c r="O122" s="6"/>
    </row>
    <row r="123" spans="1:15" x14ac:dyDescent="0.3">
      <c r="A123" s="50"/>
      <c r="B123" s="10"/>
      <c r="C123" s="10"/>
      <c r="D123" s="11"/>
      <c r="E123" s="11"/>
      <c r="F123" s="51"/>
      <c r="G123" s="6"/>
      <c r="H123" s="13"/>
      <c r="I123" s="49"/>
      <c r="J123" s="6"/>
      <c r="K123" s="40"/>
      <c r="L123" s="1"/>
      <c r="M123" s="6"/>
      <c r="N123" s="6"/>
      <c r="O123" s="6"/>
    </row>
    <row r="124" spans="1:15" x14ac:dyDescent="0.3">
      <c r="A124" s="50"/>
      <c r="B124" s="10"/>
      <c r="C124" s="10"/>
      <c r="D124" s="11"/>
      <c r="E124" s="11"/>
      <c r="F124" s="51"/>
      <c r="G124" s="6"/>
      <c r="H124" s="13"/>
      <c r="I124" s="49"/>
      <c r="J124" s="6"/>
      <c r="K124" s="40"/>
      <c r="L124" s="1"/>
      <c r="M124" s="6"/>
      <c r="N124" s="6"/>
      <c r="O124" s="6"/>
    </row>
    <row r="125" spans="1:15" x14ac:dyDescent="0.3">
      <c r="A125" s="50"/>
      <c r="B125" s="10"/>
      <c r="C125" s="10"/>
      <c r="D125" s="11"/>
      <c r="E125" s="11"/>
      <c r="F125" s="51"/>
      <c r="G125" s="6"/>
      <c r="H125" s="13"/>
      <c r="I125" s="49"/>
      <c r="J125" s="6"/>
      <c r="K125" s="40"/>
      <c r="L125" s="1"/>
      <c r="M125" s="6"/>
      <c r="N125" s="6"/>
      <c r="O125" s="6"/>
    </row>
    <row r="126" spans="1:15" x14ac:dyDescent="0.3">
      <c r="A126" s="50"/>
      <c r="B126" s="10"/>
      <c r="C126" s="10"/>
      <c r="D126" s="11"/>
      <c r="E126" s="11"/>
      <c r="F126" s="51"/>
      <c r="G126" s="6"/>
      <c r="H126" s="13"/>
      <c r="I126" s="49"/>
      <c r="J126" s="6"/>
      <c r="K126" s="40"/>
      <c r="L126" s="1"/>
      <c r="M126" s="6"/>
      <c r="N126" s="6"/>
      <c r="O126" s="6"/>
    </row>
    <row r="127" spans="1:15" x14ac:dyDescent="0.3">
      <c r="A127" s="41"/>
      <c r="B127" s="10"/>
      <c r="C127" s="10"/>
      <c r="D127" s="11"/>
      <c r="E127" s="11"/>
      <c r="F127" s="30"/>
      <c r="G127" s="30"/>
      <c r="H127" s="13"/>
      <c r="I127" s="1"/>
      <c r="J127" s="30"/>
      <c r="K127" s="30"/>
      <c r="L127" s="1"/>
      <c r="M127" s="1"/>
      <c r="N127" s="1"/>
      <c r="O127" s="1"/>
    </row>
    <row r="128" spans="1:15" x14ac:dyDescent="0.3">
      <c r="A128" s="41"/>
      <c r="B128" s="10"/>
      <c r="C128" s="10"/>
      <c r="D128" s="11"/>
      <c r="E128" s="11"/>
      <c r="F128" s="30"/>
      <c r="G128" s="30"/>
      <c r="H128" s="13"/>
      <c r="I128" s="1"/>
      <c r="J128" s="30"/>
      <c r="K128" s="30"/>
      <c r="L128" s="1"/>
      <c r="M128" s="1"/>
      <c r="N128" s="1"/>
      <c r="O128" s="1"/>
    </row>
    <row r="129" spans="1:15" x14ac:dyDescent="0.3">
      <c r="A129" s="41"/>
      <c r="B129" s="10"/>
      <c r="C129" s="10"/>
      <c r="D129" s="11"/>
      <c r="E129" s="11"/>
      <c r="F129" s="30"/>
      <c r="G129" s="30"/>
      <c r="H129" s="13"/>
      <c r="I129" s="1"/>
      <c r="J129" s="30"/>
      <c r="K129" s="30"/>
      <c r="L129" s="1"/>
      <c r="M129" s="1"/>
      <c r="N129" s="1"/>
      <c r="O129" s="1"/>
    </row>
    <row r="130" spans="1:15" x14ac:dyDescent="0.3">
      <c r="A130" s="41"/>
      <c r="B130" s="10"/>
      <c r="C130" s="10"/>
      <c r="D130" s="11"/>
      <c r="E130" s="11"/>
      <c r="F130" s="30"/>
      <c r="G130" s="30"/>
      <c r="H130" s="13"/>
      <c r="I130" s="1"/>
      <c r="J130" s="30"/>
      <c r="K130" s="30"/>
      <c r="L130" s="1"/>
      <c r="M130" s="1"/>
      <c r="N130" s="1"/>
      <c r="O130" s="1"/>
    </row>
    <row r="131" spans="1:15" x14ac:dyDescent="0.3">
      <c r="A131" s="41"/>
      <c r="B131" s="10"/>
      <c r="C131" s="10"/>
      <c r="D131" s="11"/>
      <c r="E131" s="11"/>
      <c r="F131" s="30"/>
      <c r="G131" s="30"/>
      <c r="H131" s="13"/>
      <c r="I131" s="1"/>
      <c r="J131" s="30"/>
      <c r="K131" s="30"/>
      <c r="L131" s="1"/>
      <c r="M131" s="1"/>
      <c r="N131" s="1"/>
      <c r="O131" s="1"/>
    </row>
    <row r="132" spans="1:15" x14ac:dyDescent="0.3">
      <c r="A132" s="41"/>
      <c r="B132" s="10"/>
      <c r="C132" s="10"/>
      <c r="D132" s="11"/>
      <c r="E132" s="11"/>
      <c r="F132" s="30"/>
      <c r="G132" s="30"/>
      <c r="H132" s="13"/>
      <c r="I132" s="1"/>
      <c r="J132" s="30"/>
      <c r="K132" s="30"/>
      <c r="L132" s="1"/>
      <c r="M132" s="1"/>
      <c r="N132" s="1"/>
      <c r="O132" s="1"/>
    </row>
    <row r="133" spans="1:15" x14ac:dyDescent="0.3">
      <c r="A133" s="41"/>
      <c r="B133" s="10"/>
      <c r="C133" s="10"/>
      <c r="D133" s="11"/>
      <c r="E133" s="11"/>
      <c r="F133" s="30"/>
      <c r="G133" s="30"/>
      <c r="H133" s="13"/>
      <c r="I133" s="1"/>
      <c r="J133" s="30"/>
      <c r="K133" s="30"/>
      <c r="L133" s="1"/>
      <c r="M133" s="1"/>
      <c r="N133" s="1"/>
      <c r="O133" s="1"/>
    </row>
    <row r="134" spans="1:15" x14ac:dyDescent="0.3">
      <c r="A134" s="41"/>
      <c r="B134" s="10"/>
      <c r="C134" s="10"/>
      <c r="D134" s="11"/>
      <c r="E134" s="11"/>
      <c r="F134" s="30"/>
      <c r="G134" s="30"/>
      <c r="H134" s="13"/>
      <c r="I134" s="1"/>
      <c r="J134" s="30"/>
      <c r="K134" s="30"/>
      <c r="L134" s="1"/>
      <c r="M134" s="1"/>
      <c r="N134" s="1"/>
      <c r="O134" s="1"/>
    </row>
    <row r="135" spans="1:15" x14ac:dyDescent="0.3">
      <c r="A135" s="41"/>
      <c r="B135" s="10"/>
      <c r="C135" s="10"/>
      <c r="D135" s="11"/>
      <c r="E135" s="11"/>
      <c r="F135" s="30"/>
      <c r="G135" s="30"/>
      <c r="H135" s="13"/>
      <c r="I135" s="1"/>
      <c r="J135" s="30"/>
      <c r="K135" s="30"/>
      <c r="L135" s="1"/>
      <c r="M135" s="1"/>
      <c r="N135" s="1"/>
      <c r="O135" s="1"/>
    </row>
    <row r="136" spans="1:15" x14ac:dyDescent="0.3">
      <c r="A136" s="41"/>
      <c r="B136" s="10"/>
      <c r="C136" s="10"/>
      <c r="D136" s="11"/>
      <c r="E136" s="11"/>
      <c r="F136" s="30"/>
      <c r="G136" s="30"/>
      <c r="H136" s="13"/>
      <c r="I136" s="1"/>
      <c r="J136" s="30"/>
      <c r="K136" s="30"/>
      <c r="L136" s="1"/>
      <c r="M136" s="1"/>
      <c r="N136" s="1"/>
      <c r="O136" s="1"/>
    </row>
    <row r="137" spans="1:15" x14ac:dyDescent="0.3">
      <c r="A137" s="41"/>
      <c r="B137" s="10"/>
      <c r="C137" s="10"/>
      <c r="D137" s="11"/>
      <c r="E137" s="11"/>
      <c r="F137" s="30"/>
      <c r="G137" s="30"/>
      <c r="H137" s="13"/>
      <c r="I137" s="1"/>
      <c r="J137" s="30"/>
      <c r="K137" s="30"/>
      <c r="L137" s="1"/>
      <c r="M137" s="1"/>
      <c r="N137" s="1"/>
      <c r="O137" s="1"/>
    </row>
    <row r="138" spans="1:15" x14ac:dyDescent="0.3">
      <c r="A138" s="41"/>
      <c r="B138" s="10"/>
      <c r="C138" s="10"/>
      <c r="D138" s="11"/>
      <c r="E138" s="11"/>
      <c r="F138" s="30"/>
      <c r="G138" s="30"/>
      <c r="H138" s="13"/>
      <c r="I138" s="1"/>
      <c r="J138" s="30"/>
      <c r="K138" s="30"/>
      <c r="L138" s="1"/>
      <c r="M138" s="1"/>
      <c r="N138" s="1"/>
      <c r="O138" s="1"/>
    </row>
    <row r="139" spans="1:15" x14ac:dyDescent="0.3">
      <c r="A139" s="41"/>
      <c r="B139" s="10"/>
      <c r="C139" s="10"/>
      <c r="D139" s="11"/>
      <c r="E139" s="11"/>
      <c r="F139" s="30"/>
      <c r="G139" s="30"/>
      <c r="H139" s="13"/>
      <c r="I139" s="1"/>
      <c r="J139" s="30"/>
      <c r="K139" s="30"/>
      <c r="L139" s="1"/>
      <c r="M139" s="1"/>
      <c r="N139" s="1"/>
      <c r="O139" s="1"/>
    </row>
    <row r="140" spans="1:15" x14ac:dyDescent="0.3">
      <c r="A140" s="41"/>
      <c r="B140" s="10"/>
      <c r="C140" s="10"/>
      <c r="D140" s="11"/>
      <c r="E140" s="11"/>
      <c r="F140" s="30"/>
      <c r="G140" s="30"/>
      <c r="H140" s="13"/>
      <c r="I140" s="1"/>
      <c r="J140" s="30"/>
      <c r="K140" s="30"/>
      <c r="L140" s="1"/>
      <c r="M140" s="1"/>
      <c r="N140" s="1"/>
      <c r="O140" s="1"/>
    </row>
    <row r="141" spans="1:15" x14ac:dyDescent="0.3">
      <c r="A141" s="41"/>
      <c r="B141" s="10"/>
      <c r="C141" s="10"/>
      <c r="D141" s="11"/>
      <c r="E141" s="11"/>
      <c r="F141" s="30"/>
      <c r="G141" s="30"/>
      <c r="H141" s="13"/>
      <c r="I141" s="1"/>
      <c r="J141" s="30"/>
      <c r="K141" s="30"/>
      <c r="L141" s="1"/>
      <c r="M141" s="1"/>
      <c r="N141" s="1"/>
      <c r="O141" s="1"/>
    </row>
    <row r="142" spans="1:15" x14ac:dyDescent="0.3">
      <c r="A142" s="41"/>
      <c r="B142" s="10"/>
      <c r="C142" s="10"/>
      <c r="D142" s="11"/>
      <c r="E142" s="11"/>
      <c r="F142" s="30"/>
      <c r="G142" s="30"/>
      <c r="H142" s="13"/>
      <c r="I142" s="1"/>
      <c r="J142" s="30"/>
      <c r="K142" s="30"/>
      <c r="L142" s="1"/>
      <c r="M142" s="1"/>
      <c r="N142" s="1"/>
      <c r="O142" s="1"/>
    </row>
    <row r="143" spans="1:15" x14ac:dyDescent="0.3">
      <c r="A143" s="41"/>
      <c r="B143" s="10"/>
      <c r="C143" s="10"/>
      <c r="D143" s="11"/>
      <c r="E143" s="11"/>
      <c r="F143" s="30"/>
      <c r="G143" s="30"/>
      <c r="H143" s="13"/>
      <c r="I143" s="1"/>
      <c r="J143" s="30"/>
      <c r="K143" s="30"/>
      <c r="L143" s="1"/>
      <c r="M143" s="1"/>
      <c r="N143" s="1"/>
      <c r="O143" s="1"/>
    </row>
    <row r="144" spans="1:15" x14ac:dyDescent="0.3">
      <c r="A144" s="41"/>
      <c r="B144" s="10"/>
      <c r="C144" s="10"/>
      <c r="D144" s="11"/>
      <c r="E144" s="11"/>
      <c r="F144" s="30"/>
      <c r="G144" s="30"/>
      <c r="H144" s="13"/>
      <c r="I144" s="1"/>
      <c r="J144" s="30"/>
      <c r="K144" s="30"/>
      <c r="L144" s="1"/>
      <c r="M144" s="1"/>
      <c r="N144" s="1"/>
      <c r="O144" s="1"/>
    </row>
    <row r="145" spans="1:15" x14ac:dyDescent="0.3">
      <c r="A145" s="41"/>
      <c r="B145" s="10"/>
      <c r="C145" s="10"/>
      <c r="D145" s="11"/>
      <c r="E145" s="11"/>
      <c r="F145" s="30"/>
      <c r="G145" s="30"/>
      <c r="H145" s="13"/>
      <c r="I145" s="1"/>
      <c r="J145" s="30"/>
      <c r="K145" s="1"/>
      <c r="L145" s="1"/>
      <c r="M145" s="1"/>
      <c r="N145" s="1"/>
      <c r="O145" s="1"/>
    </row>
    <row r="146" spans="1:15" x14ac:dyDescent="0.3">
      <c r="A146" s="41"/>
      <c r="B146" s="10"/>
      <c r="C146" s="10"/>
      <c r="D146" s="11"/>
      <c r="E146" s="11"/>
      <c r="F146" s="30"/>
      <c r="G146" s="30"/>
      <c r="H146" s="13"/>
      <c r="I146" s="1"/>
      <c r="J146" s="30"/>
      <c r="K146" s="1"/>
      <c r="L146" s="1"/>
      <c r="M146" s="1"/>
      <c r="N146" s="1"/>
      <c r="O146" s="1"/>
    </row>
    <row r="147" spans="1:15" x14ac:dyDescent="0.3">
      <c r="A147" s="41"/>
      <c r="B147" s="10"/>
      <c r="C147" s="10"/>
      <c r="D147" s="11"/>
      <c r="E147" s="11"/>
      <c r="F147" s="30"/>
      <c r="G147" s="30"/>
      <c r="H147" s="13"/>
      <c r="I147" s="1"/>
      <c r="J147" s="30"/>
      <c r="K147" s="1"/>
      <c r="L147" s="1"/>
      <c r="M147" s="1"/>
      <c r="N147" s="1"/>
      <c r="O147" s="1"/>
    </row>
    <row r="148" spans="1:15" x14ac:dyDescent="0.3">
      <c r="A148" s="41"/>
      <c r="B148" s="10"/>
      <c r="C148" s="10"/>
      <c r="D148" s="11"/>
      <c r="E148" s="11"/>
      <c r="F148" s="30"/>
      <c r="G148" s="30"/>
      <c r="H148" s="13"/>
      <c r="I148" s="1"/>
      <c r="J148" s="30"/>
      <c r="K148" s="1"/>
      <c r="L148" s="1"/>
      <c r="M148" s="1"/>
      <c r="N148" s="1"/>
      <c r="O148" s="1"/>
    </row>
    <row r="149" spans="1:15" x14ac:dyDescent="0.3">
      <c r="A149" s="41"/>
      <c r="B149" s="10"/>
      <c r="C149" s="10"/>
      <c r="D149" s="11"/>
      <c r="E149" s="11"/>
      <c r="F149" s="30"/>
      <c r="G149" s="30"/>
      <c r="H149" s="13"/>
      <c r="I149" s="1"/>
      <c r="J149" s="30"/>
      <c r="K149" s="1"/>
      <c r="L149" s="1"/>
      <c r="M149" s="1"/>
      <c r="N149" s="1"/>
      <c r="O149" s="1"/>
    </row>
    <row r="150" spans="1:15" x14ac:dyDescent="0.3">
      <c r="A150" s="41"/>
      <c r="B150" s="10"/>
      <c r="C150" s="10"/>
      <c r="D150" s="11"/>
      <c r="E150" s="11"/>
      <c r="F150" s="30"/>
      <c r="G150" s="30"/>
      <c r="H150" s="13"/>
      <c r="I150" s="1"/>
      <c r="J150" s="30"/>
      <c r="K150" s="1"/>
      <c r="L150" s="1"/>
      <c r="M150" s="1"/>
      <c r="N150" s="1"/>
      <c r="O150" s="1"/>
    </row>
    <row r="151" spans="1:15" x14ac:dyDescent="0.3">
      <c r="A151" s="41"/>
      <c r="B151" s="10"/>
      <c r="C151" s="10"/>
      <c r="D151" s="11"/>
      <c r="E151" s="11"/>
      <c r="F151" s="30"/>
      <c r="G151" s="30"/>
      <c r="H151" s="13"/>
      <c r="I151" s="1"/>
      <c r="J151" s="30"/>
      <c r="K151" s="1"/>
      <c r="L151" s="1"/>
      <c r="M151" s="1"/>
      <c r="N151" s="1"/>
      <c r="O151" s="1"/>
    </row>
    <row r="152" spans="1:15" x14ac:dyDescent="0.3">
      <c r="A152" s="41"/>
      <c r="B152" s="10"/>
      <c r="C152" s="10"/>
      <c r="D152" s="11"/>
      <c r="E152" s="11"/>
      <c r="F152" s="30"/>
      <c r="G152" s="30"/>
      <c r="H152" s="13"/>
      <c r="I152" s="1"/>
      <c r="J152" s="30"/>
      <c r="K152" s="1"/>
      <c r="L152" s="1"/>
      <c r="M152" s="1"/>
      <c r="N152" s="1"/>
      <c r="O152" s="1"/>
    </row>
    <row r="153" spans="1:15" x14ac:dyDescent="0.3">
      <c r="A153" s="41"/>
      <c r="B153" s="10"/>
      <c r="C153" s="10"/>
      <c r="D153" s="11"/>
      <c r="E153" s="11"/>
      <c r="F153" s="30"/>
      <c r="G153" s="30"/>
      <c r="H153" s="13"/>
      <c r="I153" s="1"/>
      <c r="J153" s="30"/>
      <c r="K153" s="1"/>
      <c r="L153" s="1"/>
      <c r="M153" s="1"/>
      <c r="N153" s="1"/>
      <c r="O153" s="1"/>
    </row>
    <row r="154" spans="1:15" x14ac:dyDescent="0.3">
      <c r="A154" s="41"/>
      <c r="B154" s="10"/>
      <c r="C154" s="10"/>
      <c r="D154" s="11"/>
      <c r="E154" s="11"/>
      <c r="F154" s="30"/>
      <c r="G154" s="30"/>
      <c r="H154" s="13"/>
      <c r="I154" s="1"/>
      <c r="J154" s="30"/>
      <c r="K154" s="1"/>
      <c r="L154" s="1"/>
      <c r="M154" s="1"/>
      <c r="N154" s="1"/>
      <c r="O154" s="1"/>
    </row>
    <row r="155" spans="1:15" x14ac:dyDescent="0.3">
      <c r="A155" s="41"/>
      <c r="B155" s="10"/>
      <c r="C155" s="10"/>
      <c r="D155" s="11"/>
      <c r="E155" s="11"/>
      <c r="F155" s="30"/>
      <c r="G155" s="30"/>
      <c r="H155" s="13"/>
      <c r="I155" s="1"/>
      <c r="J155" s="30"/>
      <c r="K155" s="1"/>
      <c r="L155" s="1"/>
      <c r="M155" s="1"/>
      <c r="N155" s="1"/>
      <c r="O155" s="1"/>
    </row>
    <row r="156" spans="1:15" x14ac:dyDescent="0.3">
      <c r="A156" s="41"/>
      <c r="B156" s="10"/>
      <c r="C156" s="10"/>
      <c r="D156" s="11"/>
      <c r="E156" s="11"/>
      <c r="F156" s="30"/>
      <c r="G156" s="30"/>
      <c r="H156" s="13"/>
      <c r="I156" s="1"/>
      <c r="J156" s="30"/>
      <c r="K156" s="1"/>
      <c r="L156" s="1"/>
      <c r="M156" s="1"/>
      <c r="N156" s="1"/>
      <c r="O156" s="1"/>
    </row>
    <row r="157" spans="1:15" x14ac:dyDescent="0.3">
      <c r="A157" s="41"/>
      <c r="B157" s="10"/>
      <c r="C157" s="10"/>
      <c r="D157" s="11"/>
      <c r="E157" s="11"/>
      <c r="F157" s="30"/>
      <c r="G157" s="30"/>
      <c r="H157" s="13"/>
      <c r="I157" s="1"/>
      <c r="J157" s="30"/>
      <c r="K157" s="1"/>
      <c r="L157" s="1"/>
      <c r="M157" s="1"/>
      <c r="N157" s="1"/>
      <c r="O157" s="1"/>
    </row>
    <row r="158" spans="1:15" x14ac:dyDescent="0.3">
      <c r="A158" s="41"/>
      <c r="B158" s="10"/>
      <c r="C158" s="10"/>
      <c r="D158" s="11"/>
      <c r="E158" s="11"/>
      <c r="F158" s="30"/>
      <c r="G158" s="30"/>
      <c r="H158" s="13"/>
      <c r="I158" s="1"/>
      <c r="J158" s="30"/>
      <c r="K158" s="1"/>
      <c r="L158" s="1"/>
      <c r="M158" s="1"/>
      <c r="N158" s="1"/>
      <c r="O158" s="1"/>
    </row>
    <row r="159" spans="1:15" x14ac:dyDescent="0.3">
      <c r="A159" s="41"/>
      <c r="B159" s="10"/>
      <c r="C159" s="10"/>
      <c r="D159" s="11"/>
      <c r="E159" s="11"/>
      <c r="F159" s="30"/>
      <c r="G159" s="30"/>
      <c r="H159" s="13"/>
      <c r="I159" s="1"/>
      <c r="J159" s="30"/>
      <c r="K159" s="1"/>
      <c r="L159" s="1"/>
      <c r="M159" s="1"/>
      <c r="N159" s="1"/>
      <c r="O159" s="1"/>
    </row>
    <row r="160" spans="1:15" x14ac:dyDescent="0.3">
      <c r="A160" s="41"/>
      <c r="B160" s="10"/>
      <c r="C160" s="10"/>
      <c r="D160" s="11"/>
      <c r="E160" s="11"/>
      <c r="F160" s="30"/>
      <c r="G160" s="30"/>
      <c r="H160" s="13"/>
      <c r="I160" s="1"/>
      <c r="J160" s="30"/>
      <c r="K160" s="1"/>
      <c r="L160" s="1"/>
      <c r="M160" s="1"/>
      <c r="N160" s="1"/>
      <c r="O160" s="1"/>
    </row>
    <row r="161" spans="1:15" x14ac:dyDescent="0.3">
      <c r="A161" s="41"/>
      <c r="B161" s="10"/>
      <c r="C161" s="10"/>
      <c r="D161" s="11"/>
      <c r="E161" s="11"/>
      <c r="F161" s="30"/>
      <c r="G161" s="30"/>
      <c r="H161" s="13"/>
      <c r="I161" s="1"/>
      <c r="J161" s="30"/>
      <c r="K161" s="1"/>
      <c r="L161" s="1"/>
      <c r="M161" s="1"/>
      <c r="N161" s="1"/>
      <c r="O161" s="1"/>
    </row>
    <row r="162" spans="1:15" x14ac:dyDescent="0.3">
      <c r="A162" s="41"/>
      <c r="B162" s="10"/>
      <c r="C162" s="10"/>
      <c r="D162" s="11"/>
      <c r="E162" s="11"/>
      <c r="F162" s="30"/>
      <c r="G162" s="30"/>
      <c r="H162" s="13"/>
      <c r="I162" s="1"/>
      <c r="J162" s="30"/>
      <c r="K162" s="1"/>
      <c r="L162" s="1"/>
      <c r="M162" s="1"/>
      <c r="N162" s="1"/>
      <c r="O162" s="1"/>
    </row>
    <row r="163" spans="1:15" x14ac:dyDescent="0.3">
      <c r="A163" s="41"/>
      <c r="B163" s="10"/>
      <c r="C163" s="10"/>
      <c r="D163" s="11"/>
      <c r="E163" s="11"/>
      <c r="F163" s="30"/>
      <c r="G163" s="30"/>
      <c r="H163" s="13"/>
      <c r="I163" s="1"/>
      <c r="J163" s="30"/>
      <c r="K163" s="1"/>
      <c r="L163" s="1"/>
      <c r="M163" s="1"/>
      <c r="N163" s="1"/>
      <c r="O163" s="1"/>
    </row>
    <row r="164" spans="1:15" x14ac:dyDescent="0.3">
      <c r="A164" s="41"/>
      <c r="B164" s="10"/>
      <c r="C164" s="10"/>
      <c r="D164" s="11"/>
      <c r="E164" s="11"/>
      <c r="F164" s="30"/>
      <c r="G164" s="30"/>
      <c r="H164" s="13"/>
      <c r="I164" s="1"/>
      <c r="J164" s="30"/>
      <c r="K164" s="1"/>
      <c r="L164" s="1"/>
      <c r="M164" s="1"/>
      <c r="N164" s="1"/>
      <c r="O164" s="1"/>
    </row>
    <row r="165" spans="1:15" x14ac:dyDescent="0.3">
      <c r="A165" s="41"/>
      <c r="B165" s="10"/>
      <c r="C165" s="10"/>
      <c r="D165" s="11"/>
      <c r="E165" s="11"/>
      <c r="F165" s="30"/>
      <c r="G165" s="30"/>
      <c r="H165" s="13"/>
      <c r="I165" s="1"/>
      <c r="J165" s="30"/>
      <c r="K165" s="1"/>
      <c r="L165" s="1"/>
      <c r="M165" s="1"/>
      <c r="N165" s="1"/>
      <c r="O165" s="1"/>
    </row>
    <row r="166" spans="1:15" x14ac:dyDescent="0.3">
      <c r="A166" s="41"/>
      <c r="B166" s="10"/>
      <c r="C166" s="10"/>
      <c r="D166" s="11"/>
      <c r="E166" s="11"/>
      <c r="F166" s="30"/>
      <c r="G166" s="30"/>
      <c r="H166" s="13"/>
      <c r="I166" s="1"/>
      <c r="J166" s="30"/>
      <c r="K166" s="1"/>
      <c r="L166" s="1"/>
      <c r="M166" s="1"/>
      <c r="N166" s="1"/>
      <c r="O166" s="1"/>
    </row>
    <row r="167" spans="1:15" x14ac:dyDescent="0.3">
      <c r="A167" s="41"/>
      <c r="B167" s="10"/>
      <c r="C167" s="10"/>
      <c r="D167" s="11"/>
      <c r="E167" s="11"/>
      <c r="F167" s="30"/>
      <c r="G167" s="30"/>
      <c r="H167" s="13"/>
      <c r="I167" s="1"/>
      <c r="J167" s="30"/>
      <c r="K167" s="1"/>
      <c r="L167" s="1"/>
      <c r="M167" s="1"/>
      <c r="N167" s="1"/>
      <c r="O167" s="1"/>
    </row>
    <row r="168" spans="1:15" x14ac:dyDescent="0.3">
      <c r="A168" s="41"/>
      <c r="B168" s="10"/>
      <c r="C168" s="10"/>
      <c r="D168" s="11"/>
      <c r="E168" s="11"/>
      <c r="F168" s="30"/>
      <c r="G168" s="30"/>
      <c r="H168" s="13"/>
      <c r="I168" s="1"/>
      <c r="J168" s="30"/>
      <c r="K168" s="1"/>
      <c r="L168" s="1"/>
      <c r="M168" s="1"/>
      <c r="N168" s="1"/>
      <c r="O168" s="1"/>
    </row>
    <row r="169" spans="1:15" x14ac:dyDescent="0.3">
      <c r="A169" s="41"/>
      <c r="B169" s="10"/>
      <c r="C169" s="10"/>
      <c r="D169" s="11"/>
      <c r="E169" s="11"/>
      <c r="F169" s="30"/>
      <c r="G169" s="30"/>
      <c r="H169" s="13"/>
      <c r="I169" s="1"/>
      <c r="J169" s="30"/>
      <c r="K169" s="1"/>
      <c r="L169" s="1"/>
      <c r="M169" s="1"/>
      <c r="N169" s="1"/>
      <c r="O169" s="1"/>
    </row>
    <row r="170" spans="1:15" x14ac:dyDescent="0.3">
      <c r="A170" s="41"/>
      <c r="B170" s="10"/>
      <c r="C170" s="10"/>
      <c r="D170" s="11"/>
      <c r="E170" s="11"/>
      <c r="F170" s="30"/>
      <c r="G170" s="30"/>
      <c r="H170" s="13"/>
      <c r="I170" s="1"/>
      <c r="J170" s="30"/>
      <c r="K170" s="1"/>
      <c r="L170" s="1"/>
      <c r="M170" s="1"/>
      <c r="N170" s="1"/>
      <c r="O170" s="1"/>
    </row>
    <row r="171" spans="1:15" x14ac:dyDescent="0.3">
      <c r="A171" s="41"/>
      <c r="B171" s="10"/>
      <c r="C171" s="10"/>
      <c r="D171" s="11"/>
      <c r="E171" s="11"/>
      <c r="F171" s="30"/>
      <c r="G171" s="30"/>
      <c r="H171" s="13"/>
      <c r="I171" s="1"/>
      <c r="J171" s="30"/>
      <c r="K171" s="1"/>
      <c r="L171" s="1"/>
      <c r="M171" s="1"/>
      <c r="N171" s="1"/>
      <c r="O171" s="1"/>
    </row>
    <row r="172" spans="1:15" x14ac:dyDescent="0.3">
      <c r="A172" s="41"/>
      <c r="B172" s="10"/>
      <c r="C172" s="10"/>
      <c r="D172" s="11"/>
      <c r="E172" s="11"/>
      <c r="F172" s="30"/>
      <c r="G172" s="30"/>
      <c r="H172" s="13"/>
      <c r="I172" s="1"/>
      <c r="J172" s="30"/>
      <c r="K172" s="1"/>
      <c r="L172" s="1"/>
      <c r="M172" s="1"/>
      <c r="N172" s="1"/>
      <c r="O172" s="1"/>
    </row>
    <row r="173" spans="1:15" x14ac:dyDescent="0.3">
      <c r="A173" s="41"/>
      <c r="B173" s="10"/>
      <c r="C173" s="10"/>
      <c r="D173" s="11"/>
      <c r="E173" s="11"/>
      <c r="F173" s="30"/>
      <c r="G173" s="30"/>
      <c r="H173" s="13"/>
      <c r="I173" s="1"/>
      <c r="J173" s="30"/>
      <c r="K173" s="1"/>
      <c r="L173" s="1"/>
      <c r="M173" s="1"/>
      <c r="N173" s="1"/>
      <c r="O173" s="1"/>
    </row>
    <row r="174" spans="1:15" x14ac:dyDescent="0.3">
      <c r="A174" s="41"/>
      <c r="B174" s="10"/>
      <c r="C174" s="10"/>
      <c r="D174" s="11"/>
      <c r="E174" s="11"/>
      <c r="F174" s="30"/>
      <c r="G174" s="30"/>
      <c r="H174" s="13"/>
      <c r="I174" s="1"/>
      <c r="J174" s="30"/>
      <c r="K174" s="1"/>
      <c r="L174" s="1"/>
      <c r="M174" s="1"/>
      <c r="N174" s="1"/>
      <c r="O174" s="1"/>
    </row>
    <row r="175" spans="1:15" x14ac:dyDescent="0.3">
      <c r="A175" s="41"/>
      <c r="B175" s="10"/>
      <c r="C175" s="10"/>
      <c r="D175" s="11"/>
      <c r="E175" s="11"/>
      <c r="F175" s="30"/>
      <c r="G175" s="30"/>
      <c r="H175" s="13"/>
      <c r="I175" s="1"/>
      <c r="J175" s="30"/>
      <c r="K175" s="1"/>
      <c r="L175" s="1"/>
      <c r="M175" s="1"/>
      <c r="N175" s="1"/>
      <c r="O175" s="1"/>
    </row>
    <row r="176" spans="1:15" x14ac:dyDescent="0.3">
      <c r="A176" s="41"/>
      <c r="B176" s="10"/>
      <c r="C176" s="10"/>
      <c r="D176" s="11"/>
      <c r="E176" s="11"/>
      <c r="F176" s="30"/>
      <c r="G176" s="30"/>
      <c r="H176" s="13"/>
      <c r="I176" s="1"/>
      <c r="J176" s="30"/>
      <c r="K176" s="1"/>
      <c r="L176" s="1"/>
      <c r="M176" s="1"/>
      <c r="N176" s="1"/>
      <c r="O176" s="1"/>
    </row>
    <row r="177" spans="1:15" x14ac:dyDescent="0.3">
      <c r="A177" s="41"/>
      <c r="B177" s="10"/>
      <c r="C177" s="10"/>
      <c r="D177" s="11"/>
      <c r="E177" s="11"/>
      <c r="F177" s="30"/>
      <c r="G177" s="30"/>
      <c r="H177" s="13"/>
      <c r="I177" s="1"/>
      <c r="J177" s="30"/>
      <c r="K177" s="1"/>
      <c r="L177" s="1"/>
      <c r="M177" s="1"/>
      <c r="N177" s="1"/>
      <c r="O177" s="1"/>
    </row>
    <row r="178" spans="1:15" x14ac:dyDescent="0.3">
      <c r="A178" s="41"/>
      <c r="B178" s="10"/>
      <c r="C178" s="10"/>
      <c r="D178" s="11"/>
      <c r="E178" s="11"/>
      <c r="F178" s="30"/>
      <c r="G178" s="30"/>
      <c r="H178" s="13"/>
      <c r="I178" s="1"/>
      <c r="J178" s="30"/>
      <c r="K178" s="1"/>
      <c r="L178" s="1"/>
      <c r="M178" s="1"/>
      <c r="N178" s="1"/>
      <c r="O178" s="1"/>
    </row>
    <row r="179" spans="1:15" x14ac:dyDescent="0.3">
      <c r="A179" s="41"/>
      <c r="B179" s="10"/>
      <c r="C179" s="10"/>
      <c r="D179" s="11"/>
      <c r="E179" s="11"/>
      <c r="F179" s="30"/>
      <c r="G179" s="30"/>
      <c r="H179" s="13"/>
      <c r="I179" s="1"/>
      <c r="J179" s="30"/>
      <c r="K179" s="1"/>
      <c r="L179" s="1"/>
      <c r="M179" s="1"/>
      <c r="N179" s="1"/>
      <c r="O179" s="1"/>
    </row>
    <row r="180" spans="1:15" x14ac:dyDescent="0.3">
      <c r="A180" s="41"/>
      <c r="B180" s="10"/>
      <c r="C180" s="10"/>
      <c r="D180" s="11"/>
      <c r="E180" s="11"/>
      <c r="F180" s="30"/>
      <c r="G180" s="30"/>
      <c r="H180" s="13"/>
      <c r="I180" s="1"/>
      <c r="J180" s="30"/>
      <c r="K180" s="1"/>
      <c r="L180" s="1"/>
      <c r="M180" s="1"/>
      <c r="N180" s="1"/>
      <c r="O180" s="1"/>
    </row>
    <row r="181" spans="1:15" x14ac:dyDescent="0.3">
      <c r="A181" s="41"/>
      <c r="B181" s="10"/>
      <c r="C181" s="10"/>
      <c r="D181" s="11"/>
      <c r="E181" s="11"/>
      <c r="F181" s="30"/>
      <c r="G181" s="30"/>
      <c r="H181" s="13"/>
      <c r="I181" s="1"/>
      <c r="J181" s="30"/>
      <c r="K181" s="1"/>
      <c r="L181" s="1"/>
      <c r="M181" s="1"/>
      <c r="N181" s="1"/>
      <c r="O181" s="1"/>
    </row>
    <row r="182" spans="1:15" x14ac:dyDescent="0.3">
      <c r="A182" s="41"/>
      <c r="B182" s="10"/>
      <c r="C182" s="10"/>
      <c r="D182" s="11"/>
      <c r="E182" s="11"/>
      <c r="F182" s="30"/>
      <c r="G182" s="30"/>
      <c r="H182" s="13"/>
      <c r="I182" s="1"/>
      <c r="J182" s="30"/>
      <c r="K182" s="1"/>
      <c r="L182" s="1"/>
      <c r="M182" s="1"/>
      <c r="N182" s="1"/>
      <c r="O182" s="1"/>
    </row>
    <row r="183" spans="1:15" x14ac:dyDescent="0.3">
      <c r="A183" s="41"/>
      <c r="B183" s="10"/>
      <c r="C183" s="10"/>
      <c r="D183" s="11"/>
      <c r="E183" s="11"/>
      <c r="F183" s="30"/>
      <c r="G183" s="30"/>
      <c r="H183" s="13"/>
      <c r="I183" s="1"/>
      <c r="J183" s="30"/>
      <c r="K183" s="1"/>
      <c r="L183" s="1"/>
      <c r="M183" s="1"/>
      <c r="N183" s="1"/>
      <c r="O183" s="1"/>
    </row>
    <row r="184" spans="1:15" x14ac:dyDescent="0.3">
      <c r="A184" s="41"/>
      <c r="B184" s="10"/>
      <c r="C184" s="10"/>
      <c r="D184" s="11"/>
      <c r="E184" s="11"/>
      <c r="F184" s="30"/>
      <c r="G184" s="30"/>
      <c r="H184" s="13"/>
      <c r="I184" s="1"/>
      <c r="J184" s="30"/>
      <c r="K184" s="1"/>
      <c r="L184" s="1"/>
      <c r="M184" s="1"/>
      <c r="N184" s="1"/>
      <c r="O184" s="1"/>
    </row>
    <row r="185" spans="1:15" x14ac:dyDescent="0.3">
      <c r="A185" s="41"/>
      <c r="B185" s="10"/>
      <c r="C185" s="10"/>
      <c r="D185" s="11"/>
      <c r="E185" s="11"/>
      <c r="F185" s="30"/>
      <c r="G185" s="30"/>
      <c r="H185" s="13"/>
      <c r="I185" s="1"/>
      <c r="J185" s="30"/>
      <c r="K185" s="1"/>
      <c r="L185" s="1"/>
      <c r="M185" s="1"/>
      <c r="N185" s="1"/>
      <c r="O185" s="1"/>
    </row>
    <row r="186" spans="1:15" x14ac:dyDescent="0.3">
      <c r="A186" s="41"/>
      <c r="B186" s="10"/>
      <c r="C186" s="10"/>
      <c r="D186" s="11"/>
      <c r="E186" s="11"/>
      <c r="F186" s="30"/>
      <c r="G186" s="30"/>
      <c r="H186" s="13"/>
      <c r="I186" s="1"/>
      <c r="J186" s="30"/>
      <c r="K186" s="1"/>
      <c r="L186" s="1"/>
      <c r="M186" s="1"/>
      <c r="N186" s="1"/>
      <c r="O186" s="1"/>
    </row>
    <row r="187" spans="1:15" x14ac:dyDescent="0.3">
      <c r="A187" s="41"/>
      <c r="B187" s="10"/>
      <c r="C187" s="10"/>
      <c r="D187" s="11"/>
      <c r="E187" s="11"/>
      <c r="F187" s="30"/>
      <c r="G187" s="30"/>
      <c r="H187" s="13"/>
      <c r="I187" s="1"/>
      <c r="J187" s="30"/>
      <c r="K187" s="1"/>
      <c r="L187" s="1"/>
      <c r="M187" s="1"/>
      <c r="N187" s="1"/>
      <c r="O187" s="1"/>
    </row>
    <row r="188" spans="1:15" x14ac:dyDescent="0.3">
      <c r="A188" s="41"/>
      <c r="B188" s="10"/>
      <c r="C188" s="10"/>
      <c r="D188" s="11"/>
      <c r="E188" s="11"/>
      <c r="F188" s="30"/>
      <c r="G188" s="30"/>
      <c r="H188" s="13"/>
      <c r="I188" s="1"/>
      <c r="J188" s="30"/>
      <c r="K188" s="1"/>
      <c r="L188" s="1"/>
      <c r="M188" s="1"/>
      <c r="N188" s="1"/>
      <c r="O188" s="1"/>
    </row>
    <row r="189" spans="1:15" x14ac:dyDescent="0.3">
      <c r="A189" s="41"/>
      <c r="B189" s="10"/>
      <c r="C189" s="10"/>
      <c r="D189" s="11"/>
      <c r="E189" s="11"/>
      <c r="F189" s="30"/>
      <c r="G189" s="30"/>
      <c r="H189" s="13"/>
      <c r="I189" s="1"/>
      <c r="J189" s="30"/>
      <c r="K189" s="1"/>
      <c r="L189" s="1"/>
      <c r="M189" s="1"/>
      <c r="N189" s="1"/>
      <c r="O189" s="1"/>
    </row>
    <row r="190" spans="1:15" x14ac:dyDescent="0.3">
      <c r="A190" s="41"/>
      <c r="B190" s="10"/>
      <c r="C190" s="10"/>
      <c r="D190" s="11"/>
      <c r="E190" s="11"/>
      <c r="F190" s="30"/>
      <c r="G190" s="30"/>
      <c r="H190" s="13"/>
      <c r="I190" s="1"/>
      <c r="J190" s="30"/>
      <c r="K190" s="1"/>
      <c r="L190" s="1"/>
      <c r="M190" s="1"/>
      <c r="N190" s="1"/>
      <c r="O190" s="1"/>
    </row>
    <row r="191" spans="1:15" x14ac:dyDescent="0.3">
      <c r="A191" s="41"/>
      <c r="B191" s="10"/>
      <c r="C191" s="10"/>
      <c r="D191" s="11"/>
      <c r="E191" s="11"/>
      <c r="F191" s="30"/>
      <c r="G191" s="30"/>
      <c r="H191" s="13"/>
      <c r="I191" s="1"/>
      <c r="J191" s="30"/>
      <c r="K191" s="1"/>
      <c r="L191" s="1"/>
      <c r="M191" s="1"/>
      <c r="N191" s="1"/>
      <c r="O191" s="1"/>
    </row>
    <row r="192" spans="1:15" x14ac:dyDescent="0.3">
      <c r="A192" s="41"/>
      <c r="B192" s="10"/>
      <c r="C192" s="10"/>
      <c r="D192" s="11"/>
      <c r="E192" s="11"/>
      <c r="F192" s="30"/>
      <c r="G192" s="30"/>
      <c r="H192" s="13"/>
      <c r="I192" s="1"/>
      <c r="J192" s="30"/>
      <c r="K192" s="1"/>
      <c r="L192" s="1"/>
      <c r="M192" s="1"/>
      <c r="N192" s="1"/>
      <c r="O192" s="1"/>
    </row>
    <row r="193" spans="1:15" x14ac:dyDescent="0.3">
      <c r="A193" s="41"/>
      <c r="B193" s="10"/>
      <c r="C193" s="10"/>
      <c r="D193" s="11"/>
      <c r="E193" s="11"/>
      <c r="F193" s="30"/>
      <c r="G193" s="30"/>
      <c r="H193" s="13"/>
      <c r="I193" s="1"/>
      <c r="J193" s="30"/>
      <c r="K193" s="1"/>
      <c r="L193" s="1"/>
      <c r="M193" s="1"/>
      <c r="N193" s="1"/>
      <c r="O193" s="1"/>
    </row>
    <row r="194" spans="1:15" x14ac:dyDescent="0.3">
      <c r="A194" s="41"/>
      <c r="B194" s="10"/>
      <c r="C194" s="10"/>
      <c r="D194" s="11"/>
      <c r="E194" s="11"/>
      <c r="F194" s="30"/>
      <c r="G194" s="30"/>
      <c r="H194" s="13"/>
      <c r="I194" s="1"/>
      <c r="J194" s="30"/>
      <c r="K194" s="1"/>
      <c r="L194" s="1"/>
      <c r="M194" s="1"/>
      <c r="N194" s="1"/>
      <c r="O194" s="1"/>
    </row>
    <row r="195" spans="1:15" x14ac:dyDescent="0.3">
      <c r="A195" s="41"/>
      <c r="B195" s="10"/>
      <c r="C195" s="10"/>
      <c r="D195" s="11"/>
      <c r="E195" s="11"/>
      <c r="F195" s="30"/>
      <c r="G195" s="30"/>
      <c r="H195" s="13"/>
      <c r="I195" s="1"/>
      <c r="J195" s="30"/>
      <c r="K195" s="1"/>
      <c r="L195" s="1"/>
      <c r="M195" s="1"/>
      <c r="N195" s="1"/>
      <c r="O195" s="1"/>
    </row>
    <row r="196" spans="1:15" x14ac:dyDescent="0.3">
      <c r="A196" s="41"/>
      <c r="B196" s="10"/>
      <c r="C196" s="10"/>
      <c r="D196" s="11"/>
      <c r="E196" s="11"/>
      <c r="F196" s="30"/>
      <c r="G196" s="30"/>
      <c r="H196" s="13"/>
      <c r="I196" s="1"/>
      <c r="J196" s="30"/>
      <c r="K196" s="1"/>
      <c r="L196" s="1"/>
      <c r="M196" s="1"/>
      <c r="N196" s="1"/>
      <c r="O196" s="1"/>
    </row>
    <row r="197" spans="1:15" x14ac:dyDescent="0.3">
      <c r="A197" s="41"/>
      <c r="B197" s="10"/>
      <c r="C197" s="10"/>
      <c r="D197" s="11"/>
      <c r="E197" s="11"/>
      <c r="F197" s="30"/>
      <c r="G197" s="30"/>
      <c r="H197" s="13"/>
      <c r="I197" s="1"/>
      <c r="J197" s="30"/>
      <c r="K197" s="1"/>
      <c r="L197" s="1"/>
      <c r="M197" s="1"/>
      <c r="N197" s="1"/>
      <c r="O197" s="1"/>
    </row>
    <row r="198" spans="1:15" x14ac:dyDescent="0.3">
      <c r="A198" s="41"/>
      <c r="B198" s="10"/>
      <c r="C198" s="10"/>
      <c r="D198" s="11"/>
      <c r="E198" s="11"/>
      <c r="F198" s="30"/>
      <c r="G198" s="30"/>
      <c r="H198" s="13"/>
      <c r="I198" s="1"/>
      <c r="J198" s="30"/>
      <c r="K198" s="1"/>
      <c r="L198" s="1"/>
      <c r="M198" s="1"/>
      <c r="N198" s="1"/>
      <c r="O198" s="1"/>
    </row>
    <row r="199" spans="1:15" x14ac:dyDescent="0.3">
      <c r="A199" s="41"/>
      <c r="B199" s="10"/>
      <c r="C199" s="10"/>
      <c r="D199" s="11"/>
      <c r="E199" s="11"/>
      <c r="F199" s="30"/>
      <c r="G199" s="30"/>
      <c r="H199" s="13"/>
      <c r="I199" s="1"/>
      <c r="J199" s="30"/>
      <c r="K199" s="1"/>
      <c r="L199" s="1"/>
      <c r="M199" s="1"/>
      <c r="N199" s="1"/>
      <c r="O199" s="1"/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4" type="noConversion"/>
  <conditionalFormatting sqref="A3:A19 A100:A107 F100:F126 A109:A126">
    <cfRule type="expression" dxfId="170" priority="10" stopIfTrue="1">
      <formula>EXACT($C3,"HUMMER")</formula>
    </cfRule>
    <cfRule type="expression" dxfId="169" priority="11" stopIfTrue="1">
      <formula>EXACT($C3,"BLANCA")</formula>
    </cfRule>
    <cfRule type="expression" dxfId="168" priority="12" stopIfTrue="1">
      <formula>EXACT($C3,"ROSA")</formula>
    </cfRule>
  </conditionalFormatting>
  <conditionalFormatting sqref="A20:A23 A25:A28 A30:A34">
    <cfRule type="expression" dxfId="167" priority="16" stopIfTrue="1">
      <formula>EXACT($C21,"HUMMER")</formula>
    </cfRule>
    <cfRule type="expression" dxfId="166" priority="17" stopIfTrue="1">
      <formula>EXACT($C21,"BLANCA")</formula>
    </cfRule>
    <cfRule type="expression" dxfId="165" priority="18" stopIfTrue="1">
      <formula>EXACT($C21,"ROSA")</formula>
    </cfRule>
  </conditionalFormatting>
  <conditionalFormatting sqref="A24">
    <cfRule type="expression" dxfId="164" priority="4" stopIfTrue="1">
      <formula>EXACT($C24,"HUMMER")</formula>
    </cfRule>
    <cfRule type="expression" dxfId="163" priority="5" stopIfTrue="1">
      <formula>EXACT($C24,"BLANCA")</formula>
    </cfRule>
    <cfRule type="expression" dxfId="162" priority="6" stopIfTrue="1">
      <formula>EXACT($C24,"ROSA")</formula>
    </cfRule>
  </conditionalFormatting>
  <conditionalFormatting sqref="A29">
    <cfRule type="expression" dxfId="161" priority="1" stopIfTrue="1">
      <formula>EXACT($C29,"HUMMER")</formula>
    </cfRule>
    <cfRule type="expression" dxfId="160" priority="2" stopIfTrue="1">
      <formula>EXACT($C29,"BLANCA")</formula>
    </cfRule>
    <cfRule type="expression" dxfId="159" priority="3" stopIfTrue="1">
      <formula>EXACT($C29,"ROSA")</formula>
    </cfRule>
  </conditionalFormatting>
  <conditionalFormatting sqref="A35:A37">
    <cfRule type="expression" dxfId="158" priority="19" stopIfTrue="1">
      <formula>EXACT($C37,"HUMMER")</formula>
    </cfRule>
    <cfRule type="expression" dxfId="157" priority="20" stopIfTrue="1">
      <formula>EXACT($C37,"BLANCA")</formula>
    </cfRule>
    <cfRule type="expression" dxfId="156" priority="21" stopIfTrue="1">
      <formula>EXACT($C37,"ROSA")</formula>
    </cfRule>
  </conditionalFormatting>
  <conditionalFormatting sqref="F3:F8">
    <cfRule type="expression" dxfId="155" priority="7" stopIfTrue="1">
      <formula>EXACT($C3,"HUMMER")</formula>
    </cfRule>
    <cfRule type="expression" dxfId="154" priority="8" stopIfTrue="1">
      <formula>EXACT($C3,"BLANCA")</formula>
    </cfRule>
    <cfRule type="expression" dxfId="153" priority="9" stopIfTrue="1">
      <formula>EXACT($C3,"ROSA")</formula>
    </cfRule>
  </conditionalFormatting>
  <conditionalFormatting sqref="F26:F35 F37">
    <cfRule type="expression" dxfId="152" priority="13" stopIfTrue="1">
      <formula>EXACT($C26,"HUMMER")</formula>
    </cfRule>
    <cfRule type="expression" dxfId="151" priority="14" stopIfTrue="1">
      <formula>EXACT($C26,"BLANCA")</formula>
    </cfRule>
    <cfRule type="expression" dxfId="150" priority="15" stopIfTrue="1">
      <formula>EXACT($C26,"ROSA")</formula>
    </cfRule>
  </conditionalFormatting>
  <conditionalFormatting sqref="F36">
    <cfRule type="expression" dxfId="149" priority="22" stopIfTrue="1">
      <formula>EXACT($C39,"HUMMER")</formula>
    </cfRule>
    <cfRule type="expression" dxfId="148" priority="23" stopIfTrue="1">
      <formula>EXACT($C39,"BLANCA")</formula>
    </cfRule>
    <cfRule type="expression" dxfId="147" priority="24" stopIfTrue="1">
      <formula>EXACT($C39,"ROSA")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8131-7DA6-4E98-8523-37301FD66AC4}">
  <dimension ref="A1:O162"/>
  <sheetViews>
    <sheetView topLeftCell="A106" workbookViewId="0">
      <selection activeCell="D163" sqref="D163"/>
    </sheetView>
  </sheetViews>
  <sheetFormatPr baseColWidth="10" defaultRowHeight="14.4" x14ac:dyDescent="0.3"/>
  <cols>
    <col min="2" max="2" width="24" customWidth="1"/>
    <col min="3" max="3" width="39.6640625" customWidth="1"/>
    <col min="4" max="4" width="15.6640625" customWidth="1"/>
    <col min="7" max="7" width="18.33203125" customWidth="1"/>
    <col min="9" max="9" width="21.5546875" customWidth="1"/>
    <col min="10" max="10" width="13" bestFit="1" customWidth="1"/>
    <col min="13" max="13" width="14.44140625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10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3"/>
      <c r="N2" s="115"/>
      <c r="O2" s="113"/>
    </row>
    <row r="3" spans="1:15" x14ac:dyDescent="0.3">
      <c r="A3" s="9">
        <v>45324</v>
      </c>
      <c r="B3" s="10" t="s">
        <v>123</v>
      </c>
      <c r="C3" s="10" t="s">
        <v>14</v>
      </c>
      <c r="D3" s="11">
        <f t="shared" ref="D3:D66" si="0">F3/1.21</f>
        <v>140.49586776859505</v>
      </c>
      <c r="E3" s="11">
        <f>D3*10/100</f>
        <v>14.049586776859506</v>
      </c>
      <c r="F3" s="12">
        <v>170</v>
      </c>
      <c r="G3" s="11">
        <v>50</v>
      </c>
      <c r="H3" s="13">
        <v>120</v>
      </c>
      <c r="I3" s="14" t="s">
        <v>289</v>
      </c>
      <c r="J3" s="11">
        <v>170</v>
      </c>
      <c r="K3" s="11"/>
      <c r="L3" s="10"/>
      <c r="M3" s="15"/>
      <c r="N3" s="3"/>
      <c r="O3" s="3"/>
    </row>
    <row r="4" spans="1:15" x14ac:dyDescent="0.3">
      <c r="A4" s="9">
        <v>45324</v>
      </c>
      <c r="B4" s="10" t="s">
        <v>124</v>
      </c>
      <c r="C4" s="10" t="s">
        <v>14</v>
      </c>
      <c r="D4" s="11">
        <f t="shared" si="0"/>
        <v>223.14049586776861</v>
      </c>
      <c r="E4" s="11">
        <f t="shared" ref="E4:E67" si="1">D4*10/100</f>
        <v>22.314049586776861</v>
      </c>
      <c r="F4" s="16">
        <v>270</v>
      </c>
      <c r="G4" s="11">
        <v>50</v>
      </c>
      <c r="H4" s="13">
        <v>220</v>
      </c>
      <c r="I4" s="14" t="s">
        <v>354</v>
      </c>
      <c r="J4" s="11">
        <v>270</v>
      </c>
      <c r="K4" s="11"/>
      <c r="L4" s="10"/>
      <c r="M4" s="15"/>
      <c r="N4" s="3"/>
      <c r="O4" s="3"/>
    </row>
    <row r="5" spans="1:15" x14ac:dyDescent="0.3">
      <c r="A5" s="9">
        <v>45324</v>
      </c>
      <c r="B5" s="10" t="s">
        <v>125</v>
      </c>
      <c r="C5" s="10" t="s">
        <v>14</v>
      </c>
      <c r="D5" s="11">
        <f t="shared" si="0"/>
        <v>181.81818181818181</v>
      </c>
      <c r="E5" s="11">
        <f t="shared" si="1"/>
        <v>18.18181818181818</v>
      </c>
      <c r="F5" s="16">
        <v>220</v>
      </c>
      <c r="G5" s="11">
        <v>50</v>
      </c>
      <c r="H5" s="13">
        <f>F5-G5</f>
        <v>170</v>
      </c>
      <c r="I5" s="14" t="s">
        <v>355</v>
      </c>
      <c r="J5" s="11">
        <v>220</v>
      </c>
      <c r="K5" s="11"/>
      <c r="L5" s="10"/>
      <c r="M5" s="15"/>
      <c r="N5" s="3"/>
      <c r="O5" s="3"/>
    </row>
    <row r="6" spans="1:15" x14ac:dyDescent="0.3">
      <c r="A6" s="9">
        <v>45324</v>
      </c>
      <c r="B6" s="10" t="s">
        <v>126</v>
      </c>
      <c r="C6" s="10" t="s">
        <v>14</v>
      </c>
      <c r="D6" s="11">
        <f t="shared" si="0"/>
        <v>181.81818181818181</v>
      </c>
      <c r="E6" s="11">
        <f t="shared" si="1"/>
        <v>18.18181818181818</v>
      </c>
      <c r="F6" s="16">
        <v>220</v>
      </c>
      <c r="G6" s="11">
        <v>50</v>
      </c>
      <c r="H6" s="13">
        <f t="shared" ref="H6:H69" si="2">F6-G6</f>
        <v>170</v>
      </c>
      <c r="I6" s="14" t="s">
        <v>356</v>
      </c>
      <c r="J6" s="11">
        <v>220</v>
      </c>
      <c r="K6" s="11"/>
      <c r="L6" s="10"/>
      <c r="M6" s="15"/>
      <c r="N6" s="3"/>
      <c r="O6" s="3"/>
    </row>
    <row r="7" spans="1:15" x14ac:dyDescent="0.3">
      <c r="A7" s="9">
        <v>45324</v>
      </c>
      <c r="B7" s="10" t="s">
        <v>127</v>
      </c>
      <c r="C7" s="10" t="s">
        <v>14</v>
      </c>
      <c r="D7" s="11">
        <f t="shared" si="0"/>
        <v>148.7603305785124</v>
      </c>
      <c r="E7" s="11">
        <f t="shared" si="1"/>
        <v>14.876033057851238</v>
      </c>
      <c r="F7" s="16">
        <v>180</v>
      </c>
      <c r="G7" s="11"/>
      <c r="H7" s="13">
        <f t="shared" si="2"/>
        <v>180</v>
      </c>
      <c r="I7" s="56" t="s">
        <v>357</v>
      </c>
      <c r="J7" s="11">
        <v>180</v>
      </c>
      <c r="K7" s="11"/>
      <c r="L7" s="10"/>
      <c r="M7" s="15"/>
      <c r="N7" s="17"/>
      <c r="O7" s="3"/>
    </row>
    <row r="8" spans="1:15" x14ac:dyDescent="0.3">
      <c r="A8" s="9">
        <v>45324</v>
      </c>
      <c r="B8" s="10" t="s">
        <v>128</v>
      </c>
      <c r="C8" s="10" t="s">
        <v>14</v>
      </c>
      <c r="D8" s="11">
        <f t="shared" si="0"/>
        <v>181.81818181818181</v>
      </c>
      <c r="E8" s="11">
        <f t="shared" si="1"/>
        <v>18.18181818181818</v>
      </c>
      <c r="F8" s="12">
        <v>220</v>
      </c>
      <c r="G8" s="11">
        <v>50</v>
      </c>
      <c r="H8" s="13">
        <f t="shared" si="2"/>
        <v>170</v>
      </c>
      <c r="I8" s="14" t="s">
        <v>358</v>
      </c>
      <c r="J8" s="11">
        <v>220</v>
      </c>
      <c r="K8" s="11"/>
      <c r="L8" s="10"/>
      <c r="M8" s="15"/>
      <c r="N8" s="3"/>
      <c r="O8" s="3"/>
    </row>
    <row r="9" spans="1:15" x14ac:dyDescent="0.3">
      <c r="A9" s="9">
        <v>45324</v>
      </c>
      <c r="B9" s="10" t="s">
        <v>129</v>
      </c>
      <c r="C9" s="10" t="s">
        <v>14</v>
      </c>
      <c r="D9" s="11">
        <f t="shared" si="0"/>
        <v>140.49586776859505</v>
      </c>
      <c r="E9" s="11">
        <f t="shared" si="1"/>
        <v>14.049586776859506</v>
      </c>
      <c r="F9" s="18">
        <v>170</v>
      </c>
      <c r="G9" s="18">
        <v>50</v>
      </c>
      <c r="H9" s="13">
        <f t="shared" si="2"/>
        <v>120</v>
      </c>
      <c r="I9" s="19" t="s">
        <v>359</v>
      </c>
      <c r="J9" s="11">
        <v>170</v>
      </c>
      <c r="K9" s="11"/>
      <c r="L9" s="10"/>
      <c r="M9" s="15"/>
      <c r="N9" s="3"/>
      <c r="O9" s="3"/>
    </row>
    <row r="10" spans="1:15" x14ac:dyDescent="0.3">
      <c r="A10" s="9">
        <v>45324</v>
      </c>
      <c r="B10" s="10" t="s">
        <v>130</v>
      </c>
      <c r="C10" s="10" t="s">
        <v>14</v>
      </c>
      <c r="D10" s="11">
        <f t="shared" si="0"/>
        <v>140.49586776859505</v>
      </c>
      <c r="E10" s="11">
        <f t="shared" si="1"/>
        <v>14.049586776859506</v>
      </c>
      <c r="F10" s="18">
        <v>170</v>
      </c>
      <c r="G10" s="18">
        <v>50</v>
      </c>
      <c r="H10" s="13">
        <f t="shared" si="2"/>
        <v>120</v>
      </c>
      <c r="I10" s="19" t="s">
        <v>360</v>
      </c>
      <c r="J10" s="11">
        <v>170</v>
      </c>
      <c r="K10" s="11"/>
      <c r="L10" s="10"/>
      <c r="M10" s="15"/>
      <c r="N10" s="3"/>
      <c r="O10" s="3"/>
    </row>
    <row r="11" spans="1:15" x14ac:dyDescent="0.3">
      <c r="A11" s="9">
        <v>45325</v>
      </c>
      <c r="B11" s="10" t="s">
        <v>131</v>
      </c>
      <c r="C11" s="10" t="s">
        <v>14</v>
      </c>
      <c r="D11" s="11">
        <f t="shared" si="0"/>
        <v>214.87603305785126</v>
      </c>
      <c r="E11" s="11">
        <f t="shared" si="1"/>
        <v>21.487603305785125</v>
      </c>
      <c r="F11" s="18">
        <v>260</v>
      </c>
      <c r="G11" s="18"/>
      <c r="H11" s="13">
        <f t="shared" si="2"/>
        <v>260</v>
      </c>
      <c r="I11" s="57" t="s">
        <v>357</v>
      </c>
      <c r="J11" s="11">
        <v>260</v>
      </c>
      <c r="K11" s="11"/>
      <c r="L11" s="10"/>
      <c r="M11" s="15"/>
      <c r="N11" s="3"/>
      <c r="O11" s="3"/>
    </row>
    <row r="12" spans="1:15" x14ac:dyDescent="0.3">
      <c r="A12" s="9">
        <v>45325</v>
      </c>
      <c r="B12" s="10" t="s">
        <v>132</v>
      </c>
      <c r="C12" s="10" t="s">
        <v>14</v>
      </c>
      <c r="D12" s="11">
        <f t="shared" si="0"/>
        <v>210.74380165289256</v>
      </c>
      <c r="E12" s="11">
        <f t="shared" si="1"/>
        <v>21.074380165289259</v>
      </c>
      <c r="F12" s="18">
        <v>255</v>
      </c>
      <c r="G12" s="18">
        <v>50</v>
      </c>
      <c r="H12" s="13">
        <f t="shared" si="2"/>
        <v>205</v>
      </c>
      <c r="I12" s="19" t="s">
        <v>361</v>
      </c>
      <c r="J12" s="11">
        <v>170</v>
      </c>
      <c r="K12" s="11">
        <v>40</v>
      </c>
      <c r="L12" s="10" t="s">
        <v>223</v>
      </c>
      <c r="M12" s="15">
        <v>40</v>
      </c>
      <c r="N12" s="3" t="s">
        <v>16</v>
      </c>
      <c r="O12" s="3"/>
    </row>
    <row r="13" spans="1:15" x14ac:dyDescent="0.3">
      <c r="A13" s="9">
        <v>45325</v>
      </c>
      <c r="B13" s="10" t="s">
        <v>133</v>
      </c>
      <c r="C13" s="10" t="s">
        <v>14</v>
      </c>
      <c r="D13" s="11">
        <f t="shared" si="0"/>
        <v>115.70247933884298</v>
      </c>
      <c r="E13" s="11">
        <f t="shared" si="1"/>
        <v>11.570247933884298</v>
      </c>
      <c r="F13" s="18">
        <v>140</v>
      </c>
      <c r="G13" s="18"/>
      <c r="H13" s="13">
        <f t="shared" si="2"/>
        <v>140</v>
      </c>
      <c r="I13" s="59" t="s">
        <v>362</v>
      </c>
      <c r="J13" s="11">
        <v>140</v>
      </c>
      <c r="K13" s="11"/>
      <c r="L13" s="10"/>
      <c r="M13" s="15"/>
      <c r="N13" s="3"/>
      <c r="O13" s="3"/>
    </row>
    <row r="14" spans="1:15" x14ac:dyDescent="0.3">
      <c r="A14" s="9">
        <v>45325</v>
      </c>
      <c r="B14" s="10" t="s">
        <v>134</v>
      </c>
      <c r="C14" s="10" t="s">
        <v>14</v>
      </c>
      <c r="D14" s="11">
        <f t="shared" si="0"/>
        <v>115.70247933884298</v>
      </c>
      <c r="E14" s="11">
        <f t="shared" si="1"/>
        <v>11.570247933884298</v>
      </c>
      <c r="F14" s="18">
        <v>140</v>
      </c>
      <c r="G14" s="18"/>
      <c r="H14" s="13">
        <f t="shared" si="2"/>
        <v>140</v>
      </c>
      <c r="I14" s="60" t="s">
        <v>363</v>
      </c>
      <c r="J14" s="11">
        <v>140</v>
      </c>
      <c r="K14" s="11"/>
      <c r="L14" s="10"/>
      <c r="M14" s="15"/>
      <c r="N14" s="3"/>
      <c r="O14" s="3"/>
    </row>
    <row r="15" spans="1:15" x14ac:dyDescent="0.3">
      <c r="A15" s="9">
        <v>45325</v>
      </c>
      <c r="B15" s="10" t="s">
        <v>135</v>
      </c>
      <c r="C15" s="10" t="s">
        <v>14</v>
      </c>
      <c r="D15" s="11">
        <f t="shared" si="0"/>
        <v>107.43801652892563</v>
      </c>
      <c r="E15" s="11">
        <f t="shared" si="1"/>
        <v>10.743801652892563</v>
      </c>
      <c r="F15" s="18">
        <v>130</v>
      </c>
      <c r="G15" s="18"/>
      <c r="H15" s="13">
        <f t="shared" si="2"/>
        <v>130</v>
      </c>
      <c r="I15" s="57" t="s">
        <v>364</v>
      </c>
      <c r="J15" s="11">
        <v>130</v>
      </c>
      <c r="K15" s="11"/>
      <c r="L15" s="10"/>
      <c r="M15" s="15"/>
      <c r="N15" s="3"/>
      <c r="O15" s="3"/>
    </row>
    <row r="16" spans="1:15" x14ac:dyDescent="0.3">
      <c r="A16" s="9">
        <v>45325</v>
      </c>
      <c r="B16" s="10" t="s">
        <v>136</v>
      </c>
      <c r="C16" s="10" t="s">
        <v>14</v>
      </c>
      <c r="D16" s="11">
        <f t="shared" si="0"/>
        <v>140.49586776859505</v>
      </c>
      <c r="E16" s="11">
        <f t="shared" si="1"/>
        <v>14.049586776859506</v>
      </c>
      <c r="F16" s="18">
        <v>170</v>
      </c>
      <c r="G16" s="18">
        <v>50</v>
      </c>
      <c r="H16" s="13">
        <f t="shared" si="2"/>
        <v>120</v>
      </c>
      <c r="I16" s="19" t="s">
        <v>371</v>
      </c>
      <c r="J16" s="11">
        <v>170</v>
      </c>
      <c r="K16" s="11"/>
      <c r="L16" s="10"/>
      <c r="M16" s="20"/>
      <c r="N16" s="3"/>
      <c r="O16" s="3"/>
    </row>
    <row r="17" spans="1:15" x14ac:dyDescent="0.3">
      <c r="A17" s="9">
        <v>45325</v>
      </c>
      <c r="B17" s="10" t="s">
        <v>137</v>
      </c>
      <c r="C17" s="10" t="s">
        <v>14</v>
      </c>
      <c r="D17" s="11">
        <f t="shared" si="0"/>
        <v>157.02479338842977</v>
      </c>
      <c r="E17" s="11">
        <f t="shared" si="1"/>
        <v>15.702479338842977</v>
      </c>
      <c r="F17" s="18">
        <v>190</v>
      </c>
      <c r="G17" s="18">
        <v>50</v>
      </c>
      <c r="H17" s="13">
        <f t="shared" si="2"/>
        <v>140</v>
      </c>
      <c r="I17" s="19" t="s">
        <v>372</v>
      </c>
      <c r="J17" s="11">
        <v>170</v>
      </c>
      <c r="K17" s="11">
        <v>20</v>
      </c>
      <c r="L17" s="10" t="s">
        <v>223</v>
      </c>
      <c r="M17" s="15"/>
      <c r="N17" s="3"/>
      <c r="O17" s="3"/>
    </row>
    <row r="18" spans="1:15" x14ac:dyDescent="0.3">
      <c r="A18" s="9">
        <v>45325</v>
      </c>
      <c r="B18" s="10" t="s">
        <v>138</v>
      </c>
      <c r="C18" s="10" t="s">
        <v>14</v>
      </c>
      <c r="D18" s="11">
        <f t="shared" si="0"/>
        <v>115.70247933884298</v>
      </c>
      <c r="E18" s="11">
        <f t="shared" si="1"/>
        <v>11.570247933884298</v>
      </c>
      <c r="F18" s="18">
        <v>140</v>
      </c>
      <c r="G18" s="18"/>
      <c r="H18" s="13">
        <f t="shared" si="2"/>
        <v>140</v>
      </c>
      <c r="I18" s="59" t="s">
        <v>362</v>
      </c>
      <c r="J18" s="11">
        <v>140</v>
      </c>
      <c r="K18" s="11"/>
      <c r="L18" s="10"/>
      <c r="M18" s="15"/>
      <c r="N18" s="3"/>
      <c r="O18" s="3"/>
    </row>
    <row r="19" spans="1:15" x14ac:dyDescent="0.3">
      <c r="A19" s="9">
        <v>45325</v>
      </c>
      <c r="B19" s="10" t="s">
        <v>139</v>
      </c>
      <c r="C19" s="10" t="s">
        <v>14</v>
      </c>
      <c r="D19" s="11">
        <f t="shared" si="0"/>
        <v>115.70247933884298</v>
      </c>
      <c r="E19" s="11">
        <f t="shared" si="1"/>
        <v>11.570247933884298</v>
      </c>
      <c r="F19" s="18">
        <v>140</v>
      </c>
      <c r="G19" s="18"/>
      <c r="H19" s="13">
        <f t="shared" si="2"/>
        <v>140</v>
      </c>
      <c r="I19" s="59" t="s">
        <v>362</v>
      </c>
      <c r="J19" s="11">
        <v>140</v>
      </c>
      <c r="K19" s="11"/>
      <c r="L19" s="10"/>
      <c r="M19" s="15"/>
      <c r="N19" s="3"/>
      <c r="O19" s="3"/>
    </row>
    <row r="20" spans="1:15" x14ac:dyDescent="0.3">
      <c r="A20" s="9">
        <v>45325</v>
      </c>
      <c r="B20" s="10" t="s">
        <v>140</v>
      </c>
      <c r="C20" s="10" t="s">
        <v>14</v>
      </c>
      <c r="D20" s="11">
        <f t="shared" si="0"/>
        <v>115.70247933884298</v>
      </c>
      <c r="E20" s="11">
        <f t="shared" si="1"/>
        <v>11.570247933884298</v>
      </c>
      <c r="F20" s="18">
        <v>140</v>
      </c>
      <c r="G20" s="18"/>
      <c r="H20" s="13">
        <f t="shared" si="2"/>
        <v>140</v>
      </c>
      <c r="I20" s="59" t="s">
        <v>362</v>
      </c>
      <c r="J20" s="11">
        <v>140</v>
      </c>
      <c r="K20" s="11"/>
      <c r="L20" s="10"/>
      <c r="M20" s="15"/>
      <c r="N20" s="3"/>
      <c r="O20" s="3"/>
    </row>
    <row r="21" spans="1:15" x14ac:dyDescent="0.3">
      <c r="A21" s="9">
        <v>45325</v>
      </c>
      <c r="B21" s="10" t="s">
        <v>141</v>
      </c>
      <c r="C21" s="10" t="s">
        <v>14</v>
      </c>
      <c r="D21" s="11">
        <f t="shared" si="0"/>
        <v>115.70247933884298</v>
      </c>
      <c r="E21" s="11">
        <f t="shared" si="1"/>
        <v>11.570247933884298</v>
      </c>
      <c r="F21" s="18">
        <v>140</v>
      </c>
      <c r="G21" s="21"/>
      <c r="H21" s="13">
        <f t="shared" si="2"/>
        <v>140</v>
      </c>
      <c r="I21" s="59" t="s">
        <v>362</v>
      </c>
      <c r="J21" s="11">
        <v>140</v>
      </c>
      <c r="K21" s="11"/>
      <c r="L21" s="10"/>
      <c r="M21" s="15"/>
      <c r="N21" s="3"/>
      <c r="O21" s="3"/>
    </row>
    <row r="22" spans="1:15" x14ac:dyDescent="0.3">
      <c r="A22" s="9">
        <v>45325</v>
      </c>
      <c r="B22" s="10" t="s">
        <v>142</v>
      </c>
      <c r="C22" s="10" t="s">
        <v>14</v>
      </c>
      <c r="D22" s="11">
        <f t="shared" si="0"/>
        <v>239.6694214876033</v>
      </c>
      <c r="E22" s="11">
        <f t="shared" si="1"/>
        <v>23.966942148760332</v>
      </c>
      <c r="F22" s="18">
        <v>290</v>
      </c>
      <c r="G22" s="11"/>
      <c r="H22" s="13">
        <f t="shared" si="2"/>
        <v>290</v>
      </c>
      <c r="I22" s="19" t="s">
        <v>365</v>
      </c>
      <c r="J22" s="11">
        <v>270</v>
      </c>
      <c r="K22" s="11">
        <v>20</v>
      </c>
      <c r="L22" s="10" t="s">
        <v>223</v>
      </c>
      <c r="M22" s="15"/>
      <c r="N22" s="3"/>
      <c r="O22" s="3"/>
    </row>
    <row r="23" spans="1:15" x14ac:dyDescent="0.3">
      <c r="A23" s="9">
        <v>45325</v>
      </c>
      <c r="B23" s="10" t="s">
        <v>143</v>
      </c>
      <c r="C23" s="10" t="s">
        <v>14</v>
      </c>
      <c r="D23" s="11">
        <f t="shared" si="0"/>
        <v>165.28925619834712</v>
      </c>
      <c r="E23" s="11">
        <f t="shared" si="1"/>
        <v>16.528925619834713</v>
      </c>
      <c r="F23" s="18">
        <v>200</v>
      </c>
      <c r="G23" s="11"/>
      <c r="H23" s="13">
        <f t="shared" si="2"/>
        <v>200</v>
      </c>
      <c r="I23" s="58" t="s">
        <v>366</v>
      </c>
      <c r="J23" s="11">
        <v>200</v>
      </c>
      <c r="K23" s="11"/>
      <c r="L23" s="10"/>
      <c r="M23" s="15"/>
      <c r="N23" s="3"/>
      <c r="O23" s="3"/>
    </row>
    <row r="24" spans="1:15" x14ac:dyDescent="0.3">
      <c r="A24" s="9">
        <v>45325</v>
      </c>
      <c r="B24" s="10" t="s">
        <v>144</v>
      </c>
      <c r="C24" s="10" t="s">
        <v>14</v>
      </c>
      <c r="D24" s="11">
        <f t="shared" si="0"/>
        <v>256.198347107438</v>
      </c>
      <c r="E24" s="11">
        <f t="shared" si="1"/>
        <v>25.619834710743799</v>
      </c>
      <c r="F24" s="18">
        <v>310</v>
      </c>
      <c r="G24" s="11"/>
      <c r="H24" s="13">
        <f t="shared" si="2"/>
        <v>310</v>
      </c>
      <c r="I24" s="19" t="s">
        <v>367</v>
      </c>
      <c r="J24" s="11">
        <v>270</v>
      </c>
      <c r="K24" s="11">
        <v>40</v>
      </c>
      <c r="L24" s="10" t="s">
        <v>223</v>
      </c>
      <c r="M24" s="15"/>
      <c r="N24" s="3"/>
      <c r="O24" s="3"/>
    </row>
    <row r="25" spans="1:15" x14ac:dyDescent="0.3">
      <c r="A25" s="9">
        <v>45325</v>
      </c>
      <c r="B25" s="10" t="s">
        <v>145</v>
      </c>
      <c r="C25" s="10" t="s">
        <v>14</v>
      </c>
      <c r="D25" s="11">
        <f t="shared" si="0"/>
        <v>181.81818181818181</v>
      </c>
      <c r="E25" s="11">
        <f t="shared" si="1"/>
        <v>18.18181818181818</v>
      </c>
      <c r="F25" s="18">
        <v>220</v>
      </c>
      <c r="G25" s="11"/>
      <c r="H25" s="13">
        <f t="shared" si="2"/>
        <v>220</v>
      </c>
      <c r="I25" s="19" t="s">
        <v>368</v>
      </c>
      <c r="J25" s="11">
        <v>220</v>
      </c>
      <c r="K25" s="11"/>
      <c r="L25" s="10"/>
      <c r="M25" s="15"/>
      <c r="N25" s="3"/>
      <c r="O25" s="3"/>
    </row>
    <row r="26" spans="1:15" x14ac:dyDescent="0.3">
      <c r="A26" s="9">
        <v>45325</v>
      </c>
      <c r="B26" s="10" t="s">
        <v>146</v>
      </c>
      <c r="C26" s="10" t="s">
        <v>14</v>
      </c>
      <c r="D26" s="11">
        <f t="shared" si="0"/>
        <v>219.00826446280993</v>
      </c>
      <c r="E26" s="11">
        <f t="shared" si="1"/>
        <v>21.900826446280995</v>
      </c>
      <c r="F26" s="16">
        <v>265</v>
      </c>
      <c r="G26" s="11"/>
      <c r="H26" s="13">
        <f t="shared" si="2"/>
        <v>265</v>
      </c>
      <c r="I26" s="19" t="s">
        <v>369</v>
      </c>
      <c r="J26" s="11">
        <v>220</v>
      </c>
      <c r="K26" s="11">
        <v>45</v>
      </c>
      <c r="L26" s="10" t="s">
        <v>16</v>
      </c>
      <c r="M26" s="22"/>
      <c r="N26" s="23"/>
      <c r="O26" s="23"/>
    </row>
    <row r="27" spans="1:15" x14ac:dyDescent="0.3">
      <c r="A27" s="9">
        <v>45327</v>
      </c>
      <c r="B27" s="10" t="s">
        <v>147</v>
      </c>
      <c r="C27" s="10" t="s">
        <v>14</v>
      </c>
      <c r="D27" s="11">
        <f t="shared" si="0"/>
        <v>148.7603305785124</v>
      </c>
      <c r="E27" s="11">
        <f t="shared" si="1"/>
        <v>14.876033057851238</v>
      </c>
      <c r="F27" s="16">
        <v>180</v>
      </c>
      <c r="G27" s="11"/>
      <c r="H27" s="13">
        <f t="shared" si="2"/>
        <v>180</v>
      </c>
      <c r="I27" s="59" t="s">
        <v>362</v>
      </c>
      <c r="J27" s="11">
        <v>180</v>
      </c>
      <c r="K27" s="24"/>
      <c r="L27" s="25"/>
      <c r="M27" s="15"/>
      <c r="N27" s="3"/>
      <c r="O27" s="3"/>
    </row>
    <row r="28" spans="1:15" x14ac:dyDescent="0.3">
      <c r="A28" s="9">
        <v>45328</v>
      </c>
      <c r="B28" s="10" t="s">
        <v>148</v>
      </c>
      <c r="C28" s="10" t="s">
        <v>14</v>
      </c>
      <c r="D28" s="11">
        <f t="shared" si="0"/>
        <v>107.43801652892563</v>
      </c>
      <c r="E28" s="11">
        <f t="shared" si="1"/>
        <v>10.743801652892563</v>
      </c>
      <c r="F28" s="16">
        <v>130</v>
      </c>
      <c r="G28" s="11"/>
      <c r="H28" s="13">
        <f t="shared" si="2"/>
        <v>130</v>
      </c>
      <c r="I28" s="56" t="s">
        <v>364</v>
      </c>
      <c r="J28" s="11">
        <v>130</v>
      </c>
      <c r="K28" s="11"/>
      <c r="L28" s="25"/>
      <c r="M28" s="15"/>
      <c r="N28" s="3"/>
      <c r="O28" s="3"/>
    </row>
    <row r="29" spans="1:15" x14ac:dyDescent="0.3">
      <c r="A29" s="9">
        <v>45328</v>
      </c>
      <c r="B29" s="10" t="s">
        <v>149</v>
      </c>
      <c r="C29" s="10" t="s">
        <v>14</v>
      </c>
      <c r="D29" s="11">
        <f t="shared" si="0"/>
        <v>132.2314049586777</v>
      </c>
      <c r="E29" s="11">
        <f t="shared" si="1"/>
        <v>13.223140495867769</v>
      </c>
      <c r="F29" s="16">
        <v>160</v>
      </c>
      <c r="G29" s="11"/>
      <c r="H29" s="13">
        <f t="shared" si="2"/>
        <v>160</v>
      </c>
      <c r="I29" s="61" t="s">
        <v>217</v>
      </c>
      <c r="J29" s="11">
        <v>160</v>
      </c>
      <c r="K29" s="11"/>
      <c r="L29" s="10"/>
      <c r="M29" s="15"/>
      <c r="N29" s="3"/>
      <c r="O29" s="3"/>
    </row>
    <row r="30" spans="1:15" x14ac:dyDescent="0.3">
      <c r="A30" s="9">
        <v>45449</v>
      </c>
      <c r="B30" s="10" t="s">
        <v>150</v>
      </c>
      <c r="C30" s="10" t="s">
        <v>14</v>
      </c>
      <c r="D30" s="11">
        <f t="shared" si="0"/>
        <v>148.7603305785124</v>
      </c>
      <c r="E30" s="11">
        <f t="shared" si="1"/>
        <v>14.876033057851238</v>
      </c>
      <c r="F30" s="16">
        <v>180</v>
      </c>
      <c r="G30" s="11"/>
      <c r="H30" s="13">
        <f t="shared" si="2"/>
        <v>180</v>
      </c>
      <c r="I30" s="59" t="s">
        <v>217</v>
      </c>
      <c r="J30" s="11">
        <v>180</v>
      </c>
      <c r="K30" s="11"/>
      <c r="L30" s="10"/>
      <c r="M30" s="15"/>
      <c r="N30" s="3"/>
      <c r="O30" s="3"/>
    </row>
    <row r="31" spans="1:15" x14ac:dyDescent="0.3">
      <c r="A31" s="9">
        <v>45449</v>
      </c>
      <c r="B31" s="10" t="s">
        <v>151</v>
      </c>
      <c r="C31" s="10" t="s">
        <v>14</v>
      </c>
      <c r="D31" s="11">
        <f t="shared" si="0"/>
        <v>297.52066115702479</v>
      </c>
      <c r="E31" s="11">
        <f t="shared" si="1"/>
        <v>29.752066115702476</v>
      </c>
      <c r="F31" s="16">
        <v>360</v>
      </c>
      <c r="G31" s="11">
        <v>50</v>
      </c>
      <c r="H31" s="13">
        <f t="shared" si="2"/>
        <v>310</v>
      </c>
      <c r="I31" s="19" t="s">
        <v>370</v>
      </c>
      <c r="J31" s="11">
        <v>360</v>
      </c>
      <c r="K31" s="11"/>
      <c r="L31" s="10"/>
      <c r="M31" s="15"/>
      <c r="N31" s="3"/>
      <c r="O31" s="3"/>
    </row>
    <row r="32" spans="1:15" x14ac:dyDescent="0.3">
      <c r="A32" s="9">
        <v>45511</v>
      </c>
      <c r="B32" s="10" t="s">
        <v>152</v>
      </c>
      <c r="C32" s="10" t="s">
        <v>14</v>
      </c>
      <c r="D32" s="11">
        <f t="shared" si="0"/>
        <v>206.61157024793388</v>
      </c>
      <c r="E32" s="11">
        <f t="shared" si="1"/>
        <v>20.661157024793386</v>
      </c>
      <c r="F32" s="16">
        <v>250</v>
      </c>
      <c r="G32" s="11">
        <v>50</v>
      </c>
      <c r="H32" s="13">
        <f t="shared" si="2"/>
        <v>200</v>
      </c>
      <c r="I32" s="14" t="s">
        <v>238</v>
      </c>
      <c r="J32" s="11">
        <v>200</v>
      </c>
      <c r="K32" s="11"/>
      <c r="L32" s="10"/>
      <c r="M32" s="15"/>
      <c r="N32" s="3"/>
      <c r="O32" s="3"/>
    </row>
    <row r="33" spans="1:15" x14ac:dyDescent="0.3">
      <c r="A33" s="9">
        <v>45330</v>
      </c>
      <c r="B33" s="10" t="s">
        <v>153</v>
      </c>
      <c r="C33" s="10" t="s">
        <v>14</v>
      </c>
      <c r="D33" s="11">
        <f t="shared" si="0"/>
        <v>1157.0247933884298</v>
      </c>
      <c r="E33" s="11">
        <f t="shared" si="1"/>
        <v>115.70247933884296</v>
      </c>
      <c r="F33" s="16">
        <v>1400</v>
      </c>
      <c r="G33" s="11">
        <v>1400</v>
      </c>
      <c r="H33" s="13">
        <f t="shared" si="2"/>
        <v>0</v>
      </c>
      <c r="I33" s="56" t="s">
        <v>357</v>
      </c>
      <c r="J33" s="11">
        <v>1400</v>
      </c>
      <c r="K33" s="11"/>
      <c r="L33" s="10"/>
      <c r="M33" s="15"/>
      <c r="N33" s="3"/>
      <c r="O33" s="3"/>
    </row>
    <row r="34" spans="1:15" x14ac:dyDescent="0.3">
      <c r="A34" s="9">
        <v>45330</v>
      </c>
      <c r="B34" s="10" t="s">
        <v>154</v>
      </c>
      <c r="C34" s="10" t="s">
        <v>14</v>
      </c>
      <c r="D34" s="11">
        <f t="shared" si="0"/>
        <v>140.49586776859505</v>
      </c>
      <c r="E34" s="11">
        <f t="shared" si="1"/>
        <v>14.049586776859506</v>
      </c>
      <c r="F34" s="16">
        <v>170</v>
      </c>
      <c r="G34" s="11">
        <v>50</v>
      </c>
      <c r="H34" s="13">
        <f t="shared" si="2"/>
        <v>120</v>
      </c>
      <c r="I34" s="14" t="s">
        <v>373</v>
      </c>
      <c r="J34" s="11">
        <v>170</v>
      </c>
      <c r="K34" s="11"/>
      <c r="L34" s="10"/>
      <c r="M34" s="15"/>
      <c r="N34" s="3"/>
      <c r="O34" s="3"/>
    </row>
    <row r="35" spans="1:15" x14ac:dyDescent="0.3">
      <c r="A35" s="9">
        <v>45331</v>
      </c>
      <c r="B35" s="10" t="s">
        <v>155</v>
      </c>
      <c r="C35" s="10" t="s">
        <v>14</v>
      </c>
      <c r="D35" s="11">
        <f t="shared" si="0"/>
        <v>99.173553719008268</v>
      </c>
      <c r="E35" s="11">
        <f t="shared" si="1"/>
        <v>9.9173553719008272</v>
      </c>
      <c r="F35" s="16">
        <v>120</v>
      </c>
      <c r="G35" s="11">
        <v>50</v>
      </c>
      <c r="H35" s="13">
        <f t="shared" si="2"/>
        <v>70</v>
      </c>
      <c r="I35" s="14" t="s">
        <v>373</v>
      </c>
      <c r="J35" s="11">
        <v>170</v>
      </c>
      <c r="K35" s="11"/>
      <c r="L35" s="10"/>
      <c r="M35" s="15"/>
      <c r="N35" s="3"/>
      <c r="O35" s="3"/>
    </row>
    <row r="36" spans="1:15" x14ac:dyDescent="0.3">
      <c r="A36" s="9">
        <v>45331</v>
      </c>
      <c r="B36" s="10" t="s">
        <v>156</v>
      </c>
      <c r="C36" s="10" t="s">
        <v>14</v>
      </c>
      <c r="D36" s="11">
        <f t="shared" si="0"/>
        <v>198.34710743801654</v>
      </c>
      <c r="E36" s="11">
        <f t="shared" si="1"/>
        <v>19.834710743801654</v>
      </c>
      <c r="F36" s="16">
        <v>240</v>
      </c>
      <c r="G36" s="11"/>
      <c r="H36" s="13">
        <f t="shared" si="2"/>
        <v>240</v>
      </c>
      <c r="I36" s="62" t="s">
        <v>374</v>
      </c>
      <c r="J36" s="11">
        <v>240</v>
      </c>
      <c r="K36" s="11"/>
      <c r="L36" s="10"/>
      <c r="M36" s="15"/>
      <c r="N36" s="3"/>
      <c r="O36" s="3"/>
    </row>
    <row r="37" spans="1:15" x14ac:dyDescent="0.3">
      <c r="A37" s="9">
        <v>45331</v>
      </c>
      <c r="B37" s="10" t="s">
        <v>157</v>
      </c>
      <c r="C37" s="10" t="s">
        <v>14</v>
      </c>
      <c r="D37" s="11">
        <f t="shared" si="0"/>
        <v>66.11570247933885</v>
      </c>
      <c r="E37" s="11">
        <f t="shared" si="1"/>
        <v>6.6115702479338845</v>
      </c>
      <c r="F37" s="16">
        <v>80</v>
      </c>
      <c r="G37" s="11">
        <v>50</v>
      </c>
      <c r="H37" s="13">
        <f t="shared" si="2"/>
        <v>30</v>
      </c>
      <c r="I37" s="19" t="s">
        <v>375</v>
      </c>
      <c r="J37" s="11">
        <v>130</v>
      </c>
      <c r="K37" s="11"/>
      <c r="L37" s="10"/>
      <c r="M37" s="15"/>
      <c r="N37" s="3"/>
      <c r="O37" s="3"/>
    </row>
    <row r="38" spans="1:15" x14ac:dyDescent="0.3">
      <c r="A38" s="26">
        <v>45332</v>
      </c>
      <c r="B38" s="10" t="s">
        <v>158</v>
      </c>
      <c r="C38" s="10" t="s">
        <v>14</v>
      </c>
      <c r="D38" s="11">
        <f t="shared" si="0"/>
        <v>219.00826446280993</v>
      </c>
      <c r="E38" s="11">
        <f t="shared" si="1"/>
        <v>21.900826446280995</v>
      </c>
      <c r="F38" s="18">
        <v>265</v>
      </c>
      <c r="G38" s="18">
        <v>50</v>
      </c>
      <c r="H38" s="13">
        <f t="shared" si="2"/>
        <v>215</v>
      </c>
      <c r="I38" s="19" t="s">
        <v>376</v>
      </c>
      <c r="J38" s="11">
        <v>220</v>
      </c>
      <c r="K38" s="27">
        <v>45</v>
      </c>
      <c r="L38" s="10" t="s">
        <v>16</v>
      </c>
      <c r="M38" s="15"/>
      <c r="N38" s="3"/>
      <c r="O38" s="3"/>
    </row>
    <row r="39" spans="1:15" x14ac:dyDescent="0.3">
      <c r="A39" s="26">
        <v>45332</v>
      </c>
      <c r="B39" s="10" t="s">
        <v>159</v>
      </c>
      <c r="C39" s="10" t="s">
        <v>14</v>
      </c>
      <c r="D39" s="11">
        <f t="shared" si="0"/>
        <v>238.01652892561984</v>
      </c>
      <c r="E39" s="11">
        <f t="shared" si="1"/>
        <v>23.801652892561982</v>
      </c>
      <c r="F39" s="18">
        <v>288</v>
      </c>
      <c r="G39" s="18">
        <v>100</v>
      </c>
      <c r="H39" s="13">
        <f t="shared" si="2"/>
        <v>188</v>
      </c>
      <c r="I39" s="19" t="s">
        <v>377</v>
      </c>
      <c r="J39" s="11">
        <v>220</v>
      </c>
      <c r="K39" s="11">
        <v>48</v>
      </c>
      <c r="L39" s="10" t="s">
        <v>380</v>
      </c>
      <c r="M39" s="15"/>
      <c r="N39" s="3"/>
      <c r="O39" s="3"/>
    </row>
    <row r="40" spans="1:15" x14ac:dyDescent="0.3">
      <c r="A40" s="26">
        <v>45332</v>
      </c>
      <c r="B40" s="10" t="s">
        <v>160</v>
      </c>
      <c r="C40" s="10" t="s">
        <v>14</v>
      </c>
      <c r="D40" s="11">
        <f t="shared" si="0"/>
        <v>198.34710743801654</v>
      </c>
      <c r="E40" s="11">
        <f t="shared" si="1"/>
        <v>19.834710743801654</v>
      </c>
      <c r="F40" s="18">
        <v>240</v>
      </c>
      <c r="G40" s="18">
        <v>240</v>
      </c>
      <c r="H40" s="13">
        <f t="shared" si="2"/>
        <v>0</v>
      </c>
      <c r="I40" s="19" t="s">
        <v>378</v>
      </c>
      <c r="J40" s="11">
        <v>240</v>
      </c>
      <c r="K40" s="11"/>
      <c r="L40" s="10"/>
      <c r="M40" s="15"/>
      <c r="N40" s="3"/>
      <c r="O40" s="3"/>
    </row>
    <row r="41" spans="1:15" x14ac:dyDescent="0.3">
      <c r="A41" s="26">
        <v>45332</v>
      </c>
      <c r="B41" s="10" t="s">
        <v>161</v>
      </c>
      <c r="C41" s="10" t="s">
        <v>14</v>
      </c>
      <c r="D41" s="11">
        <f t="shared" si="0"/>
        <v>219.00826446280993</v>
      </c>
      <c r="E41" s="11">
        <f t="shared" si="1"/>
        <v>21.900826446280995</v>
      </c>
      <c r="F41" s="18">
        <v>265</v>
      </c>
      <c r="G41" s="18">
        <v>50</v>
      </c>
      <c r="H41" s="13">
        <f t="shared" si="2"/>
        <v>215</v>
      </c>
      <c r="I41" s="19" t="s">
        <v>379</v>
      </c>
      <c r="J41" s="11">
        <v>220</v>
      </c>
      <c r="K41" s="11">
        <v>45</v>
      </c>
      <c r="L41" s="10" t="s">
        <v>16</v>
      </c>
      <c r="M41" s="15"/>
      <c r="N41" s="3"/>
      <c r="O41" s="3"/>
    </row>
    <row r="42" spans="1:15" x14ac:dyDescent="0.3">
      <c r="A42" s="26">
        <v>45332</v>
      </c>
      <c r="B42" s="10" t="s">
        <v>162</v>
      </c>
      <c r="C42" s="10" t="s">
        <v>14</v>
      </c>
      <c r="D42" s="11">
        <f t="shared" si="0"/>
        <v>223.14049586776861</v>
      </c>
      <c r="E42" s="11">
        <f t="shared" si="1"/>
        <v>22.314049586776861</v>
      </c>
      <c r="F42" s="18">
        <v>270</v>
      </c>
      <c r="G42" s="18">
        <v>50</v>
      </c>
      <c r="H42" s="13">
        <f t="shared" si="2"/>
        <v>220</v>
      </c>
      <c r="I42" s="19" t="s">
        <v>381</v>
      </c>
      <c r="J42" s="11">
        <v>270</v>
      </c>
      <c r="K42" s="11"/>
      <c r="L42" s="10"/>
      <c r="M42" s="15"/>
      <c r="N42" s="3"/>
      <c r="O42" s="3"/>
    </row>
    <row r="43" spans="1:15" x14ac:dyDescent="0.3">
      <c r="A43" s="26">
        <v>45332</v>
      </c>
      <c r="B43" s="10" t="s">
        <v>163</v>
      </c>
      <c r="C43" s="10" t="s">
        <v>14</v>
      </c>
      <c r="D43" s="11">
        <f t="shared" si="0"/>
        <v>256.198347107438</v>
      </c>
      <c r="E43" s="11">
        <f t="shared" si="1"/>
        <v>25.619834710743799</v>
      </c>
      <c r="F43" s="18">
        <v>310</v>
      </c>
      <c r="G43" s="18">
        <v>50</v>
      </c>
      <c r="H43" s="13">
        <f t="shared" si="2"/>
        <v>260</v>
      </c>
      <c r="I43" s="19" t="s">
        <v>383</v>
      </c>
      <c r="J43" s="11">
        <v>270</v>
      </c>
      <c r="K43" s="11">
        <v>40</v>
      </c>
      <c r="L43" s="10" t="s">
        <v>223</v>
      </c>
      <c r="M43" s="15"/>
      <c r="N43" s="3"/>
      <c r="O43" s="3"/>
    </row>
    <row r="44" spans="1:15" x14ac:dyDescent="0.3">
      <c r="A44" s="26">
        <v>45332</v>
      </c>
      <c r="B44" s="10" t="s">
        <v>164</v>
      </c>
      <c r="C44" s="10" t="s">
        <v>14</v>
      </c>
      <c r="D44" s="11">
        <f t="shared" si="0"/>
        <v>206.61157024793388</v>
      </c>
      <c r="E44" s="11">
        <f t="shared" si="1"/>
        <v>20.661157024793386</v>
      </c>
      <c r="F44" s="18">
        <v>250</v>
      </c>
      <c r="G44" s="18">
        <v>50</v>
      </c>
      <c r="H44" s="13">
        <f t="shared" si="2"/>
        <v>200</v>
      </c>
      <c r="I44" s="19" t="s">
        <v>384</v>
      </c>
      <c r="J44" s="11">
        <v>220</v>
      </c>
      <c r="K44" s="11">
        <v>30</v>
      </c>
      <c r="L44" s="10" t="s">
        <v>223</v>
      </c>
      <c r="M44" s="15"/>
      <c r="N44" s="3"/>
      <c r="O44" s="3"/>
    </row>
    <row r="45" spans="1:15" x14ac:dyDescent="0.3">
      <c r="A45" s="26">
        <v>45332</v>
      </c>
      <c r="B45" s="10" t="s">
        <v>165</v>
      </c>
      <c r="C45" s="10" t="s">
        <v>14</v>
      </c>
      <c r="D45" s="11">
        <f t="shared" si="0"/>
        <v>206.61157024793388</v>
      </c>
      <c r="E45" s="11">
        <f t="shared" si="1"/>
        <v>20.661157024793386</v>
      </c>
      <c r="F45" s="18">
        <v>250</v>
      </c>
      <c r="G45" s="18">
        <v>50</v>
      </c>
      <c r="H45" s="13">
        <f t="shared" si="2"/>
        <v>200</v>
      </c>
      <c r="I45" s="19" t="s">
        <v>385</v>
      </c>
      <c r="J45" s="11">
        <v>220</v>
      </c>
      <c r="K45" s="11">
        <v>30</v>
      </c>
      <c r="L45" s="10" t="s">
        <v>223</v>
      </c>
      <c r="M45" s="15"/>
      <c r="N45" s="3"/>
      <c r="O45" s="3"/>
    </row>
    <row r="46" spans="1:15" x14ac:dyDescent="0.3">
      <c r="A46" s="26">
        <v>45332</v>
      </c>
      <c r="B46" s="10" t="s">
        <v>166</v>
      </c>
      <c r="C46" s="10" t="s">
        <v>14</v>
      </c>
      <c r="D46" s="11">
        <f t="shared" si="0"/>
        <v>123.96694214876034</v>
      </c>
      <c r="E46" s="11">
        <f t="shared" si="1"/>
        <v>12.396694214876034</v>
      </c>
      <c r="F46" s="18">
        <v>150</v>
      </c>
      <c r="G46" s="18"/>
      <c r="H46" s="13">
        <f t="shared" si="2"/>
        <v>150</v>
      </c>
      <c r="I46" s="57" t="s">
        <v>357</v>
      </c>
      <c r="J46" s="11">
        <v>150</v>
      </c>
      <c r="K46" s="11"/>
      <c r="L46" s="10"/>
      <c r="M46" s="15"/>
      <c r="N46" s="3"/>
      <c r="O46" s="3"/>
    </row>
    <row r="47" spans="1:15" x14ac:dyDescent="0.3">
      <c r="A47" s="26">
        <v>45332</v>
      </c>
      <c r="B47" s="10" t="s">
        <v>167</v>
      </c>
      <c r="C47" s="10" t="s">
        <v>14</v>
      </c>
      <c r="D47" s="11">
        <f t="shared" si="0"/>
        <v>123.96694214876034</v>
      </c>
      <c r="E47" s="11">
        <f t="shared" si="1"/>
        <v>12.396694214876034</v>
      </c>
      <c r="F47" s="18">
        <v>150</v>
      </c>
      <c r="G47" s="18"/>
      <c r="H47" s="13">
        <f t="shared" si="2"/>
        <v>150</v>
      </c>
      <c r="I47" s="57" t="s">
        <v>386</v>
      </c>
      <c r="J47" s="11">
        <v>150</v>
      </c>
      <c r="K47" s="11"/>
      <c r="L47" s="10"/>
      <c r="M47" s="15"/>
      <c r="N47" s="3"/>
      <c r="O47" s="3"/>
    </row>
    <row r="48" spans="1:15" x14ac:dyDescent="0.3">
      <c r="A48" s="26">
        <v>45332</v>
      </c>
      <c r="B48" s="10" t="s">
        <v>168</v>
      </c>
      <c r="C48" s="10" t="s">
        <v>14</v>
      </c>
      <c r="D48" s="11">
        <f t="shared" si="0"/>
        <v>99.173553719008268</v>
      </c>
      <c r="E48" s="11">
        <f t="shared" si="1"/>
        <v>9.9173553719008272</v>
      </c>
      <c r="F48" s="18">
        <v>120</v>
      </c>
      <c r="G48" s="18">
        <v>50</v>
      </c>
      <c r="H48" s="13">
        <f t="shared" si="2"/>
        <v>70</v>
      </c>
      <c r="I48" s="19" t="s">
        <v>387</v>
      </c>
      <c r="J48" s="11">
        <v>170</v>
      </c>
      <c r="K48" s="11"/>
      <c r="L48" s="10"/>
      <c r="M48" s="15"/>
      <c r="N48" s="3"/>
      <c r="O48" s="3"/>
    </row>
    <row r="49" spans="1:15" x14ac:dyDescent="0.3">
      <c r="A49" s="26">
        <v>45332</v>
      </c>
      <c r="B49" s="10" t="s">
        <v>169</v>
      </c>
      <c r="C49" s="10" t="s">
        <v>14</v>
      </c>
      <c r="D49" s="11">
        <f t="shared" si="0"/>
        <v>148.7603305785124</v>
      </c>
      <c r="E49" s="11">
        <f t="shared" si="1"/>
        <v>14.876033057851238</v>
      </c>
      <c r="F49" s="18">
        <v>180</v>
      </c>
      <c r="G49" s="18"/>
      <c r="H49" s="13">
        <f t="shared" si="2"/>
        <v>180</v>
      </c>
      <c r="I49" s="59" t="s">
        <v>362</v>
      </c>
      <c r="J49" s="11">
        <v>180</v>
      </c>
      <c r="K49" s="11"/>
      <c r="L49" s="10"/>
      <c r="M49" s="15"/>
      <c r="N49" s="3"/>
      <c r="O49" s="3"/>
    </row>
    <row r="50" spans="1:15" x14ac:dyDescent="0.3">
      <c r="A50" s="26">
        <v>45332</v>
      </c>
      <c r="B50" s="10" t="s">
        <v>170</v>
      </c>
      <c r="C50" s="10" t="s">
        <v>14</v>
      </c>
      <c r="D50" s="11">
        <f t="shared" si="0"/>
        <v>123.96694214876034</v>
      </c>
      <c r="E50" s="11">
        <f t="shared" si="1"/>
        <v>12.396694214876034</v>
      </c>
      <c r="F50" s="18">
        <v>150</v>
      </c>
      <c r="G50" s="18"/>
      <c r="H50" s="13">
        <f t="shared" si="2"/>
        <v>150</v>
      </c>
      <c r="I50" s="63" t="s">
        <v>388</v>
      </c>
      <c r="J50" s="11">
        <v>150</v>
      </c>
      <c r="K50" s="11"/>
      <c r="L50" s="10"/>
      <c r="M50" s="15"/>
      <c r="N50" s="3"/>
      <c r="O50" s="3"/>
    </row>
    <row r="51" spans="1:15" x14ac:dyDescent="0.3">
      <c r="A51" s="26">
        <v>45332</v>
      </c>
      <c r="B51" s="10" t="s">
        <v>171</v>
      </c>
      <c r="C51" s="10" t="s">
        <v>14</v>
      </c>
      <c r="D51" s="11">
        <f t="shared" si="0"/>
        <v>181.81818181818181</v>
      </c>
      <c r="E51" s="11">
        <f t="shared" si="1"/>
        <v>18.18181818181818</v>
      </c>
      <c r="F51" s="18">
        <v>220</v>
      </c>
      <c r="G51" s="18">
        <v>50</v>
      </c>
      <c r="H51" s="13">
        <f t="shared" si="2"/>
        <v>170</v>
      </c>
      <c r="I51" s="19" t="s">
        <v>264</v>
      </c>
      <c r="J51" s="11">
        <v>220</v>
      </c>
      <c r="K51" s="11"/>
      <c r="L51" s="10"/>
      <c r="M51" s="15"/>
      <c r="N51" s="3"/>
      <c r="O51" s="3"/>
    </row>
    <row r="52" spans="1:15" x14ac:dyDescent="0.3">
      <c r="A52" s="28">
        <v>45332</v>
      </c>
      <c r="B52" s="10" t="s">
        <v>172</v>
      </c>
      <c r="C52" s="10" t="s">
        <v>14</v>
      </c>
      <c r="D52" s="11">
        <f t="shared" si="0"/>
        <v>219.00826446280993</v>
      </c>
      <c r="E52" s="11">
        <f t="shared" si="1"/>
        <v>21.900826446280995</v>
      </c>
      <c r="F52" s="18">
        <v>265</v>
      </c>
      <c r="G52" s="18">
        <v>50</v>
      </c>
      <c r="H52" s="13">
        <f t="shared" si="2"/>
        <v>215</v>
      </c>
      <c r="I52" s="29" t="s">
        <v>389</v>
      </c>
      <c r="J52" s="30">
        <v>220</v>
      </c>
      <c r="K52" s="30">
        <v>45</v>
      </c>
      <c r="L52" s="1" t="s">
        <v>16</v>
      </c>
      <c r="M52" s="15"/>
      <c r="N52" s="3"/>
      <c r="O52" s="23"/>
    </row>
    <row r="53" spans="1:15" x14ac:dyDescent="0.3">
      <c r="A53" s="26">
        <v>45332</v>
      </c>
      <c r="B53" s="10" t="s">
        <v>173</v>
      </c>
      <c r="C53" s="10" t="s">
        <v>14</v>
      </c>
      <c r="D53" s="11">
        <f t="shared" si="0"/>
        <v>181.81818181818181</v>
      </c>
      <c r="E53" s="11">
        <f t="shared" si="1"/>
        <v>18.18181818181818</v>
      </c>
      <c r="F53" s="18">
        <v>220</v>
      </c>
      <c r="G53" s="18">
        <v>50</v>
      </c>
      <c r="H53" s="13">
        <f t="shared" si="2"/>
        <v>170</v>
      </c>
      <c r="I53" s="19" t="s">
        <v>390</v>
      </c>
      <c r="J53" s="11">
        <v>220</v>
      </c>
      <c r="K53" s="11"/>
      <c r="L53" s="10"/>
      <c r="M53" s="15"/>
      <c r="N53" s="3"/>
      <c r="O53" s="3"/>
    </row>
    <row r="54" spans="1:15" x14ac:dyDescent="0.3">
      <c r="A54" s="26">
        <v>45332</v>
      </c>
      <c r="B54" s="10" t="s">
        <v>174</v>
      </c>
      <c r="C54" s="10" t="s">
        <v>14</v>
      </c>
      <c r="D54" s="11">
        <f t="shared" si="0"/>
        <v>173.55371900826447</v>
      </c>
      <c r="E54" s="11">
        <f t="shared" si="1"/>
        <v>17.355371900826448</v>
      </c>
      <c r="F54" s="18">
        <v>210</v>
      </c>
      <c r="G54" s="18">
        <v>50</v>
      </c>
      <c r="H54" s="13">
        <f t="shared" si="2"/>
        <v>160</v>
      </c>
      <c r="I54" s="19" t="s">
        <v>391</v>
      </c>
      <c r="J54" s="11">
        <v>170</v>
      </c>
      <c r="K54" s="11">
        <v>40</v>
      </c>
      <c r="L54" s="10" t="s">
        <v>223</v>
      </c>
      <c r="M54" s="15"/>
      <c r="N54" s="3"/>
      <c r="O54" s="3"/>
    </row>
    <row r="55" spans="1:15" x14ac:dyDescent="0.3">
      <c r="A55" s="26">
        <v>45332</v>
      </c>
      <c r="B55" s="10" t="s">
        <v>175</v>
      </c>
      <c r="C55" s="10" t="s">
        <v>14</v>
      </c>
      <c r="D55" s="11">
        <f t="shared" si="0"/>
        <v>140.49586776859505</v>
      </c>
      <c r="E55" s="11">
        <f t="shared" si="1"/>
        <v>14.049586776859506</v>
      </c>
      <c r="F55" s="18">
        <v>170</v>
      </c>
      <c r="G55" s="18">
        <v>50</v>
      </c>
      <c r="H55" s="13">
        <f t="shared" si="2"/>
        <v>120</v>
      </c>
      <c r="I55" s="19" t="s">
        <v>392</v>
      </c>
      <c r="J55" s="11">
        <v>170</v>
      </c>
      <c r="K55" s="11"/>
      <c r="L55" s="10"/>
      <c r="M55" s="15"/>
      <c r="N55" s="3"/>
      <c r="O55" s="3"/>
    </row>
    <row r="56" spans="1:15" x14ac:dyDescent="0.3">
      <c r="A56" s="26">
        <v>45332</v>
      </c>
      <c r="B56" s="10" t="s">
        <v>176</v>
      </c>
      <c r="C56" s="10" t="s">
        <v>14</v>
      </c>
      <c r="D56" s="11">
        <f t="shared" si="0"/>
        <v>107.43801652892563</v>
      </c>
      <c r="E56" s="11">
        <f t="shared" si="1"/>
        <v>10.743801652892563</v>
      </c>
      <c r="F56" s="18">
        <v>130</v>
      </c>
      <c r="G56" s="18"/>
      <c r="H56" s="13">
        <f t="shared" si="2"/>
        <v>130</v>
      </c>
      <c r="I56" s="57" t="s">
        <v>386</v>
      </c>
      <c r="J56" s="11">
        <v>130</v>
      </c>
      <c r="K56" s="11"/>
      <c r="L56" s="10"/>
      <c r="M56" s="15"/>
      <c r="N56" s="3"/>
      <c r="O56" s="3"/>
    </row>
    <row r="57" spans="1:15" x14ac:dyDescent="0.3">
      <c r="A57" s="26">
        <v>45332</v>
      </c>
      <c r="B57" s="10" t="s">
        <v>177</v>
      </c>
      <c r="C57" s="10" t="s">
        <v>14</v>
      </c>
      <c r="D57" s="11">
        <f t="shared" si="0"/>
        <v>140.49586776859505</v>
      </c>
      <c r="E57" s="11">
        <f t="shared" si="1"/>
        <v>14.049586776859506</v>
      </c>
      <c r="F57" s="18">
        <v>170</v>
      </c>
      <c r="G57" s="18">
        <v>50</v>
      </c>
      <c r="H57" s="13">
        <f t="shared" si="2"/>
        <v>120</v>
      </c>
      <c r="I57" s="19" t="s">
        <v>393</v>
      </c>
      <c r="J57" s="11">
        <v>170</v>
      </c>
      <c r="K57" s="11"/>
      <c r="L57" s="10"/>
      <c r="M57" s="15"/>
      <c r="N57" s="3"/>
      <c r="O57" s="3"/>
    </row>
    <row r="58" spans="1:15" x14ac:dyDescent="0.3">
      <c r="A58" s="26">
        <v>45332</v>
      </c>
      <c r="B58" s="10" t="s">
        <v>178</v>
      </c>
      <c r="C58" s="10" t="s">
        <v>14</v>
      </c>
      <c r="D58" s="11">
        <f t="shared" si="0"/>
        <v>223.14049586776861</v>
      </c>
      <c r="E58" s="11">
        <f t="shared" si="1"/>
        <v>22.314049586776861</v>
      </c>
      <c r="F58" s="18">
        <v>270</v>
      </c>
      <c r="G58" s="18">
        <v>270</v>
      </c>
      <c r="H58" s="13">
        <f t="shared" si="2"/>
        <v>0</v>
      </c>
      <c r="I58" s="19" t="s">
        <v>264</v>
      </c>
      <c r="J58" s="11">
        <v>170</v>
      </c>
      <c r="K58" s="11">
        <v>100</v>
      </c>
      <c r="L58" s="10" t="s">
        <v>279</v>
      </c>
      <c r="M58" s="15"/>
      <c r="N58" s="3"/>
      <c r="O58" s="3"/>
    </row>
    <row r="59" spans="1:15" x14ac:dyDescent="0.3">
      <c r="A59" s="26">
        <v>45333</v>
      </c>
      <c r="B59" s="10" t="s">
        <v>179</v>
      </c>
      <c r="C59" s="10" t="s">
        <v>14</v>
      </c>
      <c r="D59" s="11">
        <f t="shared" si="0"/>
        <v>198.34710743801654</v>
      </c>
      <c r="E59" s="11">
        <f t="shared" si="1"/>
        <v>19.834710743801654</v>
      </c>
      <c r="F59" s="18">
        <v>240</v>
      </c>
      <c r="G59" s="18">
        <v>50</v>
      </c>
      <c r="H59" s="13">
        <f t="shared" si="2"/>
        <v>190</v>
      </c>
      <c r="I59" s="19" t="s">
        <v>382</v>
      </c>
      <c r="J59" s="11">
        <v>220</v>
      </c>
      <c r="K59" s="11">
        <v>20</v>
      </c>
      <c r="L59" s="10" t="s">
        <v>223</v>
      </c>
      <c r="M59" s="15"/>
      <c r="N59" s="3"/>
      <c r="O59" s="3"/>
    </row>
    <row r="60" spans="1:15" x14ac:dyDescent="0.3">
      <c r="A60" s="26">
        <v>45333</v>
      </c>
      <c r="B60" s="10" t="s">
        <v>180</v>
      </c>
      <c r="C60" s="10" t="s">
        <v>14</v>
      </c>
      <c r="D60" s="11">
        <f t="shared" si="0"/>
        <v>148.7603305785124</v>
      </c>
      <c r="E60" s="11">
        <f t="shared" si="1"/>
        <v>14.876033057851238</v>
      </c>
      <c r="F60" s="18">
        <v>180</v>
      </c>
      <c r="G60" s="18"/>
      <c r="H60" s="13">
        <f t="shared" si="2"/>
        <v>180</v>
      </c>
      <c r="I60" s="57" t="s">
        <v>364</v>
      </c>
      <c r="J60" s="11">
        <v>180</v>
      </c>
      <c r="K60" s="11"/>
      <c r="L60" s="10"/>
      <c r="M60" s="15"/>
      <c r="N60" s="3"/>
      <c r="O60" s="3"/>
    </row>
    <row r="61" spans="1:15" x14ac:dyDescent="0.3">
      <c r="A61" s="26">
        <v>45363</v>
      </c>
      <c r="B61" s="10" t="s">
        <v>181</v>
      </c>
      <c r="C61" s="10" t="s">
        <v>14</v>
      </c>
      <c r="D61" s="11">
        <f t="shared" si="0"/>
        <v>243.801652892562</v>
      </c>
      <c r="E61" s="11">
        <f t="shared" si="1"/>
        <v>24.380165289256201</v>
      </c>
      <c r="F61" s="18">
        <v>295</v>
      </c>
      <c r="G61" s="18">
        <v>50</v>
      </c>
      <c r="H61" s="13">
        <f t="shared" si="2"/>
        <v>245</v>
      </c>
      <c r="I61" s="19" t="s">
        <v>394</v>
      </c>
      <c r="J61" s="11">
        <v>220</v>
      </c>
      <c r="K61" s="11">
        <v>45</v>
      </c>
      <c r="L61" s="10" t="s">
        <v>16</v>
      </c>
      <c r="M61" s="15">
        <v>30</v>
      </c>
      <c r="N61" s="3" t="s">
        <v>223</v>
      </c>
      <c r="O61" s="3"/>
    </row>
    <row r="62" spans="1:15" x14ac:dyDescent="0.3">
      <c r="A62" s="26">
        <v>45364</v>
      </c>
      <c r="B62" s="10" t="s">
        <v>182</v>
      </c>
      <c r="C62" s="10" t="s">
        <v>14</v>
      </c>
      <c r="D62" s="11">
        <f t="shared" si="0"/>
        <v>314.04958677685954</v>
      </c>
      <c r="E62" s="11">
        <f t="shared" si="1"/>
        <v>31.404958677685954</v>
      </c>
      <c r="F62" s="18">
        <v>380</v>
      </c>
      <c r="G62" s="18">
        <v>50</v>
      </c>
      <c r="H62" s="13">
        <f t="shared" si="2"/>
        <v>330</v>
      </c>
      <c r="I62" s="19" t="s">
        <v>396</v>
      </c>
      <c r="J62" s="11">
        <v>380</v>
      </c>
      <c r="K62" s="11"/>
      <c r="L62" s="10"/>
      <c r="M62" s="15"/>
      <c r="N62" s="3"/>
      <c r="O62" s="3"/>
    </row>
    <row r="63" spans="1:15" x14ac:dyDescent="0.3">
      <c r="A63" s="31">
        <v>45336</v>
      </c>
      <c r="B63" s="10" t="s">
        <v>183</v>
      </c>
      <c r="C63" s="10" t="s">
        <v>14</v>
      </c>
      <c r="D63" s="11">
        <f t="shared" si="0"/>
        <v>202.47933884297521</v>
      </c>
      <c r="E63" s="11">
        <f t="shared" si="1"/>
        <v>20.247933884297524</v>
      </c>
      <c r="F63" s="18">
        <v>245</v>
      </c>
      <c r="G63" s="18"/>
      <c r="H63" s="13">
        <f t="shared" si="2"/>
        <v>245</v>
      </c>
      <c r="I63" s="57" t="s">
        <v>386</v>
      </c>
      <c r="J63" s="11">
        <v>200</v>
      </c>
      <c r="K63" s="11">
        <v>45</v>
      </c>
      <c r="L63" s="10" t="s">
        <v>397</v>
      </c>
      <c r="M63" s="15"/>
      <c r="N63" s="3"/>
      <c r="O63" s="3"/>
    </row>
    <row r="64" spans="1:15" x14ac:dyDescent="0.3">
      <c r="A64" s="31">
        <v>45336</v>
      </c>
      <c r="B64" s="10" t="s">
        <v>184</v>
      </c>
      <c r="C64" s="10" t="s">
        <v>14</v>
      </c>
      <c r="D64" s="11">
        <f t="shared" si="0"/>
        <v>210.74380165289256</v>
      </c>
      <c r="E64" s="11">
        <f t="shared" si="1"/>
        <v>21.074380165289259</v>
      </c>
      <c r="F64" s="18">
        <v>255</v>
      </c>
      <c r="G64" s="18">
        <v>50</v>
      </c>
      <c r="H64" s="13">
        <f t="shared" si="2"/>
        <v>205</v>
      </c>
      <c r="I64" s="19" t="s">
        <v>398</v>
      </c>
      <c r="J64" s="11">
        <v>170</v>
      </c>
      <c r="K64" s="11">
        <v>40</v>
      </c>
      <c r="L64" s="10" t="s">
        <v>223</v>
      </c>
      <c r="M64" s="15">
        <v>45</v>
      </c>
      <c r="N64" s="3" t="s">
        <v>397</v>
      </c>
      <c r="O64" s="3"/>
    </row>
    <row r="65" spans="1:15" x14ac:dyDescent="0.3">
      <c r="A65" s="31">
        <v>45336</v>
      </c>
      <c r="B65" s="10" t="s">
        <v>185</v>
      </c>
      <c r="C65" s="10" t="s">
        <v>14</v>
      </c>
      <c r="D65" s="11">
        <f t="shared" si="0"/>
        <v>181.81818181818181</v>
      </c>
      <c r="E65" s="11">
        <f t="shared" si="1"/>
        <v>18.18181818181818</v>
      </c>
      <c r="F65" s="18">
        <v>220</v>
      </c>
      <c r="G65" s="18">
        <v>50</v>
      </c>
      <c r="H65" s="13">
        <f t="shared" si="2"/>
        <v>170</v>
      </c>
      <c r="I65" s="19" t="s">
        <v>399</v>
      </c>
      <c r="J65" s="11">
        <v>220</v>
      </c>
      <c r="K65" s="11"/>
      <c r="L65" s="10"/>
      <c r="M65" s="15"/>
      <c r="N65" s="3"/>
      <c r="O65" s="3"/>
    </row>
    <row r="66" spans="1:15" x14ac:dyDescent="0.3">
      <c r="A66" s="31">
        <v>45336</v>
      </c>
      <c r="B66" s="10" t="s">
        <v>186</v>
      </c>
      <c r="C66" s="10" t="s">
        <v>14</v>
      </c>
      <c r="D66" s="11">
        <f t="shared" si="0"/>
        <v>165.28925619834712</v>
      </c>
      <c r="E66" s="11">
        <f t="shared" si="1"/>
        <v>16.528925619834713</v>
      </c>
      <c r="F66" s="18">
        <v>200</v>
      </c>
      <c r="G66" s="18"/>
      <c r="H66" s="13">
        <f t="shared" si="2"/>
        <v>200</v>
      </c>
      <c r="I66" s="59" t="s">
        <v>217</v>
      </c>
      <c r="J66" s="11">
        <v>180</v>
      </c>
      <c r="K66" s="11">
        <v>20</v>
      </c>
      <c r="L66" s="10" t="s">
        <v>223</v>
      </c>
      <c r="M66" s="15"/>
      <c r="N66" s="3"/>
      <c r="O66" s="3"/>
    </row>
    <row r="67" spans="1:15" x14ac:dyDescent="0.3">
      <c r="A67" s="26">
        <v>45337</v>
      </c>
      <c r="B67" s="10" t="s">
        <v>187</v>
      </c>
      <c r="C67" s="10" t="s">
        <v>14</v>
      </c>
      <c r="D67" s="11">
        <f t="shared" ref="D67:D130" si="3">F67/1.21</f>
        <v>181.81818181818181</v>
      </c>
      <c r="E67" s="11">
        <f t="shared" si="1"/>
        <v>18.18181818181818</v>
      </c>
      <c r="F67" s="18">
        <v>220</v>
      </c>
      <c r="G67" s="18">
        <v>50</v>
      </c>
      <c r="H67" s="13">
        <f t="shared" si="2"/>
        <v>170</v>
      </c>
      <c r="I67" s="19" t="s">
        <v>400</v>
      </c>
      <c r="J67" s="11">
        <v>220</v>
      </c>
      <c r="K67" s="11"/>
      <c r="L67" s="10"/>
      <c r="M67" s="15"/>
      <c r="N67" s="3"/>
      <c r="O67" s="3"/>
    </row>
    <row r="68" spans="1:15" x14ac:dyDescent="0.3">
      <c r="A68" s="26">
        <v>45338</v>
      </c>
      <c r="B68" s="10" t="s">
        <v>188</v>
      </c>
      <c r="C68" s="10" t="s">
        <v>14</v>
      </c>
      <c r="D68" s="11">
        <f t="shared" si="3"/>
        <v>285.12396694214874</v>
      </c>
      <c r="E68" s="11">
        <f t="shared" ref="E68:E131" si="4">D68*10/100</f>
        <v>28.512396694214875</v>
      </c>
      <c r="F68" s="18">
        <v>345</v>
      </c>
      <c r="G68" s="18">
        <v>50</v>
      </c>
      <c r="H68" s="13">
        <f t="shared" si="2"/>
        <v>295</v>
      </c>
      <c r="I68" s="19" t="s">
        <v>401</v>
      </c>
      <c r="J68" s="11">
        <v>270</v>
      </c>
      <c r="K68" s="11">
        <v>30</v>
      </c>
      <c r="L68" s="10" t="s">
        <v>223</v>
      </c>
      <c r="M68" s="15">
        <v>45</v>
      </c>
      <c r="N68" s="3" t="s">
        <v>16</v>
      </c>
      <c r="O68" s="3"/>
    </row>
    <row r="69" spans="1:15" x14ac:dyDescent="0.3">
      <c r="A69" s="26">
        <v>45338</v>
      </c>
      <c r="B69" s="10" t="s">
        <v>189</v>
      </c>
      <c r="C69" s="10" t="s">
        <v>14</v>
      </c>
      <c r="D69" s="11">
        <f t="shared" si="3"/>
        <v>140.49586776859505</v>
      </c>
      <c r="E69" s="11">
        <f t="shared" si="4"/>
        <v>14.049586776859506</v>
      </c>
      <c r="F69" s="18">
        <v>170</v>
      </c>
      <c r="G69" s="18"/>
      <c r="H69" s="13">
        <f t="shared" si="2"/>
        <v>170</v>
      </c>
      <c r="I69" s="59" t="s">
        <v>402</v>
      </c>
      <c r="J69" s="11">
        <v>170</v>
      </c>
      <c r="K69" s="11"/>
      <c r="L69" s="10"/>
      <c r="M69" s="15"/>
      <c r="N69" s="3"/>
      <c r="O69" s="3"/>
    </row>
    <row r="70" spans="1:15" x14ac:dyDescent="0.3">
      <c r="A70" s="26">
        <v>45338</v>
      </c>
      <c r="B70" s="10" t="s">
        <v>190</v>
      </c>
      <c r="C70" s="10" t="s">
        <v>14</v>
      </c>
      <c r="D70" s="11">
        <f t="shared" si="3"/>
        <v>165.28925619834712</v>
      </c>
      <c r="E70" s="11">
        <f t="shared" si="4"/>
        <v>16.528925619834713</v>
      </c>
      <c r="F70" s="18">
        <v>200</v>
      </c>
      <c r="G70" s="18"/>
      <c r="H70" s="13">
        <f t="shared" ref="H70:H133" si="5">F70-G70</f>
        <v>200</v>
      </c>
      <c r="I70" s="57" t="s">
        <v>403</v>
      </c>
      <c r="J70" s="11">
        <v>200</v>
      </c>
      <c r="K70" s="11"/>
      <c r="L70" s="10"/>
      <c r="M70" s="15"/>
      <c r="N70" s="3"/>
      <c r="O70" s="3"/>
    </row>
    <row r="71" spans="1:15" x14ac:dyDescent="0.3">
      <c r="A71" s="26">
        <v>45338</v>
      </c>
      <c r="B71" s="10" t="s">
        <v>191</v>
      </c>
      <c r="C71" s="10" t="s">
        <v>14</v>
      </c>
      <c r="D71" s="11">
        <f t="shared" si="3"/>
        <v>148.7603305785124</v>
      </c>
      <c r="E71" s="11">
        <f t="shared" si="4"/>
        <v>14.876033057851238</v>
      </c>
      <c r="F71" s="18">
        <v>180</v>
      </c>
      <c r="G71" s="18"/>
      <c r="H71" s="13">
        <f t="shared" si="5"/>
        <v>180</v>
      </c>
      <c r="I71" s="59" t="s">
        <v>402</v>
      </c>
      <c r="J71" s="11">
        <v>180</v>
      </c>
      <c r="K71" s="11"/>
      <c r="L71" s="10"/>
      <c r="M71" s="15"/>
      <c r="N71" s="3"/>
      <c r="O71" s="3"/>
    </row>
    <row r="72" spans="1:15" x14ac:dyDescent="0.3">
      <c r="A72" s="26">
        <v>45338</v>
      </c>
      <c r="B72" s="10" t="s">
        <v>192</v>
      </c>
      <c r="C72" s="10" t="s">
        <v>14</v>
      </c>
      <c r="D72" s="11">
        <f t="shared" si="3"/>
        <v>148.7603305785124</v>
      </c>
      <c r="E72" s="11">
        <f t="shared" si="4"/>
        <v>14.876033057851238</v>
      </c>
      <c r="F72" s="18">
        <v>180</v>
      </c>
      <c r="G72" s="18"/>
      <c r="H72" s="13">
        <f t="shared" si="5"/>
        <v>180</v>
      </c>
      <c r="I72" s="57" t="s">
        <v>403</v>
      </c>
      <c r="J72" s="11">
        <v>180</v>
      </c>
      <c r="K72" s="11"/>
      <c r="L72" s="10"/>
      <c r="M72" s="15"/>
      <c r="N72" s="3"/>
      <c r="O72" s="3"/>
    </row>
    <row r="73" spans="1:15" x14ac:dyDescent="0.3">
      <c r="A73" s="26">
        <v>45338</v>
      </c>
      <c r="B73" s="10" t="s">
        <v>193</v>
      </c>
      <c r="C73" s="10" t="s">
        <v>14</v>
      </c>
      <c r="D73" s="11">
        <f t="shared" si="3"/>
        <v>181.81818181818181</v>
      </c>
      <c r="E73" s="11">
        <f t="shared" si="4"/>
        <v>18.18181818181818</v>
      </c>
      <c r="F73" s="18">
        <v>220</v>
      </c>
      <c r="G73" s="18">
        <v>220</v>
      </c>
      <c r="H73" s="13">
        <f t="shared" si="5"/>
        <v>0</v>
      </c>
      <c r="I73" s="19" t="s">
        <v>404</v>
      </c>
      <c r="J73" s="11">
        <v>220</v>
      </c>
      <c r="K73" s="11"/>
      <c r="L73" s="10"/>
      <c r="M73" s="15"/>
      <c r="N73" s="3"/>
      <c r="O73" s="3"/>
    </row>
    <row r="74" spans="1:15" x14ac:dyDescent="0.3">
      <c r="A74" s="26">
        <v>45338</v>
      </c>
      <c r="B74" s="10" t="s">
        <v>194</v>
      </c>
      <c r="C74" s="10" t="s">
        <v>14</v>
      </c>
      <c r="D74" s="11">
        <f t="shared" si="3"/>
        <v>264.4628099173554</v>
      </c>
      <c r="E74" s="11">
        <f t="shared" si="4"/>
        <v>26.446280991735538</v>
      </c>
      <c r="F74" s="18">
        <v>320</v>
      </c>
      <c r="G74" s="18">
        <v>50</v>
      </c>
      <c r="H74" s="13">
        <f t="shared" si="5"/>
        <v>270</v>
      </c>
      <c r="I74" s="19" t="s">
        <v>405</v>
      </c>
      <c r="J74" s="11">
        <v>320</v>
      </c>
      <c r="K74" s="11"/>
      <c r="L74" s="10"/>
      <c r="M74" s="15"/>
      <c r="N74" s="3"/>
      <c r="O74" s="3"/>
    </row>
    <row r="75" spans="1:15" x14ac:dyDescent="0.3">
      <c r="A75" s="26">
        <v>45338</v>
      </c>
      <c r="B75" s="10" t="s">
        <v>195</v>
      </c>
      <c r="C75" s="10" t="s">
        <v>14</v>
      </c>
      <c r="D75" s="11">
        <f t="shared" si="3"/>
        <v>107.43801652892563</v>
      </c>
      <c r="E75" s="11">
        <f t="shared" si="4"/>
        <v>10.743801652892563</v>
      </c>
      <c r="F75" s="18">
        <v>130</v>
      </c>
      <c r="G75" s="21"/>
      <c r="H75" s="13">
        <f t="shared" si="5"/>
        <v>130</v>
      </c>
      <c r="I75" s="57" t="s">
        <v>403</v>
      </c>
      <c r="J75" s="11">
        <v>130</v>
      </c>
      <c r="K75" s="11"/>
      <c r="L75" s="10"/>
      <c r="M75" s="15"/>
      <c r="N75" s="3"/>
      <c r="O75" s="3"/>
    </row>
    <row r="76" spans="1:15" x14ac:dyDescent="0.3">
      <c r="A76" s="26">
        <v>45338</v>
      </c>
      <c r="B76" s="10" t="s">
        <v>196</v>
      </c>
      <c r="C76" s="10" t="s">
        <v>14</v>
      </c>
      <c r="D76" s="11">
        <f t="shared" si="3"/>
        <v>140.49586776859505</v>
      </c>
      <c r="E76" s="11">
        <f t="shared" si="4"/>
        <v>14.049586776859506</v>
      </c>
      <c r="F76" s="18">
        <v>170</v>
      </c>
      <c r="G76" s="18">
        <v>170</v>
      </c>
      <c r="H76" s="13">
        <f t="shared" si="5"/>
        <v>0</v>
      </c>
      <c r="I76" s="19" t="s">
        <v>406</v>
      </c>
      <c r="J76" s="11">
        <v>170</v>
      </c>
      <c r="K76" s="11"/>
      <c r="L76" s="10"/>
      <c r="M76" s="15"/>
      <c r="N76" s="3"/>
      <c r="O76" s="3"/>
    </row>
    <row r="77" spans="1:15" x14ac:dyDescent="0.3">
      <c r="A77" s="26">
        <v>45338</v>
      </c>
      <c r="B77" s="10" t="s">
        <v>197</v>
      </c>
      <c r="C77" s="10" t="s">
        <v>14</v>
      </c>
      <c r="D77" s="11">
        <f t="shared" si="3"/>
        <v>140.49586776859505</v>
      </c>
      <c r="E77" s="11">
        <f t="shared" si="4"/>
        <v>14.049586776859506</v>
      </c>
      <c r="F77" s="18">
        <v>170</v>
      </c>
      <c r="G77" s="18">
        <v>50</v>
      </c>
      <c r="H77" s="13">
        <f t="shared" si="5"/>
        <v>120</v>
      </c>
      <c r="I77" s="19" t="s">
        <v>407</v>
      </c>
      <c r="J77" s="11">
        <v>170</v>
      </c>
      <c r="K77" s="32"/>
      <c r="L77" s="10"/>
      <c r="M77" s="15"/>
      <c r="N77" s="3"/>
      <c r="O77" s="3"/>
    </row>
    <row r="78" spans="1:15" x14ac:dyDescent="0.3">
      <c r="A78" s="26">
        <v>45338</v>
      </c>
      <c r="B78" s="10" t="s">
        <v>198</v>
      </c>
      <c r="C78" s="10" t="s">
        <v>14</v>
      </c>
      <c r="D78" s="11">
        <f t="shared" si="3"/>
        <v>115.70247933884298</v>
      </c>
      <c r="E78" s="11">
        <f t="shared" si="4"/>
        <v>11.570247933884298</v>
      </c>
      <c r="F78" s="33">
        <v>140</v>
      </c>
      <c r="G78" s="33"/>
      <c r="H78" s="13">
        <f t="shared" si="5"/>
        <v>140</v>
      </c>
      <c r="I78" s="59" t="s">
        <v>402</v>
      </c>
      <c r="J78" s="34">
        <v>140</v>
      </c>
      <c r="K78" s="35"/>
      <c r="L78" s="36"/>
      <c r="M78" s="37"/>
      <c r="N78" s="38"/>
      <c r="O78" s="38"/>
    </row>
    <row r="79" spans="1:15" x14ac:dyDescent="0.3">
      <c r="A79" s="26">
        <v>45338</v>
      </c>
      <c r="B79" s="10" t="s">
        <v>199</v>
      </c>
      <c r="C79" s="10" t="s">
        <v>14</v>
      </c>
      <c r="D79" s="11">
        <f t="shared" si="3"/>
        <v>115.70247933884298</v>
      </c>
      <c r="E79" s="11">
        <f t="shared" si="4"/>
        <v>11.570247933884298</v>
      </c>
      <c r="F79" s="39">
        <v>140</v>
      </c>
      <c r="G79" s="18"/>
      <c r="H79" s="13">
        <f t="shared" si="5"/>
        <v>140</v>
      </c>
      <c r="I79" s="59" t="s">
        <v>402</v>
      </c>
      <c r="J79" s="6">
        <v>140</v>
      </c>
      <c r="K79" s="40"/>
      <c r="L79" s="1"/>
      <c r="M79" s="6"/>
      <c r="N79" s="6"/>
      <c r="O79" s="6"/>
    </row>
    <row r="80" spans="1:15" x14ac:dyDescent="0.3">
      <c r="A80" s="26">
        <v>45338</v>
      </c>
      <c r="B80" s="10" t="s">
        <v>200</v>
      </c>
      <c r="C80" s="10" t="s">
        <v>14</v>
      </c>
      <c r="D80" s="11">
        <f t="shared" si="3"/>
        <v>140.49586776859505</v>
      </c>
      <c r="E80" s="11">
        <f t="shared" si="4"/>
        <v>14.049586776859506</v>
      </c>
      <c r="F80" s="39">
        <v>170</v>
      </c>
      <c r="G80" s="18">
        <v>170</v>
      </c>
      <c r="H80" s="13">
        <f t="shared" si="5"/>
        <v>0</v>
      </c>
      <c r="I80" s="19" t="s">
        <v>408</v>
      </c>
      <c r="J80" s="6">
        <v>170</v>
      </c>
      <c r="K80" s="40"/>
      <c r="L80" s="1"/>
      <c r="M80" s="6"/>
      <c r="N80" s="6"/>
      <c r="O80" s="6"/>
    </row>
    <row r="81" spans="1:15" x14ac:dyDescent="0.3">
      <c r="A81" s="26">
        <v>45338</v>
      </c>
      <c r="B81" s="10" t="s">
        <v>201</v>
      </c>
      <c r="C81" s="10" t="s">
        <v>14</v>
      </c>
      <c r="D81" s="11">
        <f t="shared" si="3"/>
        <v>140.49586776859505</v>
      </c>
      <c r="E81" s="11">
        <f t="shared" si="4"/>
        <v>14.049586776859506</v>
      </c>
      <c r="F81" s="39">
        <v>170</v>
      </c>
      <c r="G81" s="18"/>
      <c r="H81" s="13">
        <f t="shared" si="5"/>
        <v>170</v>
      </c>
      <c r="I81" s="59" t="s">
        <v>402</v>
      </c>
      <c r="J81" s="6">
        <v>170</v>
      </c>
      <c r="K81" s="40"/>
      <c r="L81" s="1"/>
      <c r="M81" s="6"/>
      <c r="N81" s="6"/>
      <c r="O81" s="6"/>
    </row>
    <row r="82" spans="1:15" x14ac:dyDescent="0.3">
      <c r="A82" s="26">
        <v>45338</v>
      </c>
      <c r="B82" s="10" t="s">
        <v>202</v>
      </c>
      <c r="C82" s="10" t="s">
        <v>14</v>
      </c>
      <c r="D82" s="11">
        <f t="shared" si="3"/>
        <v>140.49586776859505</v>
      </c>
      <c r="E82" s="11">
        <f t="shared" si="4"/>
        <v>14.049586776859506</v>
      </c>
      <c r="F82" s="39">
        <v>170</v>
      </c>
      <c r="G82" s="18">
        <v>50</v>
      </c>
      <c r="H82" s="13">
        <f t="shared" si="5"/>
        <v>120</v>
      </c>
      <c r="I82" s="19" t="s">
        <v>409</v>
      </c>
      <c r="J82" s="6">
        <v>170</v>
      </c>
      <c r="K82" s="40"/>
      <c r="L82" s="1"/>
      <c r="M82" s="6"/>
      <c r="N82" s="6"/>
      <c r="O82" s="6"/>
    </row>
    <row r="83" spans="1:15" x14ac:dyDescent="0.3">
      <c r="A83" s="26">
        <v>45339</v>
      </c>
      <c r="B83" s="10" t="s">
        <v>203</v>
      </c>
      <c r="C83" s="10" t="s">
        <v>14</v>
      </c>
      <c r="D83" s="11">
        <f t="shared" si="3"/>
        <v>247.93388429752068</v>
      </c>
      <c r="E83" s="11">
        <f t="shared" si="4"/>
        <v>24.793388429752067</v>
      </c>
      <c r="F83" s="39">
        <v>300</v>
      </c>
      <c r="G83" s="21">
        <v>50</v>
      </c>
      <c r="H83" s="13">
        <f t="shared" si="5"/>
        <v>250</v>
      </c>
      <c r="I83" s="19" t="s">
        <v>410</v>
      </c>
      <c r="J83" s="6">
        <v>270</v>
      </c>
      <c r="K83" s="40">
        <v>30</v>
      </c>
      <c r="L83" s="1" t="s">
        <v>223</v>
      </c>
      <c r="M83" s="6"/>
      <c r="N83" s="6"/>
      <c r="O83" s="6"/>
    </row>
    <row r="84" spans="1:15" x14ac:dyDescent="0.3">
      <c r="A84" s="26">
        <v>45339</v>
      </c>
      <c r="B84" s="10" t="s">
        <v>204</v>
      </c>
      <c r="C84" s="10" t="s">
        <v>14</v>
      </c>
      <c r="D84" s="11">
        <f t="shared" si="3"/>
        <v>181.81818181818181</v>
      </c>
      <c r="E84" s="11">
        <f t="shared" si="4"/>
        <v>18.18181818181818</v>
      </c>
      <c r="F84" s="39">
        <v>220</v>
      </c>
      <c r="G84" s="18">
        <v>50</v>
      </c>
      <c r="H84" s="13">
        <f t="shared" si="5"/>
        <v>170</v>
      </c>
      <c r="I84" s="19" t="s">
        <v>411</v>
      </c>
      <c r="J84" s="6">
        <v>270</v>
      </c>
      <c r="K84" s="40"/>
      <c r="L84" s="1"/>
      <c r="M84" s="6"/>
      <c r="N84" s="6"/>
      <c r="O84" s="6"/>
    </row>
    <row r="85" spans="1:15" x14ac:dyDescent="0.3">
      <c r="A85" s="26">
        <v>45339</v>
      </c>
      <c r="B85" s="10" t="s">
        <v>205</v>
      </c>
      <c r="C85" s="10" t="s">
        <v>14</v>
      </c>
      <c r="D85" s="11">
        <f t="shared" si="3"/>
        <v>181.81818181818181</v>
      </c>
      <c r="E85" s="11">
        <f t="shared" si="4"/>
        <v>18.18181818181818</v>
      </c>
      <c r="F85" s="39">
        <v>220</v>
      </c>
      <c r="G85" s="18"/>
      <c r="H85" s="13">
        <f t="shared" si="5"/>
        <v>220</v>
      </c>
      <c r="I85" s="57" t="s">
        <v>364</v>
      </c>
      <c r="J85" s="6">
        <v>220</v>
      </c>
      <c r="K85" s="40"/>
      <c r="L85" s="1"/>
      <c r="M85" s="6"/>
      <c r="N85" s="6"/>
      <c r="O85" s="6"/>
    </row>
    <row r="86" spans="1:15" x14ac:dyDescent="0.3">
      <c r="A86" s="54">
        <v>45339</v>
      </c>
      <c r="B86" s="10" t="s">
        <v>206</v>
      </c>
      <c r="C86" s="10" t="s">
        <v>14</v>
      </c>
      <c r="D86" s="11">
        <f t="shared" si="3"/>
        <v>181.81818181818181</v>
      </c>
      <c r="E86" s="11">
        <f t="shared" si="4"/>
        <v>18.18181818181818</v>
      </c>
      <c r="F86" s="39">
        <v>220</v>
      </c>
      <c r="G86" s="18">
        <v>50</v>
      </c>
      <c r="H86" s="13">
        <f t="shared" si="5"/>
        <v>170</v>
      </c>
      <c r="I86" s="19" t="s">
        <v>412</v>
      </c>
      <c r="J86" s="6">
        <v>270</v>
      </c>
      <c r="K86" s="40"/>
      <c r="L86" s="1"/>
      <c r="M86" s="6"/>
      <c r="N86" s="6"/>
      <c r="O86" s="6"/>
    </row>
    <row r="87" spans="1:15" x14ac:dyDescent="0.3">
      <c r="A87" s="54">
        <v>45339</v>
      </c>
      <c r="B87" s="10" t="s">
        <v>207</v>
      </c>
      <c r="C87" s="10" t="s">
        <v>14</v>
      </c>
      <c r="D87" s="11">
        <f t="shared" si="3"/>
        <v>148.7603305785124</v>
      </c>
      <c r="E87" s="11">
        <f t="shared" si="4"/>
        <v>14.876033057851238</v>
      </c>
      <c r="F87" s="39">
        <v>180</v>
      </c>
      <c r="G87" s="18"/>
      <c r="H87" s="13">
        <f t="shared" si="5"/>
        <v>180</v>
      </c>
      <c r="I87" s="59" t="s">
        <v>402</v>
      </c>
      <c r="J87" s="6">
        <v>180</v>
      </c>
      <c r="K87" s="40"/>
      <c r="L87" s="41"/>
      <c r="M87" s="6"/>
      <c r="N87" s="6"/>
      <c r="O87" s="6"/>
    </row>
    <row r="88" spans="1:15" x14ac:dyDescent="0.3">
      <c r="A88" s="54">
        <v>45339</v>
      </c>
      <c r="B88" s="10" t="s">
        <v>208</v>
      </c>
      <c r="C88" s="10" t="s">
        <v>14</v>
      </c>
      <c r="D88" s="11">
        <f t="shared" si="3"/>
        <v>181.81818181818181</v>
      </c>
      <c r="E88" s="11">
        <f t="shared" si="4"/>
        <v>18.18181818181818</v>
      </c>
      <c r="F88" s="39">
        <v>220</v>
      </c>
      <c r="G88" s="18">
        <v>50</v>
      </c>
      <c r="H88" s="13">
        <f t="shared" si="5"/>
        <v>170</v>
      </c>
      <c r="I88" s="19" t="s">
        <v>413</v>
      </c>
      <c r="J88" s="6">
        <v>220</v>
      </c>
      <c r="K88" s="40"/>
      <c r="L88" s="1"/>
      <c r="M88" s="42"/>
      <c r="N88" s="6"/>
      <c r="O88" s="6"/>
    </row>
    <row r="89" spans="1:15" x14ac:dyDescent="0.3">
      <c r="A89" s="54">
        <v>45339</v>
      </c>
      <c r="B89" s="10" t="s">
        <v>209</v>
      </c>
      <c r="C89" s="10" t="s">
        <v>14</v>
      </c>
      <c r="D89" s="11">
        <f t="shared" si="3"/>
        <v>123.96694214876034</v>
      </c>
      <c r="E89" s="11">
        <f t="shared" si="4"/>
        <v>12.396694214876034</v>
      </c>
      <c r="F89" s="39">
        <v>150</v>
      </c>
      <c r="G89" s="18"/>
      <c r="H89" s="13">
        <f t="shared" si="5"/>
        <v>150</v>
      </c>
      <c r="I89" s="57" t="s">
        <v>386</v>
      </c>
      <c r="J89" s="6">
        <v>150</v>
      </c>
      <c r="K89" s="40"/>
      <c r="L89" s="1"/>
      <c r="M89" s="6"/>
      <c r="N89" s="6"/>
      <c r="O89" s="6"/>
    </row>
    <row r="90" spans="1:15" x14ac:dyDescent="0.3">
      <c r="A90" s="54">
        <v>45339</v>
      </c>
      <c r="B90" s="10" t="s">
        <v>210</v>
      </c>
      <c r="C90" s="10" t="s">
        <v>14</v>
      </c>
      <c r="D90" s="11">
        <f t="shared" si="3"/>
        <v>140.49586776859505</v>
      </c>
      <c r="E90" s="11">
        <f t="shared" si="4"/>
        <v>14.049586776859506</v>
      </c>
      <c r="F90" s="39">
        <v>170</v>
      </c>
      <c r="G90" s="64">
        <v>50</v>
      </c>
      <c r="H90" s="13">
        <f t="shared" si="5"/>
        <v>120</v>
      </c>
      <c r="I90" s="19" t="s">
        <v>414</v>
      </c>
      <c r="J90" s="6">
        <v>170</v>
      </c>
      <c r="K90" s="40"/>
      <c r="L90" s="1"/>
      <c r="M90" s="6"/>
      <c r="N90" s="6"/>
      <c r="O90" s="6"/>
    </row>
    <row r="91" spans="1:15" x14ac:dyDescent="0.3">
      <c r="A91" s="54">
        <v>45339</v>
      </c>
      <c r="B91" s="10" t="s">
        <v>211</v>
      </c>
      <c r="C91" s="10" t="s">
        <v>14</v>
      </c>
      <c r="D91" s="11">
        <f t="shared" si="3"/>
        <v>115.70247933884298</v>
      </c>
      <c r="E91" s="11">
        <f t="shared" si="4"/>
        <v>11.570247933884298</v>
      </c>
      <c r="F91" s="39">
        <v>140</v>
      </c>
      <c r="G91" s="64">
        <v>50</v>
      </c>
      <c r="H91" s="13">
        <f t="shared" si="5"/>
        <v>90</v>
      </c>
      <c r="I91" s="19" t="s">
        <v>415</v>
      </c>
      <c r="J91" s="6">
        <v>140</v>
      </c>
      <c r="K91" s="40"/>
      <c r="L91" s="1"/>
      <c r="M91" s="6"/>
      <c r="N91" s="6"/>
      <c r="O91" s="6"/>
    </row>
    <row r="92" spans="1:15" x14ac:dyDescent="0.3">
      <c r="A92" s="54">
        <v>45339</v>
      </c>
      <c r="B92" s="10" t="s">
        <v>212</v>
      </c>
      <c r="C92" s="10" t="s">
        <v>14</v>
      </c>
      <c r="D92" s="11">
        <f t="shared" si="3"/>
        <v>107.43801652892563</v>
      </c>
      <c r="E92" s="11">
        <f t="shared" si="4"/>
        <v>10.743801652892563</v>
      </c>
      <c r="F92" s="39">
        <v>130</v>
      </c>
      <c r="G92" s="18"/>
      <c r="H92" s="13">
        <f t="shared" si="5"/>
        <v>130</v>
      </c>
      <c r="I92" s="57" t="s">
        <v>403</v>
      </c>
      <c r="J92" s="6">
        <v>130</v>
      </c>
      <c r="K92" s="40"/>
      <c r="L92" s="1"/>
      <c r="M92" s="6"/>
      <c r="N92" s="6"/>
      <c r="O92" s="6"/>
    </row>
    <row r="93" spans="1:15" x14ac:dyDescent="0.3">
      <c r="A93" s="54">
        <v>45339</v>
      </c>
      <c r="B93" s="10" t="s">
        <v>213</v>
      </c>
      <c r="C93" s="10" t="s">
        <v>14</v>
      </c>
      <c r="D93" s="11">
        <f t="shared" si="3"/>
        <v>157.02479338842977</v>
      </c>
      <c r="E93" s="11">
        <f t="shared" si="4"/>
        <v>15.702479338842977</v>
      </c>
      <c r="F93" s="39">
        <v>190</v>
      </c>
      <c r="G93" s="18">
        <v>50</v>
      </c>
      <c r="H93" s="13">
        <f t="shared" si="5"/>
        <v>140</v>
      </c>
      <c r="I93" s="19" t="s">
        <v>416</v>
      </c>
      <c r="J93" s="6">
        <v>170</v>
      </c>
      <c r="K93" s="40">
        <v>20</v>
      </c>
      <c r="L93" s="1" t="s">
        <v>223</v>
      </c>
      <c r="M93" s="6"/>
      <c r="N93" s="6"/>
      <c r="O93" s="6"/>
    </row>
    <row r="94" spans="1:15" x14ac:dyDescent="0.3">
      <c r="A94" s="54">
        <v>45339</v>
      </c>
      <c r="B94" s="10" t="s">
        <v>290</v>
      </c>
      <c r="C94" s="10" t="s">
        <v>14</v>
      </c>
      <c r="D94" s="11">
        <f t="shared" si="3"/>
        <v>123.96694214876034</v>
      </c>
      <c r="E94" s="11">
        <f t="shared" si="4"/>
        <v>12.396694214876034</v>
      </c>
      <c r="F94" s="39">
        <v>150</v>
      </c>
      <c r="G94" s="18"/>
      <c r="H94" s="13">
        <f t="shared" si="5"/>
        <v>150</v>
      </c>
      <c r="I94" s="57" t="s">
        <v>403</v>
      </c>
      <c r="J94" s="6">
        <v>150</v>
      </c>
      <c r="K94" s="40"/>
      <c r="L94" s="1"/>
      <c r="M94" s="6"/>
      <c r="N94" s="6"/>
      <c r="O94" s="6"/>
    </row>
    <row r="95" spans="1:15" x14ac:dyDescent="0.3">
      <c r="A95" s="54">
        <v>45339</v>
      </c>
      <c r="B95" s="10" t="s">
        <v>291</v>
      </c>
      <c r="C95" s="10" t="s">
        <v>14</v>
      </c>
      <c r="D95" s="11">
        <f t="shared" si="3"/>
        <v>115.70247933884298</v>
      </c>
      <c r="E95" s="11">
        <f t="shared" si="4"/>
        <v>11.570247933884298</v>
      </c>
      <c r="F95" s="39">
        <v>140</v>
      </c>
      <c r="G95" s="18"/>
      <c r="H95" s="13">
        <f t="shared" si="5"/>
        <v>140</v>
      </c>
      <c r="I95" s="59" t="s">
        <v>402</v>
      </c>
      <c r="J95" s="6">
        <v>140</v>
      </c>
      <c r="K95" s="40"/>
      <c r="L95" s="1"/>
      <c r="M95" s="6"/>
      <c r="N95" s="6"/>
      <c r="O95" s="6"/>
    </row>
    <row r="96" spans="1:15" x14ac:dyDescent="0.3">
      <c r="A96" s="54">
        <v>45339</v>
      </c>
      <c r="B96" s="10" t="s">
        <v>292</v>
      </c>
      <c r="C96" s="10" t="s">
        <v>14</v>
      </c>
      <c r="D96" s="11">
        <f t="shared" si="3"/>
        <v>115.70247933884298</v>
      </c>
      <c r="E96" s="11">
        <f t="shared" si="4"/>
        <v>11.570247933884298</v>
      </c>
      <c r="F96" s="39">
        <v>140</v>
      </c>
      <c r="G96" s="18"/>
      <c r="H96" s="13">
        <f t="shared" si="5"/>
        <v>140</v>
      </c>
      <c r="I96" s="59" t="s">
        <v>217</v>
      </c>
      <c r="J96" s="6">
        <v>140</v>
      </c>
      <c r="K96" s="40"/>
      <c r="L96" s="1"/>
      <c r="M96" s="6"/>
      <c r="N96" s="6"/>
      <c r="O96" s="6"/>
    </row>
    <row r="97" spans="1:15" x14ac:dyDescent="0.3">
      <c r="A97" s="54">
        <v>45339</v>
      </c>
      <c r="B97" s="10" t="s">
        <v>293</v>
      </c>
      <c r="C97" s="10" t="s">
        <v>14</v>
      </c>
      <c r="D97" s="11">
        <f t="shared" si="3"/>
        <v>173.55371900826447</v>
      </c>
      <c r="E97" s="11">
        <f t="shared" si="4"/>
        <v>17.355371900826448</v>
      </c>
      <c r="F97" s="43">
        <v>210</v>
      </c>
      <c r="G97" s="44">
        <v>50</v>
      </c>
      <c r="H97" s="13">
        <f t="shared" si="5"/>
        <v>160</v>
      </c>
      <c r="I97" s="45" t="s">
        <v>417</v>
      </c>
      <c r="J97" s="46">
        <v>170</v>
      </c>
      <c r="K97" s="47">
        <v>40</v>
      </c>
      <c r="L97" s="48" t="s">
        <v>223</v>
      </c>
      <c r="M97" s="46"/>
      <c r="N97" s="46"/>
      <c r="O97" s="46"/>
    </row>
    <row r="98" spans="1:15" x14ac:dyDescent="0.3">
      <c r="A98" s="54">
        <v>45339</v>
      </c>
      <c r="B98" s="10" t="s">
        <v>294</v>
      </c>
      <c r="C98" s="10" t="s">
        <v>14</v>
      </c>
      <c r="D98" s="11">
        <f t="shared" si="3"/>
        <v>115.70247933884298</v>
      </c>
      <c r="E98" s="11">
        <f t="shared" si="4"/>
        <v>11.570247933884298</v>
      </c>
      <c r="F98" s="30">
        <v>140</v>
      </c>
      <c r="G98" s="30"/>
      <c r="H98" s="13">
        <f t="shared" si="5"/>
        <v>140</v>
      </c>
      <c r="I98" s="65" t="s">
        <v>402</v>
      </c>
      <c r="J98" s="6">
        <v>140</v>
      </c>
      <c r="K98" s="40"/>
      <c r="L98" s="1"/>
      <c r="M98" s="6"/>
      <c r="N98" s="6"/>
      <c r="O98" s="6"/>
    </row>
    <row r="99" spans="1:15" x14ac:dyDescent="0.3">
      <c r="A99" s="54">
        <v>45339</v>
      </c>
      <c r="B99" s="10" t="s">
        <v>295</v>
      </c>
      <c r="C99" s="10" t="s">
        <v>14</v>
      </c>
      <c r="D99" s="11">
        <f t="shared" si="3"/>
        <v>140.49586776859505</v>
      </c>
      <c r="E99" s="11">
        <f t="shared" si="4"/>
        <v>14.049586776859506</v>
      </c>
      <c r="F99" s="30">
        <v>170</v>
      </c>
      <c r="G99" s="30">
        <v>50</v>
      </c>
      <c r="H99" s="13">
        <f t="shared" si="5"/>
        <v>120</v>
      </c>
      <c r="I99" s="49" t="s">
        <v>418</v>
      </c>
      <c r="J99" s="6">
        <v>170</v>
      </c>
      <c r="K99" s="40"/>
      <c r="L99" s="1"/>
      <c r="M99" s="6"/>
      <c r="N99" s="6"/>
      <c r="O99" s="6"/>
    </row>
    <row r="100" spans="1:15" x14ac:dyDescent="0.3">
      <c r="A100" s="50">
        <v>45339</v>
      </c>
      <c r="B100" s="10" t="s">
        <v>296</v>
      </c>
      <c r="C100" s="10" t="s">
        <v>14</v>
      </c>
      <c r="D100" s="11">
        <f t="shared" si="3"/>
        <v>140.49586776859505</v>
      </c>
      <c r="E100" s="11">
        <f t="shared" si="4"/>
        <v>14.049586776859506</v>
      </c>
      <c r="F100" s="51">
        <v>170</v>
      </c>
      <c r="G100" s="6">
        <v>50</v>
      </c>
      <c r="H100" s="13">
        <f t="shared" si="5"/>
        <v>120</v>
      </c>
      <c r="I100" s="49" t="s">
        <v>419</v>
      </c>
      <c r="J100" s="6">
        <v>170</v>
      </c>
      <c r="K100" s="40"/>
      <c r="L100" s="1"/>
      <c r="M100" s="6"/>
      <c r="N100" s="6"/>
      <c r="O100" s="6"/>
    </row>
    <row r="101" spans="1:15" x14ac:dyDescent="0.3">
      <c r="A101" s="50">
        <v>45339</v>
      </c>
      <c r="B101" s="10" t="s">
        <v>297</v>
      </c>
      <c r="C101" s="10" t="s">
        <v>14</v>
      </c>
      <c r="D101" s="11">
        <f t="shared" si="3"/>
        <v>123.96694214876034</v>
      </c>
      <c r="E101" s="11">
        <f t="shared" si="4"/>
        <v>12.396694214876034</v>
      </c>
      <c r="F101" s="51">
        <v>150</v>
      </c>
      <c r="G101" s="6"/>
      <c r="H101" s="13">
        <f t="shared" si="5"/>
        <v>150</v>
      </c>
      <c r="I101" s="66" t="s">
        <v>403</v>
      </c>
      <c r="J101" s="6">
        <v>150</v>
      </c>
      <c r="K101" s="40"/>
      <c r="L101" s="1"/>
      <c r="M101" s="6"/>
      <c r="N101" s="6"/>
      <c r="O101" s="6"/>
    </row>
    <row r="102" spans="1:15" x14ac:dyDescent="0.3">
      <c r="A102" s="50">
        <v>45339</v>
      </c>
      <c r="B102" s="10" t="s">
        <v>298</v>
      </c>
      <c r="C102" s="10" t="s">
        <v>14</v>
      </c>
      <c r="D102" s="11">
        <f t="shared" si="3"/>
        <v>297.52066115702479</v>
      </c>
      <c r="E102" s="11">
        <f t="shared" si="4"/>
        <v>29.752066115702476</v>
      </c>
      <c r="F102" s="51">
        <v>360</v>
      </c>
      <c r="G102" s="6"/>
      <c r="H102" s="13">
        <f t="shared" si="5"/>
        <v>360</v>
      </c>
      <c r="I102" s="67" t="s">
        <v>420</v>
      </c>
      <c r="J102" s="6">
        <v>360</v>
      </c>
      <c r="K102" s="40"/>
      <c r="L102" s="1"/>
      <c r="M102" s="6"/>
      <c r="N102" s="52"/>
      <c r="O102" s="6"/>
    </row>
    <row r="103" spans="1:15" x14ac:dyDescent="0.3">
      <c r="A103" s="50">
        <v>45339</v>
      </c>
      <c r="B103" s="10" t="s">
        <v>299</v>
      </c>
      <c r="C103" s="10" t="s">
        <v>14</v>
      </c>
      <c r="D103" s="11">
        <f t="shared" si="3"/>
        <v>132.2314049586777</v>
      </c>
      <c r="E103" s="11">
        <f t="shared" si="4"/>
        <v>13.223140495867769</v>
      </c>
      <c r="F103" s="51">
        <v>160</v>
      </c>
      <c r="G103" s="6">
        <v>50</v>
      </c>
      <c r="H103" s="13">
        <f t="shared" si="5"/>
        <v>110</v>
      </c>
      <c r="I103" s="49" t="s">
        <v>421</v>
      </c>
      <c r="J103" s="6">
        <v>160</v>
      </c>
      <c r="K103" s="40"/>
      <c r="L103" s="1"/>
      <c r="M103" s="6"/>
      <c r="N103" s="6"/>
      <c r="O103" s="6"/>
    </row>
    <row r="104" spans="1:15" x14ac:dyDescent="0.3">
      <c r="A104" s="50">
        <v>45339</v>
      </c>
      <c r="B104" s="10" t="s">
        <v>300</v>
      </c>
      <c r="C104" s="10" t="s">
        <v>14</v>
      </c>
      <c r="D104" s="11">
        <f t="shared" si="3"/>
        <v>363.63636363636363</v>
      </c>
      <c r="E104" s="11">
        <f t="shared" si="4"/>
        <v>36.36363636363636</v>
      </c>
      <c r="F104" s="51">
        <v>440</v>
      </c>
      <c r="G104" s="6">
        <v>100</v>
      </c>
      <c r="H104" s="13">
        <f t="shared" si="5"/>
        <v>340</v>
      </c>
      <c r="I104" s="49" t="s">
        <v>422</v>
      </c>
      <c r="J104" s="6">
        <v>390</v>
      </c>
      <c r="K104" s="40"/>
      <c r="L104" s="1"/>
      <c r="M104" s="6"/>
      <c r="N104" s="6"/>
      <c r="O104" s="6"/>
    </row>
    <row r="105" spans="1:15" x14ac:dyDescent="0.3">
      <c r="A105" s="50">
        <v>45339</v>
      </c>
      <c r="B105" s="10" t="s">
        <v>301</v>
      </c>
      <c r="C105" s="10" t="s">
        <v>14</v>
      </c>
      <c r="D105" s="11">
        <f t="shared" si="3"/>
        <v>219.00826446280993</v>
      </c>
      <c r="E105" s="11">
        <f t="shared" si="4"/>
        <v>21.900826446280995</v>
      </c>
      <c r="F105" s="51">
        <v>265</v>
      </c>
      <c r="G105" s="6">
        <v>50</v>
      </c>
      <c r="H105" s="13">
        <f t="shared" si="5"/>
        <v>215</v>
      </c>
      <c r="I105" s="49" t="s">
        <v>423</v>
      </c>
      <c r="J105" s="6">
        <v>220</v>
      </c>
      <c r="K105" s="40">
        <v>45</v>
      </c>
      <c r="L105" s="1" t="s">
        <v>16</v>
      </c>
      <c r="M105" s="6"/>
      <c r="N105" s="6"/>
      <c r="O105" s="6"/>
    </row>
    <row r="106" spans="1:15" x14ac:dyDescent="0.3">
      <c r="A106" s="50">
        <v>45339</v>
      </c>
      <c r="B106" s="10" t="s">
        <v>302</v>
      </c>
      <c r="C106" s="10" t="s">
        <v>14</v>
      </c>
      <c r="D106" s="11">
        <f t="shared" si="3"/>
        <v>181.81818181818181</v>
      </c>
      <c r="E106" s="11">
        <f t="shared" si="4"/>
        <v>18.18181818181818</v>
      </c>
      <c r="F106" s="51">
        <v>220</v>
      </c>
      <c r="G106" s="6">
        <v>50</v>
      </c>
      <c r="H106" s="13">
        <f t="shared" si="5"/>
        <v>170</v>
      </c>
      <c r="I106" s="49" t="s">
        <v>424</v>
      </c>
      <c r="J106" s="6">
        <v>220</v>
      </c>
      <c r="K106" s="40"/>
      <c r="L106" s="1"/>
      <c r="M106" s="6"/>
      <c r="N106" s="6"/>
      <c r="O106" s="6"/>
    </row>
    <row r="107" spans="1:15" x14ac:dyDescent="0.3">
      <c r="A107" s="50">
        <v>45339</v>
      </c>
      <c r="B107" s="10" t="s">
        <v>303</v>
      </c>
      <c r="C107" s="10" t="s">
        <v>14</v>
      </c>
      <c r="D107" s="11">
        <f t="shared" si="3"/>
        <v>206.61157024793388</v>
      </c>
      <c r="E107" s="11">
        <f t="shared" si="4"/>
        <v>20.661157024793386</v>
      </c>
      <c r="F107" s="51">
        <v>250</v>
      </c>
      <c r="G107" s="6">
        <v>50</v>
      </c>
      <c r="H107" s="13">
        <f t="shared" si="5"/>
        <v>200</v>
      </c>
      <c r="I107" s="49" t="s">
        <v>425</v>
      </c>
      <c r="J107" s="6">
        <v>220</v>
      </c>
      <c r="K107" s="40">
        <v>30</v>
      </c>
      <c r="L107" s="1" t="s">
        <v>223</v>
      </c>
      <c r="M107" s="6"/>
      <c r="N107" s="6"/>
      <c r="O107" s="6"/>
    </row>
    <row r="108" spans="1:15" x14ac:dyDescent="0.3">
      <c r="A108" s="55">
        <v>45339</v>
      </c>
      <c r="B108" s="10" t="s">
        <v>304</v>
      </c>
      <c r="C108" s="10" t="s">
        <v>14</v>
      </c>
      <c r="D108" s="11">
        <f t="shared" si="3"/>
        <v>181.81818181818181</v>
      </c>
      <c r="E108" s="11">
        <f t="shared" si="4"/>
        <v>18.18181818181818</v>
      </c>
      <c r="F108" s="51">
        <v>220</v>
      </c>
      <c r="G108" s="6">
        <v>50</v>
      </c>
      <c r="H108" s="13">
        <f t="shared" si="5"/>
        <v>170</v>
      </c>
      <c r="I108" s="49" t="s">
        <v>426</v>
      </c>
      <c r="J108" s="6">
        <v>220</v>
      </c>
      <c r="K108" s="40"/>
      <c r="L108" s="1"/>
      <c r="M108" s="6"/>
      <c r="N108" s="6"/>
      <c r="O108" s="6"/>
    </row>
    <row r="109" spans="1:15" x14ac:dyDescent="0.3">
      <c r="A109" s="50">
        <v>45339</v>
      </c>
      <c r="B109" s="10" t="s">
        <v>305</v>
      </c>
      <c r="C109" s="10" t="s">
        <v>14</v>
      </c>
      <c r="D109" s="11">
        <f t="shared" si="3"/>
        <v>363.63636363636363</v>
      </c>
      <c r="E109" s="11">
        <f t="shared" si="4"/>
        <v>36.36363636363636</v>
      </c>
      <c r="F109" s="51">
        <v>440</v>
      </c>
      <c r="G109" s="6">
        <v>100</v>
      </c>
      <c r="H109" s="13">
        <f t="shared" si="5"/>
        <v>340</v>
      </c>
      <c r="I109" s="49" t="s">
        <v>427</v>
      </c>
      <c r="J109" s="6">
        <v>440</v>
      </c>
      <c r="K109" s="40"/>
      <c r="L109" s="1"/>
      <c r="M109" s="6"/>
      <c r="N109" s="6"/>
      <c r="O109" s="6"/>
    </row>
    <row r="110" spans="1:15" x14ac:dyDescent="0.3">
      <c r="A110" s="50">
        <v>45340</v>
      </c>
      <c r="B110" s="10" t="s">
        <v>306</v>
      </c>
      <c r="C110" s="10" t="s">
        <v>14</v>
      </c>
      <c r="D110" s="11">
        <f t="shared" si="3"/>
        <v>219.00826446280993</v>
      </c>
      <c r="E110" s="11">
        <f t="shared" si="4"/>
        <v>21.900826446280995</v>
      </c>
      <c r="F110" s="51">
        <v>265</v>
      </c>
      <c r="G110" s="6">
        <v>50</v>
      </c>
      <c r="H110" s="13">
        <f t="shared" si="5"/>
        <v>215</v>
      </c>
      <c r="I110" s="49" t="s">
        <v>428</v>
      </c>
      <c r="J110" s="6">
        <v>220</v>
      </c>
      <c r="K110" s="40">
        <v>45</v>
      </c>
      <c r="L110" s="1" t="s">
        <v>16</v>
      </c>
      <c r="M110" s="6"/>
      <c r="N110" s="6"/>
      <c r="O110" s="6"/>
    </row>
    <row r="111" spans="1:15" x14ac:dyDescent="0.3">
      <c r="A111" s="50">
        <v>45340</v>
      </c>
      <c r="B111" s="10" t="s">
        <v>307</v>
      </c>
      <c r="C111" s="10" t="s">
        <v>14</v>
      </c>
      <c r="D111" s="11">
        <f t="shared" si="3"/>
        <v>219.00826446280993</v>
      </c>
      <c r="E111" s="11">
        <f t="shared" si="4"/>
        <v>21.900826446280995</v>
      </c>
      <c r="F111" s="51">
        <v>265</v>
      </c>
      <c r="G111" s="6">
        <v>265</v>
      </c>
      <c r="H111" s="13">
        <f t="shared" si="5"/>
        <v>0</v>
      </c>
      <c r="I111" s="49" t="s">
        <v>429</v>
      </c>
      <c r="J111" s="6">
        <v>220</v>
      </c>
      <c r="K111" s="40">
        <v>45</v>
      </c>
      <c r="L111" s="1" t="s">
        <v>397</v>
      </c>
      <c r="M111" s="6"/>
      <c r="N111" s="6"/>
      <c r="O111" s="6"/>
    </row>
    <row r="112" spans="1:15" x14ac:dyDescent="0.3">
      <c r="A112" s="50">
        <v>45341</v>
      </c>
      <c r="B112" s="10" t="s">
        <v>308</v>
      </c>
      <c r="C112" s="10" t="s">
        <v>14</v>
      </c>
      <c r="D112" s="11">
        <f t="shared" si="3"/>
        <v>148.7603305785124</v>
      </c>
      <c r="E112" s="11">
        <f t="shared" si="4"/>
        <v>14.876033057851238</v>
      </c>
      <c r="F112" s="51">
        <v>180</v>
      </c>
      <c r="G112" s="6"/>
      <c r="H112" s="13">
        <f t="shared" si="5"/>
        <v>180</v>
      </c>
      <c r="I112" s="65" t="s">
        <v>402</v>
      </c>
      <c r="J112" s="6">
        <v>180</v>
      </c>
      <c r="K112" s="40"/>
      <c r="L112" s="1"/>
      <c r="M112" s="6"/>
      <c r="N112" s="6"/>
      <c r="O112" s="6"/>
    </row>
    <row r="113" spans="1:15" x14ac:dyDescent="0.3">
      <c r="A113" s="50">
        <v>45342</v>
      </c>
      <c r="B113" s="10" t="s">
        <v>309</v>
      </c>
      <c r="C113" s="10" t="s">
        <v>14</v>
      </c>
      <c r="D113" s="11">
        <f t="shared" si="3"/>
        <v>644.62809917355378</v>
      </c>
      <c r="E113" s="11">
        <f t="shared" si="4"/>
        <v>64.462809917355386</v>
      </c>
      <c r="F113" s="51">
        <v>780</v>
      </c>
      <c r="G113" s="6">
        <v>300</v>
      </c>
      <c r="H113" s="13">
        <f t="shared" si="5"/>
        <v>480</v>
      </c>
      <c r="I113" s="68" t="s">
        <v>431</v>
      </c>
      <c r="J113" s="6">
        <v>570</v>
      </c>
      <c r="K113" s="40">
        <v>210</v>
      </c>
      <c r="L113" s="1" t="s">
        <v>223</v>
      </c>
      <c r="M113" s="6"/>
      <c r="N113" s="6"/>
      <c r="O113" s="6"/>
    </row>
    <row r="114" spans="1:15" x14ac:dyDescent="0.3">
      <c r="A114" s="50">
        <v>45342</v>
      </c>
      <c r="B114" s="10" t="s">
        <v>310</v>
      </c>
      <c r="C114" s="10" t="s">
        <v>14</v>
      </c>
      <c r="D114" s="11">
        <f t="shared" si="3"/>
        <v>239.6694214876033</v>
      </c>
      <c r="E114" s="11">
        <f t="shared" si="4"/>
        <v>23.966942148760332</v>
      </c>
      <c r="F114" s="51">
        <v>290</v>
      </c>
      <c r="G114" s="6">
        <v>50</v>
      </c>
      <c r="H114" s="13">
        <f t="shared" si="5"/>
        <v>240</v>
      </c>
      <c r="I114" s="49" t="s">
        <v>430</v>
      </c>
      <c r="J114" s="6">
        <v>270</v>
      </c>
      <c r="K114" s="40">
        <v>20</v>
      </c>
      <c r="L114" s="1" t="s">
        <v>223</v>
      </c>
      <c r="M114" s="6"/>
      <c r="N114" s="6"/>
      <c r="O114" s="6"/>
    </row>
    <row r="115" spans="1:15" x14ac:dyDescent="0.3">
      <c r="A115" s="50">
        <v>45343</v>
      </c>
      <c r="B115" s="10" t="s">
        <v>311</v>
      </c>
      <c r="C115" s="10" t="s">
        <v>14</v>
      </c>
      <c r="D115" s="11">
        <f t="shared" si="3"/>
        <v>148.7603305785124</v>
      </c>
      <c r="E115" s="11">
        <f t="shared" si="4"/>
        <v>14.876033057851238</v>
      </c>
      <c r="F115" s="51">
        <v>180</v>
      </c>
      <c r="G115" s="6"/>
      <c r="H115" s="13">
        <f t="shared" si="5"/>
        <v>180</v>
      </c>
      <c r="I115" s="65" t="s">
        <v>402</v>
      </c>
      <c r="J115" s="6">
        <v>180</v>
      </c>
      <c r="K115" s="40"/>
      <c r="L115" s="1"/>
      <c r="M115" s="6"/>
      <c r="N115" s="6"/>
      <c r="O115" s="6"/>
    </row>
    <row r="116" spans="1:15" x14ac:dyDescent="0.3">
      <c r="A116" s="50">
        <v>45344</v>
      </c>
      <c r="B116" s="10" t="s">
        <v>312</v>
      </c>
      <c r="C116" s="10" t="s">
        <v>14</v>
      </c>
      <c r="D116" s="11">
        <f t="shared" si="3"/>
        <v>198.34710743801654</v>
      </c>
      <c r="E116" s="11">
        <f t="shared" si="4"/>
        <v>19.834710743801654</v>
      </c>
      <c r="F116" s="51">
        <v>240</v>
      </c>
      <c r="G116" s="6">
        <v>50</v>
      </c>
      <c r="H116" s="13">
        <f t="shared" si="5"/>
        <v>190</v>
      </c>
      <c r="I116" s="49" t="s">
        <v>432</v>
      </c>
      <c r="J116" s="6">
        <v>220</v>
      </c>
      <c r="K116" s="40">
        <v>20</v>
      </c>
      <c r="L116" s="1" t="s">
        <v>223</v>
      </c>
      <c r="M116" s="6"/>
      <c r="N116" s="6"/>
      <c r="O116" s="6"/>
    </row>
    <row r="117" spans="1:15" x14ac:dyDescent="0.3">
      <c r="A117" s="50">
        <v>45344</v>
      </c>
      <c r="B117" s="10" t="s">
        <v>313</v>
      </c>
      <c r="C117" s="10" t="s">
        <v>14</v>
      </c>
      <c r="D117" s="11">
        <f t="shared" si="3"/>
        <v>140.49586776859505</v>
      </c>
      <c r="E117" s="11">
        <f t="shared" si="4"/>
        <v>14.049586776859506</v>
      </c>
      <c r="F117" s="51">
        <v>170</v>
      </c>
      <c r="G117" s="6">
        <v>50</v>
      </c>
      <c r="H117" s="13">
        <f t="shared" si="5"/>
        <v>120</v>
      </c>
      <c r="I117" s="49" t="s">
        <v>433</v>
      </c>
      <c r="J117" s="6">
        <v>170</v>
      </c>
      <c r="K117" s="40"/>
      <c r="L117" s="1"/>
      <c r="M117" s="6"/>
      <c r="N117" s="6"/>
      <c r="O117" s="6"/>
    </row>
    <row r="118" spans="1:15" x14ac:dyDescent="0.3">
      <c r="A118" s="50">
        <v>45344</v>
      </c>
      <c r="B118" s="10" t="s">
        <v>314</v>
      </c>
      <c r="C118" s="10" t="s">
        <v>14</v>
      </c>
      <c r="D118" s="11">
        <f t="shared" si="3"/>
        <v>132.2314049586777</v>
      </c>
      <c r="E118" s="11">
        <f t="shared" si="4"/>
        <v>13.223140495867769</v>
      </c>
      <c r="F118" s="51">
        <v>160</v>
      </c>
      <c r="G118" s="6"/>
      <c r="H118" s="13">
        <f t="shared" si="5"/>
        <v>160</v>
      </c>
      <c r="I118" s="67" t="s">
        <v>434</v>
      </c>
      <c r="J118" s="6">
        <v>160</v>
      </c>
      <c r="K118" s="40"/>
      <c r="L118" s="1"/>
      <c r="M118" s="6"/>
      <c r="N118" s="6"/>
      <c r="O118" s="6"/>
    </row>
    <row r="119" spans="1:15" x14ac:dyDescent="0.3">
      <c r="A119" s="4">
        <v>45345</v>
      </c>
      <c r="B119" s="10" t="s">
        <v>315</v>
      </c>
      <c r="C119" s="10" t="s">
        <v>14</v>
      </c>
      <c r="D119" s="11">
        <f t="shared" si="3"/>
        <v>140.49586776859505</v>
      </c>
      <c r="E119" s="11">
        <f t="shared" si="4"/>
        <v>14.049586776859506</v>
      </c>
      <c r="F119" s="51">
        <v>170</v>
      </c>
      <c r="G119" s="6">
        <v>170</v>
      </c>
      <c r="H119" s="13">
        <f t="shared" si="5"/>
        <v>0</v>
      </c>
      <c r="I119" s="49" t="s">
        <v>435</v>
      </c>
      <c r="J119" s="69">
        <v>170</v>
      </c>
      <c r="K119" s="40"/>
      <c r="L119" s="1"/>
      <c r="M119" s="6"/>
      <c r="N119" s="6"/>
      <c r="O119" s="6"/>
    </row>
    <row r="120" spans="1:15" x14ac:dyDescent="0.3">
      <c r="A120" s="4">
        <v>45345</v>
      </c>
      <c r="B120" s="10" t="s">
        <v>316</v>
      </c>
      <c r="C120" s="10" t="s">
        <v>14</v>
      </c>
      <c r="D120" s="11">
        <f t="shared" si="3"/>
        <v>223.14049586776861</v>
      </c>
      <c r="E120" s="11">
        <f t="shared" si="4"/>
        <v>22.314049586776861</v>
      </c>
      <c r="F120" s="51">
        <v>270</v>
      </c>
      <c r="G120" s="6">
        <v>50</v>
      </c>
      <c r="H120" s="13">
        <f t="shared" si="5"/>
        <v>220</v>
      </c>
      <c r="I120" s="49" t="s">
        <v>436</v>
      </c>
      <c r="J120" s="69">
        <v>270</v>
      </c>
      <c r="K120" s="40"/>
      <c r="L120" s="1"/>
      <c r="M120" s="6"/>
      <c r="N120" s="6"/>
      <c r="O120" s="6"/>
    </row>
    <row r="121" spans="1:15" x14ac:dyDescent="0.3">
      <c r="A121" s="4">
        <v>45345</v>
      </c>
      <c r="B121" s="10" t="s">
        <v>317</v>
      </c>
      <c r="C121" s="10" t="s">
        <v>14</v>
      </c>
      <c r="D121" s="11">
        <f t="shared" si="3"/>
        <v>148.7603305785124</v>
      </c>
      <c r="E121" s="11">
        <f t="shared" si="4"/>
        <v>14.876033057851238</v>
      </c>
      <c r="F121" s="51">
        <v>180</v>
      </c>
      <c r="G121" s="6"/>
      <c r="H121" s="13">
        <f t="shared" si="5"/>
        <v>180</v>
      </c>
      <c r="I121" s="65" t="s">
        <v>217</v>
      </c>
      <c r="J121" s="69">
        <v>180</v>
      </c>
      <c r="K121" s="40"/>
      <c r="L121" s="1"/>
      <c r="M121" s="6"/>
      <c r="N121" s="6"/>
      <c r="O121" s="6"/>
    </row>
    <row r="122" spans="1:15" x14ac:dyDescent="0.3">
      <c r="A122" s="4">
        <v>45345</v>
      </c>
      <c r="B122" s="10" t="s">
        <v>318</v>
      </c>
      <c r="C122" s="10" t="s">
        <v>14</v>
      </c>
      <c r="D122" s="11">
        <f t="shared" si="3"/>
        <v>140.49586776859505</v>
      </c>
      <c r="E122" s="11">
        <f t="shared" si="4"/>
        <v>14.049586776859506</v>
      </c>
      <c r="F122" s="51">
        <v>170</v>
      </c>
      <c r="G122" s="6">
        <v>50</v>
      </c>
      <c r="H122" s="13">
        <f t="shared" si="5"/>
        <v>120</v>
      </c>
      <c r="I122" s="49" t="s">
        <v>437</v>
      </c>
      <c r="J122" s="69">
        <v>170</v>
      </c>
      <c r="K122" s="40"/>
      <c r="L122" s="1"/>
      <c r="M122" s="6"/>
      <c r="N122" s="6"/>
      <c r="O122" s="6"/>
    </row>
    <row r="123" spans="1:15" x14ac:dyDescent="0.3">
      <c r="A123" s="5">
        <v>45345</v>
      </c>
      <c r="B123" s="10" t="s">
        <v>319</v>
      </c>
      <c r="C123" s="10" t="s">
        <v>14</v>
      </c>
      <c r="D123" s="11">
        <f t="shared" si="3"/>
        <v>140.49586776859505</v>
      </c>
      <c r="E123" s="11">
        <f t="shared" si="4"/>
        <v>14.049586776859506</v>
      </c>
      <c r="F123" s="51">
        <v>170</v>
      </c>
      <c r="G123" s="6">
        <v>50</v>
      </c>
      <c r="H123" s="13">
        <f t="shared" si="5"/>
        <v>120</v>
      </c>
      <c r="I123" s="49" t="s">
        <v>438</v>
      </c>
      <c r="J123" s="69">
        <v>170</v>
      </c>
      <c r="K123" s="40"/>
      <c r="L123" s="1"/>
      <c r="M123" s="6"/>
      <c r="N123" s="6"/>
      <c r="O123" s="6"/>
    </row>
    <row r="124" spans="1:15" x14ac:dyDescent="0.3">
      <c r="A124" s="4">
        <v>45345</v>
      </c>
      <c r="B124" s="10" t="s">
        <v>320</v>
      </c>
      <c r="C124" s="10" t="s">
        <v>14</v>
      </c>
      <c r="D124" s="11">
        <f t="shared" si="3"/>
        <v>157.02479338842977</v>
      </c>
      <c r="E124" s="11">
        <f t="shared" si="4"/>
        <v>15.702479338842977</v>
      </c>
      <c r="F124" s="51">
        <v>190</v>
      </c>
      <c r="G124" s="6"/>
      <c r="H124" s="13">
        <f t="shared" si="5"/>
        <v>190</v>
      </c>
      <c r="I124" s="71" t="s">
        <v>439</v>
      </c>
      <c r="J124" s="69">
        <v>190</v>
      </c>
      <c r="K124" s="40"/>
      <c r="L124" s="1"/>
      <c r="M124" s="6"/>
      <c r="N124" s="6"/>
      <c r="O124" s="6"/>
    </row>
    <row r="125" spans="1:15" x14ac:dyDescent="0.3">
      <c r="A125" s="4">
        <v>45345</v>
      </c>
      <c r="B125" s="10" t="s">
        <v>321</v>
      </c>
      <c r="C125" s="10" t="s">
        <v>14</v>
      </c>
      <c r="D125" s="11">
        <f t="shared" si="3"/>
        <v>157.02479338842977</v>
      </c>
      <c r="E125" s="11">
        <f t="shared" si="4"/>
        <v>15.702479338842977</v>
      </c>
      <c r="F125" s="51">
        <v>190</v>
      </c>
      <c r="G125" s="6"/>
      <c r="H125" s="13">
        <f t="shared" si="5"/>
        <v>190</v>
      </c>
      <c r="I125" s="70" t="s">
        <v>374</v>
      </c>
      <c r="J125" s="69">
        <v>190</v>
      </c>
      <c r="K125" s="40"/>
      <c r="L125" s="1"/>
      <c r="M125" s="6"/>
      <c r="N125" s="6"/>
      <c r="O125" s="6"/>
    </row>
    <row r="126" spans="1:15" x14ac:dyDescent="0.3">
      <c r="A126" s="72">
        <v>45346</v>
      </c>
      <c r="B126" s="10" t="s">
        <v>322</v>
      </c>
      <c r="C126" s="10" t="s">
        <v>14</v>
      </c>
      <c r="D126" s="11">
        <f t="shared" si="3"/>
        <v>181.81818181818181</v>
      </c>
      <c r="E126" s="11">
        <f t="shared" si="4"/>
        <v>18.18181818181818</v>
      </c>
      <c r="F126" s="51">
        <v>220</v>
      </c>
      <c r="G126" s="6">
        <v>50</v>
      </c>
      <c r="H126" s="13">
        <f t="shared" si="5"/>
        <v>170</v>
      </c>
      <c r="I126" s="49" t="s">
        <v>440</v>
      </c>
      <c r="J126" s="69">
        <v>220</v>
      </c>
      <c r="K126" s="40"/>
      <c r="L126" s="1"/>
      <c r="M126" s="6"/>
      <c r="N126" s="6"/>
      <c r="O126" s="6"/>
    </row>
    <row r="127" spans="1:15" x14ac:dyDescent="0.3">
      <c r="A127" s="73">
        <v>45346</v>
      </c>
      <c r="B127" s="10" t="s">
        <v>323</v>
      </c>
      <c r="C127" s="10" t="s">
        <v>14</v>
      </c>
      <c r="D127" s="11">
        <f t="shared" si="3"/>
        <v>219.00826446280993</v>
      </c>
      <c r="E127" s="11">
        <f t="shared" si="4"/>
        <v>21.900826446280995</v>
      </c>
      <c r="F127" s="30">
        <v>265</v>
      </c>
      <c r="G127" s="30">
        <v>50</v>
      </c>
      <c r="H127" s="13">
        <f t="shared" si="5"/>
        <v>215</v>
      </c>
      <c r="I127" s="1" t="s">
        <v>441</v>
      </c>
      <c r="J127" s="74">
        <v>220</v>
      </c>
      <c r="K127" s="30">
        <v>45</v>
      </c>
      <c r="L127" s="1" t="s">
        <v>16</v>
      </c>
      <c r="M127" s="1"/>
      <c r="N127" s="1"/>
      <c r="O127" s="1"/>
    </row>
    <row r="128" spans="1:15" x14ac:dyDescent="0.3">
      <c r="A128" s="72">
        <v>45346</v>
      </c>
      <c r="B128" s="10" t="s">
        <v>324</v>
      </c>
      <c r="C128" s="10" t="s">
        <v>14</v>
      </c>
      <c r="D128" s="11">
        <f t="shared" si="3"/>
        <v>214.87603305785126</v>
      </c>
      <c r="E128" s="11">
        <f t="shared" si="4"/>
        <v>21.487603305785125</v>
      </c>
      <c r="F128" s="30">
        <v>260</v>
      </c>
      <c r="G128" s="30">
        <v>50</v>
      </c>
      <c r="H128" s="13">
        <f t="shared" si="5"/>
        <v>210</v>
      </c>
      <c r="I128" s="1" t="s">
        <v>442</v>
      </c>
      <c r="J128" s="74">
        <v>220</v>
      </c>
      <c r="K128" s="30">
        <v>40</v>
      </c>
      <c r="L128" s="1" t="s">
        <v>223</v>
      </c>
      <c r="M128" s="1"/>
      <c r="N128" s="1"/>
      <c r="O128" s="1"/>
    </row>
    <row r="129" spans="1:15" x14ac:dyDescent="0.3">
      <c r="A129" s="73">
        <v>45346</v>
      </c>
      <c r="B129" s="10" t="s">
        <v>325</v>
      </c>
      <c r="C129" s="10" t="s">
        <v>14</v>
      </c>
      <c r="D129" s="11">
        <f t="shared" si="3"/>
        <v>181.81818181818181</v>
      </c>
      <c r="E129" s="11">
        <f t="shared" si="4"/>
        <v>18.18181818181818</v>
      </c>
      <c r="F129" s="30">
        <v>220</v>
      </c>
      <c r="G129" s="30">
        <v>50</v>
      </c>
      <c r="H129" s="13">
        <f t="shared" si="5"/>
        <v>170</v>
      </c>
      <c r="I129" s="1" t="s">
        <v>443</v>
      </c>
      <c r="J129" s="74">
        <v>220</v>
      </c>
      <c r="K129" s="30"/>
      <c r="L129" s="1"/>
      <c r="M129" s="1"/>
      <c r="N129" s="1"/>
      <c r="O129" s="1"/>
    </row>
    <row r="130" spans="1:15" x14ac:dyDescent="0.3">
      <c r="A130" s="72">
        <v>45346</v>
      </c>
      <c r="B130" s="10" t="s">
        <v>326</v>
      </c>
      <c r="C130" s="10" t="s">
        <v>14</v>
      </c>
      <c r="D130" s="11">
        <f t="shared" si="3"/>
        <v>326.44628099173553</v>
      </c>
      <c r="E130" s="11">
        <f t="shared" si="4"/>
        <v>32.644628099173552</v>
      </c>
      <c r="F130" s="30">
        <v>395</v>
      </c>
      <c r="G130" s="30">
        <v>50</v>
      </c>
      <c r="H130" s="13">
        <f t="shared" si="5"/>
        <v>345</v>
      </c>
      <c r="I130" s="1" t="s">
        <v>444</v>
      </c>
      <c r="J130" s="74">
        <v>220</v>
      </c>
      <c r="K130" s="30">
        <v>175</v>
      </c>
      <c r="L130" s="1" t="s">
        <v>395</v>
      </c>
      <c r="M130" s="1"/>
      <c r="N130" s="1"/>
      <c r="O130" s="1"/>
    </row>
    <row r="131" spans="1:15" x14ac:dyDescent="0.3">
      <c r="A131" s="73">
        <v>45346</v>
      </c>
      <c r="B131" s="10" t="s">
        <v>327</v>
      </c>
      <c r="C131" s="10" t="s">
        <v>14</v>
      </c>
      <c r="D131" s="11">
        <f t="shared" ref="D131:D157" si="6">F131/1.21</f>
        <v>181.81818181818181</v>
      </c>
      <c r="E131" s="11">
        <f t="shared" si="4"/>
        <v>18.18181818181818</v>
      </c>
      <c r="F131" s="30">
        <v>220</v>
      </c>
      <c r="G131" s="30">
        <v>50</v>
      </c>
      <c r="H131" s="13">
        <f t="shared" si="5"/>
        <v>170</v>
      </c>
      <c r="I131" s="1" t="s">
        <v>445</v>
      </c>
      <c r="J131" s="77">
        <v>220</v>
      </c>
      <c r="K131" s="30"/>
      <c r="L131" s="1"/>
      <c r="M131" s="1"/>
      <c r="N131" s="1"/>
      <c r="O131" s="1"/>
    </row>
    <row r="132" spans="1:15" x14ac:dyDescent="0.3">
      <c r="A132" s="72">
        <v>45346</v>
      </c>
      <c r="B132" s="10" t="s">
        <v>328</v>
      </c>
      <c r="C132" s="10" t="s">
        <v>14</v>
      </c>
      <c r="D132" s="11">
        <f t="shared" si="6"/>
        <v>99.173553719008268</v>
      </c>
      <c r="E132" s="11">
        <f t="shared" ref="E132:E157" si="7">D132*10/100</f>
        <v>9.9173553719008272</v>
      </c>
      <c r="F132" s="30">
        <v>120</v>
      </c>
      <c r="G132" s="30"/>
      <c r="H132" s="13">
        <f t="shared" si="5"/>
        <v>120</v>
      </c>
      <c r="I132" s="1" t="s">
        <v>264</v>
      </c>
      <c r="J132" s="77">
        <v>120</v>
      </c>
      <c r="K132" s="30"/>
      <c r="L132" s="1"/>
      <c r="M132" s="1"/>
      <c r="N132" s="1"/>
      <c r="O132" s="1"/>
    </row>
    <row r="133" spans="1:15" x14ac:dyDescent="0.3">
      <c r="A133" s="73">
        <v>45346</v>
      </c>
      <c r="B133" s="10" t="s">
        <v>329</v>
      </c>
      <c r="C133" s="10" t="s">
        <v>14</v>
      </c>
      <c r="D133" s="11">
        <f t="shared" si="6"/>
        <v>140.49586776859505</v>
      </c>
      <c r="E133" s="11">
        <f t="shared" si="7"/>
        <v>14.049586776859506</v>
      </c>
      <c r="F133" s="30">
        <v>170</v>
      </c>
      <c r="G133" s="30">
        <v>50</v>
      </c>
      <c r="H133" s="13">
        <f t="shared" si="5"/>
        <v>120</v>
      </c>
      <c r="I133" s="1" t="s">
        <v>446</v>
      </c>
      <c r="J133" s="74">
        <v>170</v>
      </c>
      <c r="K133" s="30"/>
      <c r="L133" s="1"/>
      <c r="M133" s="1"/>
      <c r="N133" s="1"/>
      <c r="O133" s="1"/>
    </row>
    <row r="134" spans="1:15" x14ac:dyDescent="0.3">
      <c r="A134" s="72">
        <v>45346</v>
      </c>
      <c r="B134" s="10" t="s">
        <v>330</v>
      </c>
      <c r="C134" s="10" t="s">
        <v>14</v>
      </c>
      <c r="D134" s="11">
        <f t="shared" si="6"/>
        <v>140.49586776859505</v>
      </c>
      <c r="E134" s="11">
        <f t="shared" si="7"/>
        <v>14.049586776859506</v>
      </c>
      <c r="F134" s="30">
        <v>170</v>
      </c>
      <c r="G134" s="30">
        <v>50</v>
      </c>
      <c r="H134" s="13">
        <f t="shared" ref="H134:H157" si="8">F134-G134</f>
        <v>120</v>
      </c>
      <c r="I134" s="1" t="s">
        <v>447</v>
      </c>
      <c r="J134" s="74">
        <v>170</v>
      </c>
      <c r="K134" s="30"/>
      <c r="L134" s="1"/>
      <c r="M134" s="1"/>
      <c r="N134" s="1"/>
      <c r="O134" s="1"/>
    </row>
    <row r="135" spans="1:15" x14ac:dyDescent="0.3">
      <c r="A135" s="73">
        <v>45346</v>
      </c>
      <c r="B135" s="10" t="s">
        <v>331</v>
      </c>
      <c r="C135" s="10" t="s">
        <v>14</v>
      </c>
      <c r="D135" s="11">
        <f t="shared" si="6"/>
        <v>123.96694214876034</v>
      </c>
      <c r="E135" s="11">
        <f t="shared" si="7"/>
        <v>12.396694214876034</v>
      </c>
      <c r="F135" s="30">
        <v>150</v>
      </c>
      <c r="G135" s="30"/>
      <c r="H135" s="13">
        <f t="shared" si="8"/>
        <v>150</v>
      </c>
      <c r="I135" s="76" t="s">
        <v>448</v>
      </c>
      <c r="J135" s="74">
        <v>150</v>
      </c>
      <c r="K135" s="30"/>
      <c r="L135" s="1"/>
      <c r="M135" s="1"/>
      <c r="N135" s="1"/>
      <c r="O135" s="1"/>
    </row>
    <row r="136" spans="1:15" x14ac:dyDescent="0.3">
      <c r="A136" s="72">
        <v>45346</v>
      </c>
      <c r="B136" s="10" t="s">
        <v>332</v>
      </c>
      <c r="C136" s="10" t="s">
        <v>14</v>
      </c>
      <c r="D136" s="11">
        <f t="shared" si="6"/>
        <v>264.4628099173554</v>
      </c>
      <c r="E136" s="11">
        <f t="shared" si="7"/>
        <v>26.446280991735538</v>
      </c>
      <c r="F136" s="30">
        <v>320</v>
      </c>
      <c r="G136" s="30">
        <v>100</v>
      </c>
      <c r="H136" s="13">
        <f t="shared" si="8"/>
        <v>220</v>
      </c>
      <c r="I136" s="1" t="s">
        <v>449</v>
      </c>
      <c r="J136" s="74">
        <v>170</v>
      </c>
      <c r="K136" s="30">
        <v>150</v>
      </c>
      <c r="L136" s="1" t="s">
        <v>395</v>
      </c>
      <c r="M136" s="1"/>
      <c r="N136" s="1"/>
      <c r="O136" s="1"/>
    </row>
    <row r="137" spans="1:15" x14ac:dyDescent="0.3">
      <c r="A137" s="73">
        <v>45346</v>
      </c>
      <c r="B137" s="10" t="s">
        <v>333</v>
      </c>
      <c r="C137" s="10" t="s">
        <v>14</v>
      </c>
      <c r="D137" s="11">
        <f t="shared" si="6"/>
        <v>157.02479338842977</v>
      </c>
      <c r="E137" s="11">
        <f t="shared" si="7"/>
        <v>15.702479338842977</v>
      </c>
      <c r="F137" s="30">
        <v>190</v>
      </c>
      <c r="G137" s="30">
        <v>50</v>
      </c>
      <c r="H137" s="13">
        <f t="shared" si="8"/>
        <v>140</v>
      </c>
      <c r="I137" s="1" t="s">
        <v>450</v>
      </c>
      <c r="J137" s="77">
        <v>190</v>
      </c>
      <c r="K137" s="30"/>
      <c r="L137" s="1"/>
      <c r="M137" s="1"/>
      <c r="N137" s="1"/>
      <c r="O137" s="1"/>
    </row>
    <row r="138" spans="1:15" x14ac:dyDescent="0.3">
      <c r="A138" s="72">
        <v>45346</v>
      </c>
      <c r="B138" s="10" t="s">
        <v>334</v>
      </c>
      <c r="C138" s="10" t="s">
        <v>14</v>
      </c>
      <c r="D138" s="11">
        <f t="shared" si="6"/>
        <v>223.14049586776861</v>
      </c>
      <c r="E138" s="11">
        <f t="shared" si="7"/>
        <v>22.314049586776861</v>
      </c>
      <c r="F138" s="30">
        <v>270</v>
      </c>
      <c r="G138" s="30">
        <v>50</v>
      </c>
      <c r="H138" s="13">
        <f t="shared" si="8"/>
        <v>220</v>
      </c>
      <c r="I138" s="1" t="s">
        <v>451</v>
      </c>
      <c r="J138" s="74">
        <v>220</v>
      </c>
      <c r="K138" s="30">
        <v>50</v>
      </c>
      <c r="L138" s="1" t="s">
        <v>223</v>
      </c>
      <c r="M138" s="1"/>
      <c r="N138" s="1"/>
      <c r="O138" s="1"/>
    </row>
    <row r="139" spans="1:15" x14ac:dyDescent="0.3">
      <c r="A139" s="73">
        <v>45346</v>
      </c>
      <c r="B139" s="10" t="s">
        <v>335</v>
      </c>
      <c r="C139" s="10" t="s">
        <v>14</v>
      </c>
      <c r="D139" s="11">
        <f t="shared" si="6"/>
        <v>148.7603305785124</v>
      </c>
      <c r="E139" s="11">
        <f t="shared" si="7"/>
        <v>14.876033057851238</v>
      </c>
      <c r="F139" s="30">
        <v>180</v>
      </c>
      <c r="G139" s="30"/>
      <c r="H139" s="13">
        <f t="shared" si="8"/>
        <v>180</v>
      </c>
      <c r="I139" s="75" t="s">
        <v>217</v>
      </c>
      <c r="J139" s="74">
        <v>180</v>
      </c>
      <c r="K139" s="30"/>
      <c r="L139" s="1"/>
      <c r="M139" s="1"/>
      <c r="N139" s="1"/>
      <c r="O139" s="1"/>
    </row>
    <row r="140" spans="1:15" x14ac:dyDescent="0.3">
      <c r="A140" s="72">
        <v>45346</v>
      </c>
      <c r="B140" s="10" t="s">
        <v>336</v>
      </c>
      <c r="C140" s="10" t="s">
        <v>14</v>
      </c>
      <c r="D140" s="11">
        <f t="shared" si="6"/>
        <v>214.87603305785126</v>
      </c>
      <c r="E140" s="11">
        <f t="shared" si="7"/>
        <v>21.487603305785125</v>
      </c>
      <c r="F140" s="30">
        <v>260</v>
      </c>
      <c r="G140" s="30">
        <v>50</v>
      </c>
      <c r="H140" s="13">
        <f t="shared" si="8"/>
        <v>210</v>
      </c>
      <c r="I140" s="1" t="s">
        <v>452</v>
      </c>
      <c r="J140" s="74">
        <v>220</v>
      </c>
      <c r="K140" s="30">
        <v>40</v>
      </c>
      <c r="L140" s="1" t="s">
        <v>223</v>
      </c>
      <c r="M140" s="1"/>
      <c r="N140" s="1"/>
      <c r="O140" s="1"/>
    </row>
    <row r="141" spans="1:15" x14ac:dyDescent="0.3">
      <c r="A141" s="73">
        <v>45346</v>
      </c>
      <c r="B141" s="10" t="s">
        <v>337</v>
      </c>
      <c r="C141" s="10" t="s">
        <v>14</v>
      </c>
      <c r="D141" s="11">
        <f t="shared" si="6"/>
        <v>198.34710743801654</v>
      </c>
      <c r="E141" s="11">
        <f t="shared" si="7"/>
        <v>19.834710743801654</v>
      </c>
      <c r="F141" s="30">
        <v>240</v>
      </c>
      <c r="G141" s="30">
        <v>50</v>
      </c>
      <c r="H141" s="13">
        <f t="shared" si="8"/>
        <v>190</v>
      </c>
      <c r="I141" s="1" t="s">
        <v>453</v>
      </c>
      <c r="J141" s="74">
        <v>220</v>
      </c>
      <c r="K141" s="30"/>
      <c r="L141" s="1">
        <v>20</v>
      </c>
      <c r="M141" s="1"/>
      <c r="N141" s="1"/>
      <c r="O141" s="1"/>
    </row>
    <row r="142" spans="1:15" x14ac:dyDescent="0.3">
      <c r="A142" s="72">
        <v>45346</v>
      </c>
      <c r="B142" s="10" t="s">
        <v>338</v>
      </c>
      <c r="C142" s="10" t="s">
        <v>14</v>
      </c>
      <c r="D142" s="11">
        <f t="shared" si="6"/>
        <v>181.81818181818181</v>
      </c>
      <c r="E142" s="11">
        <f t="shared" si="7"/>
        <v>18.18181818181818</v>
      </c>
      <c r="F142" s="30">
        <v>220</v>
      </c>
      <c r="G142" s="30">
        <v>50</v>
      </c>
      <c r="H142" s="13">
        <f t="shared" si="8"/>
        <v>170</v>
      </c>
      <c r="I142" s="1" t="s">
        <v>454</v>
      </c>
      <c r="J142" s="77">
        <v>220</v>
      </c>
      <c r="K142" s="30"/>
      <c r="L142" s="1"/>
      <c r="M142" s="1"/>
      <c r="N142" s="1"/>
      <c r="O142" s="1"/>
    </row>
    <row r="143" spans="1:15" x14ac:dyDescent="0.3">
      <c r="A143" s="73">
        <v>45346</v>
      </c>
      <c r="B143" s="10" t="s">
        <v>339</v>
      </c>
      <c r="C143" s="10" t="s">
        <v>14</v>
      </c>
      <c r="D143" s="11">
        <f t="shared" si="6"/>
        <v>202.47933884297521</v>
      </c>
      <c r="E143" s="11">
        <f t="shared" si="7"/>
        <v>20.247933884297524</v>
      </c>
      <c r="F143" s="30">
        <v>245</v>
      </c>
      <c r="G143" s="30">
        <v>50</v>
      </c>
      <c r="H143" s="13">
        <f t="shared" si="8"/>
        <v>195</v>
      </c>
      <c r="I143" s="1" t="s">
        <v>455</v>
      </c>
      <c r="J143" s="74">
        <v>170</v>
      </c>
      <c r="K143" s="30">
        <v>45</v>
      </c>
      <c r="L143" s="1" t="s">
        <v>16</v>
      </c>
      <c r="M143" s="30">
        <v>30</v>
      </c>
      <c r="N143" s="1" t="s">
        <v>223</v>
      </c>
      <c r="O143" s="1"/>
    </row>
    <row r="144" spans="1:15" x14ac:dyDescent="0.3">
      <c r="A144" s="41">
        <v>45346</v>
      </c>
      <c r="B144" s="10" t="s">
        <v>340</v>
      </c>
      <c r="C144" s="10" t="s">
        <v>14</v>
      </c>
      <c r="D144" s="11">
        <f t="shared" si="6"/>
        <v>140.49586776859505</v>
      </c>
      <c r="E144" s="11">
        <f t="shared" si="7"/>
        <v>14.049586776859506</v>
      </c>
      <c r="F144" s="30">
        <v>170</v>
      </c>
      <c r="G144" s="30">
        <v>50</v>
      </c>
      <c r="H144" s="13">
        <f t="shared" si="8"/>
        <v>120</v>
      </c>
      <c r="I144" s="1" t="s">
        <v>456</v>
      </c>
      <c r="J144" s="74">
        <v>170</v>
      </c>
      <c r="K144" s="30"/>
      <c r="L144" s="1"/>
      <c r="M144" s="30"/>
      <c r="N144" s="1"/>
      <c r="O144" s="1"/>
    </row>
    <row r="145" spans="1:15" x14ac:dyDescent="0.3">
      <c r="A145" s="41">
        <v>45346</v>
      </c>
      <c r="B145" s="10" t="s">
        <v>341</v>
      </c>
      <c r="C145" s="10" t="s">
        <v>14</v>
      </c>
      <c r="D145" s="11">
        <f t="shared" si="6"/>
        <v>115.70247933884298</v>
      </c>
      <c r="E145" s="11">
        <f t="shared" si="7"/>
        <v>11.570247933884298</v>
      </c>
      <c r="F145" s="30">
        <v>140</v>
      </c>
      <c r="G145" s="30"/>
      <c r="H145" s="13">
        <f t="shared" si="8"/>
        <v>140</v>
      </c>
      <c r="I145" s="75" t="s">
        <v>217</v>
      </c>
      <c r="J145" s="74">
        <v>140</v>
      </c>
      <c r="K145" s="1"/>
      <c r="L145" s="1"/>
      <c r="M145" s="30"/>
      <c r="N145" s="1"/>
      <c r="O145" s="1"/>
    </row>
    <row r="146" spans="1:15" x14ac:dyDescent="0.3">
      <c r="A146" s="41">
        <v>45346</v>
      </c>
      <c r="B146" s="10" t="s">
        <v>342</v>
      </c>
      <c r="C146" s="10" t="s">
        <v>14</v>
      </c>
      <c r="D146" s="11">
        <f t="shared" si="6"/>
        <v>206.61157024793388</v>
      </c>
      <c r="E146" s="11">
        <f t="shared" si="7"/>
        <v>20.661157024793386</v>
      </c>
      <c r="F146" s="30">
        <v>250</v>
      </c>
      <c r="G146" s="30">
        <v>50</v>
      </c>
      <c r="H146" s="13">
        <f t="shared" si="8"/>
        <v>200</v>
      </c>
      <c r="I146" s="1" t="s">
        <v>457</v>
      </c>
      <c r="J146" s="74">
        <v>220</v>
      </c>
      <c r="K146" s="30">
        <v>30</v>
      </c>
      <c r="L146" s="1" t="s">
        <v>223</v>
      </c>
      <c r="M146" s="30"/>
      <c r="N146" s="1"/>
      <c r="O146" s="1"/>
    </row>
    <row r="147" spans="1:15" x14ac:dyDescent="0.3">
      <c r="A147" s="41">
        <v>45346</v>
      </c>
      <c r="B147" s="10" t="s">
        <v>343</v>
      </c>
      <c r="C147" s="10" t="s">
        <v>14</v>
      </c>
      <c r="D147" s="11">
        <f t="shared" si="6"/>
        <v>475.20661157024796</v>
      </c>
      <c r="E147" s="11">
        <f t="shared" si="7"/>
        <v>47.520661157024797</v>
      </c>
      <c r="F147" s="30">
        <v>575</v>
      </c>
      <c r="G147" s="30">
        <v>50</v>
      </c>
      <c r="H147" s="13">
        <f t="shared" si="8"/>
        <v>525</v>
      </c>
      <c r="I147" s="1" t="s">
        <v>458</v>
      </c>
      <c r="J147" s="74">
        <v>575</v>
      </c>
      <c r="K147" s="1"/>
      <c r="L147" s="1"/>
      <c r="M147" s="30"/>
      <c r="N147" s="1"/>
      <c r="O147" s="1"/>
    </row>
    <row r="148" spans="1:15" x14ac:dyDescent="0.3">
      <c r="A148" s="41">
        <v>45346</v>
      </c>
      <c r="B148" s="10" t="s">
        <v>344</v>
      </c>
      <c r="C148" s="10" t="s">
        <v>14</v>
      </c>
      <c r="D148" s="11">
        <f t="shared" si="6"/>
        <v>148.7603305785124</v>
      </c>
      <c r="E148" s="11">
        <f t="shared" si="7"/>
        <v>14.876033057851238</v>
      </c>
      <c r="F148" s="30">
        <v>180</v>
      </c>
      <c r="G148" s="30">
        <v>50</v>
      </c>
      <c r="H148" s="13">
        <f t="shared" si="8"/>
        <v>130</v>
      </c>
      <c r="I148" s="1" t="s">
        <v>459</v>
      </c>
      <c r="J148" s="74">
        <v>180</v>
      </c>
      <c r="K148" s="1"/>
      <c r="L148" s="1"/>
      <c r="M148" s="30"/>
      <c r="N148" s="1"/>
      <c r="O148" s="1"/>
    </row>
    <row r="149" spans="1:15" x14ac:dyDescent="0.3">
      <c r="A149" s="41">
        <v>45346</v>
      </c>
      <c r="B149" s="10" t="s">
        <v>345</v>
      </c>
      <c r="C149" s="10" t="s">
        <v>14</v>
      </c>
      <c r="D149" s="11">
        <f t="shared" si="6"/>
        <v>206.61157024793388</v>
      </c>
      <c r="E149" s="11">
        <f t="shared" si="7"/>
        <v>20.661157024793386</v>
      </c>
      <c r="F149" s="30">
        <v>250</v>
      </c>
      <c r="G149" s="30">
        <v>50</v>
      </c>
      <c r="H149" s="13">
        <f t="shared" si="8"/>
        <v>200</v>
      </c>
      <c r="I149" s="1" t="s">
        <v>460</v>
      </c>
      <c r="J149" s="74">
        <v>220</v>
      </c>
      <c r="K149" s="30">
        <v>30</v>
      </c>
      <c r="L149" s="1" t="s">
        <v>223</v>
      </c>
      <c r="M149" s="30"/>
      <c r="N149" s="1"/>
      <c r="O149" s="1"/>
    </row>
    <row r="150" spans="1:15" x14ac:dyDescent="0.3">
      <c r="A150" s="41">
        <v>45346</v>
      </c>
      <c r="B150" s="10" t="s">
        <v>346</v>
      </c>
      <c r="C150" s="10" t="s">
        <v>14</v>
      </c>
      <c r="D150" s="11">
        <f t="shared" si="6"/>
        <v>219.00826446280993</v>
      </c>
      <c r="E150" s="11">
        <f t="shared" si="7"/>
        <v>21.900826446280995</v>
      </c>
      <c r="F150" s="30">
        <v>265</v>
      </c>
      <c r="G150" s="30">
        <v>50</v>
      </c>
      <c r="H150" s="13">
        <f t="shared" si="8"/>
        <v>215</v>
      </c>
      <c r="I150" s="1" t="s">
        <v>461</v>
      </c>
      <c r="J150" s="74">
        <v>220</v>
      </c>
      <c r="K150" s="30">
        <v>45</v>
      </c>
      <c r="L150" s="1" t="s">
        <v>16</v>
      </c>
      <c r="M150" s="30"/>
      <c r="N150" s="1"/>
      <c r="O150" s="1"/>
    </row>
    <row r="151" spans="1:15" x14ac:dyDescent="0.3">
      <c r="A151" s="41">
        <v>45347</v>
      </c>
      <c r="B151" s="10" t="s">
        <v>347</v>
      </c>
      <c r="C151" s="10" t="s">
        <v>14</v>
      </c>
      <c r="D151" s="11">
        <f t="shared" si="6"/>
        <v>140.49586776859505</v>
      </c>
      <c r="E151" s="11">
        <f t="shared" si="7"/>
        <v>14.049586776859506</v>
      </c>
      <c r="F151" s="30">
        <v>170</v>
      </c>
      <c r="G151" s="30">
        <v>50</v>
      </c>
      <c r="H151" s="13">
        <f t="shared" si="8"/>
        <v>120</v>
      </c>
      <c r="I151" s="1" t="s">
        <v>462</v>
      </c>
      <c r="J151" s="30">
        <v>170</v>
      </c>
      <c r="K151" s="1"/>
      <c r="L151" s="1"/>
      <c r="M151" s="30"/>
      <c r="N151" s="1"/>
      <c r="O151" s="1"/>
    </row>
    <row r="152" spans="1:15" x14ac:dyDescent="0.3">
      <c r="A152" s="41">
        <v>45347</v>
      </c>
      <c r="B152" s="10" t="s">
        <v>348</v>
      </c>
      <c r="C152" s="10" t="s">
        <v>14</v>
      </c>
      <c r="D152" s="11">
        <f t="shared" si="6"/>
        <v>202.47933884297521</v>
      </c>
      <c r="E152" s="11">
        <f t="shared" si="7"/>
        <v>20.247933884297524</v>
      </c>
      <c r="F152" s="30">
        <v>245</v>
      </c>
      <c r="G152" s="30">
        <v>50</v>
      </c>
      <c r="H152" s="13">
        <f t="shared" si="8"/>
        <v>195</v>
      </c>
      <c r="I152" s="1" t="s">
        <v>463</v>
      </c>
      <c r="J152" s="30">
        <v>170</v>
      </c>
      <c r="K152" s="30">
        <v>45</v>
      </c>
      <c r="L152" s="1" t="s">
        <v>16</v>
      </c>
      <c r="M152" s="30">
        <v>30</v>
      </c>
      <c r="N152" s="1" t="s">
        <v>223</v>
      </c>
      <c r="O152" s="1"/>
    </row>
    <row r="153" spans="1:15" x14ac:dyDescent="0.3">
      <c r="A153" s="41">
        <v>45347</v>
      </c>
      <c r="B153" s="10" t="s">
        <v>349</v>
      </c>
      <c r="C153" s="10" t="s">
        <v>14</v>
      </c>
      <c r="D153" s="11">
        <f t="shared" si="6"/>
        <v>165.28925619834712</v>
      </c>
      <c r="E153" s="11">
        <f t="shared" si="7"/>
        <v>16.528925619834713</v>
      </c>
      <c r="F153" s="30">
        <v>200</v>
      </c>
      <c r="G153" s="30"/>
      <c r="H153" s="13">
        <f t="shared" si="8"/>
        <v>200</v>
      </c>
      <c r="I153" s="75" t="s">
        <v>402</v>
      </c>
      <c r="J153" s="30">
        <v>200</v>
      </c>
      <c r="K153" s="1"/>
      <c r="L153" s="1"/>
      <c r="M153" s="1"/>
      <c r="N153" s="1"/>
      <c r="O153" s="1"/>
    </row>
    <row r="154" spans="1:15" x14ac:dyDescent="0.3">
      <c r="A154" s="41">
        <v>45347</v>
      </c>
      <c r="B154" s="10" t="s">
        <v>350</v>
      </c>
      <c r="C154" s="10" t="s">
        <v>14</v>
      </c>
      <c r="D154" s="11">
        <f t="shared" si="6"/>
        <v>181.81818181818181</v>
      </c>
      <c r="E154" s="11">
        <f t="shared" si="7"/>
        <v>18.18181818181818</v>
      </c>
      <c r="F154" s="30">
        <v>220</v>
      </c>
      <c r="G154" s="30">
        <v>50</v>
      </c>
      <c r="H154" s="13">
        <f t="shared" si="8"/>
        <v>170</v>
      </c>
      <c r="I154" s="1" t="s">
        <v>464</v>
      </c>
      <c r="J154" s="30">
        <v>270</v>
      </c>
      <c r="K154" s="1"/>
      <c r="L154" s="1"/>
      <c r="M154" s="1"/>
      <c r="N154" s="1"/>
      <c r="O154" s="1"/>
    </row>
    <row r="155" spans="1:15" x14ac:dyDescent="0.3">
      <c r="A155" s="41">
        <v>45348</v>
      </c>
      <c r="B155" s="10" t="s">
        <v>351</v>
      </c>
      <c r="C155" s="10" t="s">
        <v>14</v>
      </c>
      <c r="D155" s="11">
        <f t="shared" si="6"/>
        <v>157.02479338842977</v>
      </c>
      <c r="E155" s="11">
        <f t="shared" si="7"/>
        <v>15.702479338842977</v>
      </c>
      <c r="F155" s="30">
        <v>190</v>
      </c>
      <c r="G155" s="30"/>
      <c r="H155" s="13">
        <f t="shared" si="8"/>
        <v>190</v>
      </c>
      <c r="I155" s="1" t="s">
        <v>465</v>
      </c>
      <c r="J155" s="30">
        <v>190</v>
      </c>
      <c r="K155" s="1"/>
      <c r="L155" s="1"/>
      <c r="M155" s="1"/>
      <c r="N155" s="1"/>
      <c r="O155" s="1"/>
    </row>
    <row r="156" spans="1:15" x14ac:dyDescent="0.3">
      <c r="A156" s="41">
        <v>45351</v>
      </c>
      <c r="B156" s="10" t="s">
        <v>352</v>
      </c>
      <c r="C156" s="10" t="s">
        <v>14</v>
      </c>
      <c r="D156" s="11">
        <f t="shared" si="6"/>
        <v>140.49586776859505</v>
      </c>
      <c r="E156" s="11">
        <f t="shared" si="7"/>
        <v>14.049586776859506</v>
      </c>
      <c r="F156" s="30">
        <v>170</v>
      </c>
      <c r="G156" s="30">
        <v>50</v>
      </c>
      <c r="H156" s="13">
        <f t="shared" si="8"/>
        <v>120</v>
      </c>
      <c r="I156" s="1" t="s">
        <v>466</v>
      </c>
      <c r="J156" s="30">
        <v>170</v>
      </c>
      <c r="K156" s="1"/>
      <c r="L156" s="1"/>
      <c r="M156" s="1"/>
      <c r="N156" s="1"/>
      <c r="O156" s="1"/>
    </row>
    <row r="157" spans="1:15" x14ac:dyDescent="0.3">
      <c r="A157" s="41">
        <v>45351</v>
      </c>
      <c r="B157" s="10" t="s">
        <v>353</v>
      </c>
      <c r="C157" s="10" t="s">
        <v>14</v>
      </c>
      <c r="D157" s="11">
        <f t="shared" si="6"/>
        <v>181.81818181818181</v>
      </c>
      <c r="E157" s="11">
        <f t="shared" si="7"/>
        <v>18.18181818181818</v>
      </c>
      <c r="F157" s="30">
        <v>220</v>
      </c>
      <c r="G157" s="30">
        <v>50</v>
      </c>
      <c r="H157" s="13">
        <f t="shared" si="8"/>
        <v>170</v>
      </c>
      <c r="I157" s="1" t="s">
        <v>467</v>
      </c>
      <c r="J157" s="30">
        <v>190</v>
      </c>
      <c r="K157" s="1"/>
      <c r="L157" s="1"/>
      <c r="M157" s="1"/>
      <c r="N157" s="1"/>
      <c r="O157" s="1"/>
    </row>
    <row r="162" spans="4:4" x14ac:dyDescent="0.3">
      <c r="D162" s="99">
        <f>SUM(D3:D161)</f>
        <v>28651.239669421473</v>
      </c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4" type="noConversion"/>
  <conditionalFormatting sqref="A3:A19 A100:A107 F100:F126 A109:A126">
    <cfRule type="expression" dxfId="146" priority="36" stopIfTrue="1">
      <formula>EXACT($C3,"ROSA")</formula>
    </cfRule>
    <cfRule type="expression" dxfId="145" priority="35" stopIfTrue="1">
      <formula>EXACT($C3,"BLANCA")</formula>
    </cfRule>
    <cfRule type="expression" dxfId="144" priority="34" stopIfTrue="1">
      <formula>EXACT($C3,"HUMMER")</formula>
    </cfRule>
  </conditionalFormatting>
  <conditionalFormatting sqref="A20:A23 A25:A28 A30:A34">
    <cfRule type="expression" dxfId="143" priority="42" stopIfTrue="1">
      <formula>EXACT($C21,"ROSA")</formula>
    </cfRule>
    <cfRule type="expression" dxfId="142" priority="41" stopIfTrue="1">
      <formula>EXACT($C21,"BLANCA")</formula>
    </cfRule>
    <cfRule type="expression" dxfId="141" priority="40" stopIfTrue="1">
      <formula>EXACT($C21,"HUMMER")</formula>
    </cfRule>
  </conditionalFormatting>
  <conditionalFormatting sqref="A24">
    <cfRule type="expression" dxfId="140" priority="30" stopIfTrue="1">
      <formula>EXACT($C24,"ROSA")</formula>
    </cfRule>
    <cfRule type="expression" dxfId="139" priority="29" stopIfTrue="1">
      <formula>EXACT($C24,"BLANCA")</formula>
    </cfRule>
    <cfRule type="expression" dxfId="138" priority="28" stopIfTrue="1">
      <formula>EXACT($C24,"HUMMER")</formula>
    </cfRule>
  </conditionalFormatting>
  <conditionalFormatting sqref="A29">
    <cfRule type="expression" dxfId="137" priority="25" stopIfTrue="1">
      <formula>EXACT($C29,"HUMMER")</formula>
    </cfRule>
    <cfRule type="expression" dxfId="136" priority="27" stopIfTrue="1">
      <formula>EXACT($C29,"ROSA")</formula>
    </cfRule>
    <cfRule type="expression" dxfId="135" priority="26" stopIfTrue="1">
      <formula>EXACT($C29,"BLANCA")</formula>
    </cfRule>
  </conditionalFormatting>
  <conditionalFormatting sqref="A35:A37">
    <cfRule type="expression" dxfId="134" priority="45" stopIfTrue="1">
      <formula>EXACT($C37,"ROSA")</formula>
    </cfRule>
    <cfRule type="expression" dxfId="133" priority="44" stopIfTrue="1">
      <formula>EXACT($C37,"BLANCA")</formula>
    </cfRule>
    <cfRule type="expression" dxfId="132" priority="43" stopIfTrue="1">
      <formula>EXACT($C37,"HUMMER")</formula>
    </cfRule>
  </conditionalFormatting>
  <conditionalFormatting sqref="A128">
    <cfRule type="expression" dxfId="131" priority="23" stopIfTrue="1">
      <formula>EXACT($C128,"BLANCA")</formula>
    </cfRule>
    <cfRule type="expression" dxfId="130" priority="24" stopIfTrue="1">
      <formula>EXACT($C128,"ROSA")</formula>
    </cfRule>
    <cfRule type="expression" dxfId="129" priority="22" stopIfTrue="1">
      <formula>EXACT($C128,"HUMMER")</formula>
    </cfRule>
  </conditionalFormatting>
  <conditionalFormatting sqref="A130">
    <cfRule type="expression" dxfId="128" priority="19" stopIfTrue="1">
      <formula>EXACT($C130,"HUMMER")</formula>
    </cfRule>
    <cfRule type="expression" dxfId="127" priority="20" stopIfTrue="1">
      <formula>EXACT($C130,"BLANCA")</formula>
    </cfRule>
    <cfRule type="expression" dxfId="126" priority="21" stopIfTrue="1">
      <formula>EXACT($C130,"ROSA")</formula>
    </cfRule>
  </conditionalFormatting>
  <conditionalFormatting sqref="A132">
    <cfRule type="expression" dxfId="125" priority="18" stopIfTrue="1">
      <formula>EXACT($C132,"ROSA")</formula>
    </cfRule>
    <cfRule type="expression" dxfId="124" priority="17" stopIfTrue="1">
      <formula>EXACT($C132,"BLANCA")</formula>
    </cfRule>
    <cfRule type="expression" dxfId="123" priority="16" stopIfTrue="1">
      <formula>EXACT($C132,"HUMMER")</formula>
    </cfRule>
  </conditionalFormatting>
  <conditionalFormatting sqref="A134">
    <cfRule type="expression" dxfId="122" priority="13" stopIfTrue="1">
      <formula>EXACT($C134,"HUMMER")</formula>
    </cfRule>
    <cfRule type="expression" dxfId="121" priority="15" stopIfTrue="1">
      <formula>EXACT($C134,"ROSA")</formula>
    </cfRule>
    <cfRule type="expression" dxfId="120" priority="14" stopIfTrue="1">
      <formula>EXACT($C134,"BLANCA")</formula>
    </cfRule>
  </conditionalFormatting>
  <conditionalFormatting sqref="A136">
    <cfRule type="expression" dxfId="119" priority="12" stopIfTrue="1">
      <formula>EXACT($C136,"ROSA")</formula>
    </cfRule>
    <cfRule type="expression" dxfId="118" priority="11" stopIfTrue="1">
      <formula>EXACT($C136,"BLANCA")</formula>
    </cfRule>
    <cfRule type="expression" dxfId="117" priority="10" stopIfTrue="1">
      <formula>EXACT($C136,"HUMMER")</formula>
    </cfRule>
  </conditionalFormatting>
  <conditionalFormatting sqref="A138">
    <cfRule type="expression" dxfId="116" priority="9" stopIfTrue="1">
      <formula>EXACT($C138,"ROSA")</formula>
    </cfRule>
    <cfRule type="expression" dxfId="115" priority="7" stopIfTrue="1">
      <formula>EXACT($C138,"HUMMER")</formula>
    </cfRule>
    <cfRule type="expression" dxfId="114" priority="8" stopIfTrue="1">
      <formula>EXACT($C138,"BLANCA")</formula>
    </cfRule>
  </conditionalFormatting>
  <conditionalFormatting sqref="A140">
    <cfRule type="expression" dxfId="113" priority="4" stopIfTrue="1">
      <formula>EXACT($C140,"HUMMER")</formula>
    </cfRule>
    <cfRule type="expression" dxfId="112" priority="6" stopIfTrue="1">
      <formula>EXACT($C140,"ROSA")</formula>
    </cfRule>
    <cfRule type="expression" dxfId="111" priority="5" stopIfTrue="1">
      <formula>EXACT($C140,"BLANCA")</formula>
    </cfRule>
  </conditionalFormatting>
  <conditionalFormatting sqref="A142">
    <cfRule type="expression" dxfId="110" priority="2" stopIfTrue="1">
      <formula>EXACT($C142,"BLANCA")</formula>
    </cfRule>
    <cfRule type="expression" dxfId="109" priority="3" stopIfTrue="1">
      <formula>EXACT($C142,"ROSA")</formula>
    </cfRule>
    <cfRule type="expression" dxfId="108" priority="1" stopIfTrue="1">
      <formula>EXACT($C142,"HUMMER")</formula>
    </cfRule>
  </conditionalFormatting>
  <conditionalFormatting sqref="F3:F8">
    <cfRule type="expression" dxfId="107" priority="31" stopIfTrue="1">
      <formula>EXACT($C3,"HUMMER")</formula>
    </cfRule>
    <cfRule type="expression" dxfId="106" priority="32" stopIfTrue="1">
      <formula>EXACT($C3,"BLANCA")</formula>
    </cfRule>
    <cfRule type="expression" dxfId="105" priority="33" stopIfTrue="1">
      <formula>EXACT($C3,"ROSA")</formula>
    </cfRule>
  </conditionalFormatting>
  <conditionalFormatting sqref="F26:F35 F37">
    <cfRule type="expression" dxfId="104" priority="37" stopIfTrue="1">
      <formula>EXACT($C26,"HUMMER")</formula>
    </cfRule>
    <cfRule type="expression" dxfId="103" priority="38" stopIfTrue="1">
      <formula>EXACT($C26,"BLANCA")</formula>
    </cfRule>
    <cfRule type="expression" dxfId="102" priority="39" stopIfTrue="1">
      <formula>EXACT($C26,"ROSA")</formula>
    </cfRule>
  </conditionalFormatting>
  <conditionalFormatting sqref="F36">
    <cfRule type="expression" dxfId="101" priority="46" stopIfTrue="1">
      <formula>EXACT($C39,"HUMMER")</formula>
    </cfRule>
    <cfRule type="expression" dxfId="100" priority="47" stopIfTrue="1">
      <formula>EXACT($C39,"BLANCA")</formula>
    </cfRule>
    <cfRule type="expression" dxfId="99" priority="48" stopIfTrue="1">
      <formula>EXACT($C39,"ROSA")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459F-54DA-4343-A1DE-588F512138B4}">
  <dimension ref="A1:O193"/>
  <sheetViews>
    <sheetView topLeftCell="A157" workbookViewId="0">
      <selection activeCell="D194" sqref="D194"/>
    </sheetView>
  </sheetViews>
  <sheetFormatPr baseColWidth="10" defaultRowHeight="14.4" x14ac:dyDescent="0.3"/>
  <cols>
    <col min="1" max="1" width="18.88671875" customWidth="1"/>
    <col min="2" max="2" width="18.109375" customWidth="1"/>
    <col min="3" max="3" width="36.5546875" customWidth="1"/>
    <col min="4" max="4" width="18.109375" customWidth="1"/>
    <col min="5" max="5" width="17.88671875" customWidth="1"/>
    <col min="6" max="6" width="12" customWidth="1"/>
    <col min="9" max="9" width="24.6640625" customWidth="1"/>
    <col min="10" max="10" width="13" bestFit="1" customWidth="1"/>
    <col min="12" max="12" width="15" customWidth="1"/>
    <col min="14" max="14" width="22.33203125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10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3"/>
      <c r="N2" s="115"/>
      <c r="O2" s="113"/>
    </row>
    <row r="3" spans="1:15" x14ac:dyDescent="0.3">
      <c r="A3" s="9">
        <v>45352</v>
      </c>
      <c r="B3" s="10" t="s">
        <v>736</v>
      </c>
      <c r="C3" s="10" t="s">
        <v>14</v>
      </c>
      <c r="D3" s="11">
        <f t="shared" ref="D3:D66" si="0">F3/1.21</f>
        <v>181.81818181818181</v>
      </c>
      <c r="E3" s="11">
        <f>D3*10/100</f>
        <v>18.18181818181818</v>
      </c>
      <c r="F3" s="12">
        <v>220</v>
      </c>
      <c r="G3" s="11"/>
      <c r="H3" s="13">
        <f>F3-G3</f>
        <v>220</v>
      </c>
      <c r="I3" s="78" t="s">
        <v>364</v>
      </c>
      <c r="J3" s="79">
        <v>220</v>
      </c>
      <c r="K3" s="79"/>
      <c r="L3" s="10"/>
      <c r="M3" s="80"/>
      <c r="N3" s="2"/>
      <c r="O3" s="2"/>
    </row>
    <row r="4" spans="1:15" x14ac:dyDescent="0.3">
      <c r="A4" s="9">
        <v>45352</v>
      </c>
      <c r="B4" s="10" t="s">
        <v>737</v>
      </c>
      <c r="C4" s="10" t="s">
        <v>14</v>
      </c>
      <c r="D4" s="11">
        <f t="shared" si="0"/>
        <v>115.70247933884298</v>
      </c>
      <c r="E4" s="11">
        <f t="shared" ref="E4:E67" si="1">D4*10/100</f>
        <v>11.570247933884298</v>
      </c>
      <c r="F4" s="16">
        <v>140</v>
      </c>
      <c r="G4" s="11"/>
      <c r="H4" s="13">
        <f t="shared" ref="H4:H22" si="2">F4-G4</f>
        <v>140</v>
      </c>
      <c r="I4" s="78" t="s">
        <v>893</v>
      </c>
      <c r="J4" s="79">
        <v>140</v>
      </c>
      <c r="K4" s="79"/>
      <c r="L4" s="10"/>
      <c r="M4" s="80"/>
      <c r="N4" s="2"/>
      <c r="O4" s="2"/>
    </row>
    <row r="5" spans="1:15" x14ac:dyDescent="0.3">
      <c r="A5" s="9">
        <v>45352</v>
      </c>
      <c r="B5" s="10" t="s">
        <v>738</v>
      </c>
      <c r="C5" s="10" t="s">
        <v>14</v>
      </c>
      <c r="D5" s="11">
        <f t="shared" si="0"/>
        <v>202.47933884297521</v>
      </c>
      <c r="E5" s="11">
        <f t="shared" si="1"/>
        <v>20.247933884297524</v>
      </c>
      <c r="F5" s="98">
        <v>245</v>
      </c>
      <c r="G5" s="98">
        <v>50</v>
      </c>
      <c r="H5" s="13">
        <f t="shared" si="2"/>
        <v>195</v>
      </c>
      <c r="I5" s="78" t="s">
        <v>894</v>
      </c>
      <c r="J5" s="79">
        <v>170</v>
      </c>
      <c r="K5" s="79">
        <v>30</v>
      </c>
      <c r="L5" s="10" t="s">
        <v>223</v>
      </c>
      <c r="M5" s="80">
        <v>45</v>
      </c>
      <c r="N5" s="2" t="s">
        <v>16</v>
      </c>
      <c r="O5" s="2"/>
    </row>
    <row r="6" spans="1:15" x14ac:dyDescent="0.3">
      <c r="A6" s="9">
        <v>45352</v>
      </c>
      <c r="B6" s="10" t="s">
        <v>739</v>
      </c>
      <c r="C6" s="10" t="s">
        <v>14</v>
      </c>
      <c r="D6" s="11">
        <f t="shared" si="0"/>
        <v>177.68595041322314</v>
      </c>
      <c r="E6" s="11">
        <f t="shared" si="1"/>
        <v>17.768595041322314</v>
      </c>
      <c r="F6" s="16">
        <v>215</v>
      </c>
      <c r="G6" s="11">
        <v>50</v>
      </c>
      <c r="H6" s="13">
        <f t="shared" si="2"/>
        <v>165</v>
      </c>
      <c r="I6" s="78" t="s">
        <v>895</v>
      </c>
      <c r="J6" s="79">
        <v>170</v>
      </c>
      <c r="K6" s="79"/>
      <c r="L6" s="10"/>
      <c r="M6" s="80">
        <v>45</v>
      </c>
      <c r="N6" s="2" t="s">
        <v>16</v>
      </c>
      <c r="O6" s="2"/>
    </row>
    <row r="7" spans="1:15" x14ac:dyDescent="0.3">
      <c r="A7" s="9">
        <v>45352</v>
      </c>
      <c r="B7" s="10" t="s">
        <v>740</v>
      </c>
      <c r="C7" s="10" t="s">
        <v>14</v>
      </c>
      <c r="D7" s="11">
        <f t="shared" si="0"/>
        <v>140.49586776859505</v>
      </c>
      <c r="E7" s="11">
        <f t="shared" si="1"/>
        <v>14.049586776859506</v>
      </c>
      <c r="F7" s="16">
        <v>170</v>
      </c>
      <c r="G7" s="11">
        <v>50</v>
      </c>
      <c r="H7" s="13">
        <f t="shared" si="2"/>
        <v>120</v>
      </c>
      <c r="I7" s="78" t="s">
        <v>896</v>
      </c>
      <c r="J7" s="79">
        <v>170</v>
      </c>
      <c r="K7" s="79"/>
      <c r="L7" s="10"/>
      <c r="M7" s="80"/>
      <c r="N7" s="81"/>
      <c r="O7" s="2"/>
    </row>
    <row r="8" spans="1:15" x14ac:dyDescent="0.3">
      <c r="A8" s="9">
        <v>45352</v>
      </c>
      <c r="B8" s="10" t="s">
        <v>741</v>
      </c>
      <c r="C8" s="10" t="s">
        <v>14</v>
      </c>
      <c r="D8" s="11">
        <f t="shared" si="0"/>
        <v>115.70247933884298</v>
      </c>
      <c r="E8" s="11">
        <f t="shared" si="1"/>
        <v>11.570247933884298</v>
      </c>
      <c r="F8" s="16">
        <v>140</v>
      </c>
      <c r="G8" s="11"/>
      <c r="H8" s="13">
        <f t="shared" si="2"/>
        <v>140</v>
      </c>
      <c r="I8" s="78" t="s">
        <v>402</v>
      </c>
      <c r="J8" s="79">
        <v>140</v>
      </c>
      <c r="K8" s="79"/>
      <c r="L8" s="10"/>
      <c r="M8" s="80"/>
      <c r="N8" s="2"/>
      <c r="O8" s="2"/>
    </row>
    <row r="9" spans="1:15" x14ac:dyDescent="0.3">
      <c r="A9" s="9">
        <v>45352</v>
      </c>
      <c r="B9" s="10" t="s">
        <v>742</v>
      </c>
      <c r="C9" s="10" t="s">
        <v>14</v>
      </c>
      <c r="D9" s="11">
        <f t="shared" si="0"/>
        <v>157.02479338842977</v>
      </c>
      <c r="E9" s="11">
        <f t="shared" si="1"/>
        <v>15.702479338842977</v>
      </c>
      <c r="F9" s="18">
        <v>190</v>
      </c>
      <c r="G9" s="18"/>
      <c r="H9" s="13">
        <f t="shared" si="2"/>
        <v>190</v>
      </c>
      <c r="I9" s="19" t="s">
        <v>897</v>
      </c>
      <c r="J9" s="79">
        <v>190</v>
      </c>
      <c r="K9" s="79"/>
      <c r="L9" s="10"/>
      <c r="M9" s="80"/>
      <c r="N9" s="2"/>
      <c r="O9" s="2"/>
    </row>
    <row r="10" spans="1:15" x14ac:dyDescent="0.3">
      <c r="A10" s="9">
        <v>45352</v>
      </c>
      <c r="B10" s="10" t="s">
        <v>743</v>
      </c>
      <c r="C10" s="10" t="s">
        <v>14</v>
      </c>
      <c r="D10" s="11">
        <f t="shared" si="0"/>
        <v>148.7603305785124</v>
      </c>
      <c r="E10" s="11">
        <f t="shared" si="1"/>
        <v>14.876033057851238</v>
      </c>
      <c r="F10" s="18">
        <v>180</v>
      </c>
      <c r="G10" s="18"/>
      <c r="H10" s="13">
        <f t="shared" si="2"/>
        <v>180</v>
      </c>
      <c r="I10" s="19" t="s">
        <v>402</v>
      </c>
      <c r="J10" s="79">
        <v>180</v>
      </c>
      <c r="K10" s="79"/>
      <c r="L10" s="10"/>
      <c r="M10" s="80"/>
      <c r="N10" s="2"/>
      <c r="O10" s="2"/>
    </row>
    <row r="11" spans="1:15" x14ac:dyDescent="0.3">
      <c r="A11" s="9">
        <v>45352</v>
      </c>
      <c r="B11" s="10" t="s">
        <v>744</v>
      </c>
      <c r="C11" s="10" t="s">
        <v>14</v>
      </c>
      <c r="D11" s="11">
        <f t="shared" si="0"/>
        <v>198.34710743801654</v>
      </c>
      <c r="E11" s="11">
        <f t="shared" si="1"/>
        <v>19.834710743801654</v>
      </c>
      <c r="F11" s="18">
        <v>240</v>
      </c>
      <c r="G11" s="18"/>
      <c r="H11" s="13">
        <f t="shared" si="2"/>
        <v>240</v>
      </c>
      <c r="I11" s="19" t="s">
        <v>898</v>
      </c>
      <c r="J11" s="79">
        <v>220</v>
      </c>
      <c r="K11" s="79">
        <v>20</v>
      </c>
      <c r="L11" s="10" t="s">
        <v>223</v>
      </c>
      <c r="M11" s="80"/>
      <c r="N11" s="2"/>
      <c r="O11" s="2"/>
    </row>
    <row r="12" spans="1:15" x14ac:dyDescent="0.3">
      <c r="A12" s="9">
        <v>45352</v>
      </c>
      <c r="B12" s="10" t="s">
        <v>745</v>
      </c>
      <c r="C12" s="10" t="s">
        <v>14</v>
      </c>
      <c r="D12" s="11">
        <f t="shared" si="0"/>
        <v>181.81818181818181</v>
      </c>
      <c r="E12" s="11">
        <f t="shared" si="1"/>
        <v>18.18181818181818</v>
      </c>
      <c r="F12" s="18">
        <v>220</v>
      </c>
      <c r="G12" s="18">
        <v>50</v>
      </c>
      <c r="H12" s="13">
        <f t="shared" si="2"/>
        <v>170</v>
      </c>
      <c r="I12" s="19" t="s">
        <v>899</v>
      </c>
      <c r="J12" s="79">
        <v>220</v>
      </c>
      <c r="K12" s="79"/>
      <c r="L12" s="10"/>
      <c r="M12" s="80"/>
      <c r="N12" s="2"/>
      <c r="O12" s="2"/>
    </row>
    <row r="13" spans="1:15" x14ac:dyDescent="0.3">
      <c r="A13" s="9">
        <v>45353</v>
      </c>
      <c r="B13" s="10" t="s">
        <v>746</v>
      </c>
      <c r="C13" s="10" t="s">
        <v>14</v>
      </c>
      <c r="D13" s="11">
        <f t="shared" si="0"/>
        <v>181.81818181818181</v>
      </c>
      <c r="E13" s="11">
        <f t="shared" si="1"/>
        <v>18.18181818181818</v>
      </c>
      <c r="F13" s="18">
        <v>220</v>
      </c>
      <c r="G13" s="18">
        <v>50</v>
      </c>
      <c r="H13" s="13">
        <f t="shared" si="2"/>
        <v>170</v>
      </c>
      <c r="I13" s="19" t="s">
        <v>900</v>
      </c>
      <c r="J13" s="79">
        <v>220</v>
      </c>
      <c r="K13" s="79"/>
      <c r="L13" s="10"/>
      <c r="M13" s="80"/>
      <c r="N13" s="2"/>
      <c r="O13" s="2"/>
    </row>
    <row r="14" spans="1:15" x14ac:dyDescent="0.3">
      <c r="A14" s="9">
        <v>45353</v>
      </c>
      <c r="B14" s="10" t="s">
        <v>747</v>
      </c>
      <c r="C14" s="10" t="s">
        <v>14</v>
      </c>
      <c r="D14" s="11">
        <f t="shared" si="0"/>
        <v>148.7603305785124</v>
      </c>
      <c r="E14" s="11">
        <f t="shared" si="1"/>
        <v>14.876033057851238</v>
      </c>
      <c r="F14" s="18">
        <v>180</v>
      </c>
      <c r="G14" s="18"/>
      <c r="H14" s="13">
        <f t="shared" si="2"/>
        <v>180</v>
      </c>
      <c r="I14" s="19" t="s">
        <v>402</v>
      </c>
      <c r="J14" s="79">
        <v>180</v>
      </c>
      <c r="K14" s="79"/>
      <c r="L14" s="10"/>
      <c r="M14" s="80"/>
      <c r="N14" s="2"/>
      <c r="O14" s="2"/>
    </row>
    <row r="15" spans="1:15" x14ac:dyDescent="0.3">
      <c r="A15" s="9">
        <v>45353</v>
      </c>
      <c r="B15" s="10" t="s">
        <v>748</v>
      </c>
      <c r="C15" s="10" t="s">
        <v>14</v>
      </c>
      <c r="D15" s="11">
        <f t="shared" si="0"/>
        <v>157.02479338842977</v>
      </c>
      <c r="E15" s="11">
        <f t="shared" si="1"/>
        <v>15.702479338842977</v>
      </c>
      <c r="F15" s="18">
        <v>190</v>
      </c>
      <c r="G15" s="18"/>
      <c r="H15" s="13">
        <f t="shared" si="2"/>
        <v>190</v>
      </c>
      <c r="I15" s="19" t="s">
        <v>901</v>
      </c>
      <c r="J15" s="79">
        <v>190</v>
      </c>
      <c r="K15" s="79"/>
      <c r="L15" s="10"/>
      <c r="M15" s="80"/>
      <c r="N15" s="2"/>
      <c r="O15" s="2"/>
    </row>
    <row r="16" spans="1:15" x14ac:dyDescent="0.3">
      <c r="A16" s="9">
        <v>45353</v>
      </c>
      <c r="B16" s="10" t="s">
        <v>749</v>
      </c>
      <c r="C16" s="10" t="s">
        <v>14</v>
      </c>
      <c r="D16" s="11">
        <f t="shared" si="0"/>
        <v>198.34710743801654</v>
      </c>
      <c r="E16" s="11">
        <f t="shared" si="1"/>
        <v>19.834710743801654</v>
      </c>
      <c r="F16" s="18">
        <v>240</v>
      </c>
      <c r="G16" s="18">
        <v>50</v>
      </c>
      <c r="H16" s="13">
        <f t="shared" si="2"/>
        <v>190</v>
      </c>
      <c r="I16" s="19" t="s">
        <v>902</v>
      </c>
      <c r="J16" s="79">
        <v>220</v>
      </c>
      <c r="K16" s="79">
        <v>20</v>
      </c>
      <c r="L16" s="10" t="s">
        <v>223</v>
      </c>
      <c r="M16" s="82"/>
      <c r="N16" s="2"/>
      <c r="O16" s="2"/>
    </row>
    <row r="17" spans="1:15" x14ac:dyDescent="0.3">
      <c r="A17" s="9">
        <v>45353</v>
      </c>
      <c r="B17" s="10" t="s">
        <v>750</v>
      </c>
      <c r="C17" s="10" t="s">
        <v>14</v>
      </c>
      <c r="D17" s="11">
        <f t="shared" si="0"/>
        <v>256.198347107438</v>
      </c>
      <c r="E17" s="11">
        <f t="shared" si="1"/>
        <v>25.619834710743799</v>
      </c>
      <c r="F17" s="18">
        <v>310</v>
      </c>
      <c r="G17" s="18">
        <v>150</v>
      </c>
      <c r="H17" s="13">
        <f t="shared" si="2"/>
        <v>160</v>
      </c>
      <c r="I17" s="19" t="s">
        <v>903</v>
      </c>
      <c r="J17" s="79">
        <v>310</v>
      </c>
      <c r="K17" s="79"/>
      <c r="L17" s="10"/>
      <c r="M17" s="80"/>
      <c r="N17" s="2"/>
      <c r="O17" s="2"/>
    </row>
    <row r="18" spans="1:15" x14ac:dyDescent="0.3">
      <c r="A18" s="9">
        <v>45353</v>
      </c>
      <c r="B18" s="10" t="s">
        <v>751</v>
      </c>
      <c r="C18" s="10" t="s">
        <v>14</v>
      </c>
      <c r="D18" s="11">
        <f t="shared" si="0"/>
        <v>214.87603305785126</v>
      </c>
      <c r="E18" s="11">
        <f t="shared" si="1"/>
        <v>21.487603305785125</v>
      </c>
      <c r="F18" s="18">
        <v>260</v>
      </c>
      <c r="G18" s="18">
        <v>50</v>
      </c>
      <c r="H18" s="13">
        <f t="shared" si="2"/>
        <v>210</v>
      </c>
      <c r="I18" s="19" t="s">
        <v>904</v>
      </c>
      <c r="J18" s="79">
        <v>220</v>
      </c>
      <c r="K18" s="79">
        <v>40</v>
      </c>
      <c r="L18" s="10" t="s">
        <v>223</v>
      </c>
      <c r="M18" s="80"/>
      <c r="N18" s="2"/>
      <c r="O18" s="2"/>
    </row>
    <row r="19" spans="1:15" x14ac:dyDescent="0.3">
      <c r="A19" s="9">
        <v>45353</v>
      </c>
      <c r="B19" s="10" t="s">
        <v>752</v>
      </c>
      <c r="C19" s="10" t="s">
        <v>14</v>
      </c>
      <c r="D19" s="11">
        <f t="shared" si="0"/>
        <v>173.55371900826447</v>
      </c>
      <c r="E19" s="11">
        <f t="shared" si="1"/>
        <v>17.355371900826448</v>
      </c>
      <c r="F19" s="18">
        <v>210</v>
      </c>
      <c r="G19" s="18">
        <v>50</v>
      </c>
      <c r="H19" s="13">
        <f t="shared" si="2"/>
        <v>160</v>
      </c>
      <c r="I19" s="19" t="s">
        <v>905</v>
      </c>
      <c r="J19" s="79">
        <v>210</v>
      </c>
      <c r="K19" s="79"/>
      <c r="L19" s="10"/>
      <c r="M19" s="80"/>
      <c r="N19" s="2"/>
      <c r="O19" s="2"/>
    </row>
    <row r="20" spans="1:15" x14ac:dyDescent="0.3">
      <c r="A20" s="9">
        <v>45353</v>
      </c>
      <c r="B20" s="10" t="s">
        <v>753</v>
      </c>
      <c r="C20" s="10" t="s">
        <v>14</v>
      </c>
      <c r="D20" s="11">
        <f t="shared" si="0"/>
        <v>181.81818181818181</v>
      </c>
      <c r="E20" s="11">
        <f t="shared" si="1"/>
        <v>18.18181818181818</v>
      </c>
      <c r="F20" s="18">
        <v>220</v>
      </c>
      <c r="G20" s="18">
        <v>220</v>
      </c>
      <c r="H20" s="13">
        <f t="shared" si="2"/>
        <v>0</v>
      </c>
      <c r="I20" s="19" t="s">
        <v>906</v>
      </c>
      <c r="J20" s="79">
        <v>220</v>
      </c>
      <c r="K20" s="79"/>
      <c r="L20" s="10"/>
      <c r="M20" s="80"/>
      <c r="N20" s="2"/>
      <c r="O20" s="2"/>
    </row>
    <row r="21" spans="1:15" x14ac:dyDescent="0.3">
      <c r="A21" s="9">
        <v>45353</v>
      </c>
      <c r="B21" s="10" t="s">
        <v>754</v>
      </c>
      <c r="C21" s="10" t="s">
        <v>14</v>
      </c>
      <c r="D21" s="11">
        <f t="shared" si="0"/>
        <v>223.14049586776861</v>
      </c>
      <c r="E21" s="11">
        <f t="shared" si="1"/>
        <v>22.314049586776861</v>
      </c>
      <c r="F21" s="18">
        <v>270</v>
      </c>
      <c r="G21" s="21">
        <v>50</v>
      </c>
      <c r="H21" s="13">
        <f t="shared" si="2"/>
        <v>220</v>
      </c>
      <c r="I21" s="19" t="s">
        <v>907</v>
      </c>
      <c r="J21" s="79">
        <v>270</v>
      </c>
      <c r="K21" s="79"/>
      <c r="L21" s="10"/>
      <c r="M21" s="80"/>
      <c r="N21" s="2"/>
      <c r="O21" s="2"/>
    </row>
    <row r="22" spans="1:15" x14ac:dyDescent="0.3">
      <c r="A22" s="9">
        <v>45353</v>
      </c>
      <c r="B22" s="10" t="s">
        <v>755</v>
      </c>
      <c r="C22" s="10" t="s">
        <v>14</v>
      </c>
      <c r="D22" s="11">
        <f t="shared" si="0"/>
        <v>115.70247933884298</v>
      </c>
      <c r="E22" s="11">
        <f t="shared" si="1"/>
        <v>11.570247933884298</v>
      </c>
      <c r="F22" s="18">
        <v>140</v>
      </c>
      <c r="G22" s="11">
        <v>50</v>
      </c>
      <c r="H22" s="13">
        <f t="shared" si="2"/>
        <v>90</v>
      </c>
      <c r="I22" s="19" t="s">
        <v>908</v>
      </c>
      <c r="J22" s="79">
        <v>140</v>
      </c>
      <c r="K22" s="79"/>
      <c r="L22" s="10"/>
      <c r="M22" s="80"/>
      <c r="N22" s="2"/>
      <c r="O22" s="2"/>
    </row>
    <row r="23" spans="1:15" x14ac:dyDescent="0.3">
      <c r="A23" s="9">
        <v>45353</v>
      </c>
      <c r="B23" s="10" t="s">
        <v>756</v>
      </c>
      <c r="C23" s="10" t="s">
        <v>14</v>
      </c>
      <c r="D23" s="11">
        <f t="shared" si="0"/>
        <v>140.49586776859505</v>
      </c>
      <c r="E23" s="11">
        <f t="shared" si="1"/>
        <v>14.049586776859506</v>
      </c>
      <c r="F23" s="18">
        <v>170</v>
      </c>
      <c r="G23" s="11">
        <v>50</v>
      </c>
      <c r="H23" s="13">
        <f t="shared" ref="H23:H69" si="3">F23-G23</f>
        <v>120</v>
      </c>
      <c r="I23" s="19" t="s">
        <v>909</v>
      </c>
      <c r="J23" s="79">
        <v>170</v>
      </c>
      <c r="K23" s="79"/>
      <c r="L23" s="10"/>
      <c r="M23" s="80"/>
      <c r="N23" s="2"/>
      <c r="O23" s="2"/>
    </row>
    <row r="24" spans="1:15" x14ac:dyDescent="0.3">
      <c r="A24" s="9">
        <v>45353</v>
      </c>
      <c r="B24" s="10" t="s">
        <v>757</v>
      </c>
      <c r="C24" s="10" t="s">
        <v>14</v>
      </c>
      <c r="D24" s="11">
        <f t="shared" si="0"/>
        <v>157.02479338842977</v>
      </c>
      <c r="E24" s="11">
        <f t="shared" si="1"/>
        <v>15.702479338842977</v>
      </c>
      <c r="F24" s="18">
        <v>190</v>
      </c>
      <c r="G24" s="11">
        <v>50</v>
      </c>
      <c r="H24" s="13">
        <f t="shared" si="3"/>
        <v>140</v>
      </c>
      <c r="I24" s="19" t="s">
        <v>910</v>
      </c>
      <c r="J24" s="79">
        <v>170</v>
      </c>
      <c r="K24" s="79">
        <v>20</v>
      </c>
      <c r="L24" s="10" t="s">
        <v>223</v>
      </c>
      <c r="M24" s="80"/>
      <c r="N24" s="2"/>
      <c r="O24" s="2"/>
    </row>
    <row r="25" spans="1:15" x14ac:dyDescent="0.3">
      <c r="A25" s="9">
        <v>45353</v>
      </c>
      <c r="B25" s="10" t="s">
        <v>758</v>
      </c>
      <c r="C25" s="10" t="s">
        <v>14</v>
      </c>
      <c r="D25" s="11">
        <f t="shared" si="0"/>
        <v>173.55371900826447</v>
      </c>
      <c r="E25" s="11">
        <f t="shared" si="1"/>
        <v>17.355371900826448</v>
      </c>
      <c r="F25" s="18">
        <v>210</v>
      </c>
      <c r="G25" s="11"/>
      <c r="H25" s="13">
        <f t="shared" si="3"/>
        <v>210</v>
      </c>
      <c r="I25" s="19" t="s">
        <v>897</v>
      </c>
      <c r="J25" s="79">
        <v>210</v>
      </c>
      <c r="K25" s="79"/>
      <c r="L25" s="10"/>
      <c r="M25" s="80"/>
      <c r="N25" s="2"/>
      <c r="O25" s="2"/>
    </row>
    <row r="26" spans="1:15" x14ac:dyDescent="0.3">
      <c r="A26" s="9">
        <v>45353</v>
      </c>
      <c r="B26" s="10" t="s">
        <v>759</v>
      </c>
      <c r="C26" s="10" t="s">
        <v>14</v>
      </c>
      <c r="D26" s="11">
        <f t="shared" si="0"/>
        <v>165.28925619834712</v>
      </c>
      <c r="E26" s="11">
        <f t="shared" si="1"/>
        <v>16.528925619834713</v>
      </c>
      <c r="F26" s="16">
        <v>200</v>
      </c>
      <c r="G26" s="11"/>
      <c r="H26" s="13">
        <f t="shared" si="3"/>
        <v>200</v>
      </c>
      <c r="I26" s="19" t="s">
        <v>911</v>
      </c>
      <c r="J26" s="79">
        <v>200</v>
      </c>
      <c r="K26" s="79"/>
      <c r="L26" s="10"/>
      <c r="M26" s="83"/>
      <c r="N26" s="84"/>
      <c r="O26" s="84"/>
    </row>
    <row r="27" spans="1:15" x14ac:dyDescent="0.3">
      <c r="A27" s="9">
        <v>45353</v>
      </c>
      <c r="B27" s="10" t="s">
        <v>760</v>
      </c>
      <c r="C27" s="10" t="s">
        <v>14</v>
      </c>
      <c r="D27" s="11">
        <f t="shared" si="0"/>
        <v>181.81818181818181</v>
      </c>
      <c r="E27" s="11">
        <f t="shared" si="1"/>
        <v>18.18181818181818</v>
      </c>
      <c r="F27" s="16">
        <v>220</v>
      </c>
      <c r="G27" s="11"/>
      <c r="H27" s="13">
        <f t="shared" si="3"/>
        <v>220</v>
      </c>
      <c r="I27" s="19" t="s">
        <v>721</v>
      </c>
      <c r="J27" s="79">
        <v>220</v>
      </c>
      <c r="K27" s="85"/>
      <c r="L27" s="25"/>
      <c r="M27" s="80"/>
      <c r="N27" s="2"/>
      <c r="O27" s="2"/>
    </row>
    <row r="28" spans="1:15" x14ac:dyDescent="0.3">
      <c r="A28" s="9">
        <v>45353</v>
      </c>
      <c r="B28" s="10" t="s">
        <v>761</v>
      </c>
      <c r="C28" s="10" t="s">
        <v>14</v>
      </c>
      <c r="D28" s="11">
        <f t="shared" si="0"/>
        <v>181.81818181818181</v>
      </c>
      <c r="E28" s="11">
        <f t="shared" si="1"/>
        <v>18.18181818181818</v>
      </c>
      <c r="F28" s="16">
        <v>220</v>
      </c>
      <c r="G28" s="11">
        <v>50</v>
      </c>
      <c r="H28" s="13">
        <f t="shared" si="3"/>
        <v>170</v>
      </c>
      <c r="I28" s="78" t="s">
        <v>913</v>
      </c>
      <c r="J28" s="79">
        <v>220</v>
      </c>
      <c r="K28" s="79"/>
      <c r="L28" s="25"/>
      <c r="M28" s="80"/>
      <c r="N28" s="2"/>
      <c r="O28" s="2"/>
    </row>
    <row r="29" spans="1:15" x14ac:dyDescent="0.3">
      <c r="A29" s="9">
        <v>45353</v>
      </c>
      <c r="B29" s="10" t="s">
        <v>762</v>
      </c>
      <c r="C29" s="10" t="s">
        <v>14</v>
      </c>
      <c r="D29" s="11">
        <f t="shared" si="0"/>
        <v>157.02479338842977</v>
      </c>
      <c r="E29" s="11">
        <f t="shared" si="1"/>
        <v>15.702479338842977</v>
      </c>
      <c r="F29" s="16">
        <v>190</v>
      </c>
      <c r="G29" s="11"/>
      <c r="H29" s="13">
        <f t="shared" si="3"/>
        <v>190</v>
      </c>
      <c r="I29" s="78" t="s">
        <v>912</v>
      </c>
      <c r="J29" s="79">
        <v>190</v>
      </c>
      <c r="K29" s="79"/>
      <c r="L29" s="10"/>
      <c r="M29" s="80"/>
      <c r="N29" s="2"/>
      <c r="O29" s="2"/>
    </row>
    <row r="30" spans="1:15" x14ac:dyDescent="0.3">
      <c r="A30" s="9">
        <v>45353</v>
      </c>
      <c r="B30" s="10" t="s">
        <v>763</v>
      </c>
      <c r="C30" s="10" t="s">
        <v>14</v>
      </c>
      <c r="D30" s="11">
        <f t="shared" si="0"/>
        <v>107.43801652892563</v>
      </c>
      <c r="E30" s="11">
        <f t="shared" si="1"/>
        <v>10.743801652892563</v>
      </c>
      <c r="F30" s="16">
        <v>130</v>
      </c>
      <c r="G30" s="11"/>
      <c r="H30" s="13">
        <f t="shared" si="3"/>
        <v>130</v>
      </c>
      <c r="I30" s="19" t="s">
        <v>364</v>
      </c>
      <c r="J30" s="79">
        <v>130</v>
      </c>
      <c r="K30" s="79"/>
      <c r="L30" s="10"/>
      <c r="M30" s="80"/>
      <c r="N30" s="2"/>
      <c r="O30" s="2"/>
    </row>
    <row r="31" spans="1:15" x14ac:dyDescent="0.3">
      <c r="A31" s="9">
        <v>45353</v>
      </c>
      <c r="B31" s="10" t="s">
        <v>764</v>
      </c>
      <c r="C31" s="10" t="s">
        <v>14</v>
      </c>
      <c r="D31" s="11">
        <f t="shared" si="0"/>
        <v>132.2314049586777</v>
      </c>
      <c r="E31" s="11">
        <f t="shared" si="1"/>
        <v>13.223140495867769</v>
      </c>
      <c r="F31" s="16">
        <v>160</v>
      </c>
      <c r="G31" s="11"/>
      <c r="H31" s="13">
        <f t="shared" si="3"/>
        <v>160</v>
      </c>
      <c r="I31" s="19" t="s">
        <v>402</v>
      </c>
      <c r="J31" s="79">
        <v>160</v>
      </c>
      <c r="K31" s="79"/>
      <c r="L31" s="10"/>
      <c r="M31" s="80"/>
      <c r="N31" s="2"/>
      <c r="O31" s="2"/>
    </row>
    <row r="32" spans="1:15" x14ac:dyDescent="0.3">
      <c r="A32" s="9">
        <v>45353</v>
      </c>
      <c r="B32" s="10" t="s">
        <v>765</v>
      </c>
      <c r="C32" s="10" t="s">
        <v>14</v>
      </c>
      <c r="D32" s="11">
        <f t="shared" si="0"/>
        <v>140.49586776859505</v>
      </c>
      <c r="E32" s="11">
        <f t="shared" si="1"/>
        <v>14.049586776859506</v>
      </c>
      <c r="F32" s="16">
        <v>170</v>
      </c>
      <c r="G32" s="11"/>
      <c r="H32" s="13">
        <f t="shared" si="3"/>
        <v>170</v>
      </c>
      <c r="I32" s="78" t="s">
        <v>402</v>
      </c>
      <c r="J32" s="79">
        <v>170</v>
      </c>
      <c r="K32" s="79"/>
      <c r="L32" s="10"/>
      <c r="M32" s="80"/>
      <c r="N32" s="2"/>
      <c r="O32" s="2"/>
    </row>
    <row r="33" spans="1:15" x14ac:dyDescent="0.3">
      <c r="A33" s="9">
        <v>45353</v>
      </c>
      <c r="B33" s="10" t="s">
        <v>766</v>
      </c>
      <c r="C33" s="10" t="s">
        <v>14</v>
      </c>
      <c r="D33" s="11">
        <f t="shared" si="0"/>
        <v>140.49586776859505</v>
      </c>
      <c r="E33" s="11">
        <f t="shared" si="1"/>
        <v>14.049586776859506</v>
      </c>
      <c r="F33" s="16">
        <v>170</v>
      </c>
      <c r="G33" s="11">
        <v>50</v>
      </c>
      <c r="H33" s="13">
        <f t="shared" si="3"/>
        <v>120</v>
      </c>
      <c r="I33" s="78" t="s">
        <v>914</v>
      </c>
      <c r="J33" s="79">
        <v>170</v>
      </c>
      <c r="K33" s="79"/>
      <c r="L33" s="10"/>
      <c r="M33" s="80"/>
      <c r="N33" s="2"/>
      <c r="O33" s="2"/>
    </row>
    <row r="34" spans="1:15" x14ac:dyDescent="0.3">
      <c r="A34" s="9">
        <v>45354</v>
      </c>
      <c r="B34" s="10" t="s">
        <v>767</v>
      </c>
      <c r="C34" s="10" t="s">
        <v>14</v>
      </c>
      <c r="D34" s="11">
        <f t="shared" si="0"/>
        <v>219.00826446280993</v>
      </c>
      <c r="E34" s="11">
        <f t="shared" si="1"/>
        <v>21.900826446280995</v>
      </c>
      <c r="F34" s="16">
        <v>265</v>
      </c>
      <c r="G34" s="11">
        <v>50</v>
      </c>
      <c r="H34" s="13">
        <f t="shared" si="3"/>
        <v>215</v>
      </c>
      <c r="I34" s="78" t="s">
        <v>915</v>
      </c>
      <c r="J34" s="79">
        <v>220</v>
      </c>
      <c r="K34" s="79"/>
      <c r="L34" s="10"/>
      <c r="M34" s="80">
        <v>45</v>
      </c>
      <c r="N34" s="2" t="s">
        <v>16</v>
      </c>
      <c r="O34" s="2"/>
    </row>
    <row r="35" spans="1:15" x14ac:dyDescent="0.3">
      <c r="A35" s="9">
        <v>45354</v>
      </c>
      <c r="B35" s="10" t="s">
        <v>768</v>
      </c>
      <c r="C35" s="10" t="s">
        <v>14</v>
      </c>
      <c r="D35" s="11">
        <f t="shared" si="0"/>
        <v>140.49586776859505</v>
      </c>
      <c r="E35" s="11">
        <f t="shared" si="1"/>
        <v>14.049586776859506</v>
      </c>
      <c r="F35" s="16">
        <v>170</v>
      </c>
      <c r="G35" s="11">
        <v>170</v>
      </c>
      <c r="H35" s="13">
        <f t="shared" si="3"/>
        <v>0</v>
      </c>
      <c r="I35" s="78" t="s">
        <v>916</v>
      </c>
      <c r="J35" s="79">
        <v>170</v>
      </c>
      <c r="K35" s="79"/>
      <c r="L35" s="10"/>
      <c r="M35" s="80"/>
      <c r="N35" s="2"/>
      <c r="O35" s="2"/>
    </row>
    <row r="36" spans="1:15" x14ac:dyDescent="0.3">
      <c r="A36" s="9">
        <v>45355</v>
      </c>
      <c r="B36" s="10" t="s">
        <v>769</v>
      </c>
      <c r="C36" s="10" t="s">
        <v>14</v>
      </c>
      <c r="D36" s="11">
        <f t="shared" si="0"/>
        <v>214.87603305785126</v>
      </c>
      <c r="E36" s="11">
        <f t="shared" si="1"/>
        <v>21.487603305785125</v>
      </c>
      <c r="F36" s="16">
        <v>260</v>
      </c>
      <c r="G36" s="11">
        <v>50</v>
      </c>
      <c r="H36" s="13">
        <f t="shared" si="3"/>
        <v>210</v>
      </c>
      <c r="I36" s="19" t="s">
        <v>917</v>
      </c>
      <c r="J36" s="79">
        <v>220</v>
      </c>
      <c r="K36" s="79">
        <v>40</v>
      </c>
      <c r="L36" s="10" t="s">
        <v>223</v>
      </c>
      <c r="M36" s="80"/>
      <c r="N36" s="2"/>
      <c r="O36" s="2"/>
    </row>
    <row r="37" spans="1:15" x14ac:dyDescent="0.3">
      <c r="A37" s="9">
        <v>45356</v>
      </c>
      <c r="B37" s="10" t="s">
        <v>770</v>
      </c>
      <c r="C37" s="10" t="s">
        <v>14</v>
      </c>
      <c r="D37" s="11">
        <f t="shared" si="0"/>
        <v>140.49586776859505</v>
      </c>
      <c r="E37" s="11">
        <f t="shared" si="1"/>
        <v>14.049586776859506</v>
      </c>
      <c r="F37" s="16">
        <v>170</v>
      </c>
      <c r="G37" s="11">
        <v>50</v>
      </c>
      <c r="H37" s="13">
        <f t="shared" si="3"/>
        <v>120</v>
      </c>
      <c r="I37" s="19" t="s">
        <v>918</v>
      </c>
      <c r="J37" s="79">
        <v>170</v>
      </c>
      <c r="K37" s="79"/>
      <c r="L37" s="10"/>
      <c r="M37" s="80"/>
      <c r="N37" s="2"/>
      <c r="O37" s="2"/>
    </row>
    <row r="38" spans="1:15" x14ac:dyDescent="0.3">
      <c r="A38" s="9">
        <v>45356</v>
      </c>
      <c r="B38" s="10" t="s">
        <v>771</v>
      </c>
      <c r="C38" s="10" t="s">
        <v>14</v>
      </c>
      <c r="D38" s="11">
        <f t="shared" si="0"/>
        <v>115.70247933884298</v>
      </c>
      <c r="E38" s="11">
        <f t="shared" si="1"/>
        <v>11.570247933884298</v>
      </c>
      <c r="F38" s="18">
        <v>140</v>
      </c>
      <c r="G38" s="18"/>
      <c r="H38" s="13">
        <f t="shared" si="3"/>
        <v>140</v>
      </c>
      <c r="I38" s="19" t="s">
        <v>402</v>
      </c>
      <c r="J38" s="79">
        <v>140</v>
      </c>
      <c r="K38" s="86"/>
      <c r="L38" s="10"/>
      <c r="M38" s="80"/>
      <c r="N38" s="2"/>
      <c r="O38" s="2"/>
    </row>
    <row r="39" spans="1:15" x14ac:dyDescent="0.3">
      <c r="A39" s="9">
        <v>45357</v>
      </c>
      <c r="B39" s="10" t="s">
        <v>772</v>
      </c>
      <c r="C39" s="10" t="s">
        <v>14</v>
      </c>
      <c r="D39" s="11">
        <f t="shared" si="0"/>
        <v>148.7603305785124</v>
      </c>
      <c r="E39" s="11">
        <f t="shared" si="1"/>
        <v>14.876033057851238</v>
      </c>
      <c r="F39" s="18">
        <v>180</v>
      </c>
      <c r="G39" s="18"/>
      <c r="H39" s="13">
        <f t="shared" si="3"/>
        <v>180</v>
      </c>
      <c r="I39" s="19" t="s">
        <v>402</v>
      </c>
      <c r="J39" s="79">
        <v>180</v>
      </c>
      <c r="K39" s="79"/>
      <c r="L39" s="10"/>
      <c r="M39" s="80"/>
      <c r="N39" s="2"/>
      <c r="O39" s="2"/>
    </row>
    <row r="40" spans="1:15" x14ac:dyDescent="0.3">
      <c r="A40" s="26">
        <v>45359</v>
      </c>
      <c r="B40" s="10" t="s">
        <v>773</v>
      </c>
      <c r="C40" s="10" t="s">
        <v>14</v>
      </c>
      <c r="D40" s="11">
        <f t="shared" si="0"/>
        <v>140.49586776859505</v>
      </c>
      <c r="E40" s="11">
        <f t="shared" si="1"/>
        <v>14.049586776859506</v>
      </c>
      <c r="F40" s="18">
        <v>170</v>
      </c>
      <c r="G40" s="18">
        <v>50</v>
      </c>
      <c r="H40" s="13">
        <f t="shared" si="3"/>
        <v>120</v>
      </c>
      <c r="I40" s="19" t="s">
        <v>919</v>
      </c>
      <c r="J40" s="79">
        <v>170</v>
      </c>
      <c r="K40" s="79"/>
      <c r="L40" s="10"/>
      <c r="M40" s="80"/>
      <c r="N40" s="2"/>
      <c r="O40" s="2"/>
    </row>
    <row r="41" spans="1:15" x14ac:dyDescent="0.3">
      <c r="A41" s="26">
        <v>45359</v>
      </c>
      <c r="B41" s="10" t="s">
        <v>774</v>
      </c>
      <c r="C41" s="10" t="s">
        <v>14</v>
      </c>
      <c r="D41" s="11">
        <f t="shared" si="0"/>
        <v>115.70247933884298</v>
      </c>
      <c r="E41" s="11">
        <f t="shared" si="1"/>
        <v>11.570247933884298</v>
      </c>
      <c r="F41" s="18">
        <v>140</v>
      </c>
      <c r="G41" s="18"/>
      <c r="H41" s="13">
        <f t="shared" si="3"/>
        <v>140</v>
      </c>
      <c r="I41" s="19" t="s">
        <v>402</v>
      </c>
      <c r="J41" s="79">
        <v>140</v>
      </c>
      <c r="K41" s="79"/>
      <c r="L41" s="10"/>
      <c r="M41" s="80"/>
      <c r="N41" s="2"/>
      <c r="O41" s="2"/>
    </row>
    <row r="42" spans="1:15" x14ac:dyDescent="0.3">
      <c r="A42" s="26">
        <v>45359</v>
      </c>
      <c r="B42" s="10" t="s">
        <v>775</v>
      </c>
      <c r="C42" s="10" t="s">
        <v>14</v>
      </c>
      <c r="D42" s="11">
        <f t="shared" si="0"/>
        <v>115.70247933884298</v>
      </c>
      <c r="E42" s="11">
        <f t="shared" si="1"/>
        <v>11.570247933884298</v>
      </c>
      <c r="F42" s="18">
        <v>140</v>
      </c>
      <c r="G42" s="18"/>
      <c r="H42" s="13">
        <f t="shared" si="3"/>
        <v>140</v>
      </c>
      <c r="I42" s="19" t="s">
        <v>402</v>
      </c>
      <c r="J42" s="79">
        <v>220</v>
      </c>
      <c r="K42" s="79"/>
      <c r="L42" s="10"/>
      <c r="M42" s="80"/>
      <c r="N42" s="2"/>
      <c r="O42" s="2"/>
    </row>
    <row r="43" spans="1:15" x14ac:dyDescent="0.3">
      <c r="A43" s="26">
        <v>45359</v>
      </c>
      <c r="B43" s="10" t="s">
        <v>776</v>
      </c>
      <c r="C43" s="10" t="s">
        <v>14</v>
      </c>
      <c r="D43" s="11">
        <f t="shared" si="0"/>
        <v>181.81818181818181</v>
      </c>
      <c r="E43" s="11">
        <f t="shared" si="1"/>
        <v>18.18181818181818</v>
      </c>
      <c r="F43" s="18">
        <v>220</v>
      </c>
      <c r="G43" s="18">
        <v>50</v>
      </c>
      <c r="H43" s="13">
        <f t="shared" si="3"/>
        <v>170</v>
      </c>
      <c r="I43" s="19" t="s">
        <v>920</v>
      </c>
      <c r="J43" s="79">
        <v>210</v>
      </c>
      <c r="K43" s="79"/>
      <c r="L43" s="10"/>
      <c r="M43" s="80"/>
      <c r="N43" s="2"/>
      <c r="O43" s="2"/>
    </row>
    <row r="44" spans="1:15" x14ac:dyDescent="0.3">
      <c r="A44" s="26">
        <v>45359</v>
      </c>
      <c r="B44" s="10" t="s">
        <v>777</v>
      </c>
      <c r="C44" s="10" t="s">
        <v>14</v>
      </c>
      <c r="D44" s="11">
        <f t="shared" si="0"/>
        <v>173.55371900826447</v>
      </c>
      <c r="E44" s="11">
        <f t="shared" si="1"/>
        <v>17.355371900826448</v>
      </c>
      <c r="F44" s="18">
        <v>210</v>
      </c>
      <c r="G44" s="18">
        <v>50</v>
      </c>
      <c r="H44" s="13">
        <f t="shared" si="3"/>
        <v>160</v>
      </c>
      <c r="I44" s="19" t="s">
        <v>921</v>
      </c>
      <c r="J44" s="79">
        <v>140</v>
      </c>
      <c r="K44" s="79"/>
      <c r="L44" s="10"/>
      <c r="M44" s="80"/>
      <c r="N44" s="2"/>
      <c r="O44" s="2"/>
    </row>
    <row r="45" spans="1:15" x14ac:dyDescent="0.3">
      <c r="A45" s="26">
        <v>45359</v>
      </c>
      <c r="B45" s="10" t="s">
        <v>778</v>
      </c>
      <c r="C45" s="10" t="s">
        <v>14</v>
      </c>
      <c r="D45" s="11">
        <f t="shared" si="0"/>
        <v>239.6694214876033</v>
      </c>
      <c r="E45" s="11">
        <f t="shared" si="1"/>
        <v>23.966942148760332</v>
      </c>
      <c r="F45" s="18">
        <v>290</v>
      </c>
      <c r="G45" s="18">
        <v>50</v>
      </c>
      <c r="H45" s="13">
        <f t="shared" si="3"/>
        <v>240</v>
      </c>
      <c r="I45" s="19" t="s">
        <v>922</v>
      </c>
      <c r="J45" s="79">
        <v>270</v>
      </c>
      <c r="K45" s="79">
        <v>20</v>
      </c>
      <c r="L45" s="10" t="s">
        <v>223</v>
      </c>
      <c r="M45" s="80"/>
      <c r="N45" s="2"/>
      <c r="O45" s="2"/>
    </row>
    <row r="46" spans="1:15" x14ac:dyDescent="0.3">
      <c r="A46" s="26">
        <v>45359</v>
      </c>
      <c r="B46" s="10" t="s">
        <v>779</v>
      </c>
      <c r="C46" s="10" t="s">
        <v>14</v>
      </c>
      <c r="D46" s="11">
        <f t="shared" si="0"/>
        <v>181.81818181818181</v>
      </c>
      <c r="E46" s="11">
        <f t="shared" si="1"/>
        <v>18.18181818181818</v>
      </c>
      <c r="F46" s="18">
        <v>220</v>
      </c>
      <c r="G46" s="18">
        <v>50</v>
      </c>
      <c r="H46" s="13">
        <f t="shared" si="3"/>
        <v>170</v>
      </c>
      <c r="I46" s="19" t="s">
        <v>923</v>
      </c>
      <c r="J46" s="79">
        <v>170</v>
      </c>
      <c r="K46" s="79"/>
      <c r="L46" s="10"/>
      <c r="M46" s="80"/>
      <c r="N46" s="2"/>
      <c r="O46" s="2"/>
    </row>
    <row r="47" spans="1:15" x14ac:dyDescent="0.3">
      <c r="A47" s="26">
        <v>45359</v>
      </c>
      <c r="B47" s="10" t="s">
        <v>780</v>
      </c>
      <c r="C47" s="10" t="s">
        <v>14</v>
      </c>
      <c r="D47" s="11">
        <f t="shared" si="0"/>
        <v>181.81818181818181</v>
      </c>
      <c r="E47" s="11">
        <f t="shared" si="1"/>
        <v>18.18181818181818</v>
      </c>
      <c r="F47" s="18">
        <v>220</v>
      </c>
      <c r="G47" s="18">
        <v>50</v>
      </c>
      <c r="H47" s="13">
        <f t="shared" si="3"/>
        <v>170</v>
      </c>
      <c r="I47" s="19" t="s">
        <v>924</v>
      </c>
      <c r="J47" s="79">
        <v>220</v>
      </c>
      <c r="K47" s="79"/>
      <c r="L47" s="10"/>
      <c r="M47" s="80"/>
      <c r="N47" s="2"/>
      <c r="O47" s="2"/>
    </row>
    <row r="48" spans="1:15" x14ac:dyDescent="0.3">
      <c r="A48" s="26">
        <v>45359</v>
      </c>
      <c r="B48" s="10" t="s">
        <v>781</v>
      </c>
      <c r="C48" s="10" t="s">
        <v>14</v>
      </c>
      <c r="D48" s="11">
        <f t="shared" si="0"/>
        <v>206.61157024793388</v>
      </c>
      <c r="E48" s="11">
        <f t="shared" si="1"/>
        <v>20.661157024793386</v>
      </c>
      <c r="F48" s="18">
        <v>250</v>
      </c>
      <c r="G48" s="18">
        <v>50</v>
      </c>
      <c r="H48" s="13">
        <f t="shared" si="3"/>
        <v>200</v>
      </c>
      <c r="I48" s="19" t="s">
        <v>925</v>
      </c>
      <c r="J48" s="79">
        <v>220</v>
      </c>
      <c r="K48" s="79">
        <v>30</v>
      </c>
      <c r="L48" s="10" t="s">
        <v>223</v>
      </c>
      <c r="M48" s="80"/>
      <c r="N48" s="2"/>
      <c r="O48" s="2"/>
    </row>
    <row r="49" spans="1:15" x14ac:dyDescent="0.3">
      <c r="A49" s="26">
        <v>45360</v>
      </c>
      <c r="B49" s="10" t="s">
        <v>782</v>
      </c>
      <c r="C49" s="10" t="s">
        <v>14</v>
      </c>
      <c r="D49" s="11">
        <f t="shared" si="0"/>
        <v>256.198347107438</v>
      </c>
      <c r="E49" s="11">
        <f t="shared" si="1"/>
        <v>25.619834710743799</v>
      </c>
      <c r="F49" s="18">
        <v>310</v>
      </c>
      <c r="G49" s="18">
        <v>310</v>
      </c>
      <c r="H49" s="13">
        <f t="shared" si="3"/>
        <v>0</v>
      </c>
      <c r="I49" s="19" t="s">
        <v>926</v>
      </c>
      <c r="J49" s="79">
        <v>310</v>
      </c>
      <c r="K49" s="79"/>
      <c r="L49" s="10"/>
      <c r="M49" s="80"/>
      <c r="N49" s="2"/>
      <c r="O49" s="2"/>
    </row>
    <row r="50" spans="1:15" x14ac:dyDescent="0.3">
      <c r="A50" s="26">
        <v>45360</v>
      </c>
      <c r="B50" s="10" t="s">
        <v>783</v>
      </c>
      <c r="C50" s="10" t="s">
        <v>14</v>
      </c>
      <c r="D50" s="11">
        <f t="shared" si="0"/>
        <v>223.14049586776861</v>
      </c>
      <c r="E50" s="11">
        <f t="shared" si="1"/>
        <v>22.314049586776861</v>
      </c>
      <c r="F50" s="18">
        <v>270</v>
      </c>
      <c r="G50" s="18">
        <v>50</v>
      </c>
      <c r="H50" s="13">
        <f t="shared" si="3"/>
        <v>220</v>
      </c>
      <c r="I50" s="19" t="s">
        <v>927</v>
      </c>
      <c r="J50" s="79">
        <v>270</v>
      </c>
      <c r="K50" s="79"/>
      <c r="L50" s="10"/>
      <c r="M50" s="80"/>
      <c r="N50" s="2"/>
      <c r="O50" s="2"/>
    </row>
    <row r="51" spans="1:15" x14ac:dyDescent="0.3">
      <c r="A51" s="26">
        <v>45360</v>
      </c>
      <c r="B51" s="10" t="s">
        <v>784</v>
      </c>
      <c r="C51" s="10" t="s">
        <v>14</v>
      </c>
      <c r="D51" s="11">
        <f t="shared" si="0"/>
        <v>223.14049586776861</v>
      </c>
      <c r="E51" s="11">
        <f t="shared" si="1"/>
        <v>22.314049586776861</v>
      </c>
      <c r="F51" s="18">
        <v>270</v>
      </c>
      <c r="G51" s="18">
        <v>270</v>
      </c>
      <c r="H51" s="13">
        <f t="shared" si="3"/>
        <v>0</v>
      </c>
      <c r="I51" s="19" t="s">
        <v>928</v>
      </c>
      <c r="J51" s="79">
        <v>270</v>
      </c>
      <c r="K51" s="79"/>
      <c r="L51" s="10"/>
      <c r="M51" s="80"/>
      <c r="N51" s="2"/>
      <c r="O51" s="2"/>
    </row>
    <row r="52" spans="1:15" x14ac:dyDescent="0.3">
      <c r="A52" s="28">
        <v>45360</v>
      </c>
      <c r="B52" s="10" t="s">
        <v>785</v>
      </c>
      <c r="C52" s="10" t="s">
        <v>14</v>
      </c>
      <c r="D52" s="11">
        <f t="shared" si="0"/>
        <v>276.85950413223139</v>
      </c>
      <c r="E52" s="11">
        <f t="shared" si="1"/>
        <v>27.685950413223139</v>
      </c>
      <c r="F52" s="18">
        <v>335</v>
      </c>
      <c r="G52" s="18">
        <v>50</v>
      </c>
      <c r="H52" s="13">
        <f t="shared" si="3"/>
        <v>285</v>
      </c>
      <c r="I52" s="87" t="s">
        <v>929</v>
      </c>
      <c r="J52" s="88">
        <v>270</v>
      </c>
      <c r="K52" s="88">
        <v>20</v>
      </c>
      <c r="L52" s="1" t="s">
        <v>223</v>
      </c>
      <c r="M52" s="80">
        <v>45</v>
      </c>
      <c r="N52" s="2" t="s">
        <v>16</v>
      </c>
      <c r="O52" s="84"/>
    </row>
    <row r="53" spans="1:15" x14ac:dyDescent="0.3">
      <c r="A53" s="26">
        <v>45360</v>
      </c>
      <c r="B53" s="10" t="s">
        <v>786</v>
      </c>
      <c r="C53" s="10" t="s">
        <v>14</v>
      </c>
      <c r="D53" s="11">
        <f t="shared" si="0"/>
        <v>206.61157024793388</v>
      </c>
      <c r="E53" s="11">
        <f t="shared" si="1"/>
        <v>20.661157024793386</v>
      </c>
      <c r="F53" s="18">
        <v>250</v>
      </c>
      <c r="G53" s="18">
        <v>50</v>
      </c>
      <c r="H53" s="13">
        <f t="shared" si="3"/>
        <v>200</v>
      </c>
      <c r="I53" s="19" t="s">
        <v>930</v>
      </c>
      <c r="J53" s="79">
        <v>220</v>
      </c>
      <c r="K53" s="79">
        <v>30</v>
      </c>
      <c r="L53" s="10" t="s">
        <v>223</v>
      </c>
      <c r="M53" s="80"/>
      <c r="N53" s="2"/>
      <c r="O53" s="2"/>
    </row>
    <row r="54" spans="1:15" x14ac:dyDescent="0.3">
      <c r="A54" s="26">
        <v>45360</v>
      </c>
      <c r="B54" s="10" t="s">
        <v>787</v>
      </c>
      <c r="C54" s="10" t="s">
        <v>14</v>
      </c>
      <c r="D54" s="11">
        <f t="shared" si="0"/>
        <v>115.70247933884298</v>
      </c>
      <c r="E54" s="11">
        <f t="shared" si="1"/>
        <v>11.570247933884298</v>
      </c>
      <c r="F54" s="18">
        <v>140</v>
      </c>
      <c r="G54" s="18"/>
      <c r="H54" s="13">
        <f t="shared" si="3"/>
        <v>140</v>
      </c>
      <c r="I54" s="19" t="s">
        <v>402</v>
      </c>
      <c r="J54" s="79">
        <v>140</v>
      </c>
      <c r="K54" s="79"/>
      <c r="L54" s="10"/>
      <c r="M54" s="80"/>
      <c r="N54" s="2"/>
      <c r="O54" s="2"/>
    </row>
    <row r="55" spans="1:15" x14ac:dyDescent="0.3">
      <c r="A55" s="26">
        <v>45360</v>
      </c>
      <c r="B55" s="10" t="s">
        <v>788</v>
      </c>
      <c r="C55" s="10" t="s">
        <v>14</v>
      </c>
      <c r="D55" s="11">
        <f t="shared" si="0"/>
        <v>140.49586776859505</v>
      </c>
      <c r="E55" s="11">
        <f t="shared" si="1"/>
        <v>14.049586776859506</v>
      </c>
      <c r="F55" s="18">
        <v>170</v>
      </c>
      <c r="G55" s="18">
        <v>50</v>
      </c>
      <c r="H55" s="13">
        <f t="shared" si="3"/>
        <v>120</v>
      </c>
      <c r="I55" s="19" t="s">
        <v>931</v>
      </c>
      <c r="J55" s="79">
        <v>170</v>
      </c>
      <c r="K55" s="79"/>
      <c r="L55" s="10"/>
      <c r="M55" s="80"/>
      <c r="N55" s="2"/>
      <c r="O55" s="2"/>
    </row>
    <row r="56" spans="1:15" x14ac:dyDescent="0.3">
      <c r="A56" s="26">
        <v>45360</v>
      </c>
      <c r="B56" s="10" t="s">
        <v>789</v>
      </c>
      <c r="C56" s="10" t="s">
        <v>14</v>
      </c>
      <c r="D56" s="11">
        <f t="shared" si="0"/>
        <v>140.49586776859505</v>
      </c>
      <c r="E56" s="11">
        <f t="shared" si="1"/>
        <v>14.049586776859506</v>
      </c>
      <c r="F56" s="18">
        <v>170</v>
      </c>
      <c r="G56" s="18">
        <v>50</v>
      </c>
      <c r="H56" s="13">
        <f t="shared" si="3"/>
        <v>120</v>
      </c>
      <c r="I56" s="19" t="s">
        <v>254</v>
      </c>
      <c r="J56" s="79">
        <v>170</v>
      </c>
      <c r="K56" s="79"/>
      <c r="L56" s="10"/>
      <c r="M56" s="80"/>
      <c r="N56" s="2"/>
      <c r="O56" s="2"/>
    </row>
    <row r="57" spans="1:15" x14ac:dyDescent="0.3">
      <c r="A57" s="26">
        <v>45360</v>
      </c>
      <c r="B57" s="10" t="s">
        <v>790</v>
      </c>
      <c r="C57" s="10" t="s">
        <v>14</v>
      </c>
      <c r="D57" s="11">
        <f t="shared" si="0"/>
        <v>115.70247933884298</v>
      </c>
      <c r="E57" s="11">
        <f t="shared" si="1"/>
        <v>11.570247933884298</v>
      </c>
      <c r="F57" s="18">
        <v>140</v>
      </c>
      <c r="G57" s="18"/>
      <c r="H57" s="13">
        <f t="shared" si="3"/>
        <v>140</v>
      </c>
      <c r="I57" s="19" t="s">
        <v>402</v>
      </c>
      <c r="J57" s="79">
        <v>140</v>
      </c>
      <c r="K57" s="79"/>
      <c r="L57" s="10"/>
      <c r="M57" s="80"/>
      <c r="N57" s="2"/>
      <c r="O57" s="2"/>
    </row>
    <row r="58" spans="1:15" x14ac:dyDescent="0.3">
      <c r="A58" s="28">
        <v>45360</v>
      </c>
      <c r="B58" s="10" t="s">
        <v>791</v>
      </c>
      <c r="C58" s="10" t="s">
        <v>14</v>
      </c>
      <c r="D58" s="11">
        <f t="shared" si="0"/>
        <v>107.43801652892563</v>
      </c>
      <c r="E58" s="11">
        <f t="shared" si="1"/>
        <v>10.743801652892563</v>
      </c>
      <c r="F58" s="18">
        <v>130</v>
      </c>
      <c r="G58" s="18"/>
      <c r="H58" s="13">
        <f t="shared" si="3"/>
        <v>130</v>
      </c>
      <c r="I58" s="19" t="s">
        <v>364</v>
      </c>
      <c r="J58" s="79">
        <v>130</v>
      </c>
      <c r="K58" s="79"/>
      <c r="L58" s="10"/>
      <c r="M58" s="80"/>
      <c r="N58" s="2"/>
      <c r="O58" s="2"/>
    </row>
    <row r="59" spans="1:15" x14ac:dyDescent="0.3">
      <c r="A59" s="26">
        <v>45360</v>
      </c>
      <c r="B59" s="10" t="s">
        <v>792</v>
      </c>
      <c r="C59" s="10" t="s">
        <v>14</v>
      </c>
      <c r="D59" s="11">
        <f t="shared" si="0"/>
        <v>140.49586776859505</v>
      </c>
      <c r="E59" s="11">
        <f t="shared" si="1"/>
        <v>14.049586776859506</v>
      </c>
      <c r="F59" s="18">
        <v>170</v>
      </c>
      <c r="G59" s="18">
        <v>50</v>
      </c>
      <c r="H59" s="13">
        <f t="shared" si="3"/>
        <v>120</v>
      </c>
      <c r="I59" s="19" t="s">
        <v>932</v>
      </c>
      <c r="J59" s="79">
        <v>170</v>
      </c>
      <c r="K59" s="79"/>
      <c r="L59" s="10"/>
      <c r="M59" s="80"/>
      <c r="N59" s="2"/>
      <c r="O59" s="2"/>
    </row>
    <row r="60" spans="1:15" x14ac:dyDescent="0.3">
      <c r="A60" s="26">
        <v>45360</v>
      </c>
      <c r="B60" s="10" t="s">
        <v>793</v>
      </c>
      <c r="C60" s="10" t="s">
        <v>14</v>
      </c>
      <c r="D60" s="11">
        <f t="shared" si="0"/>
        <v>173.55371900826447</v>
      </c>
      <c r="E60" s="11">
        <f t="shared" si="1"/>
        <v>17.355371900826448</v>
      </c>
      <c r="F60" s="18">
        <v>210</v>
      </c>
      <c r="G60" s="18">
        <v>50</v>
      </c>
      <c r="H60" s="13">
        <f t="shared" si="3"/>
        <v>160</v>
      </c>
      <c r="I60" s="19" t="s">
        <v>933</v>
      </c>
      <c r="J60" s="79">
        <v>170</v>
      </c>
      <c r="K60" s="79">
        <v>40</v>
      </c>
      <c r="L60" s="10" t="s">
        <v>223</v>
      </c>
      <c r="M60" s="80"/>
      <c r="N60" s="2"/>
      <c r="O60" s="2"/>
    </row>
    <row r="61" spans="1:15" x14ac:dyDescent="0.3">
      <c r="A61" s="26">
        <v>45360</v>
      </c>
      <c r="B61" s="10" t="s">
        <v>794</v>
      </c>
      <c r="C61" s="10" t="s">
        <v>14</v>
      </c>
      <c r="D61" s="11">
        <f t="shared" si="0"/>
        <v>115.70247933884298</v>
      </c>
      <c r="E61" s="11">
        <f t="shared" si="1"/>
        <v>11.570247933884298</v>
      </c>
      <c r="F61" s="18">
        <v>140</v>
      </c>
      <c r="G61" s="18"/>
      <c r="H61" s="13">
        <f t="shared" si="3"/>
        <v>140</v>
      </c>
      <c r="I61" s="19" t="s">
        <v>934</v>
      </c>
      <c r="J61" s="79">
        <v>140</v>
      </c>
      <c r="K61" s="79"/>
      <c r="L61" s="10"/>
      <c r="M61" s="80"/>
      <c r="N61" s="2"/>
      <c r="O61" s="2"/>
    </row>
    <row r="62" spans="1:15" x14ac:dyDescent="0.3">
      <c r="A62" s="26">
        <v>45360</v>
      </c>
      <c r="B62" s="10" t="s">
        <v>795</v>
      </c>
      <c r="C62" s="10" t="s">
        <v>14</v>
      </c>
      <c r="D62" s="11">
        <f t="shared" si="0"/>
        <v>140.49586776859505</v>
      </c>
      <c r="E62" s="11">
        <f t="shared" si="1"/>
        <v>14.049586776859506</v>
      </c>
      <c r="F62" s="18">
        <v>170</v>
      </c>
      <c r="G62" s="18">
        <v>50</v>
      </c>
      <c r="H62" s="13">
        <f t="shared" si="3"/>
        <v>120</v>
      </c>
      <c r="I62" s="19" t="s">
        <v>935</v>
      </c>
      <c r="J62" s="79">
        <v>170</v>
      </c>
      <c r="K62" s="79"/>
      <c r="L62" s="10"/>
      <c r="M62" s="80"/>
      <c r="N62" s="2"/>
      <c r="O62" s="2"/>
    </row>
    <row r="63" spans="1:15" x14ac:dyDescent="0.3">
      <c r="A63" s="26">
        <v>45360</v>
      </c>
      <c r="B63" s="10" t="s">
        <v>796</v>
      </c>
      <c r="C63" s="10" t="s">
        <v>14</v>
      </c>
      <c r="D63" s="11">
        <f t="shared" si="0"/>
        <v>140.49586776859505</v>
      </c>
      <c r="E63" s="11">
        <f t="shared" si="1"/>
        <v>14.049586776859506</v>
      </c>
      <c r="F63" s="18">
        <v>170</v>
      </c>
      <c r="G63" s="18">
        <v>50</v>
      </c>
      <c r="H63" s="13">
        <f t="shared" si="3"/>
        <v>120</v>
      </c>
      <c r="I63" s="19" t="s">
        <v>454</v>
      </c>
      <c r="J63" s="79">
        <v>170</v>
      </c>
      <c r="K63" s="79"/>
      <c r="L63" s="10"/>
      <c r="M63" s="80"/>
      <c r="N63" s="2"/>
      <c r="O63" s="2"/>
    </row>
    <row r="64" spans="1:15" x14ac:dyDescent="0.3">
      <c r="A64" s="28">
        <v>45360</v>
      </c>
      <c r="B64" s="10" t="s">
        <v>797</v>
      </c>
      <c r="C64" s="10" t="s">
        <v>14</v>
      </c>
      <c r="D64" s="11">
        <f t="shared" si="0"/>
        <v>173.55371900826447</v>
      </c>
      <c r="E64" s="11">
        <f t="shared" si="1"/>
        <v>17.355371900826448</v>
      </c>
      <c r="F64" s="18">
        <v>210</v>
      </c>
      <c r="G64" s="18">
        <v>50</v>
      </c>
      <c r="H64" s="13">
        <f t="shared" si="3"/>
        <v>160</v>
      </c>
      <c r="I64" s="19" t="s">
        <v>936</v>
      </c>
      <c r="J64" s="79">
        <v>170</v>
      </c>
      <c r="K64" s="79">
        <v>40</v>
      </c>
      <c r="L64" s="10" t="s">
        <v>223</v>
      </c>
      <c r="M64" s="80"/>
      <c r="N64" s="2"/>
      <c r="O64" s="2"/>
    </row>
    <row r="65" spans="1:15" x14ac:dyDescent="0.3">
      <c r="A65" s="26">
        <v>45360</v>
      </c>
      <c r="B65" s="10" t="s">
        <v>798</v>
      </c>
      <c r="C65" s="10" t="s">
        <v>14</v>
      </c>
      <c r="D65" s="11">
        <f t="shared" si="0"/>
        <v>140.49586776859505</v>
      </c>
      <c r="E65" s="11">
        <f t="shared" si="1"/>
        <v>14.049586776859506</v>
      </c>
      <c r="F65" s="18">
        <v>170</v>
      </c>
      <c r="G65" s="18"/>
      <c r="H65" s="13">
        <f t="shared" si="3"/>
        <v>170</v>
      </c>
      <c r="I65" s="19" t="s">
        <v>264</v>
      </c>
      <c r="J65" s="79">
        <v>170</v>
      </c>
      <c r="K65" s="79"/>
      <c r="L65" s="10"/>
      <c r="M65" s="80"/>
      <c r="N65" s="2"/>
      <c r="O65" s="2"/>
    </row>
    <row r="66" spans="1:15" x14ac:dyDescent="0.3">
      <c r="A66" s="26">
        <v>45360</v>
      </c>
      <c r="B66" s="10" t="s">
        <v>799</v>
      </c>
      <c r="C66" s="10" t="s">
        <v>14</v>
      </c>
      <c r="D66" s="11">
        <f t="shared" si="0"/>
        <v>140.49586776859505</v>
      </c>
      <c r="E66" s="11">
        <f t="shared" si="1"/>
        <v>14.049586776859506</v>
      </c>
      <c r="F66" s="18">
        <v>170</v>
      </c>
      <c r="G66" s="18">
        <v>50</v>
      </c>
      <c r="H66" s="13">
        <f t="shared" si="3"/>
        <v>120</v>
      </c>
      <c r="I66" s="19" t="s">
        <v>937</v>
      </c>
      <c r="J66" s="79">
        <v>170</v>
      </c>
      <c r="K66" s="79"/>
      <c r="L66" s="10"/>
      <c r="M66" s="80"/>
      <c r="N66" s="2"/>
      <c r="O66" s="2"/>
    </row>
    <row r="67" spans="1:15" x14ac:dyDescent="0.3">
      <c r="A67" s="26">
        <v>45360</v>
      </c>
      <c r="B67" s="10" t="s">
        <v>800</v>
      </c>
      <c r="C67" s="10" t="s">
        <v>14</v>
      </c>
      <c r="D67" s="11">
        <f t="shared" ref="D67:D130" si="4">F67/1.21</f>
        <v>107.43801652892563</v>
      </c>
      <c r="E67" s="11">
        <f t="shared" si="1"/>
        <v>10.743801652892563</v>
      </c>
      <c r="F67" s="18">
        <v>130</v>
      </c>
      <c r="G67" s="18"/>
      <c r="H67" s="13">
        <f t="shared" si="3"/>
        <v>130</v>
      </c>
      <c r="I67" s="19" t="s">
        <v>364</v>
      </c>
      <c r="J67" s="79">
        <v>130</v>
      </c>
      <c r="K67" s="79"/>
      <c r="L67" s="10"/>
      <c r="M67" s="80"/>
      <c r="N67" s="2"/>
      <c r="O67" s="2"/>
    </row>
    <row r="68" spans="1:15" x14ac:dyDescent="0.3">
      <c r="A68" s="26">
        <v>45360</v>
      </c>
      <c r="B68" s="10" t="s">
        <v>801</v>
      </c>
      <c r="C68" s="10" t="s">
        <v>14</v>
      </c>
      <c r="D68" s="11">
        <f t="shared" si="4"/>
        <v>107.43801652892563</v>
      </c>
      <c r="E68" s="11">
        <f t="shared" ref="E68:E131" si="5">D68*10/100</f>
        <v>10.743801652892563</v>
      </c>
      <c r="F68" s="18">
        <v>130</v>
      </c>
      <c r="G68" s="18"/>
      <c r="H68" s="13">
        <f t="shared" si="3"/>
        <v>130</v>
      </c>
      <c r="I68" s="19" t="s">
        <v>364</v>
      </c>
      <c r="J68" s="79">
        <v>130</v>
      </c>
      <c r="K68" s="79"/>
      <c r="L68" s="10"/>
      <c r="M68" s="80"/>
      <c r="N68" s="2"/>
      <c r="O68" s="2"/>
    </row>
    <row r="69" spans="1:15" x14ac:dyDescent="0.3">
      <c r="A69" s="28">
        <v>45360</v>
      </c>
      <c r="B69" s="10" t="s">
        <v>802</v>
      </c>
      <c r="C69" s="10" t="s">
        <v>14</v>
      </c>
      <c r="D69" s="11">
        <f t="shared" si="4"/>
        <v>140.49586776859505</v>
      </c>
      <c r="E69" s="11">
        <f t="shared" si="5"/>
        <v>14.049586776859506</v>
      </c>
      <c r="F69" s="18">
        <v>170</v>
      </c>
      <c r="G69" s="18">
        <v>50</v>
      </c>
      <c r="H69" s="13">
        <f t="shared" si="3"/>
        <v>120</v>
      </c>
      <c r="I69" s="19" t="s">
        <v>938</v>
      </c>
      <c r="J69" s="79">
        <v>170</v>
      </c>
      <c r="K69" s="79"/>
      <c r="L69" s="10"/>
      <c r="M69" s="80"/>
      <c r="N69" s="2"/>
      <c r="O69" s="2"/>
    </row>
    <row r="70" spans="1:15" x14ac:dyDescent="0.3">
      <c r="A70" s="26">
        <v>45360</v>
      </c>
      <c r="B70" s="10" t="s">
        <v>803</v>
      </c>
      <c r="C70" s="10" t="s">
        <v>14</v>
      </c>
      <c r="D70" s="11">
        <f t="shared" si="4"/>
        <v>140.49586776859505</v>
      </c>
      <c r="E70" s="11">
        <f t="shared" si="5"/>
        <v>14.049586776859506</v>
      </c>
      <c r="F70" s="18">
        <v>170</v>
      </c>
      <c r="G70" s="18">
        <v>50</v>
      </c>
      <c r="H70" s="13">
        <f t="shared" ref="H70:H133" si="6">F70-G70</f>
        <v>120</v>
      </c>
      <c r="I70" s="19" t="s">
        <v>264</v>
      </c>
      <c r="J70" s="79">
        <v>170</v>
      </c>
      <c r="K70" s="79"/>
      <c r="L70" s="10"/>
      <c r="M70" s="80"/>
      <c r="N70" s="2"/>
      <c r="O70" s="2"/>
    </row>
    <row r="71" spans="1:15" x14ac:dyDescent="0.3">
      <c r="A71" s="26">
        <v>45360</v>
      </c>
      <c r="B71" s="10" t="s">
        <v>804</v>
      </c>
      <c r="C71" s="10" t="s">
        <v>14</v>
      </c>
      <c r="D71" s="11">
        <f t="shared" si="4"/>
        <v>181.81818181818181</v>
      </c>
      <c r="E71" s="11">
        <f t="shared" si="5"/>
        <v>18.18181818181818</v>
      </c>
      <c r="F71" s="18">
        <v>220</v>
      </c>
      <c r="G71" s="18">
        <v>50</v>
      </c>
      <c r="H71" s="13">
        <f t="shared" si="6"/>
        <v>170</v>
      </c>
      <c r="I71" s="19" t="s">
        <v>939</v>
      </c>
      <c r="J71" s="79">
        <v>220</v>
      </c>
      <c r="K71" s="79"/>
      <c r="L71" s="10"/>
      <c r="M71" s="80"/>
      <c r="N71" s="2"/>
      <c r="O71" s="2"/>
    </row>
    <row r="72" spans="1:15" x14ac:dyDescent="0.3">
      <c r="A72" s="26">
        <v>45360</v>
      </c>
      <c r="B72" s="10" t="s">
        <v>805</v>
      </c>
      <c r="C72" s="10" t="s">
        <v>14</v>
      </c>
      <c r="D72" s="11">
        <f t="shared" si="4"/>
        <v>181.81818181818181</v>
      </c>
      <c r="E72" s="11">
        <f t="shared" si="5"/>
        <v>18.18181818181818</v>
      </c>
      <c r="F72" s="18">
        <v>220</v>
      </c>
      <c r="G72" s="18">
        <v>220</v>
      </c>
      <c r="H72" s="13">
        <f t="shared" si="6"/>
        <v>0</v>
      </c>
      <c r="I72" s="19" t="s">
        <v>940</v>
      </c>
      <c r="J72" s="79">
        <v>220</v>
      </c>
      <c r="K72" s="79"/>
      <c r="L72" s="10"/>
      <c r="M72" s="80"/>
      <c r="N72" s="2"/>
      <c r="O72" s="2"/>
    </row>
    <row r="73" spans="1:15" x14ac:dyDescent="0.3">
      <c r="A73" s="26">
        <v>45360</v>
      </c>
      <c r="B73" s="10" t="s">
        <v>806</v>
      </c>
      <c r="C73" s="10" t="s">
        <v>14</v>
      </c>
      <c r="D73" s="11">
        <f t="shared" si="4"/>
        <v>165.28925619834712</v>
      </c>
      <c r="E73" s="11">
        <f t="shared" si="5"/>
        <v>16.528925619834713</v>
      </c>
      <c r="F73" s="18">
        <v>200</v>
      </c>
      <c r="G73" s="18">
        <v>50</v>
      </c>
      <c r="H73" s="13">
        <f t="shared" si="6"/>
        <v>150</v>
      </c>
      <c r="I73" s="19" t="s">
        <v>941</v>
      </c>
      <c r="J73" s="79">
        <v>220</v>
      </c>
      <c r="K73" s="79">
        <v>30</v>
      </c>
      <c r="L73" s="10" t="s">
        <v>223</v>
      </c>
      <c r="M73" s="80"/>
      <c r="N73" s="2"/>
      <c r="O73" s="2"/>
    </row>
    <row r="74" spans="1:15" x14ac:dyDescent="0.3">
      <c r="A74" s="26">
        <v>45360</v>
      </c>
      <c r="B74" s="10" t="s">
        <v>807</v>
      </c>
      <c r="C74" s="10" t="s">
        <v>14</v>
      </c>
      <c r="D74" s="11">
        <f t="shared" si="4"/>
        <v>165.28925619834712</v>
      </c>
      <c r="E74" s="11">
        <f t="shared" si="5"/>
        <v>16.528925619834713</v>
      </c>
      <c r="F74" s="18">
        <v>200</v>
      </c>
      <c r="G74" s="18"/>
      <c r="H74" s="13">
        <f t="shared" si="6"/>
        <v>200</v>
      </c>
      <c r="I74" s="19" t="s">
        <v>402</v>
      </c>
      <c r="J74" s="79">
        <v>200</v>
      </c>
      <c r="K74" s="79"/>
      <c r="L74" s="10"/>
      <c r="M74" s="80"/>
      <c r="N74" s="2"/>
      <c r="O74" s="2"/>
    </row>
    <row r="75" spans="1:15" x14ac:dyDescent="0.3">
      <c r="A75" s="28">
        <v>45360</v>
      </c>
      <c r="B75" s="10" t="s">
        <v>808</v>
      </c>
      <c r="C75" s="10" t="s">
        <v>14</v>
      </c>
      <c r="D75" s="11">
        <f t="shared" si="4"/>
        <v>148.7603305785124</v>
      </c>
      <c r="E75" s="11">
        <f t="shared" si="5"/>
        <v>14.876033057851238</v>
      </c>
      <c r="F75" s="18">
        <v>180</v>
      </c>
      <c r="G75" s="21"/>
      <c r="H75" s="13">
        <f t="shared" si="6"/>
        <v>180</v>
      </c>
      <c r="I75" s="19" t="s">
        <v>402</v>
      </c>
      <c r="J75" s="79">
        <v>180</v>
      </c>
      <c r="K75" s="79"/>
      <c r="L75" s="10"/>
      <c r="M75" s="80"/>
      <c r="N75" s="2"/>
      <c r="O75" s="2"/>
    </row>
    <row r="76" spans="1:15" x14ac:dyDescent="0.3">
      <c r="A76" s="26">
        <v>45360</v>
      </c>
      <c r="B76" s="10" t="s">
        <v>809</v>
      </c>
      <c r="C76" s="10" t="s">
        <v>14</v>
      </c>
      <c r="D76" s="11">
        <f t="shared" si="4"/>
        <v>181.81818181818181</v>
      </c>
      <c r="E76" s="11">
        <f t="shared" si="5"/>
        <v>18.18181818181818</v>
      </c>
      <c r="F76" s="18">
        <v>220</v>
      </c>
      <c r="G76" s="18">
        <v>220</v>
      </c>
      <c r="H76" s="13">
        <f t="shared" si="6"/>
        <v>0</v>
      </c>
      <c r="I76" s="19" t="s">
        <v>928</v>
      </c>
      <c r="J76" s="79">
        <v>220</v>
      </c>
      <c r="K76" s="79"/>
      <c r="L76" s="10"/>
      <c r="M76" s="80"/>
      <c r="N76" s="2"/>
      <c r="O76" s="2"/>
    </row>
    <row r="77" spans="1:15" x14ac:dyDescent="0.3">
      <c r="A77" s="26">
        <v>45360</v>
      </c>
      <c r="B77" s="10" t="s">
        <v>810</v>
      </c>
      <c r="C77" s="10" t="s">
        <v>14</v>
      </c>
      <c r="D77" s="11">
        <f t="shared" si="4"/>
        <v>181.81818181818181</v>
      </c>
      <c r="E77" s="11">
        <f t="shared" si="5"/>
        <v>18.18181818181818</v>
      </c>
      <c r="F77" s="18">
        <v>220</v>
      </c>
      <c r="G77" s="18"/>
      <c r="H77" s="13">
        <f t="shared" si="6"/>
        <v>220</v>
      </c>
      <c r="I77" s="19" t="s">
        <v>942</v>
      </c>
      <c r="J77" s="79">
        <v>220</v>
      </c>
      <c r="K77" s="32"/>
      <c r="L77" s="10"/>
      <c r="M77" s="80"/>
      <c r="N77" s="2"/>
      <c r="O77" s="2"/>
    </row>
    <row r="78" spans="1:15" x14ac:dyDescent="0.3">
      <c r="A78" s="26">
        <v>45361</v>
      </c>
      <c r="B78" s="10" t="s">
        <v>811</v>
      </c>
      <c r="C78" s="10" t="s">
        <v>14</v>
      </c>
      <c r="D78" s="11">
        <f t="shared" si="4"/>
        <v>181.81818181818181</v>
      </c>
      <c r="E78" s="11">
        <f t="shared" si="5"/>
        <v>18.18181818181818</v>
      </c>
      <c r="F78" s="33">
        <v>220</v>
      </c>
      <c r="G78" s="33">
        <v>50</v>
      </c>
      <c r="H78" s="13">
        <f t="shared" si="6"/>
        <v>170</v>
      </c>
      <c r="I78" s="19" t="s">
        <v>264</v>
      </c>
      <c r="J78" s="89">
        <v>220</v>
      </c>
      <c r="K78" s="35"/>
      <c r="L78" s="36"/>
      <c r="M78" s="90"/>
      <c r="N78" s="91"/>
      <c r="O78" s="91"/>
    </row>
    <row r="79" spans="1:15" x14ac:dyDescent="0.3">
      <c r="A79" s="26">
        <v>45361</v>
      </c>
      <c r="B79" s="10" t="s">
        <v>812</v>
      </c>
      <c r="C79" s="10" t="s">
        <v>14</v>
      </c>
      <c r="D79" s="11">
        <f t="shared" si="4"/>
        <v>140.49586776859505</v>
      </c>
      <c r="E79" s="11">
        <f t="shared" si="5"/>
        <v>14.049586776859506</v>
      </c>
      <c r="F79" s="39">
        <v>170</v>
      </c>
      <c r="G79" s="18">
        <v>50</v>
      </c>
      <c r="H79" s="13">
        <f t="shared" si="6"/>
        <v>120</v>
      </c>
      <c r="I79" s="19" t="s">
        <v>943</v>
      </c>
      <c r="J79" s="52">
        <v>170</v>
      </c>
      <c r="K79" s="40"/>
      <c r="L79" s="1"/>
      <c r="M79" s="52"/>
      <c r="N79" s="52"/>
      <c r="O79" s="52"/>
    </row>
    <row r="80" spans="1:15" x14ac:dyDescent="0.3">
      <c r="A80" s="26">
        <v>45363</v>
      </c>
      <c r="B80" s="10" t="s">
        <v>813</v>
      </c>
      <c r="C80" s="10" t="s">
        <v>14</v>
      </c>
      <c r="D80" s="11">
        <f t="shared" si="4"/>
        <v>115.70247933884298</v>
      </c>
      <c r="E80" s="11">
        <f t="shared" si="5"/>
        <v>11.570247933884298</v>
      </c>
      <c r="F80" s="39">
        <v>140</v>
      </c>
      <c r="G80" s="18"/>
      <c r="H80" s="13">
        <f t="shared" si="6"/>
        <v>140</v>
      </c>
      <c r="I80" s="19" t="s">
        <v>944</v>
      </c>
      <c r="J80" s="52">
        <v>140</v>
      </c>
      <c r="K80" s="40"/>
      <c r="L80" s="1"/>
      <c r="M80" s="52"/>
      <c r="N80" s="52"/>
      <c r="O80" s="52"/>
    </row>
    <row r="81" spans="1:15" x14ac:dyDescent="0.3">
      <c r="A81" s="26">
        <v>45363</v>
      </c>
      <c r="B81" s="10" t="s">
        <v>814</v>
      </c>
      <c r="C81" s="10" t="s">
        <v>14</v>
      </c>
      <c r="D81" s="11">
        <f t="shared" si="4"/>
        <v>115.70247933884298</v>
      </c>
      <c r="E81" s="11">
        <f t="shared" si="5"/>
        <v>11.570247933884298</v>
      </c>
      <c r="F81" s="39">
        <v>140</v>
      </c>
      <c r="G81" s="18"/>
      <c r="H81" s="13">
        <f t="shared" si="6"/>
        <v>140</v>
      </c>
      <c r="I81" s="19" t="s">
        <v>402</v>
      </c>
      <c r="J81" s="52">
        <v>140</v>
      </c>
      <c r="K81" s="40"/>
      <c r="L81" s="1"/>
      <c r="M81" s="52"/>
      <c r="N81" s="52"/>
      <c r="O81" s="52"/>
    </row>
    <row r="82" spans="1:15" x14ac:dyDescent="0.3">
      <c r="A82" s="26">
        <v>45365</v>
      </c>
      <c r="B82" s="10" t="s">
        <v>815</v>
      </c>
      <c r="C82" s="10" t="s">
        <v>14</v>
      </c>
      <c r="D82" s="11">
        <f t="shared" si="4"/>
        <v>157.02479338842977</v>
      </c>
      <c r="E82" s="11">
        <f t="shared" si="5"/>
        <v>15.702479338842977</v>
      </c>
      <c r="F82" s="39">
        <v>190</v>
      </c>
      <c r="G82" s="18"/>
      <c r="H82" s="13">
        <f t="shared" si="6"/>
        <v>190</v>
      </c>
      <c r="I82" s="19" t="s">
        <v>402</v>
      </c>
      <c r="J82" s="52">
        <v>190</v>
      </c>
      <c r="K82" s="40"/>
      <c r="L82" s="1"/>
      <c r="M82" s="52"/>
      <c r="N82" s="52"/>
      <c r="O82" s="52"/>
    </row>
    <row r="83" spans="1:15" x14ac:dyDescent="0.3">
      <c r="A83" s="26">
        <v>45366</v>
      </c>
      <c r="B83" s="10" t="s">
        <v>816</v>
      </c>
      <c r="C83" s="10" t="s">
        <v>14</v>
      </c>
      <c r="D83" s="11">
        <f t="shared" si="4"/>
        <v>140.49586776859505</v>
      </c>
      <c r="E83" s="11">
        <f t="shared" si="5"/>
        <v>14.049586776859506</v>
      </c>
      <c r="F83" s="39">
        <v>170</v>
      </c>
      <c r="G83" s="21">
        <v>50</v>
      </c>
      <c r="H83" s="13">
        <f t="shared" si="6"/>
        <v>120</v>
      </c>
      <c r="I83" s="19" t="s">
        <v>945</v>
      </c>
      <c r="J83" s="52">
        <v>170</v>
      </c>
      <c r="K83" s="40"/>
      <c r="L83" s="1"/>
      <c r="M83" s="52"/>
      <c r="N83" s="52"/>
      <c r="O83" s="52"/>
    </row>
    <row r="84" spans="1:15" x14ac:dyDescent="0.3">
      <c r="A84" s="26">
        <v>45366</v>
      </c>
      <c r="B84" s="10" t="s">
        <v>817</v>
      </c>
      <c r="C84" s="10" t="s">
        <v>14</v>
      </c>
      <c r="D84" s="11">
        <f t="shared" si="4"/>
        <v>99.173553719008268</v>
      </c>
      <c r="E84" s="11">
        <f t="shared" si="5"/>
        <v>9.9173553719008272</v>
      </c>
      <c r="F84" s="39">
        <v>120</v>
      </c>
      <c r="G84" s="18"/>
      <c r="H84" s="13">
        <f t="shared" si="6"/>
        <v>120</v>
      </c>
      <c r="I84" s="19" t="s">
        <v>402</v>
      </c>
      <c r="J84" s="52">
        <v>120</v>
      </c>
      <c r="K84" s="40"/>
      <c r="L84" s="1"/>
      <c r="M84" s="52"/>
      <c r="N84" s="52"/>
      <c r="O84" s="52"/>
    </row>
    <row r="85" spans="1:15" x14ac:dyDescent="0.3">
      <c r="A85" s="26">
        <v>45366</v>
      </c>
      <c r="B85" s="10" t="s">
        <v>818</v>
      </c>
      <c r="C85" s="10" t="s">
        <v>14</v>
      </c>
      <c r="D85" s="11">
        <f t="shared" si="4"/>
        <v>214.87603305785126</v>
      </c>
      <c r="E85" s="11">
        <f t="shared" si="5"/>
        <v>21.487603305785125</v>
      </c>
      <c r="F85" s="39">
        <v>260</v>
      </c>
      <c r="G85" s="18">
        <v>50</v>
      </c>
      <c r="H85" s="13">
        <f t="shared" si="6"/>
        <v>210</v>
      </c>
      <c r="I85" s="19" t="s">
        <v>946</v>
      </c>
      <c r="J85" s="52">
        <v>220</v>
      </c>
      <c r="K85" s="40">
        <v>40</v>
      </c>
      <c r="L85" s="1" t="s">
        <v>223</v>
      </c>
      <c r="M85" s="52"/>
      <c r="N85" s="52"/>
      <c r="O85" s="52"/>
    </row>
    <row r="86" spans="1:15" x14ac:dyDescent="0.3">
      <c r="A86" s="54">
        <v>45366</v>
      </c>
      <c r="B86" s="10" t="s">
        <v>819</v>
      </c>
      <c r="C86" s="10" t="s">
        <v>14</v>
      </c>
      <c r="D86" s="11">
        <f t="shared" si="4"/>
        <v>256.198347107438</v>
      </c>
      <c r="E86" s="11">
        <f t="shared" si="5"/>
        <v>25.619834710743799</v>
      </c>
      <c r="F86" s="39">
        <v>310</v>
      </c>
      <c r="G86" s="18">
        <v>50</v>
      </c>
      <c r="H86" s="13">
        <f t="shared" si="6"/>
        <v>260</v>
      </c>
      <c r="I86" s="19" t="s">
        <v>947</v>
      </c>
      <c r="J86" s="52">
        <v>270</v>
      </c>
      <c r="K86" s="40">
        <v>40</v>
      </c>
      <c r="L86" s="1" t="s">
        <v>223</v>
      </c>
      <c r="M86" s="52"/>
      <c r="N86" s="52"/>
      <c r="O86" s="52"/>
    </row>
    <row r="87" spans="1:15" x14ac:dyDescent="0.3">
      <c r="A87" s="54">
        <v>45366</v>
      </c>
      <c r="B87" s="10" t="s">
        <v>820</v>
      </c>
      <c r="C87" s="10" t="s">
        <v>14</v>
      </c>
      <c r="D87" s="11">
        <f t="shared" si="4"/>
        <v>115.70247933884298</v>
      </c>
      <c r="E87" s="11">
        <f t="shared" si="5"/>
        <v>11.570247933884298</v>
      </c>
      <c r="F87" s="39">
        <v>140</v>
      </c>
      <c r="G87" s="18"/>
      <c r="H87" s="13">
        <f t="shared" si="6"/>
        <v>140</v>
      </c>
      <c r="I87" s="19" t="s">
        <v>944</v>
      </c>
      <c r="J87" s="52">
        <v>140</v>
      </c>
      <c r="K87" s="40"/>
      <c r="L87" s="41"/>
      <c r="M87" s="52"/>
      <c r="N87" s="52"/>
      <c r="O87" s="52"/>
    </row>
    <row r="88" spans="1:15" x14ac:dyDescent="0.3">
      <c r="A88" s="54">
        <v>45366</v>
      </c>
      <c r="B88" s="10" t="s">
        <v>821</v>
      </c>
      <c r="C88" s="10" t="s">
        <v>14</v>
      </c>
      <c r="D88" s="11">
        <f t="shared" si="4"/>
        <v>115.70247933884298</v>
      </c>
      <c r="E88" s="11">
        <f t="shared" si="5"/>
        <v>11.570247933884298</v>
      </c>
      <c r="F88" s="39">
        <v>140</v>
      </c>
      <c r="G88" s="18"/>
      <c r="H88" s="13">
        <f t="shared" si="6"/>
        <v>140</v>
      </c>
      <c r="I88" s="19" t="s">
        <v>402</v>
      </c>
      <c r="J88" s="52">
        <v>140</v>
      </c>
      <c r="K88" s="40"/>
      <c r="L88" s="1"/>
      <c r="M88" s="92"/>
      <c r="N88" s="52"/>
      <c r="O88" s="52"/>
    </row>
    <row r="89" spans="1:15" x14ac:dyDescent="0.3">
      <c r="A89" s="54">
        <v>45366</v>
      </c>
      <c r="B89" s="10" t="s">
        <v>822</v>
      </c>
      <c r="C89" s="10" t="s">
        <v>14</v>
      </c>
      <c r="D89" s="11">
        <f t="shared" si="4"/>
        <v>115.70247933884298</v>
      </c>
      <c r="E89" s="11">
        <f t="shared" si="5"/>
        <v>11.570247933884298</v>
      </c>
      <c r="F89" s="39">
        <v>140</v>
      </c>
      <c r="G89" s="18"/>
      <c r="H89" s="13">
        <f t="shared" si="6"/>
        <v>140</v>
      </c>
      <c r="I89" s="19" t="s">
        <v>402</v>
      </c>
      <c r="J89" s="52">
        <v>140</v>
      </c>
      <c r="K89" s="40"/>
      <c r="L89" s="1"/>
      <c r="M89" s="52"/>
      <c r="N89" s="52"/>
      <c r="O89" s="52"/>
    </row>
    <row r="90" spans="1:15" x14ac:dyDescent="0.3">
      <c r="A90" s="54">
        <v>45366</v>
      </c>
      <c r="B90" s="10" t="s">
        <v>823</v>
      </c>
      <c r="C90" s="10" t="s">
        <v>14</v>
      </c>
      <c r="D90" s="11">
        <f t="shared" si="4"/>
        <v>165.28925619834712</v>
      </c>
      <c r="E90" s="11">
        <f t="shared" si="5"/>
        <v>16.528925619834713</v>
      </c>
      <c r="F90" s="39">
        <v>200</v>
      </c>
      <c r="G90" s="64">
        <v>50</v>
      </c>
      <c r="H90" s="13">
        <f t="shared" si="6"/>
        <v>150</v>
      </c>
      <c r="I90" s="19" t="s">
        <v>948</v>
      </c>
      <c r="J90" s="52">
        <v>200</v>
      </c>
      <c r="K90" s="40"/>
      <c r="L90" s="1"/>
      <c r="M90" s="52"/>
      <c r="N90" s="52"/>
      <c r="O90" s="52"/>
    </row>
    <row r="91" spans="1:15" x14ac:dyDescent="0.3">
      <c r="A91" s="54">
        <v>45366</v>
      </c>
      <c r="B91" s="10" t="s">
        <v>824</v>
      </c>
      <c r="C91" s="10" t="s">
        <v>14</v>
      </c>
      <c r="D91" s="11">
        <f t="shared" si="4"/>
        <v>280.9917355371901</v>
      </c>
      <c r="E91" s="11">
        <f t="shared" si="5"/>
        <v>28.099173553719012</v>
      </c>
      <c r="F91" s="39">
        <v>340</v>
      </c>
      <c r="G91" s="64"/>
      <c r="H91" s="13">
        <f t="shared" si="6"/>
        <v>340</v>
      </c>
      <c r="I91" s="19" t="s">
        <v>402</v>
      </c>
      <c r="J91" s="52">
        <v>220</v>
      </c>
      <c r="K91" s="40"/>
      <c r="L91" s="1"/>
      <c r="M91" s="52">
        <v>120</v>
      </c>
      <c r="N91" s="52" t="s">
        <v>949</v>
      </c>
      <c r="O91" s="52"/>
    </row>
    <row r="92" spans="1:15" x14ac:dyDescent="0.3">
      <c r="A92" s="54">
        <v>45367</v>
      </c>
      <c r="B92" s="10" t="s">
        <v>825</v>
      </c>
      <c r="C92" s="10" t="s">
        <v>14</v>
      </c>
      <c r="D92" s="11">
        <f t="shared" si="4"/>
        <v>148.7603305785124</v>
      </c>
      <c r="E92" s="11">
        <f t="shared" si="5"/>
        <v>14.876033057851238</v>
      </c>
      <c r="F92" s="39">
        <v>180</v>
      </c>
      <c r="G92" s="18"/>
      <c r="H92" s="13">
        <f t="shared" si="6"/>
        <v>180</v>
      </c>
      <c r="I92" s="19" t="s">
        <v>950</v>
      </c>
      <c r="J92" s="52">
        <v>180</v>
      </c>
      <c r="K92" s="40"/>
      <c r="L92" s="1"/>
      <c r="M92" s="52"/>
      <c r="N92" s="52"/>
      <c r="O92" s="52"/>
    </row>
    <row r="93" spans="1:15" x14ac:dyDescent="0.3">
      <c r="A93" s="54">
        <v>45367</v>
      </c>
      <c r="B93" s="10" t="s">
        <v>826</v>
      </c>
      <c r="C93" s="10" t="s">
        <v>14</v>
      </c>
      <c r="D93" s="11">
        <f t="shared" si="4"/>
        <v>140.49586776859505</v>
      </c>
      <c r="E93" s="11">
        <f t="shared" si="5"/>
        <v>14.049586776859506</v>
      </c>
      <c r="F93" s="39">
        <v>170</v>
      </c>
      <c r="G93" s="18">
        <v>50</v>
      </c>
      <c r="H93" s="13">
        <f t="shared" si="6"/>
        <v>120</v>
      </c>
      <c r="I93" s="19" t="s">
        <v>951</v>
      </c>
      <c r="J93" s="52">
        <v>170</v>
      </c>
      <c r="K93" s="40"/>
      <c r="L93" s="1"/>
      <c r="M93" s="52"/>
      <c r="N93" s="52"/>
      <c r="O93" s="52"/>
    </row>
    <row r="94" spans="1:15" x14ac:dyDescent="0.3">
      <c r="A94" s="54">
        <v>45367</v>
      </c>
      <c r="B94" s="10" t="s">
        <v>827</v>
      </c>
      <c r="C94" s="10" t="s">
        <v>14</v>
      </c>
      <c r="D94" s="11">
        <f t="shared" si="4"/>
        <v>165.28925619834712</v>
      </c>
      <c r="E94" s="11">
        <f t="shared" si="5"/>
        <v>16.528925619834713</v>
      </c>
      <c r="F94" s="39">
        <v>200</v>
      </c>
      <c r="G94" s="18">
        <v>50</v>
      </c>
      <c r="H94" s="13">
        <f t="shared" si="6"/>
        <v>150</v>
      </c>
      <c r="I94" s="19" t="s">
        <v>952</v>
      </c>
      <c r="J94" s="52">
        <v>170</v>
      </c>
      <c r="K94" s="40">
        <v>30</v>
      </c>
      <c r="L94" s="1" t="s">
        <v>223</v>
      </c>
      <c r="M94" s="52"/>
      <c r="N94" s="52"/>
      <c r="O94" s="52"/>
    </row>
    <row r="95" spans="1:15" x14ac:dyDescent="0.3">
      <c r="A95" s="54">
        <v>45367</v>
      </c>
      <c r="B95" s="10" t="s">
        <v>828</v>
      </c>
      <c r="C95" s="10" t="s">
        <v>14</v>
      </c>
      <c r="D95" s="11">
        <f t="shared" si="4"/>
        <v>140.49586776859505</v>
      </c>
      <c r="E95" s="11">
        <f t="shared" si="5"/>
        <v>14.049586776859506</v>
      </c>
      <c r="F95" s="39">
        <v>170</v>
      </c>
      <c r="G95" s="18">
        <v>50</v>
      </c>
      <c r="H95" s="13">
        <f t="shared" si="6"/>
        <v>120</v>
      </c>
      <c r="I95" s="19" t="s">
        <v>953</v>
      </c>
      <c r="J95" s="52">
        <v>170</v>
      </c>
      <c r="K95" s="40"/>
      <c r="L95" s="1"/>
      <c r="M95" s="52"/>
      <c r="N95" s="52"/>
      <c r="O95" s="52"/>
    </row>
    <row r="96" spans="1:15" x14ac:dyDescent="0.3">
      <c r="A96" s="54">
        <v>45367</v>
      </c>
      <c r="B96" s="10" t="s">
        <v>829</v>
      </c>
      <c r="C96" s="10" t="s">
        <v>14</v>
      </c>
      <c r="D96" s="11">
        <f t="shared" si="4"/>
        <v>140.49586776859505</v>
      </c>
      <c r="E96" s="11">
        <f t="shared" si="5"/>
        <v>14.049586776859506</v>
      </c>
      <c r="F96" s="39">
        <v>170</v>
      </c>
      <c r="G96" s="18">
        <v>50</v>
      </c>
      <c r="H96" s="13">
        <f t="shared" si="6"/>
        <v>120</v>
      </c>
      <c r="I96" s="19" t="s">
        <v>954</v>
      </c>
      <c r="J96" s="52">
        <v>170</v>
      </c>
      <c r="K96" s="40"/>
      <c r="L96" s="1"/>
      <c r="M96" s="52"/>
      <c r="N96" s="52"/>
      <c r="O96" s="52"/>
    </row>
    <row r="97" spans="1:15" x14ac:dyDescent="0.3">
      <c r="A97" s="54">
        <v>45367</v>
      </c>
      <c r="B97" s="10" t="s">
        <v>830</v>
      </c>
      <c r="C97" s="10" t="s">
        <v>14</v>
      </c>
      <c r="D97" s="11">
        <f t="shared" si="4"/>
        <v>140.49586776859505</v>
      </c>
      <c r="E97" s="11">
        <f t="shared" si="5"/>
        <v>14.049586776859506</v>
      </c>
      <c r="F97" s="43">
        <v>170</v>
      </c>
      <c r="G97" s="44">
        <v>50</v>
      </c>
      <c r="H97" s="13">
        <f t="shared" si="6"/>
        <v>120</v>
      </c>
      <c r="I97" s="45" t="s">
        <v>955</v>
      </c>
      <c r="J97" s="93">
        <v>170</v>
      </c>
      <c r="K97" s="47"/>
      <c r="L97" s="48"/>
      <c r="M97" s="93"/>
      <c r="N97" s="93"/>
      <c r="O97" s="93"/>
    </row>
    <row r="98" spans="1:15" x14ac:dyDescent="0.3">
      <c r="A98" s="54">
        <v>45367</v>
      </c>
      <c r="B98" s="10" t="s">
        <v>831</v>
      </c>
      <c r="C98" s="10" t="s">
        <v>14</v>
      </c>
      <c r="D98" s="11">
        <f t="shared" si="4"/>
        <v>181.81818181818181</v>
      </c>
      <c r="E98" s="11">
        <f t="shared" si="5"/>
        <v>18.18181818181818</v>
      </c>
      <c r="F98" s="30">
        <v>220</v>
      </c>
      <c r="G98" s="30">
        <v>50</v>
      </c>
      <c r="H98" s="13">
        <f t="shared" si="6"/>
        <v>170</v>
      </c>
      <c r="I98" s="49" t="s">
        <v>956</v>
      </c>
      <c r="J98" s="52">
        <v>220</v>
      </c>
      <c r="K98" s="40"/>
      <c r="L98" s="1"/>
      <c r="M98" s="52"/>
      <c r="N98" s="52"/>
      <c r="O98" s="52"/>
    </row>
    <row r="99" spans="1:15" x14ac:dyDescent="0.3">
      <c r="A99" s="54">
        <v>45367</v>
      </c>
      <c r="B99" s="10" t="s">
        <v>832</v>
      </c>
      <c r="C99" s="10" t="s">
        <v>14</v>
      </c>
      <c r="D99" s="11">
        <f t="shared" si="4"/>
        <v>223.14049586776861</v>
      </c>
      <c r="E99" s="11">
        <f t="shared" si="5"/>
        <v>22.314049586776861</v>
      </c>
      <c r="F99" s="30">
        <v>270</v>
      </c>
      <c r="G99" s="30">
        <v>50</v>
      </c>
      <c r="H99" s="13">
        <f t="shared" si="6"/>
        <v>220</v>
      </c>
      <c r="I99" s="49" t="s">
        <v>957</v>
      </c>
      <c r="J99" s="52">
        <v>270</v>
      </c>
      <c r="K99" s="40"/>
      <c r="L99" s="1"/>
      <c r="M99" s="52"/>
      <c r="N99" s="52"/>
      <c r="O99" s="52"/>
    </row>
    <row r="100" spans="1:15" x14ac:dyDescent="0.3">
      <c r="A100" s="54">
        <v>45367</v>
      </c>
      <c r="B100" s="10" t="s">
        <v>833</v>
      </c>
      <c r="C100" s="10" t="s">
        <v>14</v>
      </c>
      <c r="D100" s="11">
        <f t="shared" si="4"/>
        <v>148.7603305785124</v>
      </c>
      <c r="E100" s="11">
        <f t="shared" si="5"/>
        <v>14.876033057851238</v>
      </c>
      <c r="F100" s="51">
        <v>180</v>
      </c>
      <c r="G100" s="6"/>
      <c r="H100" s="13">
        <f t="shared" si="6"/>
        <v>180</v>
      </c>
      <c r="I100" s="49" t="s">
        <v>402</v>
      </c>
      <c r="J100" s="52">
        <v>180</v>
      </c>
      <c r="K100" s="40"/>
      <c r="L100" s="1"/>
      <c r="M100" s="52"/>
      <c r="N100" s="52"/>
      <c r="O100" s="52"/>
    </row>
    <row r="101" spans="1:15" x14ac:dyDescent="0.3">
      <c r="A101" s="54">
        <v>45367</v>
      </c>
      <c r="B101" s="10" t="s">
        <v>834</v>
      </c>
      <c r="C101" s="10" t="s">
        <v>14</v>
      </c>
      <c r="D101" s="11">
        <f t="shared" si="4"/>
        <v>140.49586776859505</v>
      </c>
      <c r="E101" s="11">
        <f t="shared" si="5"/>
        <v>14.049586776859506</v>
      </c>
      <c r="F101" s="51">
        <v>170</v>
      </c>
      <c r="G101" s="6">
        <v>50</v>
      </c>
      <c r="H101" s="13">
        <f t="shared" si="6"/>
        <v>120</v>
      </c>
      <c r="I101" s="49" t="s">
        <v>958</v>
      </c>
      <c r="J101" s="52">
        <v>170</v>
      </c>
      <c r="K101" s="40"/>
      <c r="L101" s="1"/>
      <c r="M101" s="52"/>
      <c r="N101" s="52"/>
      <c r="O101" s="52"/>
    </row>
    <row r="102" spans="1:15" x14ac:dyDescent="0.3">
      <c r="A102" s="54">
        <v>45367</v>
      </c>
      <c r="B102" s="10" t="s">
        <v>835</v>
      </c>
      <c r="C102" s="10" t="s">
        <v>14</v>
      </c>
      <c r="D102" s="11">
        <f t="shared" si="4"/>
        <v>140.49586776859505</v>
      </c>
      <c r="E102" s="11">
        <f t="shared" si="5"/>
        <v>14.049586776859506</v>
      </c>
      <c r="F102" s="51">
        <v>170</v>
      </c>
      <c r="G102" s="6">
        <v>50</v>
      </c>
      <c r="H102" s="13">
        <f t="shared" si="6"/>
        <v>120</v>
      </c>
      <c r="I102" s="49" t="s">
        <v>264</v>
      </c>
      <c r="J102" s="52">
        <v>220</v>
      </c>
      <c r="K102" s="40"/>
      <c r="L102" s="1"/>
      <c r="M102" s="52"/>
      <c r="N102" s="52"/>
      <c r="O102" s="52"/>
    </row>
    <row r="103" spans="1:15" x14ac:dyDescent="0.3">
      <c r="A103" s="54">
        <v>45367</v>
      </c>
      <c r="B103" s="10" t="s">
        <v>836</v>
      </c>
      <c r="C103" s="10" t="s">
        <v>14</v>
      </c>
      <c r="D103" s="11">
        <f t="shared" si="4"/>
        <v>173.55371900826447</v>
      </c>
      <c r="E103" s="11">
        <f t="shared" si="5"/>
        <v>17.355371900826448</v>
      </c>
      <c r="F103" s="51">
        <v>210</v>
      </c>
      <c r="G103" s="6"/>
      <c r="H103" s="13">
        <f t="shared" si="6"/>
        <v>210</v>
      </c>
      <c r="I103" s="49" t="s">
        <v>959</v>
      </c>
      <c r="J103" s="52">
        <v>210</v>
      </c>
      <c r="K103" s="40"/>
      <c r="L103" s="1"/>
      <c r="M103" s="52"/>
      <c r="N103" s="52"/>
      <c r="O103" s="52"/>
    </row>
    <row r="104" spans="1:15" x14ac:dyDescent="0.3">
      <c r="A104" s="54">
        <v>45367</v>
      </c>
      <c r="B104" s="10" t="s">
        <v>837</v>
      </c>
      <c r="C104" s="10" t="s">
        <v>14</v>
      </c>
      <c r="D104" s="11">
        <f t="shared" si="4"/>
        <v>219.00826446280993</v>
      </c>
      <c r="E104" s="11">
        <f t="shared" si="5"/>
        <v>21.900826446280995</v>
      </c>
      <c r="F104" s="51">
        <v>265</v>
      </c>
      <c r="G104" s="6">
        <v>50</v>
      </c>
      <c r="H104" s="13">
        <f t="shared" si="6"/>
        <v>215</v>
      </c>
      <c r="I104" s="49" t="s">
        <v>960</v>
      </c>
      <c r="J104" s="52">
        <v>220</v>
      </c>
      <c r="K104" s="40"/>
      <c r="L104" s="1"/>
      <c r="M104" s="52">
        <v>45</v>
      </c>
      <c r="N104" s="52" t="s">
        <v>16</v>
      </c>
      <c r="O104" s="52"/>
    </row>
    <row r="105" spans="1:15" x14ac:dyDescent="0.3">
      <c r="A105" s="54">
        <v>45367</v>
      </c>
      <c r="B105" s="10" t="s">
        <v>838</v>
      </c>
      <c r="C105" s="10" t="s">
        <v>14</v>
      </c>
      <c r="D105" s="11">
        <f t="shared" si="4"/>
        <v>157.02479338842977</v>
      </c>
      <c r="E105" s="11">
        <f t="shared" si="5"/>
        <v>15.702479338842977</v>
      </c>
      <c r="F105" s="51">
        <v>190</v>
      </c>
      <c r="G105" s="6"/>
      <c r="H105" s="13">
        <f t="shared" si="6"/>
        <v>190</v>
      </c>
      <c r="I105" s="49" t="s">
        <v>721</v>
      </c>
      <c r="J105" s="52">
        <v>190</v>
      </c>
      <c r="K105" s="40"/>
      <c r="L105" s="1"/>
      <c r="M105" s="52"/>
      <c r="N105" s="52"/>
      <c r="O105" s="52"/>
    </row>
    <row r="106" spans="1:15" x14ac:dyDescent="0.3">
      <c r="A106" s="54">
        <v>45367</v>
      </c>
      <c r="B106" s="10" t="s">
        <v>839</v>
      </c>
      <c r="C106" s="10" t="s">
        <v>14</v>
      </c>
      <c r="D106" s="11">
        <f t="shared" si="4"/>
        <v>223.14049586776861</v>
      </c>
      <c r="E106" s="11">
        <f t="shared" si="5"/>
        <v>22.314049586776861</v>
      </c>
      <c r="F106" s="51">
        <v>270</v>
      </c>
      <c r="G106" s="6">
        <v>50</v>
      </c>
      <c r="H106" s="13">
        <f t="shared" si="6"/>
        <v>220</v>
      </c>
      <c r="I106" s="49" t="s">
        <v>961</v>
      </c>
      <c r="J106" s="52">
        <v>270</v>
      </c>
      <c r="K106" s="40"/>
      <c r="L106" s="1"/>
      <c r="M106" s="52"/>
      <c r="N106" s="52"/>
      <c r="O106" s="52"/>
    </row>
    <row r="107" spans="1:15" x14ac:dyDescent="0.3">
      <c r="A107" s="54">
        <v>45367</v>
      </c>
      <c r="B107" s="10" t="s">
        <v>840</v>
      </c>
      <c r="C107" s="10" t="s">
        <v>14</v>
      </c>
      <c r="D107" s="11">
        <f t="shared" si="4"/>
        <v>396.69421487603307</v>
      </c>
      <c r="E107" s="11">
        <f t="shared" si="5"/>
        <v>39.669421487603309</v>
      </c>
      <c r="F107" s="51">
        <v>480</v>
      </c>
      <c r="G107" s="6">
        <v>50</v>
      </c>
      <c r="H107" s="13">
        <f t="shared" si="6"/>
        <v>430</v>
      </c>
      <c r="I107" s="49" t="s">
        <v>962</v>
      </c>
      <c r="J107" s="52">
        <v>485</v>
      </c>
      <c r="K107" s="40"/>
      <c r="L107" s="1"/>
      <c r="M107" s="52"/>
      <c r="N107" s="52"/>
      <c r="O107" s="52"/>
    </row>
    <row r="108" spans="1:15" x14ac:dyDescent="0.3">
      <c r="A108" s="54">
        <v>45367</v>
      </c>
      <c r="B108" s="10" t="s">
        <v>841</v>
      </c>
      <c r="C108" s="10" t="s">
        <v>14</v>
      </c>
      <c r="D108" s="11">
        <f t="shared" si="4"/>
        <v>223.14049586776861</v>
      </c>
      <c r="E108" s="11">
        <f t="shared" si="5"/>
        <v>22.314049586776861</v>
      </c>
      <c r="F108" s="51">
        <v>270</v>
      </c>
      <c r="G108" s="6">
        <v>50</v>
      </c>
      <c r="H108" s="13">
        <f t="shared" si="6"/>
        <v>220</v>
      </c>
      <c r="I108" s="49" t="s">
        <v>963</v>
      </c>
      <c r="J108" s="52">
        <v>270</v>
      </c>
      <c r="K108" s="40"/>
      <c r="L108" s="1"/>
      <c r="M108" s="52"/>
      <c r="N108" s="52"/>
      <c r="O108" s="52"/>
    </row>
    <row r="109" spans="1:15" x14ac:dyDescent="0.3">
      <c r="A109" s="54">
        <v>45367</v>
      </c>
      <c r="B109" s="10" t="s">
        <v>842</v>
      </c>
      <c r="C109" s="10" t="s">
        <v>14</v>
      </c>
      <c r="D109" s="11">
        <f t="shared" si="4"/>
        <v>295.86776859504135</v>
      </c>
      <c r="E109" s="11">
        <f t="shared" si="5"/>
        <v>29.586776859504134</v>
      </c>
      <c r="F109" s="51">
        <v>358</v>
      </c>
      <c r="G109" s="6">
        <v>50</v>
      </c>
      <c r="H109" s="13">
        <f t="shared" si="6"/>
        <v>308</v>
      </c>
      <c r="I109" s="49" t="s">
        <v>964</v>
      </c>
      <c r="J109" s="52">
        <v>270</v>
      </c>
      <c r="K109" s="40">
        <v>30</v>
      </c>
      <c r="L109" s="1" t="s">
        <v>223</v>
      </c>
      <c r="M109" s="52">
        <v>58</v>
      </c>
      <c r="N109" s="52" t="s">
        <v>380</v>
      </c>
      <c r="O109" s="52"/>
    </row>
    <row r="110" spans="1:15" x14ac:dyDescent="0.3">
      <c r="A110" s="54">
        <v>45367</v>
      </c>
      <c r="B110" s="10" t="s">
        <v>843</v>
      </c>
      <c r="C110" s="10" t="s">
        <v>14</v>
      </c>
      <c r="D110" s="11">
        <f t="shared" si="4"/>
        <v>198.34710743801654</v>
      </c>
      <c r="E110" s="11">
        <f t="shared" si="5"/>
        <v>19.834710743801654</v>
      </c>
      <c r="F110" s="51">
        <v>240</v>
      </c>
      <c r="G110" s="6">
        <v>50</v>
      </c>
      <c r="H110" s="13">
        <f t="shared" si="6"/>
        <v>190</v>
      </c>
      <c r="I110" s="49" t="s">
        <v>965</v>
      </c>
      <c r="J110" s="52">
        <v>240</v>
      </c>
      <c r="K110" s="40"/>
      <c r="L110" s="1"/>
      <c r="M110" s="52"/>
      <c r="N110" s="52"/>
      <c r="O110" s="52"/>
    </row>
    <row r="111" spans="1:15" x14ac:dyDescent="0.3">
      <c r="A111" s="54">
        <v>45367</v>
      </c>
      <c r="B111" s="10" t="s">
        <v>844</v>
      </c>
      <c r="C111" s="10" t="s">
        <v>14</v>
      </c>
      <c r="D111" s="11">
        <f t="shared" si="4"/>
        <v>206.61157024793388</v>
      </c>
      <c r="E111" s="11">
        <f t="shared" si="5"/>
        <v>20.661157024793386</v>
      </c>
      <c r="F111" s="51">
        <v>250</v>
      </c>
      <c r="G111" s="6"/>
      <c r="H111" s="13">
        <f t="shared" si="6"/>
        <v>250</v>
      </c>
      <c r="I111" s="49" t="s">
        <v>364</v>
      </c>
      <c r="J111" s="52">
        <v>250</v>
      </c>
      <c r="K111" s="40"/>
      <c r="L111" s="1"/>
      <c r="M111" s="52"/>
      <c r="N111" s="52"/>
      <c r="O111" s="52"/>
    </row>
    <row r="112" spans="1:15" x14ac:dyDescent="0.3">
      <c r="A112" s="54">
        <v>45367</v>
      </c>
      <c r="B112" s="10" t="s">
        <v>845</v>
      </c>
      <c r="C112" s="10" t="s">
        <v>14</v>
      </c>
      <c r="D112" s="11">
        <f t="shared" si="4"/>
        <v>260.3305785123967</v>
      </c>
      <c r="E112" s="11">
        <f t="shared" si="5"/>
        <v>26.033057851239668</v>
      </c>
      <c r="F112" s="51">
        <v>315</v>
      </c>
      <c r="G112" s="6">
        <v>50</v>
      </c>
      <c r="H112" s="13">
        <f t="shared" si="6"/>
        <v>265</v>
      </c>
      <c r="I112" s="49" t="s">
        <v>967</v>
      </c>
      <c r="J112" s="52">
        <v>270</v>
      </c>
      <c r="K112" s="40"/>
      <c r="L112" s="1"/>
      <c r="M112" s="52">
        <v>45</v>
      </c>
      <c r="N112" s="52" t="s">
        <v>16</v>
      </c>
      <c r="O112" s="52"/>
    </row>
    <row r="113" spans="1:15" x14ac:dyDescent="0.3">
      <c r="A113" s="54">
        <v>45367</v>
      </c>
      <c r="B113" s="10" t="s">
        <v>846</v>
      </c>
      <c r="C113" s="10" t="s">
        <v>14</v>
      </c>
      <c r="D113" s="11">
        <f t="shared" si="4"/>
        <v>206.61157024793388</v>
      </c>
      <c r="E113" s="11">
        <f t="shared" si="5"/>
        <v>20.661157024793386</v>
      </c>
      <c r="F113" s="51">
        <v>250</v>
      </c>
      <c r="G113" s="6">
        <v>50</v>
      </c>
      <c r="H113" s="13">
        <f t="shared" si="6"/>
        <v>200</v>
      </c>
      <c r="I113" s="49" t="s">
        <v>968</v>
      </c>
      <c r="J113" s="52">
        <v>220</v>
      </c>
      <c r="K113" s="40">
        <v>30</v>
      </c>
      <c r="L113" s="1" t="s">
        <v>223</v>
      </c>
      <c r="M113" s="52"/>
      <c r="N113" s="52"/>
      <c r="O113" s="52"/>
    </row>
    <row r="114" spans="1:15" x14ac:dyDescent="0.3">
      <c r="A114" s="54">
        <v>45367</v>
      </c>
      <c r="B114" s="10" t="s">
        <v>847</v>
      </c>
      <c r="C114" s="10" t="s">
        <v>14</v>
      </c>
      <c r="D114" s="11">
        <f t="shared" si="4"/>
        <v>330.57851239669424</v>
      </c>
      <c r="E114" s="11">
        <f t="shared" si="5"/>
        <v>33.057851239669425</v>
      </c>
      <c r="F114" s="51">
        <v>400</v>
      </c>
      <c r="G114" s="6">
        <v>50</v>
      </c>
      <c r="H114" s="13">
        <f t="shared" si="6"/>
        <v>350</v>
      </c>
      <c r="I114" s="49" t="s">
        <v>952</v>
      </c>
      <c r="J114" s="52">
        <v>400</v>
      </c>
      <c r="K114" s="40"/>
      <c r="L114" s="1"/>
      <c r="M114" s="52"/>
      <c r="N114" s="52"/>
      <c r="O114" s="52"/>
    </row>
    <row r="115" spans="1:15" x14ac:dyDescent="0.3">
      <c r="A115" s="54">
        <v>45367</v>
      </c>
      <c r="B115" s="10" t="s">
        <v>848</v>
      </c>
      <c r="C115" s="10" t="s">
        <v>14</v>
      </c>
      <c r="D115" s="11">
        <f t="shared" si="4"/>
        <v>190.08264462809919</v>
      </c>
      <c r="E115" s="11">
        <f t="shared" si="5"/>
        <v>19.008264462809919</v>
      </c>
      <c r="F115" s="51">
        <v>230</v>
      </c>
      <c r="G115" s="6">
        <v>50</v>
      </c>
      <c r="H115" s="13">
        <f t="shared" si="6"/>
        <v>180</v>
      </c>
      <c r="I115" s="49" t="s">
        <v>969</v>
      </c>
      <c r="J115" s="52">
        <v>170</v>
      </c>
      <c r="K115" s="40">
        <v>60</v>
      </c>
      <c r="L115" s="1" t="s">
        <v>223</v>
      </c>
      <c r="M115" s="52"/>
      <c r="N115" s="52"/>
      <c r="O115" s="52"/>
    </row>
    <row r="116" spans="1:15" x14ac:dyDescent="0.3">
      <c r="A116" s="54">
        <v>45367</v>
      </c>
      <c r="B116" s="10" t="s">
        <v>849</v>
      </c>
      <c r="C116" s="10" t="s">
        <v>14</v>
      </c>
      <c r="D116" s="11">
        <f t="shared" si="4"/>
        <v>214.87603305785126</v>
      </c>
      <c r="E116" s="11">
        <f t="shared" si="5"/>
        <v>21.487603305785125</v>
      </c>
      <c r="F116" s="51">
        <v>260</v>
      </c>
      <c r="G116" s="6"/>
      <c r="H116" s="13">
        <f t="shared" si="6"/>
        <v>260</v>
      </c>
      <c r="I116" s="49" t="s">
        <v>364</v>
      </c>
      <c r="J116" s="52">
        <v>260</v>
      </c>
      <c r="K116" s="40"/>
      <c r="L116" s="1"/>
      <c r="M116" s="52"/>
      <c r="N116" s="52"/>
      <c r="O116" s="52"/>
    </row>
    <row r="117" spans="1:15" x14ac:dyDescent="0.3">
      <c r="A117" s="54">
        <v>45367</v>
      </c>
      <c r="B117" s="10" t="s">
        <v>850</v>
      </c>
      <c r="C117" s="10" t="s">
        <v>14</v>
      </c>
      <c r="D117" s="11">
        <f t="shared" si="4"/>
        <v>140.49586776859505</v>
      </c>
      <c r="E117" s="11">
        <f t="shared" si="5"/>
        <v>14.049586776859506</v>
      </c>
      <c r="F117" s="51">
        <v>170</v>
      </c>
      <c r="G117" s="6">
        <v>50</v>
      </c>
      <c r="H117" s="13">
        <f t="shared" si="6"/>
        <v>120</v>
      </c>
      <c r="I117" s="49" t="s">
        <v>970</v>
      </c>
      <c r="J117" s="52">
        <v>170</v>
      </c>
      <c r="K117" s="40"/>
      <c r="L117" s="1"/>
      <c r="M117" s="52"/>
      <c r="N117" s="52"/>
      <c r="O117" s="52"/>
    </row>
    <row r="118" spans="1:15" x14ac:dyDescent="0.3">
      <c r="A118" s="54">
        <v>45367</v>
      </c>
      <c r="B118" s="10" t="s">
        <v>851</v>
      </c>
      <c r="C118" s="10" t="s">
        <v>14</v>
      </c>
      <c r="D118" s="11">
        <f t="shared" si="4"/>
        <v>140.49586776859505</v>
      </c>
      <c r="E118" s="11">
        <f t="shared" si="5"/>
        <v>14.049586776859506</v>
      </c>
      <c r="F118" s="51">
        <v>170</v>
      </c>
      <c r="G118" s="6">
        <v>50</v>
      </c>
      <c r="H118" s="13">
        <f t="shared" si="6"/>
        <v>120</v>
      </c>
      <c r="I118" s="49" t="s">
        <v>971</v>
      </c>
      <c r="J118" s="52">
        <v>170</v>
      </c>
      <c r="K118" s="40"/>
      <c r="L118" s="1"/>
      <c r="M118" s="52"/>
      <c r="N118" s="52"/>
      <c r="O118" s="52"/>
    </row>
    <row r="119" spans="1:15" x14ac:dyDescent="0.3">
      <c r="A119" s="54">
        <v>45367</v>
      </c>
      <c r="B119" s="10" t="s">
        <v>852</v>
      </c>
      <c r="C119" s="10" t="s">
        <v>14</v>
      </c>
      <c r="D119" s="11">
        <f t="shared" si="4"/>
        <v>140.49586776859505</v>
      </c>
      <c r="E119" s="11">
        <f t="shared" si="5"/>
        <v>14.049586776859506</v>
      </c>
      <c r="F119" s="51">
        <v>170</v>
      </c>
      <c r="G119" s="6">
        <v>50</v>
      </c>
      <c r="H119" s="13">
        <f t="shared" si="6"/>
        <v>120</v>
      </c>
      <c r="I119" s="49" t="s">
        <v>972</v>
      </c>
      <c r="J119" s="52">
        <v>170</v>
      </c>
      <c r="K119" s="40"/>
      <c r="L119" s="1"/>
      <c r="M119" s="52"/>
      <c r="N119" s="52"/>
      <c r="O119" s="52"/>
    </row>
    <row r="120" spans="1:15" x14ac:dyDescent="0.3">
      <c r="A120" s="54">
        <v>45367</v>
      </c>
      <c r="B120" s="10" t="s">
        <v>853</v>
      </c>
      <c r="C120" s="10" t="s">
        <v>14</v>
      </c>
      <c r="D120" s="11">
        <f t="shared" si="4"/>
        <v>140.49586776859505</v>
      </c>
      <c r="E120" s="11">
        <f t="shared" si="5"/>
        <v>14.049586776859506</v>
      </c>
      <c r="F120" s="51">
        <v>170</v>
      </c>
      <c r="G120" s="6">
        <v>50</v>
      </c>
      <c r="H120" s="13">
        <f t="shared" si="6"/>
        <v>120</v>
      </c>
      <c r="I120" s="49" t="s">
        <v>973</v>
      </c>
      <c r="J120" s="52">
        <v>170</v>
      </c>
      <c r="K120" s="40"/>
      <c r="L120" s="1"/>
      <c r="M120" s="52"/>
      <c r="N120" s="52"/>
      <c r="O120" s="52"/>
    </row>
    <row r="121" spans="1:15" x14ac:dyDescent="0.3">
      <c r="A121" s="97">
        <v>45368</v>
      </c>
      <c r="B121" s="10" t="s">
        <v>854</v>
      </c>
      <c r="C121" s="10" t="s">
        <v>14</v>
      </c>
      <c r="D121" s="11">
        <f t="shared" si="4"/>
        <v>140.49586776859505</v>
      </c>
      <c r="E121" s="11">
        <f t="shared" si="5"/>
        <v>14.049586776859506</v>
      </c>
      <c r="F121" s="51">
        <v>170</v>
      </c>
      <c r="G121" s="6">
        <v>50</v>
      </c>
      <c r="H121" s="13">
        <f t="shared" si="6"/>
        <v>120</v>
      </c>
      <c r="I121" s="49" t="s">
        <v>974</v>
      </c>
      <c r="J121" s="52">
        <v>170</v>
      </c>
      <c r="K121" s="40"/>
      <c r="L121" s="1"/>
      <c r="M121" s="52"/>
      <c r="N121" s="52"/>
      <c r="O121" s="52"/>
    </row>
    <row r="122" spans="1:15" x14ac:dyDescent="0.3">
      <c r="A122" s="97">
        <v>45368</v>
      </c>
      <c r="B122" s="10" t="s">
        <v>855</v>
      </c>
      <c r="C122" s="10" t="s">
        <v>14</v>
      </c>
      <c r="D122" s="11">
        <f t="shared" si="4"/>
        <v>338.84297520661158</v>
      </c>
      <c r="E122" s="11">
        <f t="shared" si="5"/>
        <v>33.884297520661157</v>
      </c>
      <c r="F122" s="51">
        <v>410</v>
      </c>
      <c r="G122" s="6">
        <v>50</v>
      </c>
      <c r="H122" s="13">
        <f t="shared" si="6"/>
        <v>360</v>
      </c>
      <c r="I122" s="49" t="s">
        <v>940</v>
      </c>
      <c r="J122" s="52">
        <v>410</v>
      </c>
      <c r="K122" s="40"/>
      <c r="L122" s="1"/>
      <c r="M122" s="52"/>
      <c r="N122" s="52"/>
      <c r="O122" s="52"/>
    </row>
    <row r="123" spans="1:15" x14ac:dyDescent="0.3">
      <c r="A123" s="28">
        <v>45368</v>
      </c>
      <c r="B123" s="10" t="s">
        <v>856</v>
      </c>
      <c r="C123" s="10" t="s">
        <v>14</v>
      </c>
      <c r="D123" s="11">
        <f t="shared" si="4"/>
        <v>181.81818181818181</v>
      </c>
      <c r="E123" s="11">
        <f t="shared" si="5"/>
        <v>18.18181818181818</v>
      </c>
      <c r="F123" s="51">
        <v>220</v>
      </c>
      <c r="G123" s="6">
        <v>50</v>
      </c>
      <c r="H123" s="13">
        <f t="shared" si="6"/>
        <v>170</v>
      </c>
      <c r="I123" s="49" t="s">
        <v>975</v>
      </c>
      <c r="J123" s="52">
        <v>220</v>
      </c>
      <c r="K123" s="40"/>
      <c r="L123" s="1"/>
      <c r="M123" s="52"/>
      <c r="N123" s="52"/>
      <c r="O123" s="52"/>
    </row>
    <row r="124" spans="1:15" x14ac:dyDescent="0.3">
      <c r="A124" s="97">
        <v>45368</v>
      </c>
      <c r="B124" s="10" t="s">
        <v>857</v>
      </c>
      <c r="C124" s="10" t="s">
        <v>14</v>
      </c>
      <c r="D124" s="11">
        <f t="shared" si="4"/>
        <v>140.49586776859505</v>
      </c>
      <c r="E124" s="11">
        <f t="shared" si="5"/>
        <v>14.049586776859506</v>
      </c>
      <c r="F124" s="51">
        <v>170</v>
      </c>
      <c r="G124" s="6">
        <v>50</v>
      </c>
      <c r="H124" s="13">
        <f t="shared" si="6"/>
        <v>120</v>
      </c>
      <c r="I124" s="49" t="s">
        <v>976</v>
      </c>
      <c r="J124" s="52">
        <v>170</v>
      </c>
      <c r="K124" s="40"/>
      <c r="L124" s="1"/>
      <c r="M124" s="52"/>
      <c r="N124" s="52"/>
      <c r="O124" s="52"/>
    </row>
    <row r="125" spans="1:15" x14ac:dyDescent="0.3">
      <c r="A125" s="97">
        <v>45368</v>
      </c>
      <c r="B125" s="10" t="s">
        <v>858</v>
      </c>
      <c r="C125" s="10" t="s">
        <v>14</v>
      </c>
      <c r="D125" s="11">
        <f t="shared" si="4"/>
        <v>140.49586776859505</v>
      </c>
      <c r="E125" s="11">
        <f t="shared" si="5"/>
        <v>14.049586776859506</v>
      </c>
      <c r="F125" s="51">
        <v>170</v>
      </c>
      <c r="G125" s="6">
        <v>50</v>
      </c>
      <c r="H125" s="13">
        <f t="shared" si="6"/>
        <v>120</v>
      </c>
      <c r="I125" s="49" t="s">
        <v>264</v>
      </c>
      <c r="J125" s="52">
        <v>170</v>
      </c>
      <c r="K125" s="40"/>
      <c r="L125" s="1"/>
      <c r="M125" s="52"/>
      <c r="N125" s="52"/>
      <c r="O125" s="52"/>
    </row>
    <row r="126" spans="1:15" x14ac:dyDescent="0.3">
      <c r="A126" s="50">
        <v>45370</v>
      </c>
      <c r="B126" s="10" t="s">
        <v>859</v>
      </c>
      <c r="C126" s="10" t="s">
        <v>14</v>
      </c>
      <c r="D126" s="11">
        <f t="shared" si="4"/>
        <v>140.49586776859505</v>
      </c>
      <c r="E126" s="11">
        <f t="shared" si="5"/>
        <v>14.049586776859506</v>
      </c>
      <c r="F126" s="51">
        <v>170</v>
      </c>
      <c r="G126" s="6">
        <v>50</v>
      </c>
      <c r="H126" s="13">
        <f t="shared" si="6"/>
        <v>120</v>
      </c>
      <c r="I126" s="49" t="s">
        <v>977</v>
      </c>
      <c r="J126" s="52">
        <v>170</v>
      </c>
      <c r="K126" s="40"/>
      <c r="L126" s="1"/>
      <c r="M126" s="52"/>
      <c r="N126" s="52"/>
      <c r="O126" s="52"/>
    </row>
    <row r="127" spans="1:15" x14ac:dyDescent="0.3">
      <c r="A127" s="95">
        <v>45370</v>
      </c>
      <c r="B127" s="10" t="s">
        <v>860</v>
      </c>
      <c r="C127" s="10" t="s">
        <v>14</v>
      </c>
      <c r="D127" s="11">
        <f t="shared" si="4"/>
        <v>243.801652892562</v>
      </c>
      <c r="E127" s="11">
        <f t="shared" si="5"/>
        <v>24.380165289256201</v>
      </c>
      <c r="F127" s="30">
        <v>295</v>
      </c>
      <c r="G127" s="30">
        <v>50</v>
      </c>
      <c r="H127" s="13">
        <f t="shared" si="6"/>
        <v>245</v>
      </c>
      <c r="I127" s="1" t="s">
        <v>978</v>
      </c>
      <c r="J127" s="88">
        <v>270</v>
      </c>
      <c r="K127" s="88">
        <v>25</v>
      </c>
      <c r="L127" s="1" t="s">
        <v>223</v>
      </c>
      <c r="M127" s="1"/>
      <c r="N127" s="1"/>
      <c r="O127" s="1"/>
    </row>
    <row r="128" spans="1:15" x14ac:dyDescent="0.3">
      <c r="A128" s="50">
        <v>45370</v>
      </c>
      <c r="B128" s="10" t="s">
        <v>861</v>
      </c>
      <c r="C128" s="10" t="s">
        <v>14</v>
      </c>
      <c r="D128" s="11">
        <f t="shared" si="4"/>
        <v>173.55371900826447</v>
      </c>
      <c r="E128" s="11">
        <f t="shared" si="5"/>
        <v>17.355371900826448</v>
      </c>
      <c r="F128" s="30">
        <v>210</v>
      </c>
      <c r="G128" s="30"/>
      <c r="H128" s="13">
        <f t="shared" si="6"/>
        <v>210</v>
      </c>
      <c r="I128" s="1" t="s">
        <v>402</v>
      </c>
      <c r="J128" s="88">
        <v>210</v>
      </c>
      <c r="K128" s="88"/>
      <c r="L128" s="1"/>
      <c r="M128" s="1"/>
      <c r="N128" s="1"/>
      <c r="O128" s="1"/>
    </row>
    <row r="129" spans="1:15" x14ac:dyDescent="0.3">
      <c r="A129" s="95">
        <v>45372</v>
      </c>
      <c r="B129" s="10" t="s">
        <v>862</v>
      </c>
      <c r="C129" s="10" t="s">
        <v>14</v>
      </c>
      <c r="D129" s="11">
        <f t="shared" si="4"/>
        <v>82.644628099173559</v>
      </c>
      <c r="E129" s="11">
        <f t="shared" si="5"/>
        <v>8.2644628099173563</v>
      </c>
      <c r="F129" s="30">
        <v>100</v>
      </c>
      <c r="G129" s="30"/>
      <c r="H129" s="13">
        <f t="shared" si="6"/>
        <v>100</v>
      </c>
      <c r="I129" s="1" t="s">
        <v>402</v>
      </c>
      <c r="J129" s="88">
        <v>100</v>
      </c>
      <c r="K129" s="88"/>
      <c r="L129" s="1"/>
      <c r="M129" s="1"/>
      <c r="N129" s="1"/>
      <c r="O129" s="1"/>
    </row>
    <row r="130" spans="1:15" x14ac:dyDescent="0.3">
      <c r="A130" s="50">
        <v>45372</v>
      </c>
      <c r="B130" s="10" t="s">
        <v>863</v>
      </c>
      <c r="C130" s="10" t="s">
        <v>14</v>
      </c>
      <c r="D130" s="11">
        <f t="shared" si="4"/>
        <v>173.55371900826447</v>
      </c>
      <c r="E130" s="11">
        <f t="shared" si="5"/>
        <v>17.355371900826448</v>
      </c>
      <c r="F130" s="30">
        <v>210</v>
      </c>
      <c r="G130" s="30"/>
      <c r="H130" s="13">
        <f t="shared" si="6"/>
        <v>210</v>
      </c>
      <c r="I130" s="1" t="s">
        <v>979</v>
      </c>
      <c r="J130" s="88">
        <v>210</v>
      </c>
      <c r="K130" s="88"/>
      <c r="L130" s="1"/>
      <c r="M130" s="1"/>
      <c r="N130" s="1"/>
      <c r="O130" s="1"/>
    </row>
    <row r="131" spans="1:15" x14ac:dyDescent="0.3">
      <c r="A131" s="95">
        <v>45372</v>
      </c>
      <c r="B131" s="10" t="s">
        <v>864</v>
      </c>
      <c r="C131" s="10" t="s">
        <v>14</v>
      </c>
      <c r="D131" s="11">
        <f t="shared" ref="D131:D185" si="7">F131/1.21</f>
        <v>173.55371900826447</v>
      </c>
      <c r="E131" s="11">
        <f t="shared" si="5"/>
        <v>17.355371900826448</v>
      </c>
      <c r="F131" s="30">
        <v>210</v>
      </c>
      <c r="G131" s="30"/>
      <c r="H131" s="13">
        <f t="shared" si="6"/>
        <v>210</v>
      </c>
      <c r="I131" s="1" t="s">
        <v>402</v>
      </c>
      <c r="J131" s="88">
        <v>210</v>
      </c>
      <c r="K131" s="88"/>
      <c r="L131" s="1"/>
      <c r="M131" s="1"/>
      <c r="N131" s="1"/>
      <c r="O131" s="1"/>
    </row>
    <row r="132" spans="1:15" x14ac:dyDescent="0.3">
      <c r="A132" s="50">
        <v>45373</v>
      </c>
      <c r="B132" s="10" t="s">
        <v>865</v>
      </c>
      <c r="C132" s="10" t="s">
        <v>14</v>
      </c>
      <c r="D132" s="11">
        <f t="shared" si="7"/>
        <v>140.49586776859505</v>
      </c>
      <c r="E132" s="11">
        <f t="shared" ref="E132:E185" si="8">D132*10/100</f>
        <v>14.049586776859506</v>
      </c>
      <c r="F132" s="30">
        <v>170</v>
      </c>
      <c r="G132" s="30">
        <v>50</v>
      </c>
      <c r="H132" s="13">
        <f t="shared" si="6"/>
        <v>120</v>
      </c>
      <c r="I132" s="1" t="s">
        <v>980</v>
      </c>
      <c r="J132" s="88">
        <v>170</v>
      </c>
      <c r="K132" s="88"/>
      <c r="L132" s="1"/>
      <c r="M132" s="1"/>
      <c r="N132" s="1"/>
      <c r="O132" s="1"/>
    </row>
    <row r="133" spans="1:15" x14ac:dyDescent="0.3">
      <c r="A133" s="95">
        <v>45373</v>
      </c>
      <c r="B133" s="10" t="s">
        <v>866</v>
      </c>
      <c r="C133" s="10" t="s">
        <v>14</v>
      </c>
      <c r="D133" s="11">
        <f t="shared" si="7"/>
        <v>115.70247933884298</v>
      </c>
      <c r="E133" s="11">
        <f t="shared" si="8"/>
        <v>11.570247933884298</v>
      </c>
      <c r="F133" s="30">
        <v>140</v>
      </c>
      <c r="G133" s="30">
        <v>50</v>
      </c>
      <c r="H133" s="13">
        <f t="shared" si="6"/>
        <v>90</v>
      </c>
      <c r="I133" s="1" t="s">
        <v>264</v>
      </c>
      <c r="J133" s="88">
        <v>140</v>
      </c>
      <c r="K133" s="88"/>
      <c r="L133" s="1"/>
      <c r="M133" s="1"/>
      <c r="N133" s="1"/>
      <c r="O133" s="1"/>
    </row>
    <row r="134" spans="1:15" x14ac:dyDescent="0.3">
      <c r="A134" s="50">
        <v>45373</v>
      </c>
      <c r="B134" s="10" t="s">
        <v>867</v>
      </c>
      <c r="C134" s="10" t="s">
        <v>14</v>
      </c>
      <c r="D134" s="11">
        <f t="shared" si="7"/>
        <v>181.81818181818181</v>
      </c>
      <c r="E134" s="11">
        <f t="shared" si="8"/>
        <v>18.18181818181818</v>
      </c>
      <c r="F134" s="30">
        <v>220</v>
      </c>
      <c r="G134" s="30">
        <v>50</v>
      </c>
      <c r="H134" s="13">
        <f t="shared" ref="H134:H185" si="9">F134-G134</f>
        <v>170</v>
      </c>
      <c r="I134" s="1" t="s">
        <v>981</v>
      </c>
      <c r="J134" s="88">
        <v>220</v>
      </c>
      <c r="K134" s="88"/>
      <c r="L134" s="1"/>
      <c r="M134" s="1"/>
      <c r="N134" s="1"/>
      <c r="O134" s="1"/>
    </row>
    <row r="135" spans="1:15" x14ac:dyDescent="0.3">
      <c r="A135" s="95">
        <v>45373</v>
      </c>
      <c r="B135" s="10" t="s">
        <v>868</v>
      </c>
      <c r="C135" s="10" t="s">
        <v>14</v>
      </c>
      <c r="D135" s="11">
        <f t="shared" si="7"/>
        <v>256.198347107438</v>
      </c>
      <c r="E135" s="11">
        <f t="shared" si="8"/>
        <v>25.619834710743799</v>
      </c>
      <c r="F135" s="30">
        <v>310</v>
      </c>
      <c r="G135" s="30">
        <v>50</v>
      </c>
      <c r="H135" s="13">
        <f t="shared" si="9"/>
        <v>260</v>
      </c>
      <c r="I135" s="1" t="s">
        <v>982</v>
      </c>
      <c r="J135" s="88">
        <v>310</v>
      </c>
      <c r="K135" s="88"/>
      <c r="L135" s="1"/>
      <c r="M135" s="1"/>
      <c r="N135" s="1"/>
      <c r="O135" s="1"/>
    </row>
    <row r="136" spans="1:15" x14ac:dyDescent="0.3">
      <c r="A136" s="50">
        <v>45373</v>
      </c>
      <c r="B136" s="10" t="s">
        <v>869</v>
      </c>
      <c r="C136" s="10" t="s">
        <v>14</v>
      </c>
      <c r="D136" s="11">
        <f t="shared" si="7"/>
        <v>148.7603305785124</v>
      </c>
      <c r="E136" s="11">
        <f t="shared" si="8"/>
        <v>14.876033057851238</v>
      </c>
      <c r="F136" s="30">
        <v>180</v>
      </c>
      <c r="G136" s="30"/>
      <c r="H136" s="13">
        <f t="shared" si="9"/>
        <v>180</v>
      </c>
      <c r="I136" s="1" t="s">
        <v>402</v>
      </c>
      <c r="J136" s="88">
        <v>180</v>
      </c>
      <c r="K136" s="88"/>
      <c r="L136" s="1"/>
      <c r="M136" s="1"/>
      <c r="N136" s="1"/>
      <c r="O136" s="1"/>
    </row>
    <row r="137" spans="1:15" x14ac:dyDescent="0.3">
      <c r="A137" s="95">
        <v>45373</v>
      </c>
      <c r="B137" s="10" t="s">
        <v>870</v>
      </c>
      <c r="C137" s="10" t="s">
        <v>14</v>
      </c>
      <c r="D137" s="11">
        <f t="shared" si="7"/>
        <v>148.7603305785124</v>
      </c>
      <c r="E137" s="11">
        <f t="shared" si="8"/>
        <v>14.876033057851238</v>
      </c>
      <c r="F137" s="30">
        <v>180</v>
      </c>
      <c r="G137" s="30"/>
      <c r="H137" s="13">
        <f t="shared" si="9"/>
        <v>180</v>
      </c>
      <c r="I137" s="1" t="s">
        <v>402</v>
      </c>
      <c r="J137" s="88">
        <v>180</v>
      </c>
      <c r="K137" s="88"/>
      <c r="L137" s="1"/>
      <c r="M137" s="1"/>
      <c r="N137" s="1"/>
      <c r="O137" s="1"/>
    </row>
    <row r="138" spans="1:15" x14ac:dyDescent="0.3">
      <c r="A138" s="50">
        <v>45374</v>
      </c>
      <c r="B138" s="10" t="s">
        <v>871</v>
      </c>
      <c r="C138" s="10" t="s">
        <v>14</v>
      </c>
      <c r="D138" s="11">
        <f t="shared" si="7"/>
        <v>115.70247933884298</v>
      </c>
      <c r="E138" s="11">
        <f t="shared" si="8"/>
        <v>11.570247933884298</v>
      </c>
      <c r="F138" s="30">
        <v>140</v>
      </c>
      <c r="G138" s="30">
        <v>50</v>
      </c>
      <c r="H138" s="13">
        <f t="shared" si="9"/>
        <v>90</v>
      </c>
      <c r="I138" s="1" t="s">
        <v>983</v>
      </c>
      <c r="J138" s="88">
        <v>140</v>
      </c>
      <c r="K138" s="88"/>
      <c r="L138" s="1"/>
      <c r="M138" s="1"/>
      <c r="N138" s="1"/>
      <c r="O138" s="1"/>
    </row>
    <row r="139" spans="1:15" x14ac:dyDescent="0.3">
      <c r="A139" s="95">
        <v>45374</v>
      </c>
      <c r="B139" s="10" t="s">
        <v>872</v>
      </c>
      <c r="C139" s="10" t="s">
        <v>14</v>
      </c>
      <c r="D139" s="11">
        <f t="shared" si="7"/>
        <v>148.7603305785124</v>
      </c>
      <c r="E139" s="11">
        <f t="shared" si="8"/>
        <v>14.876033057851238</v>
      </c>
      <c r="F139" s="30">
        <v>180</v>
      </c>
      <c r="G139" s="30"/>
      <c r="H139" s="13">
        <f t="shared" si="9"/>
        <v>180</v>
      </c>
      <c r="I139" s="1" t="s">
        <v>901</v>
      </c>
      <c r="J139" s="88">
        <v>180</v>
      </c>
      <c r="K139" s="88"/>
      <c r="L139" s="1"/>
      <c r="M139" s="1"/>
      <c r="N139" s="1"/>
      <c r="O139" s="1"/>
    </row>
    <row r="140" spans="1:15" x14ac:dyDescent="0.3">
      <c r="A140" s="50">
        <v>45374</v>
      </c>
      <c r="B140" s="10" t="s">
        <v>873</v>
      </c>
      <c r="C140" s="10" t="s">
        <v>14</v>
      </c>
      <c r="D140" s="11">
        <f t="shared" si="7"/>
        <v>177.68595041322314</v>
      </c>
      <c r="E140" s="11">
        <f t="shared" si="8"/>
        <v>17.768595041322314</v>
      </c>
      <c r="F140" s="30">
        <v>215</v>
      </c>
      <c r="G140" s="30">
        <v>50</v>
      </c>
      <c r="H140" s="13">
        <f t="shared" si="9"/>
        <v>165</v>
      </c>
      <c r="I140" s="1" t="s">
        <v>984</v>
      </c>
      <c r="J140" s="88">
        <v>170</v>
      </c>
      <c r="K140" s="88"/>
      <c r="L140" s="1"/>
      <c r="M140" s="30">
        <v>45</v>
      </c>
      <c r="N140" s="1" t="s">
        <v>16</v>
      </c>
      <c r="O140" s="1"/>
    </row>
    <row r="141" spans="1:15" x14ac:dyDescent="0.3">
      <c r="A141" s="95">
        <v>45374</v>
      </c>
      <c r="B141" s="10" t="s">
        <v>874</v>
      </c>
      <c r="C141" s="10" t="s">
        <v>14</v>
      </c>
      <c r="D141" s="11">
        <f t="shared" si="7"/>
        <v>115.70247933884298</v>
      </c>
      <c r="E141" s="11">
        <f t="shared" si="8"/>
        <v>11.570247933884298</v>
      </c>
      <c r="F141" s="30">
        <v>140</v>
      </c>
      <c r="G141" s="30"/>
      <c r="H141" s="13">
        <f t="shared" si="9"/>
        <v>140</v>
      </c>
      <c r="I141" s="1" t="s">
        <v>985</v>
      </c>
      <c r="J141" s="88">
        <v>140</v>
      </c>
      <c r="K141" s="88"/>
      <c r="L141" s="1"/>
      <c r="M141" s="1"/>
      <c r="N141" s="1"/>
      <c r="O141" s="1"/>
    </row>
    <row r="142" spans="1:15" x14ac:dyDescent="0.3">
      <c r="A142" s="50">
        <v>45374</v>
      </c>
      <c r="B142" s="10" t="s">
        <v>875</v>
      </c>
      <c r="C142" s="10" t="s">
        <v>14</v>
      </c>
      <c r="D142" s="11">
        <f t="shared" si="7"/>
        <v>165.28925619834712</v>
      </c>
      <c r="E142" s="11">
        <f t="shared" si="8"/>
        <v>16.528925619834713</v>
      </c>
      <c r="F142" s="30">
        <v>200</v>
      </c>
      <c r="G142" s="30">
        <v>50</v>
      </c>
      <c r="H142" s="13">
        <f t="shared" si="9"/>
        <v>150</v>
      </c>
      <c r="I142" s="1" t="s">
        <v>986</v>
      </c>
      <c r="J142" s="88">
        <v>170</v>
      </c>
      <c r="K142" s="88">
        <v>30</v>
      </c>
      <c r="L142" s="1" t="s">
        <v>223</v>
      </c>
      <c r="M142" s="1"/>
      <c r="N142" s="1"/>
      <c r="O142" s="1"/>
    </row>
    <row r="143" spans="1:15" x14ac:dyDescent="0.3">
      <c r="A143" s="95">
        <v>45374</v>
      </c>
      <c r="B143" s="10" t="s">
        <v>876</v>
      </c>
      <c r="C143" s="10" t="s">
        <v>14</v>
      </c>
      <c r="D143" s="11">
        <f t="shared" si="7"/>
        <v>157.02479338842977</v>
      </c>
      <c r="E143" s="11">
        <f t="shared" si="8"/>
        <v>15.702479338842977</v>
      </c>
      <c r="F143" s="30">
        <v>190</v>
      </c>
      <c r="G143" s="30">
        <v>50</v>
      </c>
      <c r="H143" s="13">
        <f t="shared" si="9"/>
        <v>140</v>
      </c>
      <c r="I143" s="1" t="s">
        <v>987</v>
      </c>
      <c r="J143" s="88">
        <v>170</v>
      </c>
      <c r="K143" s="88">
        <v>20</v>
      </c>
      <c r="L143" s="1" t="s">
        <v>223</v>
      </c>
      <c r="M143" s="88"/>
      <c r="N143" s="1"/>
      <c r="O143" s="1"/>
    </row>
    <row r="144" spans="1:15" x14ac:dyDescent="0.3">
      <c r="A144" s="95">
        <v>45374</v>
      </c>
      <c r="B144" s="10" t="s">
        <v>877</v>
      </c>
      <c r="C144" s="10" t="s">
        <v>14</v>
      </c>
      <c r="D144" s="11">
        <f t="shared" si="7"/>
        <v>260.3305785123967</v>
      </c>
      <c r="E144" s="11">
        <f t="shared" si="8"/>
        <v>26.033057851239668</v>
      </c>
      <c r="F144" s="30">
        <v>315</v>
      </c>
      <c r="G144" s="30">
        <v>50</v>
      </c>
      <c r="H144" s="13">
        <f t="shared" si="9"/>
        <v>265</v>
      </c>
      <c r="I144" s="1" t="s">
        <v>988</v>
      </c>
      <c r="J144" s="88">
        <v>270</v>
      </c>
      <c r="K144" s="88"/>
      <c r="L144" s="1"/>
      <c r="M144" s="88">
        <v>45</v>
      </c>
      <c r="N144" s="1" t="s">
        <v>16</v>
      </c>
      <c r="O144" s="1"/>
    </row>
    <row r="145" spans="1:15" x14ac:dyDescent="0.3">
      <c r="A145" s="95">
        <v>45374</v>
      </c>
      <c r="B145" s="10" t="s">
        <v>878</v>
      </c>
      <c r="C145" s="10" t="s">
        <v>14</v>
      </c>
      <c r="D145" s="11">
        <f t="shared" si="7"/>
        <v>115.70247933884298</v>
      </c>
      <c r="E145" s="11">
        <f t="shared" si="8"/>
        <v>11.570247933884298</v>
      </c>
      <c r="F145" s="30">
        <v>140</v>
      </c>
      <c r="G145" s="30"/>
      <c r="H145" s="13">
        <f t="shared" si="9"/>
        <v>140</v>
      </c>
      <c r="I145" s="1" t="s">
        <v>720</v>
      </c>
      <c r="J145" s="88">
        <v>140</v>
      </c>
      <c r="K145" s="1"/>
      <c r="L145" s="1"/>
      <c r="M145" s="88"/>
      <c r="N145" s="1"/>
      <c r="O145" s="1"/>
    </row>
    <row r="146" spans="1:15" x14ac:dyDescent="0.3">
      <c r="A146" s="95">
        <v>45374</v>
      </c>
      <c r="B146" s="10" t="s">
        <v>879</v>
      </c>
      <c r="C146" s="10" t="s">
        <v>14</v>
      </c>
      <c r="D146" s="11">
        <f t="shared" si="7"/>
        <v>107.43801652892563</v>
      </c>
      <c r="E146" s="11">
        <f t="shared" si="8"/>
        <v>10.743801652892563</v>
      </c>
      <c r="F146" s="30">
        <v>130</v>
      </c>
      <c r="G146" s="30"/>
      <c r="H146" s="13">
        <f t="shared" si="9"/>
        <v>130</v>
      </c>
      <c r="I146" s="1" t="s">
        <v>966</v>
      </c>
      <c r="J146" s="88">
        <v>130</v>
      </c>
      <c r="K146" s="88"/>
      <c r="L146" s="1"/>
      <c r="M146" s="88"/>
      <c r="N146" s="1"/>
      <c r="O146" s="1"/>
    </row>
    <row r="147" spans="1:15" x14ac:dyDescent="0.3">
      <c r="A147" s="50">
        <v>45374</v>
      </c>
      <c r="B147" s="10" t="s">
        <v>880</v>
      </c>
      <c r="C147" s="10" t="s">
        <v>14</v>
      </c>
      <c r="D147" s="11">
        <f t="shared" si="7"/>
        <v>280.9917355371901</v>
      </c>
      <c r="E147" s="11">
        <f t="shared" si="8"/>
        <v>28.099173553719012</v>
      </c>
      <c r="F147" s="30">
        <v>340</v>
      </c>
      <c r="G147" s="30">
        <v>50</v>
      </c>
      <c r="H147" s="13">
        <f t="shared" si="9"/>
        <v>290</v>
      </c>
      <c r="I147" s="1" t="s">
        <v>989</v>
      </c>
      <c r="J147" s="88">
        <v>340</v>
      </c>
      <c r="K147" s="1"/>
      <c r="L147" s="1"/>
      <c r="M147" s="88"/>
      <c r="N147" s="1"/>
      <c r="O147" s="1"/>
    </row>
    <row r="148" spans="1:15" x14ac:dyDescent="0.3">
      <c r="A148" s="95">
        <v>45374</v>
      </c>
      <c r="B148" s="10" t="s">
        <v>881</v>
      </c>
      <c r="C148" s="10" t="s">
        <v>14</v>
      </c>
      <c r="D148" s="11">
        <f t="shared" si="7"/>
        <v>148.7603305785124</v>
      </c>
      <c r="E148" s="11">
        <f t="shared" si="8"/>
        <v>14.876033057851238</v>
      </c>
      <c r="F148" s="30">
        <v>180</v>
      </c>
      <c r="G148" s="30"/>
      <c r="H148" s="13">
        <f t="shared" si="9"/>
        <v>180</v>
      </c>
      <c r="I148" s="1" t="s">
        <v>402</v>
      </c>
      <c r="J148" s="88">
        <v>180</v>
      </c>
      <c r="K148" s="1"/>
      <c r="L148" s="1"/>
      <c r="M148" s="88"/>
      <c r="N148" s="1"/>
      <c r="O148" s="1"/>
    </row>
    <row r="149" spans="1:15" x14ac:dyDescent="0.3">
      <c r="A149" s="50">
        <v>45374</v>
      </c>
      <c r="B149" s="10" t="s">
        <v>882</v>
      </c>
      <c r="C149" s="10" t="s">
        <v>14</v>
      </c>
      <c r="D149" s="11">
        <f t="shared" si="7"/>
        <v>206.61157024793388</v>
      </c>
      <c r="E149" s="11">
        <f t="shared" si="8"/>
        <v>20.661157024793386</v>
      </c>
      <c r="F149" s="30">
        <v>250</v>
      </c>
      <c r="G149" s="30">
        <v>50</v>
      </c>
      <c r="H149" s="13">
        <f t="shared" si="9"/>
        <v>200</v>
      </c>
      <c r="I149" s="1" t="s">
        <v>264</v>
      </c>
      <c r="J149" s="88">
        <v>220</v>
      </c>
      <c r="K149" s="88">
        <v>30</v>
      </c>
      <c r="L149" s="1" t="s">
        <v>223</v>
      </c>
      <c r="M149" s="88"/>
      <c r="N149" s="1"/>
      <c r="O149" s="1"/>
    </row>
    <row r="150" spans="1:15" x14ac:dyDescent="0.3">
      <c r="A150" s="95">
        <v>45374</v>
      </c>
      <c r="B150" s="10" t="s">
        <v>883</v>
      </c>
      <c r="C150" s="10" t="s">
        <v>14</v>
      </c>
      <c r="D150" s="11">
        <f t="shared" si="7"/>
        <v>206.61157024793388</v>
      </c>
      <c r="E150" s="11">
        <f t="shared" si="8"/>
        <v>20.661157024793386</v>
      </c>
      <c r="F150" s="30">
        <v>250</v>
      </c>
      <c r="G150" s="30">
        <v>50</v>
      </c>
      <c r="H150" s="13">
        <f t="shared" si="9"/>
        <v>200</v>
      </c>
      <c r="I150" s="1" t="s">
        <v>990</v>
      </c>
      <c r="J150" s="88">
        <v>220</v>
      </c>
      <c r="K150" s="88">
        <v>30</v>
      </c>
      <c r="L150" s="1" t="s">
        <v>223</v>
      </c>
      <c r="M150" s="88"/>
      <c r="N150" s="1"/>
      <c r="O150" s="1"/>
    </row>
    <row r="151" spans="1:15" x14ac:dyDescent="0.3">
      <c r="A151" s="95">
        <v>45374</v>
      </c>
      <c r="B151" s="10" t="s">
        <v>884</v>
      </c>
      <c r="C151" s="10" t="s">
        <v>14</v>
      </c>
      <c r="D151" s="11">
        <f t="shared" si="7"/>
        <v>181.81818181818181</v>
      </c>
      <c r="E151" s="11">
        <f t="shared" si="8"/>
        <v>18.18181818181818</v>
      </c>
      <c r="F151" s="30">
        <v>220</v>
      </c>
      <c r="G151" s="30">
        <v>220</v>
      </c>
      <c r="H151" s="13">
        <f t="shared" si="9"/>
        <v>0</v>
      </c>
      <c r="I151" s="1" t="s">
        <v>991</v>
      </c>
      <c r="J151" s="88">
        <v>220</v>
      </c>
      <c r="K151" s="1"/>
      <c r="L151" s="1"/>
      <c r="M151" s="88"/>
      <c r="N151" s="1"/>
      <c r="O151" s="1"/>
    </row>
    <row r="152" spans="1:15" x14ac:dyDescent="0.3">
      <c r="A152" s="95">
        <v>45374</v>
      </c>
      <c r="B152" s="10" t="s">
        <v>885</v>
      </c>
      <c r="C152" s="10" t="s">
        <v>14</v>
      </c>
      <c r="D152" s="11">
        <f t="shared" si="7"/>
        <v>107.43801652892563</v>
      </c>
      <c r="E152" s="11">
        <f t="shared" si="8"/>
        <v>10.743801652892563</v>
      </c>
      <c r="F152" s="30">
        <v>130</v>
      </c>
      <c r="G152" s="30"/>
      <c r="H152" s="13">
        <f t="shared" si="9"/>
        <v>130</v>
      </c>
      <c r="I152" s="1" t="s">
        <v>364</v>
      </c>
      <c r="J152" s="88">
        <v>130</v>
      </c>
      <c r="K152" s="88"/>
      <c r="L152" s="1"/>
      <c r="M152" s="88"/>
      <c r="N152" s="1"/>
      <c r="O152" s="1"/>
    </row>
    <row r="153" spans="1:15" x14ac:dyDescent="0.3">
      <c r="A153" s="95">
        <v>45374</v>
      </c>
      <c r="B153" s="10" t="s">
        <v>886</v>
      </c>
      <c r="C153" s="10" t="s">
        <v>14</v>
      </c>
      <c r="D153" s="11">
        <f t="shared" si="7"/>
        <v>115.70247933884298</v>
      </c>
      <c r="E153" s="11">
        <f t="shared" si="8"/>
        <v>11.570247933884298</v>
      </c>
      <c r="F153" s="30">
        <v>140</v>
      </c>
      <c r="G153" s="30"/>
      <c r="H153" s="13">
        <f t="shared" si="9"/>
        <v>140</v>
      </c>
      <c r="I153" s="1" t="s">
        <v>721</v>
      </c>
      <c r="J153" s="88">
        <v>140</v>
      </c>
      <c r="K153" s="1"/>
      <c r="L153" s="1"/>
      <c r="M153" s="1"/>
      <c r="N153" s="1"/>
      <c r="O153" s="1"/>
    </row>
    <row r="154" spans="1:15" x14ac:dyDescent="0.3">
      <c r="A154" s="50">
        <v>45374</v>
      </c>
      <c r="B154" s="10" t="s">
        <v>887</v>
      </c>
      <c r="C154" s="10" t="s">
        <v>14</v>
      </c>
      <c r="D154" s="11">
        <f t="shared" si="7"/>
        <v>107.43801652892563</v>
      </c>
      <c r="E154" s="11">
        <f t="shared" si="8"/>
        <v>10.743801652892563</v>
      </c>
      <c r="F154" s="30">
        <v>130</v>
      </c>
      <c r="G154" s="30"/>
      <c r="H154" s="13">
        <f t="shared" si="9"/>
        <v>130</v>
      </c>
      <c r="I154" s="1" t="s">
        <v>364</v>
      </c>
      <c r="J154" s="88">
        <v>130</v>
      </c>
      <c r="K154" s="1"/>
      <c r="L154" s="1"/>
      <c r="M154" s="1"/>
      <c r="N154" s="1"/>
      <c r="O154" s="1"/>
    </row>
    <row r="155" spans="1:15" x14ac:dyDescent="0.3">
      <c r="A155" s="95">
        <v>45374</v>
      </c>
      <c r="B155" s="10" t="s">
        <v>888</v>
      </c>
      <c r="C155" s="10" t="s">
        <v>14</v>
      </c>
      <c r="D155" s="11">
        <f t="shared" si="7"/>
        <v>99.173553719008268</v>
      </c>
      <c r="E155" s="11">
        <f t="shared" si="8"/>
        <v>9.9173553719008272</v>
      </c>
      <c r="F155" s="30">
        <v>120</v>
      </c>
      <c r="G155" s="30"/>
      <c r="H155" s="13">
        <f t="shared" si="9"/>
        <v>120</v>
      </c>
      <c r="I155" s="1" t="s">
        <v>264</v>
      </c>
      <c r="J155" s="88">
        <v>170</v>
      </c>
      <c r="K155" s="1"/>
      <c r="L155" s="1"/>
      <c r="M155" s="1"/>
      <c r="N155" s="1"/>
      <c r="O155" s="1"/>
    </row>
    <row r="156" spans="1:15" x14ac:dyDescent="0.3">
      <c r="A156" s="50">
        <v>45374</v>
      </c>
      <c r="B156" s="10" t="s">
        <v>889</v>
      </c>
      <c r="C156" s="10" t="s">
        <v>14</v>
      </c>
      <c r="D156" s="11">
        <f t="shared" si="7"/>
        <v>256.198347107438</v>
      </c>
      <c r="E156" s="11">
        <f t="shared" si="8"/>
        <v>25.619834710743799</v>
      </c>
      <c r="F156" s="30">
        <v>310</v>
      </c>
      <c r="G156" s="30"/>
      <c r="H156" s="13">
        <f t="shared" si="9"/>
        <v>310</v>
      </c>
      <c r="I156" s="1" t="s">
        <v>402</v>
      </c>
      <c r="J156" s="88">
        <v>310</v>
      </c>
      <c r="K156" s="1"/>
      <c r="L156" s="1"/>
      <c r="M156" s="1"/>
      <c r="N156" s="1"/>
      <c r="O156" s="1"/>
    </row>
    <row r="157" spans="1:15" x14ac:dyDescent="0.3">
      <c r="A157" s="95">
        <v>45374</v>
      </c>
      <c r="B157" s="10" t="s">
        <v>890</v>
      </c>
      <c r="C157" s="10" t="s">
        <v>14</v>
      </c>
      <c r="D157" s="11">
        <f t="shared" si="7"/>
        <v>214.87603305785126</v>
      </c>
      <c r="E157" s="11">
        <f t="shared" si="8"/>
        <v>21.487603305785125</v>
      </c>
      <c r="F157" s="30">
        <v>260</v>
      </c>
      <c r="G157" s="30">
        <v>50</v>
      </c>
      <c r="H157" s="13">
        <f t="shared" si="9"/>
        <v>210</v>
      </c>
      <c r="I157" s="1" t="s">
        <v>1026</v>
      </c>
      <c r="J157" s="88">
        <v>220</v>
      </c>
      <c r="K157" s="30">
        <v>40</v>
      </c>
      <c r="L157" s="1" t="s">
        <v>223</v>
      </c>
      <c r="M157" s="1"/>
      <c r="N157" s="1"/>
      <c r="O157" s="1"/>
    </row>
    <row r="158" spans="1:15" x14ac:dyDescent="0.3">
      <c r="A158" s="95">
        <v>45375</v>
      </c>
      <c r="B158" s="10" t="s">
        <v>891</v>
      </c>
      <c r="C158" s="10" t="s">
        <v>14</v>
      </c>
      <c r="D158" s="30">
        <f t="shared" si="7"/>
        <v>115.70247933884298</v>
      </c>
      <c r="E158" s="30">
        <f t="shared" si="8"/>
        <v>11.570247933884298</v>
      </c>
      <c r="F158" s="30">
        <v>140</v>
      </c>
      <c r="G158" s="30"/>
      <c r="H158" s="13">
        <f t="shared" si="9"/>
        <v>140</v>
      </c>
      <c r="I158" s="1" t="s">
        <v>402</v>
      </c>
      <c r="J158" s="30">
        <v>140</v>
      </c>
      <c r="K158" s="30"/>
      <c r="L158" s="1"/>
      <c r="M158" s="1"/>
      <c r="N158" s="1"/>
      <c r="O158" s="1"/>
    </row>
    <row r="159" spans="1:15" x14ac:dyDescent="0.3">
      <c r="A159" s="95">
        <v>45375</v>
      </c>
      <c r="B159" s="10" t="s">
        <v>892</v>
      </c>
      <c r="C159" s="10" t="s">
        <v>14</v>
      </c>
      <c r="D159" s="30">
        <f t="shared" si="7"/>
        <v>181.81818181818181</v>
      </c>
      <c r="E159" s="30">
        <f t="shared" si="8"/>
        <v>18.18181818181818</v>
      </c>
      <c r="F159" s="30">
        <v>220</v>
      </c>
      <c r="G159" s="30"/>
      <c r="H159" s="13">
        <f t="shared" si="9"/>
        <v>220</v>
      </c>
      <c r="I159" s="1" t="s">
        <v>364</v>
      </c>
      <c r="J159" s="30">
        <v>220</v>
      </c>
      <c r="K159" s="30"/>
      <c r="L159" s="1"/>
      <c r="M159" s="1"/>
      <c r="N159" s="1"/>
      <c r="O159" s="1"/>
    </row>
    <row r="160" spans="1:15" x14ac:dyDescent="0.3">
      <c r="A160" s="95">
        <v>45375</v>
      </c>
      <c r="B160" s="10" t="s">
        <v>992</v>
      </c>
      <c r="C160" s="10" t="s">
        <v>14</v>
      </c>
      <c r="D160" s="30">
        <f t="shared" si="7"/>
        <v>214.87603305785126</v>
      </c>
      <c r="E160" s="30">
        <f t="shared" si="8"/>
        <v>21.487603305785125</v>
      </c>
      <c r="F160" s="30">
        <v>260</v>
      </c>
      <c r="G160" s="30"/>
      <c r="H160" s="13">
        <f t="shared" si="9"/>
        <v>260</v>
      </c>
      <c r="I160" s="1" t="s">
        <v>264</v>
      </c>
      <c r="J160" s="30">
        <v>160</v>
      </c>
      <c r="K160" s="30"/>
      <c r="L160" s="1"/>
      <c r="M160" s="1"/>
      <c r="N160" s="1"/>
      <c r="O160" s="1"/>
    </row>
    <row r="161" spans="1:15" x14ac:dyDescent="0.3">
      <c r="A161" s="95">
        <v>45375</v>
      </c>
      <c r="B161" s="10" t="s">
        <v>993</v>
      </c>
      <c r="C161" s="10" t="s">
        <v>14</v>
      </c>
      <c r="D161" s="30">
        <f t="shared" si="7"/>
        <v>157.02479338842977</v>
      </c>
      <c r="E161" s="30">
        <f t="shared" si="8"/>
        <v>15.702479338842977</v>
      </c>
      <c r="F161" s="30">
        <v>190</v>
      </c>
      <c r="G161" s="30"/>
      <c r="H161" s="13">
        <f t="shared" si="9"/>
        <v>190</v>
      </c>
      <c r="I161" s="1" t="s">
        <v>1027</v>
      </c>
      <c r="J161" s="30">
        <v>190</v>
      </c>
      <c r="K161" s="30"/>
      <c r="L161" s="1"/>
      <c r="M161" s="1"/>
      <c r="N161" s="1"/>
      <c r="O161" s="1"/>
    </row>
    <row r="162" spans="1:15" x14ac:dyDescent="0.3">
      <c r="A162" s="95">
        <v>45375</v>
      </c>
      <c r="B162" s="10" t="s">
        <v>994</v>
      </c>
      <c r="C162" s="10" t="s">
        <v>14</v>
      </c>
      <c r="D162" s="30">
        <f t="shared" si="7"/>
        <v>190.08264462809919</v>
      </c>
      <c r="E162" s="30">
        <f t="shared" si="8"/>
        <v>19.008264462809919</v>
      </c>
      <c r="F162" s="30">
        <v>230</v>
      </c>
      <c r="G162" s="30"/>
      <c r="H162" s="13">
        <f t="shared" si="9"/>
        <v>230</v>
      </c>
      <c r="I162" s="1" t="s">
        <v>1028</v>
      </c>
      <c r="J162" s="30">
        <v>230</v>
      </c>
      <c r="K162" s="30"/>
      <c r="L162" s="1"/>
      <c r="M162" s="1"/>
      <c r="N162" s="1"/>
      <c r="O162" s="1"/>
    </row>
    <row r="163" spans="1:15" x14ac:dyDescent="0.3">
      <c r="A163" s="95">
        <v>45375</v>
      </c>
      <c r="B163" s="10" t="s">
        <v>995</v>
      </c>
      <c r="C163" s="10" t="s">
        <v>14</v>
      </c>
      <c r="D163" s="30">
        <f t="shared" si="7"/>
        <v>223.14049586776861</v>
      </c>
      <c r="E163" s="30">
        <f t="shared" si="8"/>
        <v>22.314049586776861</v>
      </c>
      <c r="F163" s="30">
        <v>270</v>
      </c>
      <c r="G163" s="30">
        <v>50</v>
      </c>
      <c r="H163" s="13">
        <f t="shared" si="9"/>
        <v>220</v>
      </c>
      <c r="I163" s="1" t="s">
        <v>1029</v>
      </c>
      <c r="J163" s="30">
        <v>270</v>
      </c>
      <c r="K163" s="30"/>
      <c r="L163" s="1"/>
      <c r="M163" s="1"/>
      <c r="N163" s="1"/>
      <c r="O163" s="1"/>
    </row>
    <row r="164" spans="1:15" x14ac:dyDescent="0.3">
      <c r="A164" s="95">
        <v>45375</v>
      </c>
      <c r="B164" s="10" t="s">
        <v>996</v>
      </c>
      <c r="C164" s="10" t="s">
        <v>14</v>
      </c>
      <c r="D164" s="30">
        <f t="shared" si="7"/>
        <v>223.14049586776861</v>
      </c>
      <c r="E164" s="30">
        <f t="shared" si="8"/>
        <v>22.314049586776861</v>
      </c>
      <c r="F164" s="30">
        <v>270</v>
      </c>
      <c r="G164" s="30">
        <v>50</v>
      </c>
      <c r="H164" s="13">
        <f t="shared" si="9"/>
        <v>220</v>
      </c>
      <c r="I164" s="1" t="s">
        <v>1030</v>
      </c>
      <c r="J164" s="30">
        <v>270</v>
      </c>
      <c r="K164" s="30"/>
      <c r="L164" s="1"/>
      <c r="M164" s="1"/>
      <c r="N164" s="1"/>
      <c r="O164" s="1"/>
    </row>
    <row r="165" spans="1:15" x14ac:dyDescent="0.3">
      <c r="A165" s="95">
        <v>45376</v>
      </c>
      <c r="B165" s="10" t="s">
        <v>997</v>
      </c>
      <c r="C165" s="10" t="s">
        <v>14</v>
      </c>
      <c r="D165" s="30">
        <f t="shared" si="7"/>
        <v>181.81818181818181</v>
      </c>
      <c r="E165" s="30">
        <f t="shared" si="8"/>
        <v>18.18181818181818</v>
      </c>
      <c r="F165" s="30">
        <v>220</v>
      </c>
      <c r="G165" s="30"/>
      <c r="H165" s="13">
        <f t="shared" si="9"/>
        <v>220</v>
      </c>
      <c r="I165" s="1" t="s">
        <v>402</v>
      </c>
      <c r="J165" s="30">
        <v>220</v>
      </c>
      <c r="K165" s="30"/>
      <c r="L165" s="1"/>
      <c r="M165" s="1"/>
      <c r="N165" s="1"/>
      <c r="O165" s="1"/>
    </row>
    <row r="166" spans="1:15" x14ac:dyDescent="0.3">
      <c r="A166" s="95">
        <v>45377</v>
      </c>
      <c r="B166" s="10" t="s">
        <v>998</v>
      </c>
      <c r="C166" s="10" t="s">
        <v>14</v>
      </c>
      <c r="D166" s="30">
        <f t="shared" si="7"/>
        <v>272.72727272727275</v>
      </c>
      <c r="E166" s="30">
        <f t="shared" si="8"/>
        <v>27.272727272727273</v>
      </c>
      <c r="F166" s="30">
        <v>330</v>
      </c>
      <c r="G166" s="30">
        <v>50</v>
      </c>
      <c r="H166" s="13">
        <f t="shared" si="9"/>
        <v>280</v>
      </c>
      <c r="I166" s="1" t="s">
        <v>1031</v>
      </c>
      <c r="J166" s="30">
        <v>270</v>
      </c>
      <c r="K166" s="30">
        <v>40</v>
      </c>
      <c r="L166" s="1" t="s">
        <v>223</v>
      </c>
      <c r="M166" s="1"/>
      <c r="N166" s="1"/>
      <c r="O166" s="1"/>
    </row>
    <row r="167" spans="1:15" x14ac:dyDescent="0.3">
      <c r="A167" s="95">
        <v>45378</v>
      </c>
      <c r="B167" s="10" t="s">
        <v>999</v>
      </c>
      <c r="C167" s="10" t="s">
        <v>14</v>
      </c>
      <c r="D167" s="30">
        <f t="shared" si="7"/>
        <v>148.7603305785124</v>
      </c>
      <c r="E167" s="30">
        <f t="shared" si="8"/>
        <v>14.876033057851238</v>
      </c>
      <c r="F167" s="30">
        <v>180</v>
      </c>
      <c r="G167" s="30"/>
      <c r="H167" s="13">
        <f t="shared" si="9"/>
        <v>180</v>
      </c>
      <c r="I167" s="1" t="s">
        <v>402</v>
      </c>
      <c r="J167" s="30">
        <v>180</v>
      </c>
      <c r="K167" s="30"/>
      <c r="L167" s="1"/>
      <c r="M167" s="1"/>
      <c r="N167" s="1"/>
      <c r="O167" s="1"/>
    </row>
    <row r="168" spans="1:15" x14ac:dyDescent="0.3">
      <c r="A168" s="95">
        <v>45378</v>
      </c>
      <c r="B168" s="10" t="s">
        <v>1000</v>
      </c>
      <c r="C168" s="10" t="s">
        <v>14</v>
      </c>
      <c r="D168" s="30">
        <f t="shared" si="7"/>
        <v>181.81818181818181</v>
      </c>
      <c r="E168" s="30">
        <f t="shared" si="8"/>
        <v>18.18181818181818</v>
      </c>
      <c r="F168" s="30">
        <v>220</v>
      </c>
      <c r="G168" s="30">
        <v>50</v>
      </c>
      <c r="H168" s="13">
        <f t="shared" si="9"/>
        <v>170</v>
      </c>
      <c r="I168" s="1" t="s">
        <v>1032</v>
      </c>
      <c r="J168" s="30">
        <v>220</v>
      </c>
      <c r="K168" s="30"/>
      <c r="L168" s="1"/>
      <c r="M168" s="1"/>
      <c r="N168" s="1"/>
      <c r="O168" s="1"/>
    </row>
    <row r="169" spans="1:15" x14ac:dyDescent="0.3">
      <c r="A169" s="95">
        <v>45378</v>
      </c>
      <c r="B169" s="10" t="s">
        <v>1001</v>
      </c>
      <c r="C169" s="10" t="s">
        <v>14</v>
      </c>
      <c r="D169" s="30">
        <f t="shared" si="7"/>
        <v>148.7603305785124</v>
      </c>
      <c r="E169" s="30">
        <f t="shared" si="8"/>
        <v>14.876033057851238</v>
      </c>
      <c r="F169" s="30">
        <v>180</v>
      </c>
      <c r="G169" s="30"/>
      <c r="H169" s="13">
        <f t="shared" si="9"/>
        <v>180</v>
      </c>
      <c r="I169" s="1" t="s">
        <v>402</v>
      </c>
      <c r="J169" s="30">
        <v>180</v>
      </c>
      <c r="K169" s="30"/>
      <c r="L169" s="1"/>
      <c r="M169" s="1"/>
      <c r="N169" s="1"/>
      <c r="O169" s="1"/>
    </row>
    <row r="170" spans="1:15" x14ac:dyDescent="0.3">
      <c r="A170" s="95">
        <v>45379</v>
      </c>
      <c r="B170" s="10" t="s">
        <v>1002</v>
      </c>
      <c r="C170" s="10" t="s">
        <v>14</v>
      </c>
      <c r="D170" s="30">
        <f t="shared" si="7"/>
        <v>338.84297520661158</v>
      </c>
      <c r="E170" s="30">
        <f t="shared" si="8"/>
        <v>33.884297520661157</v>
      </c>
      <c r="F170" s="30">
        <v>410</v>
      </c>
      <c r="G170" s="30">
        <v>50</v>
      </c>
      <c r="H170" s="13">
        <f t="shared" si="9"/>
        <v>360</v>
      </c>
      <c r="I170" s="1" t="s">
        <v>1033</v>
      </c>
      <c r="J170" s="30">
        <v>410</v>
      </c>
      <c r="K170" s="30"/>
      <c r="L170" s="1"/>
      <c r="M170" s="1"/>
      <c r="N170" s="1"/>
      <c r="O170" s="1"/>
    </row>
    <row r="171" spans="1:15" x14ac:dyDescent="0.3">
      <c r="A171" s="95">
        <v>45379</v>
      </c>
      <c r="B171" s="10" t="s">
        <v>1003</v>
      </c>
      <c r="C171" s="10" t="s">
        <v>14</v>
      </c>
      <c r="D171" s="30">
        <f t="shared" si="7"/>
        <v>256.198347107438</v>
      </c>
      <c r="E171" s="30">
        <f t="shared" si="8"/>
        <v>25.619834710743799</v>
      </c>
      <c r="F171" s="30">
        <v>310</v>
      </c>
      <c r="G171" s="30">
        <v>50</v>
      </c>
      <c r="H171" s="13">
        <f t="shared" si="9"/>
        <v>260</v>
      </c>
      <c r="I171" s="1" t="s">
        <v>1034</v>
      </c>
      <c r="J171" s="30">
        <v>270</v>
      </c>
      <c r="K171" s="30">
        <v>40</v>
      </c>
      <c r="L171" s="1" t="s">
        <v>223</v>
      </c>
      <c r="M171" s="1"/>
      <c r="N171" s="1"/>
      <c r="O171" s="1"/>
    </row>
    <row r="172" spans="1:15" x14ac:dyDescent="0.3">
      <c r="A172" s="95">
        <v>45380</v>
      </c>
      <c r="B172" s="10" t="s">
        <v>1004</v>
      </c>
      <c r="C172" s="10" t="s">
        <v>14</v>
      </c>
      <c r="D172" s="30">
        <f t="shared" si="7"/>
        <v>181.81818181818181</v>
      </c>
      <c r="E172" s="30">
        <f t="shared" si="8"/>
        <v>18.18181818181818</v>
      </c>
      <c r="F172" s="30">
        <v>220</v>
      </c>
      <c r="G172" s="30">
        <v>50</v>
      </c>
      <c r="H172" s="13">
        <f t="shared" si="9"/>
        <v>170</v>
      </c>
      <c r="I172" s="1" t="s">
        <v>264</v>
      </c>
      <c r="J172" s="30">
        <v>220</v>
      </c>
      <c r="K172" s="30"/>
      <c r="L172" s="1"/>
      <c r="M172" s="1"/>
      <c r="N172" s="1"/>
      <c r="O172" s="1"/>
    </row>
    <row r="173" spans="1:15" x14ac:dyDescent="0.3">
      <c r="A173" s="95">
        <v>45381</v>
      </c>
      <c r="B173" s="10" t="s">
        <v>1005</v>
      </c>
      <c r="C173" s="10" t="s">
        <v>14</v>
      </c>
      <c r="D173" s="30">
        <f t="shared" si="7"/>
        <v>239.6694214876033</v>
      </c>
      <c r="E173" s="30">
        <f t="shared" si="8"/>
        <v>23.966942148760332</v>
      </c>
      <c r="F173" s="30">
        <v>290</v>
      </c>
      <c r="G173" s="30">
        <v>50</v>
      </c>
      <c r="H173" s="13">
        <f t="shared" si="9"/>
        <v>240</v>
      </c>
      <c r="I173" s="1" t="s">
        <v>1035</v>
      </c>
      <c r="J173" s="30">
        <v>270</v>
      </c>
      <c r="K173" s="30">
        <v>20</v>
      </c>
      <c r="L173" s="1" t="s">
        <v>223</v>
      </c>
      <c r="M173" s="1"/>
      <c r="N173" s="1"/>
      <c r="O173" s="1"/>
    </row>
    <row r="174" spans="1:15" x14ac:dyDescent="0.3">
      <c r="A174" s="95">
        <v>45381</v>
      </c>
      <c r="B174" s="10" t="s">
        <v>1006</v>
      </c>
      <c r="C174" s="10" t="s">
        <v>14</v>
      </c>
      <c r="D174" s="30">
        <f t="shared" si="7"/>
        <v>165.28925619834712</v>
      </c>
      <c r="E174" s="30">
        <f t="shared" si="8"/>
        <v>16.528925619834713</v>
      </c>
      <c r="F174" s="30">
        <v>200</v>
      </c>
      <c r="G174" s="30"/>
      <c r="H174" s="13">
        <f t="shared" si="9"/>
        <v>200</v>
      </c>
      <c r="I174" s="1" t="s">
        <v>402</v>
      </c>
      <c r="J174" s="30">
        <v>200</v>
      </c>
      <c r="K174" s="30"/>
      <c r="L174" s="1"/>
      <c r="M174" s="1"/>
      <c r="N174" s="1"/>
      <c r="O174" s="1"/>
    </row>
    <row r="175" spans="1:15" x14ac:dyDescent="0.3">
      <c r="A175" s="95">
        <v>45381</v>
      </c>
      <c r="B175" s="10" t="s">
        <v>1007</v>
      </c>
      <c r="C175" s="10" t="s">
        <v>14</v>
      </c>
      <c r="D175" s="30">
        <f t="shared" si="7"/>
        <v>148.7603305785124</v>
      </c>
      <c r="E175" s="30">
        <f t="shared" si="8"/>
        <v>14.876033057851238</v>
      </c>
      <c r="F175" s="30">
        <v>180</v>
      </c>
      <c r="G175" s="30"/>
      <c r="H175" s="13">
        <f t="shared" si="9"/>
        <v>180</v>
      </c>
      <c r="I175" s="1" t="s">
        <v>402</v>
      </c>
      <c r="J175" s="30">
        <v>180</v>
      </c>
      <c r="K175" s="30"/>
      <c r="L175" s="1"/>
      <c r="M175" s="1"/>
      <c r="N175" s="1"/>
      <c r="O175" s="1"/>
    </row>
    <row r="176" spans="1:15" x14ac:dyDescent="0.3">
      <c r="A176" s="95">
        <v>45381</v>
      </c>
      <c r="B176" s="10" t="s">
        <v>1008</v>
      </c>
      <c r="C176" s="10" t="s">
        <v>14</v>
      </c>
      <c r="D176" s="30">
        <f t="shared" si="7"/>
        <v>223.14049586776861</v>
      </c>
      <c r="E176" s="30">
        <f t="shared" si="8"/>
        <v>22.314049586776861</v>
      </c>
      <c r="F176" s="30">
        <v>270</v>
      </c>
      <c r="G176" s="30">
        <v>50</v>
      </c>
      <c r="H176" s="13">
        <f t="shared" si="9"/>
        <v>220</v>
      </c>
      <c r="I176" s="1" t="s">
        <v>264</v>
      </c>
      <c r="J176" s="30">
        <v>270</v>
      </c>
      <c r="K176" s="30"/>
      <c r="L176" s="1"/>
      <c r="M176" s="1"/>
      <c r="N176" s="1"/>
      <c r="O176" s="1"/>
    </row>
    <row r="177" spans="1:15" x14ac:dyDescent="0.3">
      <c r="A177" s="95">
        <v>45381</v>
      </c>
      <c r="B177" s="10" t="s">
        <v>1009</v>
      </c>
      <c r="C177" s="10" t="s">
        <v>14</v>
      </c>
      <c r="D177" s="30">
        <f t="shared" si="7"/>
        <v>223.14049586776861</v>
      </c>
      <c r="E177" s="30">
        <f t="shared" si="8"/>
        <v>22.314049586776861</v>
      </c>
      <c r="F177" s="30">
        <v>270</v>
      </c>
      <c r="G177" s="30">
        <v>50</v>
      </c>
      <c r="H177" s="13">
        <f t="shared" si="9"/>
        <v>220</v>
      </c>
      <c r="I177" s="1" t="s">
        <v>1036</v>
      </c>
      <c r="J177" s="30">
        <v>270</v>
      </c>
      <c r="K177" s="30"/>
      <c r="L177" s="1"/>
      <c r="M177" s="1"/>
      <c r="N177" s="1"/>
      <c r="O177" s="1"/>
    </row>
    <row r="178" spans="1:15" x14ac:dyDescent="0.3">
      <c r="A178" s="95">
        <v>45381</v>
      </c>
      <c r="B178" s="10" t="s">
        <v>1010</v>
      </c>
      <c r="C178" s="10" t="s">
        <v>14</v>
      </c>
      <c r="D178" s="30">
        <f t="shared" si="7"/>
        <v>181.81818181818181</v>
      </c>
      <c r="E178" s="30">
        <f t="shared" si="8"/>
        <v>18.18181818181818</v>
      </c>
      <c r="F178" s="30">
        <v>220</v>
      </c>
      <c r="G178" s="30"/>
      <c r="H178" s="13">
        <f t="shared" si="9"/>
        <v>220</v>
      </c>
      <c r="I178" s="1" t="s">
        <v>402</v>
      </c>
      <c r="J178" s="30">
        <v>220</v>
      </c>
      <c r="K178" s="30"/>
      <c r="L178" s="1"/>
      <c r="M178" s="1"/>
      <c r="N178" s="1"/>
      <c r="O178" s="1"/>
    </row>
    <row r="179" spans="1:15" x14ac:dyDescent="0.3">
      <c r="A179" s="95">
        <v>45381</v>
      </c>
      <c r="B179" s="10" t="s">
        <v>1011</v>
      </c>
      <c r="C179" s="10" t="s">
        <v>14</v>
      </c>
      <c r="D179" s="30">
        <f t="shared" si="7"/>
        <v>115.70247933884298</v>
      </c>
      <c r="E179" s="30">
        <f t="shared" si="8"/>
        <v>11.570247933884298</v>
      </c>
      <c r="F179" s="30">
        <v>140</v>
      </c>
      <c r="G179" s="30"/>
      <c r="H179" s="13">
        <f t="shared" si="9"/>
        <v>140</v>
      </c>
      <c r="I179" s="1" t="s">
        <v>1037</v>
      </c>
      <c r="J179" s="30">
        <v>140</v>
      </c>
      <c r="K179" s="30"/>
      <c r="L179" s="1"/>
      <c r="M179" s="1"/>
      <c r="N179" s="1"/>
      <c r="O179" s="1"/>
    </row>
    <row r="180" spans="1:15" x14ac:dyDescent="0.3">
      <c r="A180" s="95">
        <v>45381</v>
      </c>
      <c r="B180" s="10" t="s">
        <v>1012</v>
      </c>
      <c r="C180" s="10" t="s">
        <v>14</v>
      </c>
      <c r="D180" s="30">
        <f t="shared" si="7"/>
        <v>115.70247933884298</v>
      </c>
      <c r="E180" s="30">
        <f t="shared" si="8"/>
        <v>11.570247933884298</v>
      </c>
      <c r="F180" s="30">
        <v>140</v>
      </c>
      <c r="G180" s="30"/>
      <c r="H180" s="13">
        <f t="shared" si="9"/>
        <v>140</v>
      </c>
      <c r="I180" s="1" t="s">
        <v>402</v>
      </c>
      <c r="J180" s="30">
        <v>140</v>
      </c>
      <c r="K180" s="30"/>
      <c r="L180" s="1"/>
      <c r="M180" s="1"/>
      <c r="N180" s="1"/>
      <c r="O180" s="1"/>
    </row>
    <row r="181" spans="1:15" x14ac:dyDescent="0.3">
      <c r="A181" s="95">
        <v>45381</v>
      </c>
      <c r="B181" s="10" t="s">
        <v>1013</v>
      </c>
      <c r="C181" s="10" t="s">
        <v>14</v>
      </c>
      <c r="D181" s="30">
        <f t="shared" si="7"/>
        <v>140.49586776859505</v>
      </c>
      <c r="E181" s="30">
        <f t="shared" si="8"/>
        <v>14.049586776859506</v>
      </c>
      <c r="F181" s="30">
        <v>170</v>
      </c>
      <c r="G181" s="30">
        <v>50</v>
      </c>
      <c r="H181" s="13">
        <f t="shared" si="9"/>
        <v>120</v>
      </c>
      <c r="I181" s="1" t="s">
        <v>1038</v>
      </c>
      <c r="J181" s="30">
        <v>170</v>
      </c>
      <c r="K181" s="30"/>
      <c r="L181" s="1"/>
      <c r="M181" s="1"/>
      <c r="N181" s="1"/>
      <c r="O181" s="1"/>
    </row>
    <row r="182" spans="1:15" x14ac:dyDescent="0.3">
      <c r="A182" s="95">
        <v>45381</v>
      </c>
      <c r="B182" s="10" t="s">
        <v>1014</v>
      </c>
      <c r="C182" s="10" t="s">
        <v>14</v>
      </c>
      <c r="D182" s="30">
        <f t="shared" si="7"/>
        <v>140.49586776859505</v>
      </c>
      <c r="E182" s="30">
        <f t="shared" si="8"/>
        <v>14.049586776859506</v>
      </c>
      <c r="F182" s="30">
        <v>170</v>
      </c>
      <c r="G182" s="30">
        <v>50</v>
      </c>
      <c r="H182" s="13">
        <f t="shared" si="9"/>
        <v>120</v>
      </c>
      <c r="I182" s="1" t="s">
        <v>1039</v>
      </c>
      <c r="J182" s="30">
        <v>170</v>
      </c>
      <c r="K182" s="30"/>
      <c r="L182" s="1"/>
      <c r="M182" s="1"/>
      <c r="N182" s="1"/>
      <c r="O182" s="1"/>
    </row>
    <row r="183" spans="1:15" x14ac:dyDescent="0.3">
      <c r="A183" s="95">
        <v>45381</v>
      </c>
      <c r="B183" s="10" t="s">
        <v>1015</v>
      </c>
      <c r="C183" s="10" t="s">
        <v>14</v>
      </c>
      <c r="D183" s="30">
        <f t="shared" si="7"/>
        <v>140.49586776859505</v>
      </c>
      <c r="E183" s="30">
        <f t="shared" si="8"/>
        <v>14.049586776859506</v>
      </c>
      <c r="F183" s="30">
        <v>170</v>
      </c>
      <c r="G183" s="30"/>
      <c r="H183" s="13">
        <f t="shared" si="9"/>
        <v>170</v>
      </c>
      <c r="I183" s="1" t="s">
        <v>402</v>
      </c>
      <c r="J183" s="30">
        <v>170</v>
      </c>
      <c r="K183" s="30"/>
      <c r="L183" s="1"/>
      <c r="M183" s="1"/>
      <c r="N183" s="1"/>
      <c r="O183" s="1"/>
    </row>
    <row r="184" spans="1:15" x14ac:dyDescent="0.3">
      <c r="A184" s="95">
        <v>45381</v>
      </c>
      <c r="B184" s="10" t="s">
        <v>1016</v>
      </c>
      <c r="C184" s="10" t="s">
        <v>14</v>
      </c>
      <c r="D184" s="30">
        <f t="shared" si="7"/>
        <v>140.49586776859505</v>
      </c>
      <c r="E184" s="30">
        <f t="shared" si="8"/>
        <v>14.049586776859506</v>
      </c>
      <c r="F184" s="30">
        <v>170</v>
      </c>
      <c r="G184" s="30">
        <v>50</v>
      </c>
      <c r="H184" s="13">
        <f t="shared" si="9"/>
        <v>120</v>
      </c>
      <c r="I184" s="1" t="s">
        <v>1040</v>
      </c>
      <c r="J184" s="30">
        <v>170</v>
      </c>
      <c r="K184" s="30"/>
      <c r="L184" s="1"/>
      <c r="M184" s="1"/>
      <c r="N184" s="1"/>
      <c r="O184" s="1"/>
    </row>
    <row r="185" spans="1:15" x14ac:dyDescent="0.3">
      <c r="A185" s="95">
        <v>45382</v>
      </c>
      <c r="B185" s="10" t="s">
        <v>1017</v>
      </c>
      <c r="C185" s="10" t="s">
        <v>14</v>
      </c>
      <c r="D185" s="30">
        <f t="shared" si="7"/>
        <v>256.198347107438</v>
      </c>
      <c r="E185" s="30">
        <f t="shared" si="8"/>
        <v>25.619834710743799</v>
      </c>
      <c r="F185" s="30">
        <v>310</v>
      </c>
      <c r="G185" s="30">
        <v>50</v>
      </c>
      <c r="H185" s="13">
        <f t="shared" si="9"/>
        <v>260</v>
      </c>
      <c r="I185" s="1" t="s">
        <v>264</v>
      </c>
      <c r="J185" s="30">
        <v>270</v>
      </c>
      <c r="K185" s="30">
        <v>30</v>
      </c>
      <c r="L185" s="1" t="s">
        <v>223</v>
      </c>
      <c r="M185" s="1"/>
      <c r="N185" s="1"/>
      <c r="O185" s="1"/>
    </row>
    <row r="188" spans="1:15" x14ac:dyDescent="0.3">
      <c r="D188" s="99">
        <f>SUM(D3:D187)</f>
        <v>31580.991735537187</v>
      </c>
    </row>
    <row r="193" spans="4:4" x14ac:dyDescent="0.3">
      <c r="D193" s="99">
        <f>D188+'FACTURAS SIMPLIFICAS FEBRERO 24'!D162+'FACTURAS SIMPLIFICADAS ENERO 24'!D114</f>
        <v>79850.413223140466</v>
      </c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4" type="noConversion"/>
  <conditionalFormatting sqref="A3:A39">
    <cfRule type="expression" dxfId="98" priority="13" stopIfTrue="1">
      <formula>EXACT($C3,"HUMMER")</formula>
    </cfRule>
    <cfRule type="expression" dxfId="97" priority="14" stopIfTrue="1">
      <formula>EXACT($C3,"BLANCA")</formula>
    </cfRule>
    <cfRule type="expression" dxfId="96" priority="15" stopIfTrue="1">
      <formula>EXACT($C3,"ROSA")</formula>
    </cfRule>
  </conditionalFormatting>
  <conditionalFormatting sqref="A128">
    <cfRule type="expression" dxfId="95" priority="40" stopIfTrue="1">
      <formula>EXACT($C128,"HUMMER")</formula>
    </cfRule>
    <cfRule type="expression" dxfId="94" priority="41" stopIfTrue="1">
      <formula>EXACT($C128,"BLANCA")</formula>
    </cfRule>
    <cfRule type="expression" dxfId="93" priority="42" stopIfTrue="1">
      <formula>EXACT($C128,"ROSA")</formula>
    </cfRule>
  </conditionalFormatting>
  <conditionalFormatting sqref="A130">
    <cfRule type="expression" dxfId="92" priority="37" stopIfTrue="1">
      <formula>EXACT($C130,"HUMMER")</formula>
    </cfRule>
    <cfRule type="expression" dxfId="91" priority="38" stopIfTrue="1">
      <formula>EXACT($C130,"BLANCA")</formula>
    </cfRule>
    <cfRule type="expression" dxfId="90" priority="39" stopIfTrue="1">
      <formula>EXACT($C130,"ROSA")</formula>
    </cfRule>
  </conditionalFormatting>
  <conditionalFormatting sqref="A132">
    <cfRule type="expression" dxfId="89" priority="34" stopIfTrue="1">
      <formula>EXACT($C132,"HUMMER")</formula>
    </cfRule>
    <cfRule type="expression" dxfId="88" priority="35" stopIfTrue="1">
      <formula>EXACT($C132,"BLANCA")</formula>
    </cfRule>
    <cfRule type="expression" dxfId="87" priority="36" stopIfTrue="1">
      <formula>EXACT($C132,"ROSA")</formula>
    </cfRule>
  </conditionalFormatting>
  <conditionalFormatting sqref="A134">
    <cfRule type="expression" dxfId="86" priority="33" stopIfTrue="1">
      <formula>EXACT($C134,"ROSA")</formula>
    </cfRule>
    <cfRule type="expression" dxfId="85" priority="32" stopIfTrue="1">
      <formula>EXACT($C134,"BLANCA")</formula>
    </cfRule>
    <cfRule type="expression" dxfId="84" priority="31" stopIfTrue="1">
      <formula>EXACT($C134,"HUMMER")</formula>
    </cfRule>
  </conditionalFormatting>
  <conditionalFormatting sqref="A136">
    <cfRule type="expression" dxfId="83" priority="29" stopIfTrue="1">
      <formula>EXACT($C136,"BLANCA")</formula>
    </cfRule>
    <cfRule type="expression" dxfId="82" priority="28" stopIfTrue="1">
      <formula>EXACT($C136,"HUMMER")</formula>
    </cfRule>
    <cfRule type="expression" dxfId="81" priority="30" stopIfTrue="1">
      <formula>EXACT($C136,"ROSA")</formula>
    </cfRule>
  </conditionalFormatting>
  <conditionalFormatting sqref="A138">
    <cfRule type="expression" dxfId="80" priority="27" stopIfTrue="1">
      <formula>EXACT($C138,"ROSA")</formula>
    </cfRule>
    <cfRule type="expression" dxfId="79" priority="25" stopIfTrue="1">
      <formula>EXACT($C138,"HUMMER")</formula>
    </cfRule>
    <cfRule type="expression" dxfId="78" priority="26" stopIfTrue="1">
      <formula>EXACT($C138,"BLANCA")</formula>
    </cfRule>
  </conditionalFormatting>
  <conditionalFormatting sqref="A140">
    <cfRule type="expression" dxfId="77" priority="23" stopIfTrue="1">
      <formula>EXACT($C140,"BLANCA")</formula>
    </cfRule>
    <cfRule type="expression" dxfId="76" priority="22" stopIfTrue="1">
      <formula>EXACT($C140,"HUMMER")</formula>
    </cfRule>
    <cfRule type="expression" dxfId="75" priority="24" stopIfTrue="1">
      <formula>EXACT($C140,"ROSA")</formula>
    </cfRule>
  </conditionalFormatting>
  <conditionalFormatting sqref="A142">
    <cfRule type="expression" dxfId="74" priority="19" stopIfTrue="1">
      <formula>EXACT($C142,"HUMMER")</formula>
    </cfRule>
    <cfRule type="expression" dxfId="73" priority="20" stopIfTrue="1">
      <formula>EXACT($C142,"BLANCA")</formula>
    </cfRule>
    <cfRule type="expression" dxfId="72" priority="21" stopIfTrue="1">
      <formula>EXACT($C142,"ROSA")</formula>
    </cfRule>
  </conditionalFormatting>
  <conditionalFormatting sqref="A147">
    <cfRule type="expression" dxfId="71" priority="10" stopIfTrue="1">
      <formula>EXACT($C147,"HUMMER")</formula>
    </cfRule>
    <cfRule type="expression" dxfId="70" priority="11" stopIfTrue="1">
      <formula>EXACT($C147,"BLANCA")</formula>
    </cfRule>
    <cfRule type="expression" dxfId="69" priority="12" stopIfTrue="1">
      <formula>EXACT($C147,"ROSA")</formula>
    </cfRule>
  </conditionalFormatting>
  <conditionalFormatting sqref="A149">
    <cfRule type="expression" dxfId="68" priority="9" stopIfTrue="1">
      <formula>EXACT($C149,"ROSA")</formula>
    </cfRule>
    <cfRule type="expression" dxfId="67" priority="7" stopIfTrue="1">
      <formula>EXACT($C149,"HUMMER")</formula>
    </cfRule>
    <cfRule type="expression" dxfId="66" priority="8" stopIfTrue="1">
      <formula>EXACT($C149,"BLANCA")</formula>
    </cfRule>
  </conditionalFormatting>
  <conditionalFormatting sqref="A154">
    <cfRule type="expression" dxfId="65" priority="6" stopIfTrue="1">
      <formula>EXACT($C154,"ROSA")</formula>
    </cfRule>
    <cfRule type="expression" dxfId="64" priority="5" stopIfTrue="1">
      <formula>EXACT($C154,"BLANCA")</formula>
    </cfRule>
    <cfRule type="expression" dxfId="63" priority="4" stopIfTrue="1">
      <formula>EXACT($C154,"HUMMER")</formula>
    </cfRule>
  </conditionalFormatting>
  <conditionalFormatting sqref="A156">
    <cfRule type="expression" dxfId="62" priority="3" stopIfTrue="1">
      <formula>EXACT($C156,"ROSA")</formula>
    </cfRule>
    <cfRule type="expression" dxfId="61" priority="2" stopIfTrue="1">
      <formula>EXACT($C156,"BLANCA")</formula>
    </cfRule>
    <cfRule type="expression" dxfId="60" priority="1" stopIfTrue="1">
      <formula>EXACT($C156,"HUMMER")</formula>
    </cfRule>
  </conditionalFormatting>
  <conditionalFormatting sqref="F3:F4 F100:F126 A121:A126">
    <cfRule type="expression" dxfId="59" priority="52" stopIfTrue="1">
      <formula>EXACT($C3,"HUMMER")</formula>
    </cfRule>
    <cfRule type="expression" dxfId="58" priority="53" stopIfTrue="1">
      <formula>EXACT($C3,"BLANCA")</formula>
    </cfRule>
    <cfRule type="expression" dxfId="57" priority="54" stopIfTrue="1">
      <formula>EXACT($C3,"ROSA")</formula>
    </cfRule>
  </conditionalFormatting>
  <conditionalFormatting sqref="F6:F8">
    <cfRule type="expression" dxfId="56" priority="72" stopIfTrue="1">
      <formula>EXACT($C5,"ROSA")</formula>
    </cfRule>
    <cfRule type="expression" dxfId="55" priority="70" stopIfTrue="1">
      <formula>EXACT($C5,"HUMMER")</formula>
    </cfRule>
    <cfRule type="expression" dxfId="54" priority="71" stopIfTrue="1">
      <formula>EXACT($C5,"BLANCA")</formula>
    </cfRule>
  </conditionalFormatting>
  <conditionalFormatting sqref="F26:F35 F37">
    <cfRule type="expression" dxfId="53" priority="55" stopIfTrue="1">
      <formula>EXACT($C26,"HUMMER")</formula>
    </cfRule>
    <cfRule type="expression" dxfId="52" priority="56" stopIfTrue="1">
      <formula>EXACT($C26,"BLANCA")</formula>
    </cfRule>
    <cfRule type="expression" dxfId="51" priority="57" stopIfTrue="1">
      <formula>EXACT($C26,"ROSA")</formula>
    </cfRule>
  </conditionalFormatting>
  <conditionalFormatting sqref="F36">
    <cfRule type="expression" dxfId="50" priority="64" stopIfTrue="1">
      <formula>EXACT($C39,"HUMMER")</formula>
    </cfRule>
    <cfRule type="expression" dxfId="49" priority="65" stopIfTrue="1">
      <formula>EXACT($C39,"BLANCA")</formula>
    </cfRule>
    <cfRule type="expression" dxfId="48" priority="66" stopIfTrue="1">
      <formula>EXACT($C39,"ROSA")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76CE-8DC9-4193-B2FA-A1BEBAF7FCA7}">
  <dimension ref="A1:O209"/>
  <sheetViews>
    <sheetView topLeftCell="A19" workbookViewId="0">
      <selection activeCell="E3" sqref="E3"/>
    </sheetView>
  </sheetViews>
  <sheetFormatPr baseColWidth="10" defaultRowHeight="14.4" x14ac:dyDescent="0.3"/>
  <cols>
    <col min="2" max="2" width="20" customWidth="1"/>
    <col min="3" max="3" width="38.5546875" customWidth="1"/>
    <col min="4" max="4" width="12" bestFit="1" customWidth="1"/>
    <col min="7" max="7" width="15.6640625" customWidth="1"/>
    <col min="9" max="9" width="21.88671875" customWidth="1"/>
    <col min="10" max="10" width="13" bestFit="1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8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3"/>
      <c r="N2" s="115"/>
      <c r="O2" s="113"/>
    </row>
    <row r="3" spans="1:15" x14ac:dyDescent="0.3">
      <c r="A3" s="9">
        <v>45384</v>
      </c>
      <c r="B3" s="10" t="s">
        <v>1018</v>
      </c>
      <c r="C3" s="10" t="s">
        <v>14</v>
      </c>
      <c r="D3" s="11">
        <f>F3/1.1</f>
        <v>136.36363636363635</v>
      </c>
      <c r="E3" s="11">
        <f t="shared" ref="E3:E34" si="0">D3*10/100</f>
        <v>13.636363636363635</v>
      </c>
      <c r="F3" s="12">
        <v>150</v>
      </c>
      <c r="G3" s="11"/>
      <c r="H3" s="13">
        <v>150</v>
      </c>
      <c r="I3" s="78"/>
      <c r="J3" s="79">
        <v>150</v>
      </c>
      <c r="K3" s="79"/>
      <c r="L3" s="10"/>
      <c r="M3" s="80"/>
      <c r="N3" s="2"/>
      <c r="O3" s="2"/>
    </row>
    <row r="4" spans="1:15" x14ac:dyDescent="0.3">
      <c r="A4" s="9">
        <v>45384</v>
      </c>
      <c r="B4" s="10" t="s">
        <v>1019</v>
      </c>
      <c r="C4" s="10" t="s">
        <v>14</v>
      </c>
      <c r="D4" s="11">
        <f t="shared" ref="D4:D67" si="1">F4/1.1</f>
        <v>290.90909090909088</v>
      </c>
      <c r="E4" s="11">
        <f t="shared" si="0"/>
        <v>29.09090909090909</v>
      </c>
      <c r="F4" s="16">
        <v>320</v>
      </c>
      <c r="G4" s="11"/>
      <c r="H4" s="13">
        <v>320</v>
      </c>
      <c r="I4" s="78"/>
      <c r="J4" s="79">
        <v>320</v>
      </c>
      <c r="K4" s="79"/>
      <c r="L4" s="10"/>
      <c r="M4" s="80"/>
      <c r="N4" s="2"/>
      <c r="O4" s="2"/>
    </row>
    <row r="5" spans="1:15" x14ac:dyDescent="0.3">
      <c r="A5" s="9">
        <v>45384</v>
      </c>
      <c r="B5" s="10" t="s">
        <v>1020</v>
      </c>
      <c r="C5" s="10" t="s">
        <v>14</v>
      </c>
      <c r="D5" s="11">
        <f t="shared" si="1"/>
        <v>154.54545454545453</v>
      </c>
      <c r="E5" s="11">
        <f t="shared" si="0"/>
        <v>15.454545454545453</v>
      </c>
      <c r="F5" s="16">
        <v>170</v>
      </c>
      <c r="G5" s="11"/>
      <c r="H5" s="13">
        <v>170</v>
      </c>
      <c r="I5" s="78"/>
      <c r="J5" s="79">
        <v>170</v>
      </c>
      <c r="K5" s="79"/>
      <c r="L5" s="10"/>
      <c r="M5" s="80"/>
      <c r="N5" s="2"/>
      <c r="O5" s="2"/>
    </row>
    <row r="6" spans="1:15" x14ac:dyDescent="0.3">
      <c r="A6" s="9">
        <v>45386</v>
      </c>
      <c r="B6" s="10" t="s">
        <v>1021</v>
      </c>
      <c r="C6" s="10" t="s">
        <v>14</v>
      </c>
      <c r="D6" s="11">
        <f t="shared" si="1"/>
        <v>272.72727272727269</v>
      </c>
      <c r="E6" s="11">
        <f t="shared" si="0"/>
        <v>27.27272727272727</v>
      </c>
      <c r="F6" s="16">
        <v>300</v>
      </c>
      <c r="G6" s="11">
        <v>100</v>
      </c>
      <c r="H6" s="13">
        <v>200</v>
      </c>
      <c r="I6" s="78" t="s">
        <v>704</v>
      </c>
      <c r="J6" s="79">
        <v>300</v>
      </c>
      <c r="K6" s="79"/>
      <c r="L6" s="10"/>
      <c r="M6" s="80"/>
      <c r="N6" s="2"/>
      <c r="O6" s="2"/>
    </row>
    <row r="7" spans="1:15" x14ac:dyDescent="0.3">
      <c r="A7" s="9">
        <v>45386</v>
      </c>
      <c r="B7" s="10" t="s">
        <v>1022</v>
      </c>
      <c r="C7" s="10" t="s">
        <v>14</v>
      </c>
      <c r="D7" s="11">
        <f t="shared" si="1"/>
        <v>199.99999999999997</v>
      </c>
      <c r="E7" s="11">
        <f t="shared" si="0"/>
        <v>19.999999999999996</v>
      </c>
      <c r="F7" s="16">
        <v>220</v>
      </c>
      <c r="G7" s="11">
        <v>50</v>
      </c>
      <c r="H7" s="13">
        <v>170</v>
      </c>
      <c r="I7" s="78" t="s">
        <v>705</v>
      </c>
      <c r="J7" s="79">
        <v>220</v>
      </c>
      <c r="K7" s="79"/>
      <c r="L7" s="10"/>
      <c r="M7" s="80"/>
      <c r="N7" s="81"/>
      <c r="O7" s="2"/>
    </row>
    <row r="8" spans="1:15" x14ac:dyDescent="0.3">
      <c r="A8" s="9">
        <v>45386</v>
      </c>
      <c r="B8" s="10" t="s">
        <v>1023</v>
      </c>
      <c r="C8" s="10" t="s">
        <v>14</v>
      </c>
      <c r="D8" s="11">
        <f t="shared" si="1"/>
        <v>163.63636363636363</v>
      </c>
      <c r="E8" s="11">
        <f t="shared" si="0"/>
        <v>16.363636363636363</v>
      </c>
      <c r="F8" s="12">
        <v>180</v>
      </c>
      <c r="G8" s="11">
        <v>50</v>
      </c>
      <c r="H8" s="13">
        <v>130</v>
      </c>
      <c r="I8" s="78" t="s">
        <v>706</v>
      </c>
      <c r="J8" s="79">
        <v>180</v>
      </c>
      <c r="K8" s="79"/>
      <c r="L8" s="10"/>
      <c r="M8" s="80"/>
      <c r="N8" s="2"/>
      <c r="O8" s="2"/>
    </row>
    <row r="9" spans="1:15" x14ac:dyDescent="0.3">
      <c r="A9" s="9">
        <v>45386</v>
      </c>
      <c r="B9" s="10" t="s">
        <v>1024</v>
      </c>
      <c r="C9" s="10" t="s">
        <v>14</v>
      </c>
      <c r="D9" s="11">
        <f t="shared" si="1"/>
        <v>163.63636363636363</v>
      </c>
      <c r="E9" s="11">
        <f t="shared" si="0"/>
        <v>16.363636363636363</v>
      </c>
      <c r="F9" s="18">
        <v>180</v>
      </c>
      <c r="G9" s="18"/>
      <c r="H9" s="13">
        <v>180</v>
      </c>
      <c r="I9" s="19" t="s">
        <v>402</v>
      </c>
      <c r="J9" s="79">
        <v>180</v>
      </c>
      <c r="K9" s="79"/>
      <c r="L9" s="10"/>
      <c r="M9" s="80"/>
      <c r="N9" s="2"/>
      <c r="O9" s="2"/>
    </row>
    <row r="10" spans="1:15" ht="13.5" customHeight="1" x14ac:dyDescent="0.3">
      <c r="A10" s="9">
        <v>45386</v>
      </c>
      <c r="B10" s="10" t="s">
        <v>1025</v>
      </c>
      <c r="C10" s="10" t="s">
        <v>14</v>
      </c>
      <c r="D10" s="11">
        <f t="shared" si="1"/>
        <v>190.90909090909091</v>
      </c>
      <c r="E10" s="11">
        <f t="shared" si="0"/>
        <v>19.09090909090909</v>
      </c>
      <c r="F10" s="18">
        <v>210</v>
      </c>
      <c r="G10" s="18"/>
      <c r="H10" s="13">
        <v>210</v>
      </c>
      <c r="I10" s="19" t="s">
        <v>402</v>
      </c>
      <c r="J10" s="79">
        <v>210</v>
      </c>
      <c r="K10" s="79"/>
      <c r="L10" s="10"/>
      <c r="M10" s="80"/>
      <c r="N10" s="2"/>
      <c r="O10" s="2"/>
    </row>
    <row r="11" spans="1:15" x14ac:dyDescent="0.3">
      <c r="A11" s="9">
        <v>45387</v>
      </c>
      <c r="B11" s="10" t="s">
        <v>1041</v>
      </c>
      <c r="C11" s="10" t="s">
        <v>14</v>
      </c>
      <c r="D11" s="11">
        <f t="shared" si="1"/>
        <v>163.63636363636363</v>
      </c>
      <c r="E11" s="11">
        <f t="shared" si="0"/>
        <v>16.363636363636363</v>
      </c>
      <c r="F11" s="18">
        <v>180</v>
      </c>
      <c r="G11" s="18"/>
      <c r="H11" s="13">
        <v>180</v>
      </c>
      <c r="I11" s="19" t="s">
        <v>403</v>
      </c>
      <c r="J11" s="79">
        <v>180</v>
      </c>
      <c r="K11" s="79"/>
      <c r="L11" s="10"/>
      <c r="M11" s="80"/>
      <c r="N11" s="2"/>
      <c r="O11" s="2"/>
    </row>
    <row r="12" spans="1:15" x14ac:dyDescent="0.3">
      <c r="A12" s="9">
        <v>45387</v>
      </c>
      <c r="B12" s="10" t="s">
        <v>468</v>
      </c>
      <c r="C12" s="10" t="s">
        <v>14</v>
      </c>
      <c r="D12" s="11">
        <f t="shared" si="1"/>
        <v>109.09090909090908</v>
      </c>
      <c r="E12" s="11">
        <f t="shared" si="0"/>
        <v>10.909090909090908</v>
      </c>
      <c r="F12" s="18">
        <v>120</v>
      </c>
      <c r="G12" s="18"/>
      <c r="H12" s="13">
        <v>120</v>
      </c>
      <c r="I12" s="19" t="s">
        <v>402</v>
      </c>
      <c r="J12" s="79">
        <v>120</v>
      </c>
      <c r="K12" s="79"/>
      <c r="L12" s="10"/>
      <c r="M12" s="80"/>
      <c r="N12" s="2"/>
      <c r="O12" s="2"/>
    </row>
    <row r="13" spans="1:15" x14ac:dyDescent="0.3">
      <c r="A13" s="9">
        <v>45387</v>
      </c>
      <c r="B13" s="10" t="s">
        <v>469</v>
      </c>
      <c r="C13" s="10" t="s">
        <v>14</v>
      </c>
      <c r="D13" s="11">
        <f t="shared" si="1"/>
        <v>199.99999999999997</v>
      </c>
      <c r="E13" s="11">
        <f t="shared" si="0"/>
        <v>19.999999999999996</v>
      </c>
      <c r="F13" s="18">
        <v>220</v>
      </c>
      <c r="G13" s="18">
        <v>50</v>
      </c>
      <c r="H13" s="13">
        <v>170</v>
      </c>
      <c r="I13" s="19" t="s">
        <v>707</v>
      </c>
      <c r="J13" s="79">
        <v>220</v>
      </c>
      <c r="K13" s="79"/>
      <c r="L13" s="10"/>
      <c r="M13" s="80"/>
      <c r="N13" s="2"/>
      <c r="O13" s="2"/>
    </row>
    <row r="14" spans="1:15" x14ac:dyDescent="0.3">
      <c r="A14" s="9">
        <v>45387</v>
      </c>
      <c r="B14" s="10" t="s">
        <v>470</v>
      </c>
      <c r="C14" s="10" t="s">
        <v>14</v>
      </c>
      <c r="D14" s="11">
        <f t="shared" si="1"/>
        <v>227.27272727272725</v>
      </c>
      <c r="E14" s="11">
        <f t="shared" si="0"/>
        <v>22.727272727272727</v>
      </c>
      <c r="F14" s="18">
        <v>250</v>
      </c>
      <c r="G14" s="18">
        <v>50</v>
      </c>
      <c r="H14" s="13">
        <v>200</v>
      </c>
      <c r="I14" s="19" t="s">
        <v>708</v>
      </c>
      <c r="J14" s="79">
        <v>250</v>
      </c>
      <c r="K14" s="79"/>
      <c r="L14" s="10"/>
      <c r="M14" s="80"/>
      <c r="N14" s="2"/>
      <c r="O14" s="2"/>
    </row>
    <row r="15" spans="1:15" x14ac:dyDescent="0.3">
      <c r="A15" s="9">
        <v>45387</v>
      </c>
      <c r="B15" s="10" t="s">
        <v>471</v>
      </c>
      <c r="C15" s="10" t="s">
        <v>14</v>
      </c>
      <c r="D15" s="11">
        <f t="shared" si="1"/>
        <v>127.27272727272727</v>
      </c>
      <c r="E15" s="11">
        <f t="shared" si="0"/>
        <v>12.727272727272727</v>
      </c>
      <c r="F15" s="18">
        <v>140</v>
      </c>
      <c r="G15" s="18">
        <v>50</v>
      </c>
      <c r="H15" s="13">
        <v>90</v>
      </c>
      <c r="I15" s="19" t="s">
        <v>709</v>
      </c>
      <c r="J15" s="79">
        <v>140</v>
      </c>
      <c r="K15" s="79"/>
      <c r="L15" s="10"/>
      <c r="M15" s="80"/>
      <c r="N15" s="2"/>
      <c r="O15" s="2"/>
    </row>
    <row r="16" spans="1:15" x14ac:dyDescent="0.3">
      <c r="A16" s="9">
        <v>45387</v>
      </c>
      <c r="B16" s="10" t="s">
        <v>472</v>
      </c>
      <c r="C16" s="10" t="s">
        <v>14</v>
      </c>
      <c r="D16" s="11">
        <f t="shared" si="1"/>
        <v>145.45454545454544</v>
      </c>
      <c r="E16" s="11">
        <f t="shared" si="0"/>
        <v>14.545454545454545</v>
      </c>
      <c r="F16" s="18">
        <v>160</v>
      </c>
      <c r="G16" s="18"/>
      <c r="H16" s="13">
        <v>160</v>
      </c>
      <c r="I16" s="19" t="s">
        <v>402</v>
      </c>
      <c r="J16" s="79">
        <v>160</v>
      </c>
      <c r="K16" s="79"/>
      <c r="L16" s="10"/>
      <c r="M16" s="82"/>
      <c r="N16" s="2"/>
      <c r="O16" s="2"/>
    </row>
    <row r="17" spans="1:15" x14ac:dyDescent="0.3">
      <c r="A17" s="9">
        <v>45387</v>
      </c>
      <c r="B17" s="10" t="s">
        <v>473</v>
      </c>
      <c r="C17" s="10" t="s">
        <v>14</v>
      </c>
      <c r="D17" s="11">
        <f t="shared" si="1"/>
        <v>127.27272727272727</v>
      </c>
      <c r="E17" s="11">
        <f t="shared" si="0"/>
        <v>12.727272727272727</v>
      </c>
      <c r="F17" s="18">
        <v>140</v>
      </c>
      <c r="G17" s="18"/>
      <c r="H17" s="13">
        <v>140</v>
      </c>
      <c r="I17" s="19" t="s">
        <v>402</v>
      </c>
      <c r="J17" s="79">
        <v>140</v>
      </c>
      <c r="K17" s="79"/>
      <c r="L17" s="10"/>
      <c r="M17" s="80"/>
      <c r="N17" s="2"/>
      <c r="O17" s="2"/>
    </row>
    <row r="18" spans="1:15" x14ac:dyDescent="0.3">
      <c r="A18" s="9">
        <v>45387</v>
      </c>
      <c r="B18" s="10" t="s">
        <v>474</v>
      </c>
      <c r="C18" s="10" t="s">
        <v>14</v>
      </c>
      <c r="D18" s="11">
        <f t="shared" si="1"/>
        <v>186.36363636363635</v>
      </c>
      <c r="E18" s="11">
        <f t="shared" si="0"/>
        <v>18.636363636363637</v>
      </c>
      <c r="F18" s="18">
        <v>205</v>
      </c>
      <c r="G18" s="18">
        <v>50</v>
      </c>
      <c r="H18" s="13">
        <v>155</v>
      </c>
      <c r="I18" s="19" t="s">
        <v>710</v>
      </c>
      <c r="J18" s="79">
        <v>205</v>
      </c>
      <c r="K18" s="79"/>
      <c r="L18" s="10"/>
      <c r="M18" s="80"/>
      <c r="N18" s="2"/>
      <c r="O18" s="2"/>
    </row>
    <row r="19" spans="1:15" x14ac:dyDescent="0.3">
      <c r="A19" s="9">
        <v>45387</v>
      </c>
      <c r="B19" s="10" t="s">
        <v>475</v>
      </c>
      <c r="C19" s="10" t="s">
        <v>14</v>
      </c>
      <c r="D19" s="11">
        <f t="shared" si="1"/>
        <v>245.45454545454544</v>
      </c>
      <c r="E19" s="11">
        <f t="shared" si="0"/>
        <v>24.545454545454547</v>
      </c>
      <c r="F19" s="18">
        <v>270</v>
      </c>
      <c r="G19" s="18">
        <v>50</v>
      </c>
      <c r="H19" s="13">
        <v>220</v>
      </c>
      <c r="I19" s="19" t="s">
        <v>711</v>
      </c>
      <c r="J19" s="79">
        <v>270</v>
      </c>
      <c r="K19" s="79"/>
      <c r="L19" s="10"/>
      <c r="M19" s="80"/>
      <c r="N19" s="2"/>
      <c r="O19" s="2"/>
    </row>
    <row r="20" spans="1:15" x14ac:dyDescent="0.3">
      <c r="A20" s="9">
        <v>45387</v>
      </c>
      <c r="B20" s="10" t="s">
        <v>476</v>
      </c>
      <c r="C20" s="10" t="s">
        <v>14</v>
      </c>
      <c r="D20" s="11">
        <f t="shared" si="1"/>
        <v>245.45454545454544</v>
      </c>
      <c r="E20" s="11">
        <f t="shared" si="0"/>
        <v>24.545454545454547</v>
      </c>
      <c r="F20" s="18">
        <v>270</v>
      </c>
      <c r="G20" s="18">
        <v>50</v>
      </c>
      <c r="H20" s="13">
        <v>220</v>
      </c>
      <c r="I20" s="19" t="s">
        <v>712</v>
      </c>
      <c r="J20" s="79">
        <v>270</v>
      </c>
      <c r="K20" s="79"/>
      <c r="L20" s="10"/>
      <c r="M20" s="80"/>
      <c r="N20" s="2"/>
      <c r="O20" s="2"/>
    </row>
    <row r="21" spans="1:15" x14ac:dyDescent="0.3">
      <c r="A21" s="9">
        <v>45387</v>
      </c>
      <c r="B21" s="10" t="s">
        <v>477</v>
      </c>
      <c r="C21" s="10" t="s">
        <v>14</v>
      </c>
      <c r="D21" s="11">
        <f t="shared" si="1"/>
        <v>245.45454545454544</v>
      </c>
      <c r="E21" s="11">
        <f t="shared" si="0"/>
        <v>24.545454545454547</v>
      </c>
      <c r="F21" s="18">
        <v>270</v>
      </c>
      <c r="G21" s="21">
        <v>50</v>
      </c>
      <c r="H21" s="13">
        <v>220</v>
      </c>
      <c r="I21" s="19" t="s">
        <v>713</v>
      </c>
      <c r="J21" s="79">
        <v>270</v>
      </c>
      <c r="K21" s="79"/>
      <c r="L21" s="10"/>
      <c r="M21" s="80"/>
      <c r="N21" s="2"/>
      <c r="O21" s="2"/>
    </row>
    <row r="22" spans="1:15" x14ac:dyDescent="0.3">
      <c r="A22" s="9">
        <v>45387</v>
      </c>
      <c r="B22" s="10" t="s">
        <v>478</v>
      </c>
      <c r="C22" s="10" t="s">
        <v>14</v>
      </c>
      <c r="D22" s="11">
        <f t="shared" si="1"/>
        <v>127.27272727272727</v>
      </c>
      <c r="E22" s="11">
        <f t="shared" si="0"/>
        <v>12.727272727272727</v>
      </c>
      <c r="F22" s="18">
        <v>140</v>
      </c>
      <c r="G22" s="11"/>
      <c r="H22" s="13">
        <v>140</v>
      </c>
      <c r="I22" s="19" t="s">
        <v>402</v>
      </c>
      <c r="J22" s="79">
        <v>140</v>
      </c>
      <c r="K22" s="79"/>
      <c r="L22" s="10"/>
      <c r="M22" s="80"/>
      <c r="N22" s="2"/>
      <c r="O22" s="2"/>
    </row>
    <row r="23" spans="1:15" x14ac:dyDescent="0.3">
      <c r="A23" s="9">
        <v>45387</v>
      </c>
      <c r="B23" s="10" t="s">
        <v>479</v>
      </c>
      <c r="C23" s="10" t="s">
        <v>14</v>
      </c>
      <c r="D23" s="11">
        <f t="shared" si="1"/>
        <v>154.54545454545453</v>
      </c>
      <c r="E23" s="11">
        <f t="shared" si="0"/>
        <v>15.454545454545453</v>
      </c>
      <c r="F23" s="18">
        <v>170</v>
      </c>
      <c r="G23" s="11">
        <v>50</v>
      </c>
      <c r="H23" s="13">
        <v>120</v>
      </c>
      <c r="I23" s="19" t="s">
        <v>714</v>
      </c>
      <c r="J23" s="79">
        <v>170</v>
      </c>
      <c r="K23" s="79"/>
      <c r="L23" s="10"/>
      <c r="M23" s="80"/>
      <c r="N23" s="2"/>
      <c r="O23" s="2"/>
    </row>
    <row r="24" spans="1:15" x14ac:dyDescent="0.3">
      <c r="A24" s="9">
        <v>45387</v>
      </c>
      <c r="B24" s="10" t="s">
        <v>480</v>
      </c>
      <c r="C24" s="10" t="s">
        <v>14</v>
      </c>
      <c r="D24" s="11">
        <f t="shared" si="1"/>
        <v>172.72727272727272</v>
      </c>
      <c r="E24" s="11">
        <f t="shared" si="0"/>
        <v>17.272727272727273</v>
      </c>
      <c r="F24" s="18">
        <v>190</v>
      </c>
      <c r="G24" s="11"/>
      <c r="H24" s="13">
        <v>190</v>
      </c>
      <c r="I24" s="19" t="s">
        <v>715</v>
      </c>
      <c r="J24" s="79"/>
      <c r="K24" s="79"/>
      <c r="L24" s="10"/>
      <c r="M24" s="80"/>
      <c r="N24" s="2"/>
      <c r="O24" s="2"/>
    </row>
    <row r="25" spans="1:15" x14ac:dyDescent="0.3">
      <c r="A25" s="9">
        <v>45388</v>
      </c>
      <c r="B25" s="10" t="s">
        <v>481</v>
      </c>
      <c r="C25" s="10" t="s">
        <v>14</v>
      </c>
      <c r="D25" s="11">
        <f t="shared" si="1"/>
        <v>336.36363636363632</v>
      </c>
      <c r="E25" s="11">
        <f t="shared" si="0"/>
        <v>33.636363636363633</v>
      </c>
      <c r="F25" s="18">
        <v>370</v>
      </c>
      <c r="G25" s="11">
        <v>100</v>
      </c>
      <c r="H25" s="13">
        <v>270</v>
      </c>
      <c r="I25" s="19" t="s">
        <v>716</v>
      </c>
      <c r="J25" s="79">
        <v>370</v>
      </c>
      <c r="K25" s="79"/>
      <c r="L25" s="10"/>
      <c r="M25" s="80"/>
      <c r="N25" s="2"/>
      <c r="O25" s="2"/>
    </row>
    <row r="26" spans="1:15" x14ac:dyDescent="0.3">
      <c r="A26" s="9">
        <v>45388</v>
      </c>
      <c r="B26" s="10" t="s">
        <v>482</v>
      </c>
      <c r="C26" s="10" t="s">
        <v>14</v>
      </c>
      <c r="D26" s="11">
        <f t="shared" si="1"/>
        <v>199.99999999999997</v>
      </c>
      <c r="E26" s="11">
        <f t="shared" si="0"/>
        <v>19.999999999999996</v>
      </c>
      <c r="F26" s="16">
        <v>220</v>
      </c>
      <c r="G26" s="11">
        <v>50</v>
      </c>
      <c r="H26" s="13">
        <v>170</v>
      </c>
      <c r="I26" s="19" t="s">
        <v>717</v>
      </c>
      <c r="J26" s="79">
        <v>220</v>
      </c>
      <c r="K26" s="79"/>
      <c r="L26" s="10"/>
      <c r="M26" s="83"/>
      <c r="N26" s="84"/>
      <c r="O26" s="84"/>
    </row>
    <row r="27" spans="1:15" x14ac:dyDescent="0.3">
      <c r="A27" s="9">
        <v>45388</v>
      </c>
      <c r="B27" s="10" t="s">
        <v>483</v>
      </c>
      <c r="C27" s="10" t="s">
        <v>14</v>
      </c>
      <c r="D27" s="11">
        <f t="shared" si="1"/>
        <v>181.81818181818181</v>
      </c>
      <c r="E27" s="11">
        <f t="shared" si="0"/>
        <v>18.18181818181818</v>
      </c>
      <c r="F27" s="16">
        <v>200</v>
      </c>
      <c r="G27" s="11"/>
      <c r="H27" s="13">
        <v>200</v>
      </c>
      <c r="I27" s="19" t="s">
        <v>403</v>
      </c>
      <c r="J27" s="79">
        <v>200</v>
      </c>
      <c r="K27" s="85"/>
      <c r="L27" s="25"/>
      <c r="M27" s="80"/>
      <c r="N27" s="2"/>
      <c r="O27" s="2"/>
    </row>
    <row r="28" spans="1:15" x14ac:dyDescent="0.3">
      <c r="A28" s="9">
        <v>45388</v>
      </c>
      <c r="B28" s="10" t="s">
        <v>484</v>
      </c>
      <c r="C28" s="10" t="s">
        <v>14</v>
      </c>
      <c r="D28" s="11">
        <f t="shared" si="1"/>
        <v>199.99999999999997</v>
      </c>
      <c r="E28" s="11">
        <f t="shared" si="0"/>
        <v>19.999999999999996</v>
      </c>
      <c r="F28" s="16">
        <v>220</v>
      </c>
      <c r="G28" s="11">
        <v>50</v>
      </c>
      <c r="H28" s="13">
        <v>170</v>
      </c>
      <c r="I28" s="78" t="s">
        <v>718</v>
      </c>
      <c r="J28" s="79">
        <v>220</v>
      </c>
      <c r="K28" s="79"/>
      <c r="L28" s="25"/>
      <c r="M28" s="80"/>
      <c r="N28" s="2"/>
      <c r="O28" s="2"/>
    </row>
    <row r="29" spans="1:15" x14ac:dyDescent="0.3">
      <c r="A29" s="9">
        <v>45388</v>
      </c>
      <c r="B29" s="10" t="s">
        <v>485</v>
      </c>
      <c r="C29" s="10" t="s">
        <v>14</v>
      </c>
      <c r="D29" s="11">
        <f t="shared" si="1"/>
        <v>218.18181818181816</v>
      </c>
      <c r="E29" s="11">
        <f t="shared" si="0"/>
        <v>21.818181818181817</v>
      </c>
      <c r="F29" s="16">
        <v>240</v>
      </c>
      <c r="G29" s="11"/>
      <c r="H29" s="13">
        <v>240</v>
      </c>
      <c r="I29" s="10" t="s">
        <v>720</v>
      </c>
      <c r="J29" s="79">
        <v>240</v>
      </c>
      <c r="K29" s="79"/>
      <c r="L29" s="10"/>
      <c r="M29" s="80"/>
      <c r="N29" s="2"/>
      <c r="O29" s="2"/>
    </row>
    <row r="30" spans="1:15" x14ac:dyDescent="0.3">
      <c r="A30" s="9">
        <v>45388</v>
      </c>
      <c r="B30" s="10" t="s">
        <v>486</v>
      </c>
      <c r="C30" s="10" t="s">
        <v>14</v>
      </c>
      <c r="D30" s="11">
        <f t="shared" si="1"/>
        <v>190.90909090909091</v>
      </c>
      <c r="E30" s="11">
        <f t="shared" si="0"/>
        <v>19.09090909090909</v>
      </c>
      <c r="F30" s="16">
        <v>210</v>
      </c>
      <c r="G30" s="11"/>
      <c r="H30" s="13">
        <v>210</v>
      </c>
      <c r="I30" s="19" t="s">
        <v>720</v>
      </c>
      <c r="J30" s="79">
        <v>210</v>
      </c>
      <c r="K30" s="79"/>
      <c r="L30" s="10"/>
      <c r="M30" s="80"/>
      <c r="N30" s="2"/>
      <c r="O30" s="2"/>
    </row>
    <row r="31" spans="1:15" x14ac:dyDescent="0.3">
      <c r="A31" s="9" t="s">
        <v>719</v>
      </c>
      <c r="B31" s="10" t="s">
        <v>487</v>
      </c>
      <c r="C31" s="10" t="s">
        <v>14</v>
      </c>
      <c r="D31" s="11">
        <f t="shared" si="1"/>
        <v>127.27272727272727</v>
      </c>
      <c r="E31" s="11">
        <f t="shared" si="0"/>
        <v>12.727272727272727</v>
      </c>
      <c r="F31" s="16">
        <v>140</v>
      </c>
      <c r="G31" s="11"/>
      <c r="H31" s="13">
        <v>140</v>
      </c>
      <c r="I31" s="19" t="s">
        <v>721</v>
      </c>
      <c r="J31" s="79">
        <v>140</v>
      </c>
      <c r="K31" s="79"/>
      <c r="L31" s="10"/>
      <c r="M31" s="80"/>
      <c r="N31" s="2"/>
      <c r="O31" s="2"/>
    </row>
    <row r="32" spans="1:15" x14ac:dyDescent="0.3">
      <c r="A32" s="9">
        <v>45388</v>
      </c>
      <c r="B32" s="10" t="s">
        <v>488</v>
      </c>
      <c r="C32" s="10" t="s">
        <v>14</v>
      </c>
      <c r="D32" s="11">
        <f t="shared" si="1"/>
        <v>272.72727272727269</v>
      </c>
      <c r="E32" s="11">
        <f t="shared" si="0"/>
        <v>27.27272727272727</v>
      </c>
      <c r="F32" s="16">
        <v>300</v>
      </c>
      <c r="G32" s="11">
        <v>50</v>
      </c>
      <c r="H32" s="13">
        <v>50</v>
      </c>
      <c r="I32" s="78" t="s">
        <v>722</v>
      </c>
      <c r="J32" s="79">
        <v>300</v>
      </c>
      <c r="K32" s="79"/>
      <c r="L32" s="10"/>
      <c r="M32" s="80"/>
      <c r="N32" s="2"/>
      <c r="O32" s="2"/>
    </row>
    <row r="33" spans="1:15" x14ac:dyDescent="0.3">
      <c r="A33" s="9">
        <v>45388</v>
      </c>
      <c r="B33" s="10" t="s">
        <v>489</v>
      </c>
      <c r="C33" s="10" t="s">
        <v>14</v>
      </c>
      <c r="D33" s="11">
        <f t="shared" si="1"/>
        <v>190.90909090909091</v>
      </c>
      <c r="E33" s="11">
        <f t="shared" si="0"/>
        <v>19.09090909090909</v>
      </c>
      <c r="F33" s="16">
        <v>210</v>
      </c>
      <c r="G33" s="11">
        <v>50</v>
      </c>
      <c r="H33" s="13">
        <v>160</v>
      </c>
      <c r="I33" s="78" t="s">
        <v>723</v>
      </c>
      <c r="J33" s="79">
        <v>210</v>
      </c>
      <c r="K33" s="79"/>
      <c r="L33" s="10"/>
      <c r="M33" s="80"/>
      <c r="N33" s="2"/>
      <c r="O33" s="2"/>
    </row>
    <row r="34" spans="1:15" x14ac:dyDescent="0.3">
      <c r="A34" s="9">
        <v>45388</v>
      </c>
      <c r="B34" s="10" t="s">
        <v>490</v>
      </c>
      <c r="C34" s="10" t="s">
        <v>14</v>
      </c>
      <c r="D34" s="11">
        <f t="shared" si="1"/>
        <v>213.63636363636363</v>
      </c>
      <c r="E34" s="11">
        <f t="shared" si="0"/>
        <v>21.36363636363636</v>
      </c>
      <c r="F34" s="16">
        <v>235</v>
      </c>
      <c r="G34" s="11">
        <v>185</v>
      </c>
      <c r="H34" s="13">
        <v>50</v>
      </c>
      <c r="I34" s="78" t="s">
        <v>724</v>
      </c>
      <c r="J34" s="79">
        <v>235</v>
      </c>
      <c r="K34" s="79"/>
      <c r="L34" s="10"/>
      <c r="M34" s="80"/>
      <c r="N34" s="2"/>
      <c r="O34" s="2"/>
    </row>
    <row r="35" spans="1:15" x14ac:dyDescent="0.3">
      <c r="A35" s="9">
        <v>45388</v>
      </c>
      <c r="B35" s="10" t="s">
        <v>491</v>
      </c>
      <c r="C35" s="10" t="s">
        <v>14</v>
      </c>
      <c r="D35" s="11">
        <f t="shared" si="1"/>
        <v>154.54545454545453</v>
      </c>
      <c r="E35" s="11">
        <f t="shared" ref="E35:E66" si="2">D35*10/100</f>
        <v>15.454545454545453</v>
      </c>
      <c r="F35" s="16">
        <v>170</v>
      </c>
      <c r="G35" s="11">
        <v>50</v>
      </c>
      <c r="H35" s="13">
        <v>120</v>
      </c>
      <c r="I35" s="78" t="s">
        <v>725</v>
      </c>
      <c r="J35" s="79">
        <v>170</v>
      </c>
      <c r="K35" s="79"/>
      <c r="L35" s="10"/>
      <c r="M35" s="80"/>
      <c r="N35" s="2"/>
      <c r="O35" s="2"/>
    </row>
    <row r="36" spans="1:15" x14ac:dyDescent="0.3">
      <c r="A36" s="9">
        <v>45388</v>
      </c>
      <c r="B36" s="10" t="s">
        <v>492</v>
      </c>
      <c r="C36" s="10" t="s">
        <v>14</v>
      </c>
      <c r="D36" s="11">
        <f t="shared" si="1"/>
        <v>145.45454545454544</v>
      </c>
      <c r="E36" s="11">
        <f t="shared" si="2"/>
        <v>14.545454545454545</v>
      </c>
      <c r="F36" s="16">
        <v>160</v>
      </c>
      <c r="G36" s="11"/>
      <c r="H36" s="13">
        <v>160</v>
      </c>
      <c r="I36" s="19" t="s">
        <v>402</v>
      </c>
      <c r="J36" s="79">
        <v>160</v>
      </c>
      <c r="K36" s="79"/>
      <c r="L36" s="10"/>
      <c r="M36" s="80"/>
      <c r="N36" s="2"/>
      <c r="O36" s="2"/>
    </row>
    <row r="37" spans="1:15" x14ac:dyDescent="0.3">
      <c r="A37" s="9">
        <v>45388</v>
      </c>
      <c r="B37" s="10" t="s">
        <v>493</v>
      </c>
      <c r="C37" s="10" t="s">
        <v>14</v>
      </c>
      <c r="D37" s="11">
        <f t="shared" si="1"/>
        <v>345.45454545454544</v>
      </c>
      <c r="E37" s="11">
        <f t="shared" si="2"/>
        <v>34.545454545454547</v>
      </c>
      <c r="F37" s="16">
        <v>380</v>
      </c>
      <c r="G37" s="11">
        <v>50</v>
      </c>
      <c r="H37" s="13">
        <v>330</v>
      </c>
      <c r="I37" s="19" t="s">
        <v>726</v>
      </c>
      <c r="J37" s="79">
        <v>204</v>
      </c>
      <c r="K37" s="79"/>
      <c r="L37" s="10"/>
      <c r="M37" s="80">
        <v>126</v>
      </c>
      <c r="N37" s="2" t="s">
        <v>727</v>
      </c>
      <c r="O37" s="2"/>
    </row>
    <row r="38" spans="1:15" x14ac:dyDescent="0.3">
      <c r="A38" s="26">
        <v>45388</v>
      </c>
      <c r="B38" s="10" t="s">
        <v>494</v>
      </c>
      <c r="C38" s="10" t="s">
        <v>14</v>
      </c>
      <c r="D38" s="11">
        <f t="shared" si="1"/>
        <v>127.27272727272727</v>
      </c>
      <c r="E38" s="11">
        <f t="shared" si="2"/>
        <v>12.727272727272727</v>
      </c>
      <c r="F38" s="18">
        <v>140</v>
      </c>
      <c r="G38" s="18">
        <v>140</v>
      </c>
      <c r="H38" s="13">
        <v>0</v>
      </c>
      <c r="I38" s="19" t="s">
        <v>402</v>
      </c>
      <c r="J38" s="79">
        <v>140</v>
      </c>
      <c r="K38" s="86"/>
      <c r="L38" s="10"/>
      <c r="M38" s="80"/>
      <c r="N38" s="2"/>
      <c r="O38" s="2"/>
    </row>
    <row r="39" spans="1:15" x14ac:dyDescent="0.3">
      <c r="A39" s="26">
        <v>45388</v>
      </c>
      <c r="B39" s="10" t="s">
        <v>495</v>
      </c>
      <c r="C39" s="10" t="s">
        <v>14</v>
      </c>
      <c r="D39" s="11">
        <f t="shared" si="1"/>
        <v>413.63636363636363</v>
      </c>
      <c r="E39" s="11">
        <f t="shared" si="2"/>
        <v>41.36363636363636</v>
      </c>
      <c r="F39" s="18">
        <v>455</v>
      </c>
      <c r="G39" s="18">
        <v>105</v>
      </c>
      <c r="H39" s="13">
        <v>350</v>
      </c>
      <c r="I39" s="19" t="s">
        <v>728</v>
      </c>
      <c r="J39" s="79">
        <v>455</v>
      </c>
      <c r="K39" s="79"/>
      <c r="L39" s="10"/>
      <c r="M39" s="80"/>
      <c r="N39" s="2"/>
      <c r="O39" s="2"/>
    </row>
    <row r="40" spans="1:15" x14ac:dyDescent="0.3">
      <c r="A40" s="26">
        <v>45388</v>
      </c>
      <c r="B40" s="10" t="s">
        <v>496</v>
      </c>
      <c r="C40" s="10" t="s">
        <v>14</v>
      </c>
      <c r="D40" s="11">
        <f t="shared" si="1"/>
        <v>268.18181818181819</v>
      </c>
      <c r="E40" s="11">
        <f t="shared" si="2"/>
        <v>26.81818181818182</v>
      </c>
      <c r="F40" s="18">
        <v>295</v>
      </c>
      <c r="G40" s="18">
        <v>50</v>
      </c>
      <c r="H40" s="13">
        <v>245</v>
      </c>
      <c r="I40" s="19" t="s">
        <v>729</v>
      </c>
      <c r="J40" s="79">
        <v>295</v>
      </c>
      <c r="K40" s="79"/>
      <c r="L40" s="10"/>
      <c r="M40" s="80"/>
      <c r="N40" s="2"/>
      <c r="O40" s="2"/>
    </row>
    <row r="41" spans="1:15" x14ac:dyDescent="0.3">
      <c r="A41" s="26">
        <v>45388</v>
      </c>
      <c r="B41" s="10" t="s">
        <v>497</v>
      </c>
      <c r="C41" s="10" t="s">
        <v>14</v>
      </c>
      <c r="D41" s="11">
        <f t="shared" si="1"/>
        <v>163.63636363636363</v>
      </c>
      <c r="E41" s="11">
        <f t="shared" si="2"/>
        <v>16.363636363636363</v>
      </c>
      <c r="F41" s="18">
        <v>180</v>
      </c>
      <c r="G41" s="18"/>
      <c r="H41" s="13">
        <v>180</v>
      </c>
      <c r="I41" s="19" t="s">
        <v>402</v>
      </c>
      <c r="J41" s="79">
        <v>180</v>
      </c>
      <c r="K41" s="79"/>
      <c r="L41" s="10"/>
      <c r="M41" s="80"/>
      <c r="N41" s="2"/>
      <c r="O41" s="2"/>
    </row>
    <row r="42" spans="1:15" x14ac:dyDescent="0.3">
      <c r="A42" s="26">
        <v>45388</v>
      </c>
      <c r="B42" s="10" t="s">
        <v>498</v>
      </c>
      <c r="C42" s="10" t="s">
        <v>14</v>
      </c>
      <c r="D42" s="11">
        <f t="shared" si="1"/>
        <v>245.45454545454544</v>
      </c>
      <c r="E42" s="11">
        <f t="shared" si="2"/>
        <v>24.545454545454547</v>
      </c>
      <c r="F42" s="18">
        <v>270</v>
      </c>
      <c r="G42" s="18">
        <v>50</v>
      </c>
      <c r="H42" s="13">
        <v>220</v>
      </c>
      <c r="I42" s="19" t="s">
        <v>730</v>
      </c>
      <c r="J42" s="79">
        <v>270</v>
      </c>
      <c r="K42" s="79"/>
      <c r="L42" s="10"/>
      <c r="M42" s="80"/>
      <c r="N42" s="2"/>
      <c r="O42" s="2"/>
    </row>
    <row r="43" spans="1:15" x14ac:dyDescent="0.3">
      <c r="A43" s="26">
        <v>45388</v>
      </c>
      <c r="B43" s="10" t="s">
        <v>499</v>
      </c>
      <c r="C43" s="10" t="s">
        <v>14</v>
      </c>
      <c r="D43" s="11">
        <f t="shared" si="1"/>
        <v>245.45454545454544</v>
      </c>
      <c r="E43" s="11">
        <f t="shared" si="2"/>
        <v>24.545454545454547</v>
      </c>
      <c r="F43" s="18">
        <v>270</v>
      </c>
      <c r="G43" s="18">
        <v>50</v>
      </c>
      <c r="H43" s="13">
        <v>220</v>
      </c>
      <c r="I43" s="19" t="s">
        <v>731</v>
      </c>
      <c r="J43" s="79">
        <v>270</v>
      </c>
      <c r="K43" s="79"/>
      <c r="L43" s="10"/>
      <c r="M43" s="80"/>
      <c r="N43" s="2"/>
      <c r="O43" s="2"/>
    </row>
    <row r="44" spans="1:15" x14ac:dyDescent="0.3">
      <c r="A44" s="26">
        <v>45388</v>
      </c>
      <c r="B44" s="10" t="s">
        <v>500</v>
      </c>
      <c r="C44" s="10" t="s">
        <v>14</v>
      </c>
      <c r="D44" s="11">
        <f t="shared" si="1"/>
        <v>163.63636363636363</v>
      </c>
      <c r="E44" s="11">
        <f t="shared" si="2"/>
        <v>16.363636363636363</v>
      </c>
      <c r="F44" s="18">
        <v>180</v>
      </c>
      <c r="G44" s="18"/>
      <c r="H44" s="13">
        <v>180</v>
      </c>
      <c r="I44" s="19" t="s">
        <v>403</v>
      </c>
      <c r="J44" s="79">
        <v>180</v>
      </c>
      <c r="K44" s="79"/>
      <c r="L44" s="10"/>
      <c r="M44" s="80"/>
      <c r="N44" s="2"/>
      <c r="O44" s="2"/>
    </row>
    <row r="45" spans="1:15" x14ac:dyDescent="0.3">
      <c r="A45" s="26">
        <v>45388</v>
      </c>
      <c r="B45" s="10" t="s">
        <v>501</v>
      </c>
      <c r="C45" s="10" t="s">
        <v>14</v>
      </c>
      <c r="D45" s="11">
        <f t="shared" si="1"/>
        <v>245.45454545454544</v>
      </c>
      <c r="E45" s="11">
        <f t="shared" si="2"/>
        <v>24.545454545454547</v>
      </c>
      <c r="F45" s="18">
        <v>270</v>
      </c>
      <c r="G45" s="18">
        <v>50</v>
      </c>
      <c r="H45" s="13">
        <v>220</v>
      </c>
      <c r="I45" s="19" t="s">
        <v>264</v>
      </c>
      <c r="J45" s="79">
        <v>270</v>
      </c>
      <c r="K45" s="79"/>
      <c r="L45" s="10"/>
      <c r="M45" s="80"/>
      <c r="N45" s="2"/>
      <c r="O45" s="2"/>
    </row>
    <row r="46" spans="1:15" x14ac:dyDescent="0.3">
      <c r="A46" s="26">
        <v>45388</v>
      </c>
      <c r="B46" s="10" t="s">
        <v>502</v>
      </c>
      <c r="C46" s="10" t="s">
        <v>14</v>
      </c>
      <c r="D46" s="11">
        <f t="shared" si="1"/>
        <v>190.90909090909091</v>
      </c>
      <c r="E46" s="11">
        <f t="shared" si="2"/>
        <v>19.09090909090909</v>
      </c>
      <c r="F46" s="18">
        <v>210</v>
      </c>
      <c r="G46" s="18">
        <v>50</v>
      </c>
      <c r="H46" s="13">
        <v>160</v>
      </c>
      <c r="I46" s="19" t="s">
        <v>732</v>
      </c>
      <c r="J46" s="79">
        <v>210</v>
      </c>
      <c r="K46" s="79"/>
      <c r="L46" s="10"/>
      <c r="M46" s="80"/>
      <c r="N46" s="2"/>
      <c r="O46" s="2"/>
    </row>
    <row r="47" spans="1:15" x14ac:dyDescent="0.3">
      <c r="A47" s="26">
        <v>45388</v>
      </c>
      <c r="B47" s="10" t="s">
        <v>503</v>
      </c>
      <c r="C47" s="10" t="s">
        <v>14</v>
      </c>
      <c r="D47" s="11">
        <f t="shared" si="1"/>
        <v>154.54545454545453</v>
      </c>
      <c r="E47" s="11">
        <f t="shared" si="2"/>
        <v>15.454545454545453</v>
      </c>
      <c r="F47" s="18">
        <v>170</v>
      </c>
      <c r="G47" s="18">
        <v>50</v>
      </c>
      <c r="H47" s="13">
        <v>120</v>
      </c>
      <c r="I47" s="19" t="s">
        <v>733</v>
      </c>
      <c r="J47" s="79">
        <v>170</v>
      </c>
      <c r="K47" s="79"/>
      <c r="L47" s="10"/>
      <c r="M47" s="80"/>
      <c r="N47" s="2"/>
      <c r="O47" s="2"/>
    </row>
    <row r="48" spans="1:15" x14ac:dyDescent="0.3">
      <c r="A48" s="26">
        <v>45388</v>
      </c>
      <c r="B48" s="10" t="s">
        <v>504</v>
      </c>
      <c r="C48" s="10" t="s">
        <v>14</v>
      </c>
      <c r="D48" s="11">
        <f t="shared" si="1"/>
        <v>118.18181818181817</v>
      </c>
      <c r="E48" s="11">
        <f t="shared" si="2"/>
        <v>11.818181818181818</v>
      </c>
      <c r="F48" s="18">
        <v>130</v>
      </c>
      <c r="G48" s="18"/>
      <c r="H48" s="13">
        <v>130</v>
      </c>
      <c r="I48" s="19" t="s">
        <v>403</v>
      </c>
      <c r="J48" s="79">
        <v>130</v>
      </c>
      <c r="K48" s="79"/>
      <c r="L48" s="10"/>
      <c r="M48" s="80"/>
      <c r="N48" s="2"/>
      <c r="O48" s="2"/>
    </row>
    <row r="49" spans="1:15" x14ac:dyDescent="0.3">
      <c r="A49" s="26">
        <v>45388</v>
      </c>
      <c r="B49" s="10" t="s">
        <v>505</v>
      </c>
      <c r="C49" s="10" t="s">
        <v>14</v>
      </c>
      <c r="D49" s="11">
        <f t="shared" si="1"/>
        <v>118.18181818181817</v>
      </c>
      <c r="E49" s="11">
        <f t="shared" si="2"/>
        <v>11.818181818181818</v>
      </c>
      <c r="F49" s="18">
        <v>130</v>
      </c>
      <c r="G49" s="18"/>
      <c r="H49" s="13">
        <v>130</v>
      </c>
      <c r="I49" s="19" t="s">
        <v>403</v>
      </c>
      <c r="J49" s="79">
        <v>130</v>
      </c>
      <c r="K49" s="79"/>
      <c r="L49" s="10"/>
      <c r="M49" s="80"/>
      <c r="N49" s="2"/>
      <c r="O49" s="2"/>
    </row>
    <row r="50" spans="1:15" x14ac:dyDescent="0.3">
      <c r="A50" s="26">
        <v>45388</v>
      </c>
      <c r="B50" s="10" t="s">
        <v>506</v>
      </c>
      <c r="C50" s="10" t="s">
        <v>14</v>
      </c>
      <c r="D50" s="11">
        <f t="shared" si="1"/>
        <v>145.45454545454544</v>
      </c>
      <c r="E50" s="11">
        <f t="shared" si="2"/>
        <v>14.545454545454545</v>
      </c>
      <c r="F50" s="18">
        <v>160</v>
      </c>
      <c r="G50" s="18"/>
      <c r="H50" s="13">
        <v>160</v>
      </c>
      <c r="I50" s="19" t="s">
        <v>402</v>
      </c>
      <c r="J50" s="79">
        <v>160</v>
      </c>
      <c r="K50" s="79"/>
      <c r="L50" s="10"/>
      <c r="M50" s="80"/>
      <c r="N50" s="2"/>
      <c r="O50" s="2"/>
    </row>
    <row r="51" spans="1:15" x14ac:dyDescent="0.3">
      <c r="A51" s="26">
        <v>45388</v>
      </c>
      <c r="B51" s="10" t="s">
        <v>507</v>
      </c>
      <c r="C51" s="10" t="s">
        <v>14</v>
      </c>
      <c r="D51" s="11">
        <f t="shared" si="1"/>
        <v>127.27272727272727</v>
      </c>
      <c r="E51" s="11">
        <f t="shared" si="2"/>
        <v>12.727272727272727</v>
      </c>
      <c r="F51" s="18">
        <v>140</v>
      </c>
      <c r="G51" s="18"/>
      <c r="H51" s="13">
        <v>140</v>
      </c>
      <c r="I51" s="19" t="s">
        <v>402</v>
      </c>
      <c r="J51" s="79">
        <v>140</v>
      </c>
      <c r="K51" s="79"/>
      <c r="L51" s="10"/>
      <c r="M51" s="80"/>
      <c r="N51" s="2"/>
      <c r="O51" s="2"/>
    </row>
    <row r="52" spans="1:15" x14ac:dyDescent="0.3">
      <c r="A52" s="28">
        <v>45388</v>
      </c>
      <c r="B52" s="10" t="s">
        <v>508</v>
      </c>
      <c r="C52" s="10" t="s">
        <v>14</v>
      </c>
      <c r="D52" s="11">
        <f t="shared" si="1"/>
        <v>154.54545454545453</v>
      </c>
      <c r="E52" s="11">
        <f t="shared" si="2"/>
        <v>15.454545454545453</v>
      </c>
      <c r="F52" s="18">
        <v>170</v>
      </c>
      <c r="G52" s="18">
        <v>50</v>
      </c>
      <c r="H52" s="13">
        <v>120</v>
      </c>
      <c r="I52" s="87" t="s">
        <v>734</v>
      </c>
      <c r="J52" s="88">
        <v>170</v>
      </c>
      <c r="K52" s="88"/>
      <c r="L52" s="1"/>
      <c r="M52" s="80"/>
      <c r="N52" s="2"/>
      <c r="O52" s="84"/>
    </row>
    <row r="53" spans="1:15" x14ac:dyDescent="0.3">
      <c r="A53" s="26">
        <v>45388</v>
      </c>
      <c r="B53" s="10" t="s">
        <v>509</v>
      </c>
      <c r="C53" s="10" t="s">
        <v>14</v>
      </c>
      <c r="D53" s="11">
        <f t="shared" si="1"/>
        <v>154.54545454545453</v>
      </c>
      <c r="E53" s="11">
        <f t="shared" si="2"/>
        <v>15.454545454545453</v>
      </c>
      <c r="F53" s="18">
        <v>170</v>
      </c>
      <c r="G53" s="18">
        <v>50</v>
      </c>
      <c r="H53" s="13">
        <v>170</v>
      </c>
      <c r="I53" s="19" t="s">
        <v>735</v>
      </c>
      <c r="J53" s="79">
        <v>170</v>
      </c>
      <c r="K53" s="79"/>
      <c r="L53" s="10"/>
      <c r="M53" s="80"/>
      <c r="N53" s="2"/>
      <c r="O53" s="2"/>
    </row>
    <row r="54" spans="1:15" x14ac:dyDescent="0.3">
      <c r="A54" s="26">
        <v>45388</v>
      </c>
      <c r="B54" s="10" t="s">
        <v>510</v>
      </c>
      <c r="C54" s="10" t="s">
        <v>14</v>
      </c>
      <c r="D54" s="11">
        <f t="shared" si="1"/>
        <v>118.18181818181817</v>
      </c>
      <c r="E54" s="11">
        <f t="shared" si="2"/>
        <v>11.818181818181818</v>
      </c>
      <c r="F54" s="18">
        <v>130</v>
      </c>
      <c r="G54" s="18"/>
      <c r="H54" s="13">
        <v>130</v>
      </c>
      <c r="I54" s="19" t="s">
        <v>403</v>
      </c>
      <c r="J54" s="79">
        <v>130</v>
      </c>
      <c r="K54" s="79"/>
      <c r="L54" s="10"/>
      <c r="M54" s="80"/>
      <c r="N54" s="2"/>
      <c r="O54" s="2"/>
    </row>
    <row r="55" spans="1:15" x14ac:dyDescent="0.3">
      <c r="A55" s="26">
        <v>45388</v>
      </c>
      <c r="B55" s="10" t="s">
        <v>511</v>
      </c>
      <c r="C55" s="10" t="s">
        <v>14</v>
      </c>
      <c r="D55" s="11">
        <f t="shared" si="1"/>
        <v>145.45454545454544</v>
      </c>
      <c r="E55" s="11">
        <f t="shared" si="2"/>
        <v>14.545454545454545</v>
      </c>
      <c r="F55" s="18">
        <v>160</v>
      </c>
      <c r="G55" s="18"/>
      <c r="H55" s="13">
        <v>160</v>
      </c>
      <c r="I55" s="19" t="s">
        <v>402</v>
      </c>
      <c r="J55" s="79">
        <v>160</v>
      </c>
      <c r="K55" s="79"/>
      <c r="L55" s="10"/>
      <c r="M55" s="80"/>
      <c r="N55" s="2"/>
      <c r="O55" s="2"/>
    </row>
    <row r="56" spans="1:15" x14ac:dyDescent="0.3">
      <c r="A56" s="26">
        <v>45389</v>
      </c>
      <c r="B56" s="10" t="s">
        <v>512</v>
      </c>
      <c r="C56" s="10" t="s">
        <v>14</v>
      </c>
      <c r="D56" s="11">
        <f t="shared" si="1"/>
        <v>118.18181818181817</v>
      </c>
      <c r="E56" s="11">
        <f t="shared" si="2"/>
        <v>11.818181818181818</v>
      </c>
      <c r="F56" s="18">
        <v>130</v>
      </c>
      <c r="G56" s="18"/>
      <c r="H56" s="13">
        <v>130</v>
      </c>
      <c r="I56" s="19" t="s">
        <v>402</v>
      </c>
      <c r="J56" s="79">
        <v>130</v>
      </c>
      <c r="K56" s="79"/>
      <c r="L56" s="10"/>
      <c r="M56" s="80"/>
      <c r="N56" s="2"/>
      <c r="O56" s="2"/>
    </row>
    <row r="57" spans="1:15" x14ac:dyDescent="0.3">
      <c r="A57" s="26">
        <v>45389</v>
      </c>
      <c r="B57" s="10" t="s">
        <v>513</v>
      </c>
      <c r="C57" s="10" t="s">
        <v>14</v>
      </c>
      <c r="D57" s="11">
        <f t="shared" si="1"/>
        <v>199.99999999999997</v>
      </c>
      <c r="E57" s="11">
        <f t="shared" si="2"/>
        <v>19.999999999999996</v>
      </c>
      <c r="F57" s="18">
        <v>220</v>
      </c>
      <c r="G57" s="18">
        <v>50</v>
      </c>
      <c r="H57" s="13">
        <v>170</v>
      </c>
      <c r="I57" s="19" t="s">
        <v>264</v>
      </c>
      <c r="J57" s="79">
        <v>170</v>
      </c>
      <c r="K57" s="79"/>
      <c r="L57" s="10"/>
      <c r="M57" s="80"/>
      <c r="N57" s="2"/>
      <c r="O57" s="2"/>
    </row>
    <row r="58" spans="1:15" x14ac:dyDescent="0.3">
      <c r="A58" s="26">
        <v>45391</v>
      </c>
      <c r="B58" s="10" t="s">
        <v>514</v>
      </c>
      <c r="C58" s="10" t="s">
        <v>14</v>
      </c>
      <c r="D58" s="11">
        <f t="shared" si="1"/>
        <v>195.45454545454544</v>
      </c>
      <c r="E58" s="11">
        <f t="shared" si="2"/>
        <v>19.545454545454547</v>
      </c>
      <c r="F58" s="18">
        <v>215</v>
      </c>
      <c r="G58" s="18">
        <v>50</v>
      </c>
      <c r="H58" s="13">
        <f>F58-G58</f>
        <v>165</v>
      </c>
      <c r="I58" s="19" t="s">
        <v>1042</v>
      </c>
      <c r="J58" s="79">
        <v>170</v>
      </c>
      <c r="K58" s="79"/>
      <c r="L58" s="10"/>
      <c r="M58" s="80">
        <v>45</v>
      </c>
      <c r="N58" s="2" t="s">
        <v>1043</v>
      </c>
      <c r="O58" s="2"/>
    </row>
    <row r="59" spans="1:15" x14ac:dyDescent="0.3">
      <c r="A59" s="26">
        <v>45393</v>
      </c>
      <c r="B59" s="10" t="s">
        <v>515</v>
      </c>
      <c r="C59" s="10" t="s">
        <v>14</v>
      </c>
      <c r="D59" s="11">
        <f t="shared" si="1"/>
        <v>263.63636363636363</v>
      </c>
      <c r="E59" s="11">
        <f t="shared" si="2"/>
        <v>26.36363636363636</v>
      </c>
      <c r="F59" s="18">
        <v>290</v>
      </c>
      <c r="G59" s="18">
        <v>50</v>
      </c>
      <c r="H59" s="13">
        <f t="shared" ref="H59:H122" si="3">F59-G59</f>
        <v>240</v>
      </c>
      <c r="I59" s="19" t="s">
        <v>1044</v>
      </c>
      <c r="J59" s="79">
        <v>290</v>
      </c>
      <c r="K59" s="79"/>
      <c r="L59" s="10"/>
      <c r="M59" s="80"/>
      <c r="N59" s="2"/>
      <c r="O59" s="2"/>
    </row>
    <row r="60" spans="1:15" x14ac:dyDescent="0.3">
      <c r="A60" s="26">
        <v>45394</v>
      </c>
      <c r="B60" s="10" t="s">
        <v>516</v>
      </c>
      <c r="C60" s="10" t="s">
        <v>14</v>
      </c>
      <c r="D60" s="11">
        <f t="shared" si="1"/>
        <v>199.99999999999997</v>
      </c>
      <c r="E60" s="11">
        <f t="shared" si="2"/>
        <v>19.999999999999996</v>
      </c>
      <c r="F60" s="18">
        <v>220</v>
      </c>
      <c r="G60" s="18">
        <v>50</v>
      </c>
      <c r="H60" s="13">
        <f t="shared" si="3"/>
        <v>170</v>
      </c>
      <c r="I60" s="19" t="s">
        <v>1045</v>
      </c>
      <c r="J60" s="79">
        <v>170</v>
      </c>
      <c r="K60" s="79">
        <v>50</v>
      </c>
      <c r="L60" s="10" t="s">
        <v>223</v>
      </c>
      <c r="M60" s="80"/>
      <c r="N60" s="2"/>
      <c r="O60" s="2"/>
    </row>
    <row r="61" spans="1:15" x14ac:dyDescent="0.3">
      <c r="A61" s="26">
        <v>45394</v>
      </c>
      <c r="B61" s="10" t="s">
        <v>517</v>
      </c>
      <c r="C61" s="10" t="s">
        <v>14</v>
      </c>
      <c r="D61" s="11">
        <f t="shared" si="1"/>
        <v>172.72727272727272</v>
      </c>
      <c r="E61" s="11">
        <f t="shared" si="2"/>
        <v>17.272727272727273</v>
      </c>
      <c r="F61" s="18">
        <v>190</v>
      </c>
      <c r="G61" s="18">
        <v>50</v>
      </c>
      <c r="H61" s="13">
        <f t="shared" si="3"/>
        <v>140</v>
      </c>
      <c r="I61" s="19" t="s">
        <v>1046</v>
      </c>
      <c r="J61" s="79">
        <v>170</v>
      </c>
      <c r="K61" s="79">
        <v>20</v>
      </c>
      <c r="L61" s="10" t="s">
        <v>223</v>
      </c>
      <c r="M61" s="80"/>
      <c r="N61" s="2"/>
      <c r="O61" s="2"/>
    </row>
    <row r="62" spans="1:15" x14ac:dyDescent="0.3">
      <c r="A62" s="26">
        <v>45394</v>
      </c>
      <c r="B62" s="10" t="s">
        <v>518</v>
      </c>
      <c r="C62" s="10" t="s">
        <v>14</v>
      </c>
      <c r="D62" s="11">
        <f t="shared" si="1"/>
        <v>245.45454545454544</v>
      </c>
      <c r="E62" s="11">
        <f t="shared" si="2"/>
        <v>24.545454545454547</v>
      </c>
      <c r="F62" s="18">
        <v>270</v>
      </c>
      <c r="G62" s="18">
        <v>50</v>
      </c>
      <c r="H62" s="13">
        <f t="shared" si="3"/>
        <v>220</v>
      </c>
      <c r="I62" s="19" t="s">
        <v>1047</v>
      </c>
      <c r="J62" s="79">
        <v>270</v>
      </c>
      <c r="K62" s="79"/>
      <c r="L62" s="10"/>
      <c r="M62" s="80"/>
      <c r="N62" s="2"/>
      <c r="O62" s="2"/>
    </row>
    <row r="63" spans="1:15" x14ac:dyDescent="0.3">
      <c r="A63" s="31">
        <v>45394</v>
      </c>
      <c r="B63" s="10" t="s">
        <v>519</v>
      </c>
      <c r="C63" s="10" t="s">
        <v>14</v>
      </c>
      <c r="D63" s="11">
        <f t="shared" si="1"/>
        <v>245.45454545454544</v>
      </c>
      <c r="E63" s="11">
        <f t="shared" si="2"/>
        <v>24.545454545454547</v>
      </c>
      <c r="F63" s="18">
        <v>270</v>
      </c>
      <c r="G63" s="18">
        <v>50</v>
      </c>
      <c r="H63" s="13">
        <f t="shared" si="3"/>
        <v>220</v>
      </c>
      <c r="I63" s="19" t="s">
        <v>1048</v>
      </c>
      <c r="J63" s="79">
        <v>270</v>
      </c>
      <c r="K63" s="79"/>
      <c r="L63" s="10"/>
      <c r="M63" s="80"/>
      <c r="N63" s="2"/>
      <c r="O63" s="2"/>
    </row>
    <row r="64" spans="1:15" x14ac:dyDescent="0.3">
      <c r="A64" s="31">
        <v>45394</v>
      </c>
      <c r="B64" s="10" t="s">
        <v>520</v>
      </c>
      <c r="C64" s="10" t="s">
        <v>14</v>
      </c>
      <c r="D64" s="11">
        <f t="shared" si="1"/>
        <v>199.99999999999997</v>
      </c>
      <c r="E64" s="11">
        <f t="shared" si="2"/>
        <v>19.999999999999996</v>
      </c>
      <c r="F64" s="18">
        <v>220</v>
      </c>
      <c r="G64" s="18">
        <v>50</v>
      </c>
      <c r="H64" s="13">
        <f t="shared" si="3"/>
        <v>170</v>
      </c>
      <c r="I64" s="19" t="s">
        <v>1049</v>
      </c>
      <c r="J64" s="79">
        <v>220</v>
      </c>
      <c r="K64" s="79"/>
      <c r="L64" s="10"/>
      <c r="M64" s="80"/>
      <c r="N64" s="2"/>
      <c r="O64" s="2"/>
    </row>
    <row r="65" spans="1:15" x14ac:dyDescent="0.3">
      <c r="A65" s="31">
        <v>45394</v>
      </c>
      <c r="B65" s="10" t="s">
        <v>522</v>
      </c>
      <c r="C65" s="10" t="s">
        <v>14</v>
      </c>
      <c r="D65" s="11">
        <f t="shared" si="1"/>
        <v>127.27272727272727</v>
      </c>
      <c r="E65" s="11">
        <f t="shared" si="2"/>
        <v>12.727272727272727</v>
      </c>
      <c r="F65" s="18">
        <v>140</v>
      </c>
      <c r="G65" s="18"/>
      <c r="H65" s="13">
        <f t="shared" si="3"/>
        <v>140</v>
      </c>
      <c r="I65" s="19" t="s">
        <v>402</v>
      </c>
      <c r="J65" s="79">
        <v>140</v>
      </c>
      <c r="K65" s="79"/>
      <c r="L65" s="10"/>
      <c r="M65" s="80"/>
      <c r="N65" s="2"/>
      <c r="O65" s="2"/>
    </row>
    <row r="66" spans="1:15" x14ac:dyDescent="0.3">
      <c r="A66" s="31">
        <v>45395</v>
      </c>
      <c r="B66" s="10" t="s">
        <v>523</v>
      </c>
      <c r="C66" s="10" t="s">
        <v>14</v>
      </c>
      <c r="D66" s="11">
        <f t="shared" si="1"/>
        <v>290.90909090909088</v>
      </c>
      <c r="E66" s="11">
        <f t="shared" si="2"/>
        <v>29.09090909090909</v>
      </c>
      <c r="F66" s="18">
        <v>320</v>
      </c>
      <c r="G66" s="18">
        <v>45</v>
      </c>
      <c r="H66" s="13">
        <f t="shared" si="3"/>
        <v>275</v>
      </c>
      <c r="I66" s="19" t="s">
        <v>1050</v>
      </c>
      <c r="J66" s="79">
        <v>320</v>
      </c>
      <c r="K66" s="79"/>
      <c r="L66" s="10"/>
      <c r="M66" s="80"/>
      <c r="N66" s="2"/>
      <c r="O66" s="2"/>
    </row>
    <row r="67" spans="1:15" x14ac:dyDescent="0.3">
      <c r="A67" s="26">
        <v>45395</v>
      </c>
      <c r="B67" s="10" t="s">
        <v>524</v>
      </c>
      <c r="C67" s="10" t="s">
        <v>14</v>
      </c>
      <c r="D67" s="11">
        <f t="shared" si="1"/>
        <v>127.27272727272727</v>
      </c>
      <c r="E67" s="11">
        <f t="shared" ref="E67:E98" si="4">D67*10/100</f>
        <v>12.727272727272727</v>
      </c>
      <c r="F67" s="18">
        <v>140</v>
      </c>
      <c r="G67" s="18">
        <v>20</v>
      </c>
      <c r="H67" s="13">
        <f t="shared" si="3"/>
        <v>120</v>
      </c>
      <c r="I67" s="19" t="s">
        <v>1051</v>
      </c>
      <c r="J67" s="79">
        <v>140</v>
      </c>
      <c r="K67" s="79"/>
      <c r="L67" s="10"/>
      <c r="M67" s="80"/>
      <c r="N67" s="2"/>
      <c r="O67" s="2"/>
    </row>
    <row r="68" spans="1:15" x14ac:dyDescent="0.3">
      <c r="A68" s="26">
        <v>45395</v>
      </c>
      <c r="B68" s="10" t="s">
        <v>525</v>
      </c>
      <c r="C68" s="10" t="s">
        <v>14</v>
      </c>
      <c r="D68" s="11">
        <f t="shared" ref="D68:D131" si="5">F68/1.1</f>
        <v>172.72727272727272</v>
      </c>
      <c r="E68" s="11">
        <f t="shared" si="4"/>
        <v>17.272727272727273</v>
      </c>
      <c r="F68" s="18">
        <v>190</v>
      </c>
      <c r="G68" s="18">
        <v>50</v>
      </c>
      <c r="H68" s="13">
        <f t="shared" si="3"/>
        <v>140</v>
      </c>
      <c r="I68" s="19" t="s">
        <v>1052</v>
      </c>
      <c r="J68" s="79">
        <v>170</v>
      </c>
      <c r="K68" s="79">
        <v>20</v>
      </c>
      <c r="L68" s="10"/>
      <c r="M68" s="80"/>
      <c r="N68" s="2"/>
      <c r="O68" s="2"/>
    </row>
    <row r="69" spans="1:15" x14ac:dyDescent="0.3">
      <c r="A69" s="26">
        <v>45395</v>
      </c>
      <c r="B69" s="10" t="s">
        <v>526</v>
      </c>
      <c r="C69" s="10" t="s">
        <v>14</v>
      </c>
      <c r="D69" s="11">
        <f t="shared" si="5"/>
        <v>154.54545454545453</v>
      </c>
      <c r="E69" s="11">
        <f t="shared" si="4"/>
        <v>15.454545454545453</v>
      </c>
      <c r="F69" s="18">
        <v>170</v>
      </c>
      <c r="G69" s="18">
        <v>50</v>
      </c>
      <c r="H69" s="13">
        <f t="shared" si="3"/>
        <v>120</v>
      </c>
      <c r="I69" s="19" t="s">
        <v>1053</v>
      </c>
      <c r="J69" s="79">
        <v>170</v>
      </c>
      <c r="K69" s="79"/>
      <c r="L69" s="10"/>
      <c r="M69" s="80"/>
      <c r="N69" s="2"/>
      <c r="O69" s="2"/>
    </row>
    <row r="70" spans="1:15" x14ac:dyDescent="0.3">
      <c r="A70" s="26">
        <v>45395</v>
      </c>
      <c r="B70" s="10" t="s">
        <v>527</v>
      </c>
      <c r="C70" s="10" t="s">
        <v>14</v>
      </c>
      <c r="D70" s="11">
        <f t="shared" si="5"/>
        <v>154.54545454545453</v>
      </c>
      <c r="E70" s="11">
        <f t="shared" si="4"/>
        <v>15.454545454545453</v>
      </c>
      <c r="F70" s="18">
        <v>170</v>
      </c>
      <c r="G70" s="18">
        <v>50</v>
      </c>
      <c r="H70" s="13">
        <f t="shared" si="3"/>
        <v>120</v>
      </c>
      <c r="I70" s="19" t="s">
        <v>1054</v>
      </c>
      <c r="J70" s="79">
        <v>170</v>
      </c>
      <c r="K70" s="79"/>
      <c r="L70" s="10"/>
      <c r="M70" s="80"/>
      <c r="N70" s="2"/>
      <c r="O70" s="2"/>
    </row>
    <row r="71" spans="1:15" x14ac:dyDescent="0.3">
      <c r="A71" s="26">
        <v>45395</v>
      </c>
      <c r="B71" s="10" t="s">
        <v>528</v>
      </c>
      <c r="C71" s="10" t="s">
        <v>14</v>
      </c>
      <c r="D71" s="11">
        <f t="shared" si="5"/>
        <v>127.27272727272727</v>
      </c>
      <c r="E71" s="11">
        <f t="shared" si="4"/>
        <v>12.727272727272727</v>
      </c>
      <c r="F71" s="18">
        <v>140</v>
      </c>
      <c r="G71" s="18"/>
      <c r="H71" s="13">
        <f t="shared" si="3"/>
        <v>140</v>
      </c>
      <c r="I71" s="19" t="s">
        <v>1055</v>
      </c>
      <c r="J71" s="79">
        <v>140</v>
      </c>
      <c r="K71" s="79"/>
      <c r="L71" s="10"/>
      <c r="M71" s="80"/>
      <c r="N71" s="2"/>
      <c r="O71" s="2"/>
    </row>
    <row r="72" spans="1:15" x14ac:dyDescent="0.3">
      <c r="A72" s="26">
        <v>45395</v>
      </c>
      <c r="B72" s="10" t="s">
        <v>529</v>
      </c>
      <c r="C72" s="10" t="s">
        <v>14</v>
      </c>
      <c r="D72" s="11">
        <f t="shared" si="5"/>
        <v>163.63636363636363</v>
      </c>
      <c r="E72" s="11">
        <f t="shared" si="4"/>
        <v>16.363636363636363</v>
      </c>
      <c r="F72" s="18">
        <v>180</v>
      </c>
      <c r="G72" s="18"/>
      <c r="H72" s="13">
        <f t="shared" si="3"/>
        <v>180</v>
      </c>
      <c r="I72" s="19" t="s">
        <v>402</v>
      </c>
      <c r="J72" s="79">
        <v>180</v>
      </c>
      <c r="K72" s="79"/>
      <c r="L72" s="10"/>
      <c r="M72" s="80"/>
      <c r="N72" s="2"/>
      <c r="O72" s="2"/>
    </row>
    <row r="73" spans="1:15" x14ac:dyDescent="0.3">
      <c r="A73" s="26">
        <v>45395</v>
      </c>
      <c r="B73" s="10" t="s">
        <v>530</v>
      </c>
      <c r="C73" s="10" t="s">
        <v>14</v>
      </c>
      <c r="D73" s="11">
        <f t="shared" si="5"/>
        <v>199.99999999999997</v>
      </c>
      <c r="E73" s="11">
        <f t="shared" si="4"/>
        <v>19.999999999999996</v>
      </c>
      <c r="F73" s="18">
        <v>220</v>
      </c>
      <c r="G73" s="18"/>
      <c r="H73" s="13">
        <f t="shared" si="3"/>
        <v>220</v>
      </c>
      <c r="I73" s="19" t="s">
        <v>715</v>
      </c>
      <c r="J73" s="79">
        <v>220</v>
      </c>
      <c r="K73" s="79"/>
      <c r="L73" s="10"/>
      <c r="M73" s="80"/>
      <c r="N73" s="2"/>
      <c r="O73" s="2"/>
    </row>
    <row r="74" spans="1:15" x14ac:dyDescent="0.3">
      <c r="A74" s="26">
        <v>45395</v>
      </c>
      <c r="B74" s="10" t="s">
        <v>531</v>
      </c>
      <c r="C74" s="10" t="s">
        <v>14</v>
      </c>
      <c r="D74" s="11">
        <f t="shared" si="5"/>
        <v>236.36363636363635</v>
      </c>
      <c r="E74" s="11">
        <f t="shared" si="4"/>
        <v>23.636363636363637</v>
      </c>
      <c r="F74" s="18">
        <v>260</v>
      </c>
      <c r="G74" s="18">
        <v>260</v>
      </c>
      <c r="H74" s="13">
        <f t="shared" si="3"/>
        <v>0</v>
      </c>
      <c r="I74" s="19" t="s">
        <v>1056</v>
      </c>
      <c r="J74" s="79">
        <v>220</v>
      </c>
      <c r="K74" s="79">
        <v>40</v>
      </c>
      <c r="L74" s="10" t="s">
        <v>223</v>
      </c>
      <c r="M74" s="80"/>
      <c r="N74" s="2"/>
      <c r="O74" s="2"/>
    </row>
    <row r="75" spans="1:15" x14ac:dyDescent="0.3">
      <c r="A75" s="26">
        <v>45395</v>
      </c>
      <c r="B75" s="10" t="s">
        <v>532</v>
      </c>
      <c r="C75" s="10" t="s">
        <v>14</v>
      </c>
      <c r="D75" s="11">
        <f t="shared" si="5"/>
        <v>199.99999999999997</v>
      </c>
      <c r="E75" s="11">
        <f t="shared" si="4"/>
        <v>19.999999999999996</v>
      </c>
      <c r="F75" s="18">
        <v>220</v>
      </c>
      <c r="G75" s="21">
        <v>220</v>
      </c>
      <c r="H75" s="13">
        <f t="shared" si="3"/>
        <v>0</v>
      </c>
      <c r="I75" s="19" t="s">
        <v>1058</v>
      </c>
      <c r="J75" s="79">
        <v>220</v>
      </c>
      <c r="K75" s="79"/>
      <c r="L75" s="10"/>
      <c r="M75" s="80"/>
      <c r="N75" s="2"/>
      <c r="O75" s="2"/>
    </row>
    <row r="76" spans="1:15" x14ac:dyDescent="0.3">
      <c r="A76" s="26">
        <v>45395</v>
      </c>
      <c r="B76" s="10" t="s">
        <v>533</v>
      </c>
      <c r="C76" s="10" t="s">
        <v>14</v>
      </c>
      <c r="D76" s="11">
        <f t="shared" si="5"/>
        <v>172.72727272727272</v>
      </c>
      <c r="E76" s="11">
        <f t="shared" si="4"/>
        <v>17.272727272727273</v>
      </c>
      <c r="F76" s="18">
        <v>190</v>
      </c>
      <c r="G76" s="18"/>
      <c r="H76" s="13">
        <f t="shared" si="3"/>
        <v>190</v>
      </c>
      <c r="I76" s="19" t="s">
        <v>1028</v>
      </c>
      <c r="J76" s="79">
        <v>190</v>
      </c>
      <c r="K76" s="79"/>
      <c r="L76" s="10"/>
      <c r="M76" s="80"/>
      <c r="N76" s="2"/>
      <c r="O76" s="2"/>
    </row>
    <row r="77" spans="1:15" x14ac:dyDescent="0.3">
      <c r="A77" s="26">
        <v>45395</v>
      </c>
      <c r="B77" s="10" t="s">
        <v>534</v>
      </c>
      <c r="C77" s="10" t="s">
        <v>14</v>
      </c>
      <c r="D77" s="11">
        <f t="shared" si="5"/>
        <v>281.81818181818181</v>
      </c>
      <c r="E77" s="11">
        <f t="shared" si="4"/>
        <v>28.18181818181818</v>
      </c>
      <c r="F77" s="18">
        <v>310</v>
      </c>
      <c r="G77" s="18">
        <v>310</v>
      </c>
      <c r="H77" s="13">
        <f t="shared" si="3"/>
        <v>0</v>
      </c>
      <c r="I77" s="19" t="s">
        <v>1059</v>
      </c>
      <c r="J77" s="79">
        <v>310</v>
      </c>
      <c r="K77" s="32"/>
      <c r="L77" s="10"/>
      <c r="M77" s="80"/>
      <c r="N77" s="2"/>
      <c r="O77" s="2"/>
    </row>
    <row r="78" spans="1:15" x14ac:dyDescent="0.3">
      <c r="A78" s="26">
        <v>45395</v>
      </c>
      <c r="B78" s="10" t="s">
        <v>535</v>
      </c>
      <c r="C78" s="10" t="s">
        <v>14</v>
      </c>
      <c r="D78" s="11">
        <f t="shared" si="5"/>
        <v>218.18181818181816</v>
      </c>
      <c r="E78" s="11">
        <f t="shared" si="4"/>
        <v>21.818181818181817</v>
      </c>
      <c r="F78" s="33">
        <v>240</v>
      </c>
      <c r="G78" s="33"/>
      <c r="H78" s="13">
        <f t="shared" si="3"/>
        <v>240</v>
      </c>
      <c r="I78" s="19" t="s">
        <v>1051</v>
      </c>
      <c r="J78" s="89">
        <v>240</v>
      </c>
      <c r="K78" s="35"/>
      <c r="L78" s="36"/>
      <c r="M78" s="90"/>
      <c r="N78" s="91"/>
      <c r="O78" s="91"/>
    </row>
    <row r="79" spans="1:15" x14ac:dyDescent="0.3">
      <c r="A79" s="26">
        <v>45395</v>
      </c>
      <c r="B79" s="10" t="s">
        <v>536</v>
      </c>
      <c r="C79" s="10" t="s">
        <v>14</v>
      </c>
      <c r="D79" s="11">
        <f t="shared" si="5"/>
        <v>281.81818181818181</v>
      </c>
      <c r="E79" s="11">
        <f t="shared" si="4"/>
        <v>28.18181818181818</v>
      </c>
      <c r="F79" s="39">
        <v>310</v>
      </c>
      <c r="G79" s="18">
        <v>50</v>
      </c>
      <c r="H79" s="13">
        <f t="shared" si="3"/>
        <v>260</v>
      </c>
      <c r="I79" s="19" t="s">
        <v>1060</v>
      </c>
      <c r="J79" s="52">
        <v>270</v>
      </c>
      <c r="K79" s="40">
        <v>40</v>
      </c>
      <c r="L79" s="1" t="s">
        <v>223</v>
      </c>
      <c r="M79" s="52"/>
      <c r="N79" s="52"/>
      <c r="O79" s="52"/>
    </row>
    <row r="80" spans="1:15" x14ac:dyDescent="0.3">
      <c r="A80" s="26">
        <v>45395</v>
      </c>
      <c r="B80" s="10" t="s">
        <v>537</v>
      </c>
      <c r="C80" s="10" t="s">
        <v>14</v>
      </c>
      <c r="D80" s="11">
        <f t="shared" si="5"/>
        <v>263.63636363636363</v>
      </c>
      <c r="E80" s="11">
        <f t="shared" si="4"/>
        <v>26.36363636363636</v>
      </c>
      <c r="F80" s="39">
        <v>290</v>
      </c>
      <c r="G80" s="18">
        <v>50</v>
      </c>
      <c r="H80" s="13">
        <f t="shared" si="3"/>
        <v>240</v>
      </c>
      <c r="I80" s="19" t="s">
        <v>1061</v>
      </c>
      <c r="J80" s="52">
        <v>270</v>
      </c>
      <c r="K80" s="40">
        <v>20</v>
      </c>
      <c r="L80" s="1" t="s">
        <v>223</v>
      </c>
      <c r="M80" s="52"/>
      <c r="N80" s="52"/>
      <c r="O80" s="52"/>
    </row>
    <row r="81" spans="1:15" x14ac:dyDescent="0.3">
      <c r="A81" s="26">
        <v>45395</v>
      </c>
      <c r="B81" s="10" t="s">
        <v>538</v>
      </c>
      <c r="C81" s="10" t="s">
        <v>14</v>
      </c>
      <c r="D81" s="11">
        <f t="shared" si="5"/>
        <v>199.99999999999997</v>
      </c>
      <c r="E81" s="11">
        <f t="shared" si="4"/>
        <v>19.999999999999996</v>
      </c>
      <c r="F81" s="39">
        <v>220</v>
      </c>
      <c r="G81" s="18">
        <v>220</v>
      </c>
      <c r="H81" s="13">
        <f t="shared" si="3"/>
        <v>0</v>
      </c>
      <c r="I81" s="19" t="s">
        <v>1062</v>
      </c>
      <c r="J81" s="52">
        <v>220</v>
      </c>
      <c r="K81" s="40"/>
      <c r="L81" s="1"/>
      <c r="M81" s="52"/>
      <c r="N81" s="52"/>
      <c r="O81" s="52"/>
    </row>
    <row r="82" spans="1:15" x14ac:dyDescent="0.3">
      <c r="A82" s="26">
        <v>45395</v>
      </c>
      <c r="B82" s="10" t="s">
        <v>539</v>
      </c>
      <c r="C82" s="10" t="s">
        <v>14</v>
      </c>
      <c r="D82" s="11">
        <f t="shared" si="5"/>
        <v>218.18181818181816</v>
      </c>
      <c r="E82" s="11">
        <f t="shared" si="4"/>
        <v>21.818181818181817</v>
      </c>
      <c r="F82" s="39">
        <v>240</v>
      </c>
      <c r="G82" s="18">
        <v>50</v>
      </c>
      <c r="H82" s="13">
        <f t="shared" si="3"/>
        <v>190</v>
      </c>
      <c r="I82" s="19" t="s">
        <v>1063</v>
      </c>
      <c r="J82" s="52">
        <v>220</v>
      </c>
      <c r="K82" s="40">
        <v>20</v>
      </c>
      <c r="L82" s="1" t="s">
        <v>223</v>
      </c>
      <c r="M82" s="52"/>
      <c r="N82" s="52"/>
      <c r="O82" s="52"/>
    </row>
    <row r="83" spans="1:15" x14ac:dyDescent="0.3">
      <c r="A83" s="26">
        <v>45395</v>
      </c>
      <c r="B83" s="10" t="s">
        <v>540</v>
      </c>
      <c r="C83" s="10" t="s">
        <v>14</v>
      </c>
      <c r="D83" s="11">
        <f t="shared" si="5"/>
        <v>281.81818181818181</v>
      </c>
      <c r="E83" s="11">
        <f t="shared" si="4"/>
        <v>28.18181818181818</v>
      </c>
      <c r="F83" s="39">
        <v>310</v>
      </c>
      <c r="G83" s="21">
        <v>50</v>
      </c>
      <c r="H83" s="13">
        <f t="shared" si="3"/>
        <v>260</v>
      </c>
      <c r="I83" s="19" t="s">
        <v>1064</v>
      </c>
      <c r="J83" s="52">
        <v>270</v>
      </c>
      <c r="K83" s="40">
        <v>40</v>
      </c>
      <c r="L83" s="1" t="s">
        <v>223</v>
      </c>
      <c r="M83" s="52"/>
      <c r="N83" s="52"/>
      <c r="O83" s="52"/>
    </row>
    <row r="84" spans="1:15" x14ac:dyDescent="0.3">
      <c r="A84" s="26">
        <v>45395</v>
      </c>
      <c r="B84" s="10" t="s">
        <v>541</v>
      </c>
      <c r="C84" s="10" t="s">
        <v>14</v>
      </c>
      <c r="D84" s="11">
        <f t="shared" si="5"/>
        <v>377.27272727272725</v>
      </c>
      <c r="E84" s="11">
        <f t="shared" si="4"/>
        <v>37.727272727272727</v>
      </c>
      <c r="F84" s="39">
        <v>415</v>
      </c>
      <c r="G84" s="18">
        <v>200</v>
      </c>
      <c r="H84" s="13">
        <f t="shared" si="3"/>
        <v>215</v>
      </c>
      <c r="I84" s="19" t="s">
        <v>1065</v>
      </c>
      <c r="J84" s="52">
        <v>415</v>
      </c>
      <c r="K84" s="40"/>
      <c r="L84" s="1"/>
      <c r="M84" s="52"/>
      <c r="N84" s="52"/>
      <c r="O84" s="52"/>
    </row>
    <row r="85" spans="1:15" x14ac:dyDescent="0.3">
      <c r="A85" s="26">
        <v>45395</v>
      </c>
      <c r="B85" s="10" t="s">
        <v>542</v>
      </c>
      <c r="C85" s="10" t="s">
        <v>14</v>
      </c>
      <c r="D85" s="11">
        <f t="shared" si="5"/>
        <v>181.81818181818181</v>
      </c>
      <c r="E85" s="11">
        <f t="shared" si="4"/>
        <v>18.18181818181818</v>
      </c>
      <c r="F85" s="39">
        <v>200</v>
      </c>
      <c r="G85" s="18"/>
      <c r="H85" s="13">
        <f t="shared" si="3"/>
        <v>200</v>
      </c>
      <c r="I85" s="19" t="s">
        <v>402</v>
      </c>
      <c r="J85" s="52">
        <v>200</v>
      </c>
      <c r="K85" s="40"/>
      <c r="L85" s="1"/>
      <c r="M85" s="52"/>
      <c r="N85" s="52"/>
      <c r="O85" s="52"/>
    </row>
    <row r="86" spans="1:15" x14ac:dyDescent="0.3">
      <c r="A86" s="26">
        <v>45395</v>
      </c>
      <c r="B86" s="10" t="s">
        <v>543</v>
      </c>
      <c r="C86" s="10" t="s">
        <v>14</v>
      </c>
      <c r="D86" s="11">
        <f t="shared" si="5"/>
        <v>281.81818181818181</v>
      </c>
      <c r="E86" s="11">
        <f t="shared" si="4"/>
        <v>28.18181818181818</v>
      </c>
      <c r="F86" s="39">
        <v>310</v>
      </c>
      <c r="G86" s="18">
        <v>50</v>
      </c>
      <c r="H86" s="13">
        <f t="shared" si="3"/>
        <v>260</v>
      </c>
      <c r="I86" s="19" t="s">
        <v>1066</v>
      </c>
      <c r="J86" s="52">
        <v>270</v>
      </c>
      <c r="K86" s="40">
        <v>40</v>
      </c>
      <c r="L86" s="1" t="s">
        <v>223</v>
      </c>
      <c r="M86" s="52"/>
      <c r="N86" s="52"/>
      <c r="O86" s="52"/>
    </row>
    <row r="87" spans="1:15" x14ac:dyDescent="0.3">
      <c r="A87" s="26">
        <v>45395</v>
      </c>
      <c r="B87" s="10" t="s">
        <v>544</v>
      </c>
      <c r="C87" s="10" t="s">
        <v>14</v>
      </c>
      <c r="D87" s="11">
        <f t="shared" si="5"/>
        <v>236.36363636363635</v>
      </c>
      <c r="E87" s="11">
        <f t="shared" si="4"/>
        <v>23.636363636363637</v>
      </c>
      <c r="F87" s="39">
        <v>260</v>
      </c>
      <c r="G87" s="18">
        <v>30</v>
      </c>
      <c r="H87" s="13">
        <f t="shared" si="3"/>
        <v>230</v>
      </c>
      <c r="I87" s="19" t="s">
        <v>1067</v>
      </c>
      <c r="J87" s="52">
        <v>220</v>
      </c>
      <c r="K87" s="40">
        <v>40</v>
      </c>
      <c r="L87" s="41" t="s">
        <v>223</v>
      </c>
      <c r="M87" s="52"/>
      <c r="N87" s="52"/>
      <c r="O87" s="52"/>
    </row>
    <row r="88" spans="1:15" x14ac:dyDescent="0.3">
      <c r="A88" s="26">
        <v>45395</v>
      </c>
      <c r="B88" s="10" t="s">
        <v>545</v>
      </c>
      <c r="C88" s="10" t="s">
        <v>14</v>
      </c>
      <c r="D88" s="11">
        <f t="shared" si="5"/>
        <v>154.54545454545453</v>
      </c>
      <c r="E88" s="11">
        <f t="shared" si="4"/>
        <v>15.454545454545453</v>
      </c>
      <c r="F88" s="39">
        <v>170</v>
      </c>
      <c r="G88" s="18">
        <v>50</v>
      </c>
      <c r="H88" s="13">
        <f t="shared" si="3"/>
        <v>120</v>
      </c>
      <c r="I88" s="19" t="s">
        <v>1068</v>
      </c>
      <c r="J88" s="52">
        <v>170</v>
      </c>
      <c r="K88" s="40"/>
      <c r="L88" s="1"/>
      <c r="M88" s="92"/>
      <c r="N88" s="52"/>
      <c r="O88" s="52"/>
    </row>
    <row r="89" spans="1:15" x14ac:dyDescent="0.3">
      <c r="A89" s="26">
        <v>45395</v>
      </c>
      <c r="B89" s="10" t="s">
        <v>546</v>
      </c>
      <c r="C89" s="10" t="s">
        <v>14</v>
      </c>
      <c r="D89" s="11">
        <f t="shared" si="5"/>
        <v>154.54545454545453</v>
      </c>
      <c r="E89" s="11">
        <f t="shared" si="4"/>
        <v>15.454545454545453</v>
      </c>
      <c r="F89" s="39">
        <v>170</v>
      </c>
      <c r="G89" s="18">
        <v>50</v>
      </c>
      <c r="H89" s="13">
        <f t="shared" si="3"/>
        <v>120</v>
      </c>
      <c r="I89" s="19" t="s">
        <v>1069</v>
      </c>
      <c r="J89" s="52">
        <v>170</v>
      </c>
      <c r="K89" s="40"/>
      <c r="L89" s="1"/>
      <c r="M89" s="52"/>
      <c r="N89" s="52"/>
      <c r="O89" s="52"/>
    </row>
    <row r="90" spans="1:15" x14ac:dyDescent="0.3">
      <c r="A90" s="26">
        <v>45395</v>
      </c>
      <c r="B90" s="10" t="s">
        <v>547</v>
      </c>
      <c r="C90" s="10" t="s">
        <v>14</v>
      </c>
      <c r="D90" s="11">
        <f t="shared" si="5"/>
        <v>154.54545454545453</v>
      </c>
      <c r="E90" s="11">
        <f t="shared" si="4"/>
        <v>15.454545454545453</v>
      </c>
      <c r="F90" s="30">
        <v>170</v>
      </c>
      <c r="G90" s="30"/>
      <c r="H90" s="13">
        <f t="shared" si="3"/>
        <v>170</v>
      </c>
      <c r="I90" s="1" t="s">
        <v>1070</v>
      </c>
      <c r="J90" s="30">
        <v>170</v>
      </c>
      <c r="K90" s="30"/>
      <c r="L90" s="1"/>
      <c r="M90" s="1"/>
      <c r="N90" s="1"/>
      <c r="O90" s="52"/>
    </row>
    <row r="91" spans="1:15" x14ac:dyDescent="0.3">
      <c r="A91" s="26">
        <v>45395</v>
      </c>
      <c r="B91" s="10" t="s">
        <v>548</v>
      </c>
      <c r="C91" s="10" t="s">
        <v>14</v>
      </c>
      <c r="D91" s="11">
        <f t="shared" si="5"/>
        <v>118.18181818181817</v>
      </c>
      <c r="E91" s="11">
        <f t="shared" si="4"/>
        <v>11.818181818181818</v>
      </c>
      <c r="F91" s="30">
        <v>130</v>
      </c>
      <c r="G91" s="30"/>
      <c r="H91" s="13">
        <f t="shared" si="3"/>
        <v>130</v>
      </c>
      <c r="I91" s="1" t="s">
        <v>364</v>
      </c>
      <c r="J91" s="30">
        <v>130</v>
      </c>
      <c r="K91" s="30"/>
      <c r="L91" s="1"/>
      <c r="M91" s="1"/>
      <c r="N91" s="1"/>
      <c r="O91" s="52"/>
    </row>
    <row r="92" spans="1:15" x14ac:dyDescent="0.3">
      <c r="A92" s="26">
        <v>45395</v>
      </c>
      <c r="B92" s="10" t="s">
        <v>549</v>
      </c>
      <c r="C92" s="10" t="s">
        <v>14</v>
      </c>
      <c r="D92" s="11">
        <f t="shared" si="5"/>
        <v>154.54545454545453</v>
      </c>
      <c r="E92" s="11">
        <f t="shared" si="4"/>
        <v>15.454545454545453</v>
      </c>
      <c r="F92" s="30">
        <v>170</v>
      </c>
      <c r="G92" s="30">
        <v>50</v>
      </c>
      <c r="H92" s="13">
        <f t="shared" si="3"/>
        <v>120</v>
      </c>
      <c r="I92" s="1" t="s">
        <v>1071</v>
      </c>
      <c r="J92" s="30">
        <v>170</v>
      </c>
      <c r="K92" s="30"/>
      <c r="L92" s="1"/>
      <c r="M92" s="1"/>
      <c r="N92" s="1"/>
      <c r="O92" s="52"/>
    </row>
    <row r="93" spans="1:15" x14ac:dyDescent="0.3">
      <c r="A93" s="26">
        <v>45395</v>
      </c>
      <c r="B93" s="10" t="s">
        <v>550</v>
      </c>
      <c r="C93" s="10" t="s">
        <v>14</v>
      </c>
      <c r="D93" s="11">
        <f t="shared" si="5"/>
        <v>154.54545454545453</v>
      </c>
      <c r="E93" s="11">
        <f t="shared" si="4"/>
        <v>15.454545454545453</v>
      </c>
      <c r="F93" s="30">
        <v>170</v>
      </c>
      <c r="G93" s="30">
        <v>50</v>
      </c>
      <c r="H93" s="13">
        <f t="shared" si="3"/>
        <v>120</v>
      </c>
      <c r="I93" s="1" t="s">
        <v>1057</v>
      </c>
      <c r="J93" s="30">
        <v>170</v>
      </c>
      <c r="K93" s="30"/>
      <c r="L93" s="1"/>
      <c r="M93" s="1"/>
      <c r="N93" s="1"/>
      <c r="O93" s="52"/>
    </row>
    <row r="94" spans="1:15" x14ac:dyDescent="0.3">
      <c r="A94" s="28">
        <v>45396</v>
      </c>
      <c r="B94" s="10" t="s">
        <v>551</v>
      </c>
      <c r="C94" s="10" t="s">
        <v>14</v>
      </c>
      <c r="D94" s="11">
        <f t="shared" si="5"/>
        <v>199.99999999999997</v>
      </c>
      <c r="E94" s="11">
        <f t="shared" si="4"/>
        <v>19.999999999999996</v>
      </c>
      <c r="F94" s="30">
        <v>220</v>
      </c>
      <c r="G94" s="30">
        <v>50</v>
      </c>
      <c r="H94" s="13">
        <f t="shared" si="3"/>
        <v>170</v>
      </c>
      <c r="I94" s="1" t="s">
        <v>264</v>
      </c>
      <c r="J94" s="30">
        <v>220</v>
      </c>
      <c r="K94" s="1"/>
      <c r="L94" s="1"/>
      <c r="M94" s="1"/>
      <c r="N94" s="1"/>
      <c r="O94" s="52"/>
    </row>
    <row r="95" spans="1:15" x14ac:dyDescent="0.3">
      <c r="A95" s="95">
        <v>45398</v>
      </c>
      <c r="B95" s="10" t="s">
        <v>552</v>
      </c>
      <c r="C95" s="10" t="s">
        <v>14</v>
      </c>
      <c r="D95" s="11">
        <f t="shared" si="5"/>
        <v>313.63636363636363</v>
      </c>
      <c r="E95" s="11">
        <f t="shared" si="4"/>
        <v>31.36363636363636</v>
      </c>
      <c r="F95" s="30">
        <v>345</v>
      </c>
      <c r="G95" s="30">
        <v>50</v>
      </c>
      <c r="H95" s="13">
        <f t="shared" si="3"/>
        <v>295</v>
      </c>
      <c r="I95" s="1" t="s">
        <v>1072</v>
      </c>
      <c r="J95" s="30">
        <v>270</v>
      </c>
      <c r="K95" s="1">
        <v>30</v>
      </c>
      <c r="L95" s="1" t="s">
        <v>223</v>
      </c>
      <c r="M95" s="1">
        <v>45</v>
      </c>
      <c r="N95" s="1" t="s">
        <v>1043</v>
      </c>
      <c r="O95" s="52"/>
    </row>
    <row r="96" spans="1:15" x14ac:dyDescent="0.3">
      <c r="A96" s="95">
        <v>45400</v>
      </c>
      <c r="B96" s="10" t="s">
        <v>553</v>
      </c>
      <c r="C96" s="10" t="s">
        <v>14</v>
      </c>
      <c r="D96" s="11">
        <f t="shared" si="5"/>
        <v>227.27272727272725</v>
      </c>
      <c r="E96" s="11">
        <f t="shared" si="4"/>
        <v>22.727272727272727</v>
      </c>
      <c r="F96" s="30">
        <v>250</v>
      </c>
      <c r="G96" s="1">
        <v>50</v>
      </c>
      <c r="H96" s="13">
        <f t="shared" si="3"/>
        <v>200</v>
      </c>
      <c r="I96" s="1" t="s">
        <v>1073</v>
      </c>
      <c r="J96" s="30">
        <v>220</v>
      </c>
      <c r="K96" s="1">
        <v>30</v>
      </c>
      <c r="L96" s="1" t="s">
        <v>223</v>
      </c>
      <c r="M96" s="1"/>
      <c r="N96" s="1"/>
      <c r="O96" s="52"/>
    </row>
    <row r="97" spans="1:15" x14ac:dyDescent="0.3">
      <c r="A97" s="95">
        <v>45401</v>
      </c>
      <c r="B97" s="10" t="s">
        <v>554</v>
      </c>
      <c r="C97" s="10" t="s">
        <v>14</v>
      </c>
      <c r="D97" s="11">
        <f t="shared" si="5"/>
        <v>263.63636363636363</v>
      </c>
      <c r="E97" s="11">
        <f t="shared" si="4"/>
        <v>26.36363636363636</v>
      </c>
      <c r="F97" s="39">
        <v>290</v>
      </c>
      <c r="G97" s="18">
        <v>50</v>
      </c>
      <c r="H97" s="13">
        <f t="shared" si="3"/>
        <v>240</v>
      </c>
      <c r="I97" s="1" t="s">
        <v>1074</v>
      </c>
      <c r="J97" s="30">
        <v>270</v>
      </c>
      <c r="K97" s="1">
        <v>20</v>
      </c>
      <c r="L97" s="1" t="s">
        <v>223</v>
      </c>
      <c r="M97" s="1"/>
      <c r="N97" s="1"/>
      <c r="O97" s="52"/>
    </row>
    <row r="98" spans="1:15" x14ac:dyDescent="0.3">
      <c r="A98" s="95">
        <v>45401</v>
      </c>
      <c r="B98" s="10" t="s">
        <v>555</v>
      </c>
      <c r="C98" s="10" t="s">
        <v>14</v>
      </c>
      <c r="D98" s="11">
        <f t="shared" si="5"/>
        <v>199.99999999999997</v>
      </c>
      <c r="E98" s="11">
        <f t="shared" si="4"/>
        <v>19.999999999999996</v>
      </c>
      <c r="F98" s="39">
        <v>220</v>
      </c>
      <c r="G98" s="18"/>
      <c r="H98" s="13">
        <f t="shared" si="3"/>
        <v>220</v>
      </c>
      <c r="I98" s="19" t="s">
        <v>402</v>
      </c>
      <c r="J98" s="52">
        <v>220</v>
      </c>
      <c r="K98" s="40"/>
      <c r="L98" s="1"/>
      <c r="M98" s="52"/>
      <c r="N98" s="52"/>
      <c r="O98" s="52"/>
    </row>
    <row r="99" spans="1:15" x14ac:dyDescent="0.3">
      <c r="A99" s="95">
        <v>45401</v>
      </c>
      <c r="B99" s="10" t="s">
        <v>556</v>
      </c>
      <c r="C99" s="10" t="s">
        <v>14</v>
      </c>
      <c r="D99" s="11">
        <f t="shared" si="5"/>
        <v>154.54545454545453</v>
      </c>
      <c r="E99" s="11">
        <f t="shared" ref="E99:E130" si="6">D99*10/100</f>
        <v>15.454545454545453</v>
      </c>
      <c r="F99" s="39">
        <v>170</v>
      </c>
      <c r="G99" s="18">
        <v>50</v>
      </c>
      <c r="H99" s="13">
        <f t="shared" si="3"/>
        <v>120</v>
      </c>
      <c r="I99" s="19" t="s">
        <v>1075</v>
      </c>
      <c r="J99" s="52">
        <v>170</v>
      </c>
      <c r="K99" s="40"/>
      <c r="L99" s="1"/>
      <c r="M99" s="52"/>
      <c r="N99" s="52"/>
      <c r="O99" s="52"/>
    </row>
    <row r="100" spans="1:15" x14ac:dyDescent="0.3">
      <c r="A100" s="95">
        <v>45401</v>
      </c>
      <c r="B100" s="10" t="s">
        <v>557</v>
      </c>
      <c r="C100" s="10" t="s">
        <v>14</v>
      </c>
      <c r="D100" s="11">
        <f t="shared" si="5"/>
        <v>199.99999999999997</v>
      </c>
      <c r="E100" s="11">
        <f t="shared" si="6"/>
        <v>19.999999999999996</v>
      </c>
      <c r="F100" s="39">
        <v>220</v>
      </c>
      <c r="G100" s="18">
        <v>50</v>
      </c>
      <c r="H100" s="13">
        <f t="shared" si="3"/>
        <v>170</v>
      </c>
      <c r="I100" s="19" t="s">
        <v>1076</v>
      </c>
      <c r="J100" s="52">
        <v>220</v>
      </c>
      <c r="K100" s="40"/>
      <c r="L100" s="1"/>
      <c r="M100" s="52"/>
      <c r="N100" s="52"/>
      <c r="O100" s="52"/>
    </row>
    <row r="101" spans="1:15" x14ac:dyDescent="0.3">
      <c r="A101" s="95">
        <v>45401</v>
      </c>
      <c r="B101" s="10" t="s">
        <v>558</v>
      </c>
      <c r="C101" s="10" t="s">
        <v>14</v>
      </c>
      <c r="D101" s="11">
        <f t="shared" si="5"/>
        <v>163.63636363636363</v>
      </c>
      <c r="E101" s="11">
        <f t="shared" si="6"/>
        <v>16.363636363636363</v>
      </c>
      <c r="F101" s="43">
        <v>180</v>
      </c>
      <c r="G101" s="44"/>
      <c r="H101" s="13">
        <f t="shared" si="3"/>
        <v>180</v>
      </c>
      <c r="I101" s="45" t="s">
        <v>402</v>
      </c>
      <c r="J101" s="93">
        <v>180</v>
      </c>
      <c r="K101" s="47"/>
      <c r="L101" s="48"/>
      <c r="M101" s="93"/>
      <c r="N101" s="93"/>
      <c r="O101" s="93"/>
    </row>
    <row r="102" spans="1:15" x14ac:dyDescent="0.3">
      <c r="A102" s="95">
        <v>45401</v>
      </c>
      <c r="B102" s="10" t="s">
        <v>559</v>
      </c>
      <c r="C102" s="10" t="s">
        <v>14</v>
      </c>
      <c r="D102" s="11">
        <f t="shared" si="5"/>
        <v>154.54545454545453</v>
      </c>
      <c r="E102" s="11">
        <f t="shared" si="6"/>
        <v>15.454545454545453</v>
      </c>
      <c r="F102" s="30">
        <v>170</v>
      </c>
      <c r="G102" s="30">
        <v>50</v>
      </c>
      <c r="H102" s="13">
        <f t="shared" si="3"/>
        <v>120</v>
      </c>
      <c r="I102" s="19" t="s">
        <v>1077</v>
      </c>
      <c r="J102" s="52">
        <v>170</v>
      </c>
      <c r="K102" s="40"/>
      <c r="L102" s="1"/>
      <c r="M102" s="52"/>
      <c r="N102" s="52"/>
      <c r="O102" s="52"/>
    </row>
    <row r="103" spans="1:15" x14ac:dyDescent="0.3">
      <c r="A103" s="95">
        <v>45401</v>
      </c>
      <c r="B103" s="10" t="s">
        <v>560</v>
      </c>
      <c r="C103" s="10" t="s">
        <v>14</v>
      </c>
      <c r="D103" s="11">
        <f t="shared" si="5"/>
        <v>127.27272727272727</v>
      </c>
      <c r="E103" s="11">
        <f t="shared" si="6"/>
        <v>12.727272727272727</v>
      </c>
      <c r="F103" s="30">
        <v>140</v>
      </c>
      <c r="G103" s="30">
        <v>50</v>
      </c>
      <c r="H103" s="13">
        <f t="shared" si="3"/>
        <v>90</v>
      </c>
      <c r="I103" s="19" t="s">
        <v>1078</v>
      </c>
      <c r="J103" s="52">
        <v>140</v>
      </c>
      <c r="K103" s="40"/>
      <c r="L103" s="1"/>
      <c r="M103" s="52"/>
      <c r="N103" s="52"/>
      <c r="O103" s="52"/>
    </row>
    <row r="104" spans="1:15" x14ac:dyDescent="0.3">
      <c r="A104" s="95">
        <v>45401</v>
      </c>
      <c r="B104" s="10" t="s">
        <v>561</v>
      </c>
      <c r="C104" s="10" t="s">
        <v>14</v>
      </c>
      <c r="D104" s="11">
        <f t="shared" si="5"/>
        <v>127.27272727272727</v>
      </c>
      <c r="E104" s="11">
        <f t="shared" si="6"/>
        <v>12.727272727272727</v>
      </c>
      <c r="F104" s="51">
        <v>140</v>
      </c>
      <c r="G104" s="6"/>
      <c r="H104" s="13">
        <f t="shared" si="3"/>
        <v>140</v>
      </c>
      <c r="I104" s="19" t="s">
        <v>402</v>
      </c>
      <c r="J104" s="52">
        <v>140</v>
      </c>
      <c r="K104" s="40"/>
      <c r="L104" s="1"/>
      <c r="M104" s="52"/>
      <c r="N104" s="52"/>
      <c r="O104" s="52"/>
    </row>
    <row r="105" spans="1:15" x14ac:dyDescent="0.3">
      <c r="A105" s="95">
        <v>45401</v>
      </c>
      <c r="B105" s="10" t="s">
        <v>562</v>
      </c>
      <c r="C105" s="10" t="s">
        <v>14</v>
      </c>
      <c r="D105" s="11">
        <f t="shared" si="5"/>
        <v>172.72727272727272</v>
      </c>
      <c r="E105" s="11">
        <f t="shared" si="6"/>
        <v>17.272727272727273</v>
      </c>
      <c r="F105" s="51">
        <v>190</v>
      </c>
      <c r="G105" s="6">
        <v>50</v>
      </c>
      <c r="H105" s="13">
        <f t="shared" si="3"/>
        <v>140</v>
      </c>
      <c r="I105" s="19" t="s">
        <v>1079</v>
      </c>
      <c r="J105" s="52">
        <v>170</v>
      </c>
      <c r="K105" s="40">
        <v>20</v>
      </c>
      <c r="L105" s="1" t="s">
        <v>223</v>
      </c>
      <c r="M105" s="52"/>
      <c r="N105" s="52"/>
      <c r="O105" s="52"/>
    </row>
    <row r="106" spans="1:15" x14ac:dyDescent="0.3">
      <c r="A106" s="95">
        <v>45401</v>
      </c>
      <c r="B106" s="10" t="s">
        <v>563</v>
      </c>
      <c r="C106" s="10" t="s">
        <v>14</v>
      </c>
      <c r="D106" s="11">
        <f t="shared" si="5"/>
        <v>163.63636363636363</v>
      </c>
      <c r="E106" s="11">
        <f t="shared" si="6"/>
        <v>16.363636363636363</v>
      </c>
      <c r="F106" s="51">
        <v>180</v>
      </c>
      <c r="G106" s="6"/>
      <c r="H106" s="13">
        <f t="shared" si="3"/>
        <v>180</v>
      </c>
      <c r="I106" s="19" t="s">
        <v>402</v>
      </c>
      <c r="J106" s="52">
        <v>180</v>
      </c>
      <c r="K106" s="40"/>
      <c r="L106" s="1"/>
      <c r="M106" s="52"/>
      <c r="N106" s="52"/>
      <c r="O106" s="52"/>
    </row>
    <row r="107" spans="1:15" x14ac:dyDescent="0.3">
      <c r="A107" s="95">
        <v>45401</v>
      </c>
      <c r="B107" s="10" t="s">
        <v>564</v>
      </c>
      <c r="C107" s="10" t="s">
        <v>14</v>
      </c>
      <c r="D107" s="11">
        <f t="shared" si="5"/>
        <v>163.63636363636363</v>
      </c>
      <c r="E107" s="11">
        <f t="shared" si="6"/>
        <v>16.363636363636363</v>
      </c>
      <c r="F107" s="51">
        <v>180</v>
      </c>
      <c r="G107" s="6">
        <v>180</v>
      </c>
      <c r="H107" s="13">
        <f t="shared" si="3"/>
        <v>0</v>
      </c>
      <c r="I107" s="19" t="s">
        <v>402</v>
      </c>
      <c r="J107" s="52">
        <v>180</v>
      </c>
      <c r="K107" s="40"/>
      <c r="L107" s="1"/>
      <c r="M107" s="52"/>
      <c r="N107" s="52"/>
      <c r="O107" s="52"/>
    </row>
    <row r="108" spans="1:15" x14ac:dyDescent="0.3">
      <c r="A108" s="95">
        <v>45401</v>
      </c>
      <c r="B108" s="10" t="s">
        <v>565</v>
      </c>
      <c r="C108" s="10" t="s">
        <v>14</v>
      </c>
      <c r="D108" s="11">
        <f t="shared" si="5"/>
        <v>563.63636363636363</v>
      </c>
      <c r="E108" s="11">
        <f t="shared" si="6"/>
        <v>56.36363636363636</v>
      </c>
      <c r="F108" s="51">
        <v>620</v>
      </c>
      <c r="G108" s="6">
        <v>50</v>
      </c>
      <c r="H108" s="13">
        <f t="shared" si="3"/>
        <v>570</v>
      </c>
      <c r="I108" s="19" t="s">
        <v>1080</v>
      </c>
      <c r="J108" s="52">
        <v>620</v>
      </c>
      <c r="K108" s="40"/>
      <c r="L108" s="1"/>
      <c r="M108" s="52"/>
      <c r="N108" s="52"/>
      <c r="O108" s="52"/>
    </row>
    <row r="109" spans="1:15" x14ac:dyDescent="0.3">
      <c r="A109" s="95">
        <v>45401</v>
      </c>
      <c r="B109" s="10" t="s">
        <v>566</v>
      </c>
      <c r="C109" s="10" t="s">
        <v>14</v>
      </c>
      <c r="D109" s="11">
        <f t="shared" si="5"/>
        <v>199.99999999999997</v>
      </c>
      <c r="E109" s="11">
        <f t="shared" si="6"/>
        <v>19.999999999999996</v>
      </c>
      <c r="F109" s="51">
        <v>220</v>
      </c>
      <c r="G109" s="6">
        <v>50</v>
      </c>
      <c r="H109" s="13">
        <f t="shared" si="3"/>
        <v>170</v>
      </c>
      <c r="I109" s="19" t="s">
        <v>1081</v>
      </c>
      <c r="J109" s="52">
        <v>170</v>
      </c>
      <c r="K109" s="40">
        <v>50</v>
      </c>
      <c r="L109" s="1" t="s">
        <v>223</v>
      </c>
      <c r="M109" s="52"/>
      <c r="N109" s="52"/>
      <c r="O109" s="52"/>
    </row>
    <row r="110" spans="1:15" x14ac:dyDescent="0.3">
      <c r="A110" s="95">
        <v>45401</v>
      </c>
      <c r="B110" s="10" t="s">
        <v>567</v>
      </c>
      <c r="C110" s="10" t="s">
        <v>14</v>
      </c>
      <c r="D110" s="11">
        <f t="shared" si="5"/>
        <v>154.54545454545453</v>
      </c>
      <c r="E110" s="11">
        <f t="shared" si="6"/>
        <v>15.454545454545453</v>
      </c>
      <c r="F110" s="51">
        <v>170</v>
      </c>
      <c r="G110" s="6">
        <v>50</v>
      </c>
      <c r="H110" s="13">
        <f t="shared" si="3"/>
        <v>120</v>
      </c>
      <c r="I110" s="19" t="s">
        <v>1082</v>
      </c>
      <c r="J110" s="52">
        <v>170</v>
      </c>
      <c r="K110" s="40"/>
      <c r="L110" s="1"/>
      <c r="M110" s="52"/>
      <c r="N110" s="52"/>
      <c r="O110" s="52"/>
    </row>
    <row r="111" spans="1:15" x14ac:dyDescent="0.3">
      <c r="A111" s="95">
        <v>45401</v>
      </c>
      <c r="B111" s="10" t="s">
        <v>568</v>
      </c>
      <c r="C111" s="10" t="s">
        <v>14</v>
      </c>
      <c r="D111" s="11">
        <f t="shared" si="5"/>
        <v>272.72727272727269</v>
      </c>
      <c r="E111" s="11">
        <f t="shared" si="6"/>
        <v>27.27272727272727</v>
      </c>
      <c r="F111" s="51">
        <v>300</v>
      </c>
      <c r="G111" s="6"/>
      <c r="H111" s="13">
        <f t="shared" si="3"/>
        <v>300</v>
      </c>
      <c r="I111" s="19" t="s">
        <v>402</v>
      </c>
      <c r="J111" s="52">
        <v>300</v>
      </c>
      <c r="K111" s="40"/>
      <c r="L111" s="1"/>
      <c r="M111" s="52"/>
      <c r="N111" s="52"/>
      <c r="O111" s="52"/>
    </row>
    <row r="112" spans="1:15" x14ac:dyDescent="0.3">
      <c r="A112" s="95">
        <v>45401</v>
      </c>
      <c r="B112" s="10" t="s">
        <v>569</v>
      </c>
      <c r="C112" s="10" t="s">
        <v>14</v>
      </c>
      <c r="D112" s="11">
        <f t="shared" si="5"/>
        <v>218.18181818181816</v>
      </c>
      <c r="E112" s="11">
        <f t="shared" si="6"/>
        <v>21.818181818181817</v>
      </c>
      <c r="F112" s="51">
        <v>240</v>
      </c>
      <c r="G112" s="6">
        <v>50</v>
      </c>
      <c r="H112" s="13">
        <f t="shared" si="3"/>
        <v>190</v>
      </c>
      <c r="I112" s="19" t="s">
        <v>1083</v>
      </c>
      <c r="J112" s="52">
        <v>240</v>
      </c>
      <c r="K112" s="40"/>
      <c r="L112" s="1"/>
      <c r="M112" s="52"/>
      <c r="N112" s="52"/>
      <c r="O112" s="52"/>
    </row>
    <row r="113" spans="1:15" x14ac:dyDescent="0.3">
      <c r="A113" s="95">
        <v>45402</v>
      </c>
      <c r="B113" s="10" t="s">
        <v>570</v>
      </c>
      <c r="C113" s="10" t="s">
        <v>14</v>
      </c>
      <c r="D113" s="11">
        <f t="shared" si="5"/>
        <v>199.99999999999997</v>
      </c>
      <c r="E113" s="11">
        <f t="shared" si="6"/>
        <v>19.999999999999996</v>
      </c>
      <c r="F113" s="51">
        <v>220</v>
      </c>
      <c r="G113" s="6"/>
      <c r="H113" s="13">
        <f t="shared" si="3"/>
        <v>220</v>
      </c>
      <c r="I113" s="19" t="s">
        <v>403</v>
      </c>
      <c r="J113" s="52">
        <v>220</v>
      </c>
      <c r="K113" s="40"/>
      <c r="L113" s="1"/>
      <c r="M113" s="52"/>
      <c r="N113" s="52"/>
      <c r="O113" s="52"/>
    </row>
    <row r="114" spans="1:15" x14ac:dyDescent="0.3">
      <c r="A114" s="95">
        <v>45402</v>
      </c>
      <c r="B114" s="10" t="s">
        <v>571</v>
      </c>
      <c r="C114" s="10" t="s">
        <v>14</v>
      </c>
      <c r="D114" s="11">
        <f t="shared" si="5"/>
        <v>172.72727272727272</v>
      </c>
      <c r="E114" s="11">
        <f t="shared" si="6"/>
        <v>17.272727272727273</v>
      </c>
      <c r="F114" s="51">
        <v>190</v>
      </c>
      <c r="G114" s="6">
        <v>50</v>
      </c>
      <c r="H114" s="13">
        <f t="shared" si="3"/>
        <v>140</v>
      </c>
      <c r="I114" s="19" t="s">
        <v>264</v>
      </c>
      <c r="J114" s="52">
        <v>190</v>
      </c>
      <c r="K114" s="40"/>
      <c r="L114" s="1"/>
      <c r="M114" s="52"/>
      <c r="N114" s="52"/>
      <c r="O114" s="52"/>
    </row>
    <row r="115" spans="1:15" x14ac:dyDescent="0.3">
      <c r="A115" s="95">
        <v>45402</v>
      </c>
      <c r="B115" s="10" t="s">
        <v>572</v>
      </c>
      <c r="C115" s="10" t="s">
        <v>14</v>
      </c>
      <c r="D115" s="11">
        <f t="shared" si="5"/>
        <v>199.99999999999997</v>
      </c>
      <c r="E115" s="11">
        <f t="shared" si="6"/>
        <v>19.999999999999996</v>
      </c>
      <c r="F115" s="51">
        <v>220</v>
      </c>
      <c r="G115" s="6">
        <v>50</v>
      </c>
      <c r="H115" s="13">
        <f t="shared" si="3"/>
        <v>170</v>
      </c>
      <c r="I115" s="19" t="s">
        <v>1084</v>
      </c>
      <c r="J115" s="52">
        <v>220</v>
      </c>
      <c r="K115" s="40"/>
      <c r="L115" s="1"/>
      <c r="M115" s="52"/>
      <c r="N115" s="52"/>
      <c r="O115" s="52"/>
    </row>
    <row r="116" spans="1:15" x14ac:dyDescent="0.3">
      <c r="A116" s="95">
        <v>45402</v>
      </c>
      <c r="B116" s="10" t="s">
        <v>573</v>
      </c>
      <c r="C116" s="10" t="s">
        <v>14</v>
      </c>
      <c r="D116" s="11">
        <f t="shared" si="5"/>
        <v>159.09090909090907</v>
      </c>
      <c r="E116" s="11">
        <f t="shared" si="6"/>
        <v>15.909090909090905</v>
      </c>
      <c r="F116" s="51">
        <v>175</v>
      </c>
      <c r="G116" s="6">
        <v>50</v>
      </c>
      <c r="H116" s="13">
        <f t="shared" si="3"/>
        <v>125</v>
      </c>
      <c r="I116" s="19" t="s">
        <v>1085</v>
      </c>
      <c r="J116" s="52">
        <v>175</v>
      </c>
      <c r="K116" s="40"/>
      <c r="L116" s="1"/>
      <c r="M116" s="52"/>
      <c r="N116" s="52"/>
      <c r="O116" s="52"/>
    </row>
    <row r="117" spans="1:15" x14ac:dyDescent="0.3">
      <c r="A117" s="95">
        <v>45402</v>
      </c>
      <c r="B117" s="10" t="s">
        <v>574</v>
      </c>
      <c r="C117" s="10" t="s">
        <v>14</v>
      </c>
      <c r="D117" s="11">
        <f t="shared" si="5"/>
        <v>181.81818181818181</v>
      </c>
      <c r="E117" s="11">
        <f t="shared" si="6"/>
        <v>18.18181818181818</v>
      </c>
      <c r="F117" s="51">
        <v>200</v>
      </c>
      <c r="G117" s="6"/>
      <c r="H117" s="13">
        <f t="shared" si="3"/>
        <v>200</v>
      </c>
      <c r="I117" s="19" t="s">
        <v>402</v>
      </c>
      <c r="J117" s="52">
        <v>200</v>
      </c>
      <c r="K117" s="40"/>
      <c r="L117" s="1"/>
      <c r="M117" s="52"/>
      <c r="N117" s="52"/>
      <c r="O117" s="52"/>
    </row>
    <row r="118" spans="1:15" x14ac:dyDescent="0.3">
      <c r="A118" s="95">
        <v>45402</v>
      </c>
      <c r="B118" s="10" t="s">
        <v>575</v>
      </c>
      <c r="C118" s="10" t="s">
        <v>14</v>
      </c>
      <c r="D118" s="11">
        <f t="shared" si="5"/>
        <v>136.36363636363635</v>
      </c>
      <c r="E118" s="11">
        <f t="shared" si="6"/>
        <v>13.636363636363635</v>
      </c>
      <c r="F118" s="51">
        <v>150</v>
      </c>
      <c r="G118" s="6"/>
      <c r="H118" s="13">
        <f t="shared" si="3"/>
        <v>150</v>
      </c>
      <c r="I118" s="19" t="s">
        <v>1086</v>
      </c>
      <c r="J118" s="52">
        <v>150</v>
      </c>
      <c r="K118" s="40"/>
      <c r="L118" s="1"/>
      <c r="M118" s="52"/>
      <c r="N118" s="52"/>
      <c r="O118" s="52"/>
    </row>
    <row r="119" spans="1:15" x14ac:dyDescent="0.3">
      <c r="A119" s="95">
        <v>45402</v>
      </c>
      <c r="B119" s="10" t="s">
        <v>576</v>
      </c>
      <c r="C119" s="10" t="s">
        <v>14</v>
      </c>
      <c r="D119" s="11">
        <f t="shared" si="5"/>
        <v>154.54545454545453</v>
      </c>
      <c r="E119" s="11">
        <f t="shared" si="6"/>
        <v>15.454545454545453</v>
      </c>
      <c r="F119" s="51">
        <v>170</v>
      </c>
      <c r="G119" s="6">
        <v>50</v>
      </c>
      <c r="H119" s="13">
        <f t="shared" si="3"/>
        <v>120</v>
      </c>
      <c r="I119" s="19" t="s">
        <v>1087</v>
      </c>
      <c r="J119" s="52">
        <v>170</v>
      </c>
      <c r="K119" s="40"/>
      <c r="L119" s="1"/>
      <c r="M119" s="52"/>
      <c r="N119" s="52"/>
      <c r="O119" s="52"/>
    </row>
    <row r="120" spans="1:15" x14ac:dyDescent="0.3">
      <c r="A120" s="95">
        <v>45402</v>
      </c>
      <c r="B120" s="10" t="s">
        <v>577</v>
      </c>
      <c r="C120" s="10" t="s">
        <v>14</v>
      </c>
      <c r="D120" s="11">
        <f t="shared" si="5"/>
        <v>181.81818181818181</v>
      </c>
      <c r="E120" s="11">
        <f t="shared" si="6"/>
        <v>18.18181818181818</v>
      </c>
      <c r="F120" s="51">
        <v>200</v>
      </c>
      <c r="G120" s="6">
        <v>50</v>
      </c>
      <c r="H120" s="13">
        <f t="shared" si="3"/>
        <v>150</v>
      </c>
      <c r="I120" s="19" t="s">
        <v>1088</v>
      </c>
      <c r="J120" s="52">
        <v>170</v>
      </c>
      <c r="K120" s="40">
        <v>30</v>
      </c>
      <c r="L120" s="1" t="s">
        <v>223</v>
      </c>
      <c r="M120" s="52"/>
      <c r="N120" s="52"/>
      <c r="O120" s="52"/>
    </row>
    <row r="121" spans="1:15" x14ac:dyDescent="0.3">
      <c r="A121" s="95">
        <v>45402</v>
      </c>
      <c r="B121" s="10" t="s">
        <v>578</v>
      </c>
      <c r="C121" s="10" t="s">
        <v>14</v>
      </c>
      <c r="D121" s="11">
        <f t="shared" si="5"/>
        <v>154.54545454545453</v>
      </c>
      <c r="E121" s="11">
        <f t="shared" si="6"/>
        <v>15.454545454545453</v>
      </c>
      <c r="F121" s="51">
        <v>170</v>
      </c>
      <c r="G121" s="6">
        <v>50</v>
      </c>
      <c r="H121" s="13">
        <f t="shared" si="3"/>
        <v>120</v>
      </c>
      <c r="I121" s="19" t="s">
        <v>1089</v>
      </c>
      <c r="J121" s="52">
        <v>170</v>
      </c>
      <c r="K121" s="40"/>
      <c r="L121" s="1"/>
      <c r="M121" s="52"/>
      <c r="N121" s="52"/>
      <c r="O121" s="52"/>
    </row>
    <row r="122" spans="1:15" x14ac:dyDescent="0.3">
      <c r="A122" s="95">
        <v>45402</v>
      </c>
      <c r="B122" s="10" t="s">
        <v>579</v>
      </c>
      <c r="C122" s="10" t="s">
        <v>14</v>
      </c>
      <c r="D122" s="11">
        <f t="shared" si="5"/>
        <v>249.99999999999997</v>
      </c>
      <c r="E122" s="11">
        <f t="shared" si="6"/>
        <v>24.999999999999996</v>
      </c>
      <c r="F122" s="51">
        <v>275</v>
      </c>
      <c r="G122" s="6">
        <v>100</v>
      </c>
      <c r="H122" s="13">
        <f t="shared" si="3"/>
        <v>175</v>
      </c>
      <c r="I122" s="19" t="s">
        <v>1090</v>
      </c>
      <c r="J122" s="52">
        <v>170</v>
      </c>
      <c r="K122" s="40">
        <v>45</v>
      </c>
      <c r="L122" s="1" t="s">
        <v>16</v>
      </c>
      <c r="M122" s="92">
        <v>60</v>
      </c>
      <c r="N122" s="52" t="s">
        <v>395</v>
      </c>
      <c r="O122" s="52"/>
    </row>
    <row r="123" spans="1:15" x14ac:dyDescent="0.3">
      <c r="A123" s="95">
        <v>45402</v>
      </c>
      <c r="B123" s="10" t="s">
        <v>580</v>
      </c>
      <c r="C123" s="10" t="s">
        <v>14</v>
      </c>
      <c r="D123" s="11">
        <f t="shared" si="5"/>
        <v>154.54545454545453</v>
      </c>
      <c r="E123" s="11">
        <f t="shared" si="6"/>
        <v>15.454545454545453</v>
      </c>
      <c r="F123" s="51">
        <v>170</v>
      </c>
      <c r="G123" s="6">
        <v>50</v>
      </c>
      <c r="H123" s="13">
        <f t="shared" ref="H123:H186" si="7">F123-G123</f>
        <v>120</v>
      </c>
      <c r="I123" s="19" t="s">
        <v>1091</v>
      </c>
      <c r="J123" s="52">
        <v>170</v>
      </c>
      <c r="K123" s="40"/>
      <c r="L123" s="1"/>
      <c r="M123" s="52"/>
      <c r="N123" s="52"/>
      <c r="O123" s="52"/>
    </row>
    <row r="124" spans="1:15" x14ac:dyDescent="0.3">
      <c r="A124" s="95">
        <v>45402</v>
      </c>
      <c r="B124" s="10" t="s">
        <v>581</v>
      </c>
      <c r="C124" s="10" t="s">
        <v>14</v>
      </c>
      <c r="D124" s="11">
        <f t="shared" si="5"/>
        <v>213.63636363636363</v>
      </c>
      <c r="E124" s="11">
        <f t="shared" si="6"/>
        <v>21.36363636363636</v>
      </c>
      <c r="F124" s="51">
        <v>235</v>
      </c>
      <c r="G124" s="6">
        <v>235</v>
      </c>
      <c r="H124" s="13">
        <f t="shared" si="7"/>
        <v>0</v>
      </c>
      <c r="I124" s="19" t="s">
        <v>1092</v>
      </c>
      <c r="J124" s="52">
        <v>170</v>
      </c>
      <c r="K124" s="40">
        <v>20</v>
      </c>
      <c r="L124" s="1" t="s">
        <v>223</v>
      </c>
      <c r="M124" s="52">
        <v>45</v>
      </c>
      <c r="N124" s="52" t="s">
        <v>1043</v>
      </c>
      <c r="O124" s="52"/>
    </row>
    <row r="125" spans="1:15" x14ac:dyDescent="0.3">
      <c r="A125" s="95">
        <v>45402</v>
      </c>
      <c r="B125" s="10" t="s">
        <v>582</v>
      </c>
      <c r="C125" s="10" t="s">
        <v>14</v>
      </c>
      <c r="D125" s="11">
        <f t="shared" si="5"/>
        <v>127.27272727272727</v>
      </c>
      <c r="E125" s="11">
        <f t="shared" si="6"/>
        <v>12.727272727272727</v>
      </c>
      <c r="F125" s="51">
        <v>140</v>
      </c>
      <c r="G125" s="6"/>
      <c r="H125" s="13">
        <f t="shared" si="7"/>
        <v>140</v>
      </c>
      <c r="I125" s="19" t="s">
        <v>1093</v>
      </c>
      <c r="J125" s="52">
        <v>140</v>
      </c>
      <c r="K125" s="40"/>
      <c r="L125" s="1"/>
      <c r="M125" s="52"/>
      <c r="N125" s="52"/>
      <c r="O125" s="52"/>
    </row>
    <row r="126" spans="1:15" x14ac:dyDescent="0.3">
      <c r="A126" s="95">
        <v>45402</v>
      </c>
      <c r="B126" s="10" t="s">
        <v>583</v>
      </c>
      <c r="C126" s="10" t="s">
        <v>14</v>
      </c>
      <c r="D126" s="11">
        <f t="shared" si="5"/>
        <v>154.54545454545453</v>
      </c>
      <c r="E126" s="11">
        <f t="shared" si="6"/>
        <v>15.454545454545453</v>
      </c>
      <c r="F126" s="51">
        <v>170</v>
      </c>
      <c r="G126" s="6">
        <v>50</v>
      </c>
      <c r="H126" s="13">
        <f t="shared" si="7"/>
        <v>120</v>
      </c>
      <c r="I126" s="19" t="s">
        <v>264</v>
      </c>
      <c r="J126" s="52">
        <v>170</v>
      </c>
      <c r="K126" s="40"/>
      <c r="L126" s="1"/>
      <c r="M126" s="52"/>
      <c r="N126" s="52"/>
      <c r="O126" s="52"/>
    </row>
    <row r="127" spans="1:15" x14ac:dyDescent="0.3">
      <c r="A127" s="95">
        <v>45402</v>
      </c>
      <c r="B127" s="10" t="s">
        <v>584</v>
      </c>
      <c r="C127" s="10" t="s">
        <v>14</v>
      </c>
      <c r="D127" s="11">
        <f t="shared" si="5"/>
        <v>127.27272727272727</v>
      </c>
      <c r="E127" s="11">
        <f t="shared" si="6"/>
        <v>12.727272727272727</v>
      </c>
      <c r="F127" s="30">
        <v>140</v>
      </c>
      <c r="G127" s="30"/>
      <c r="H127" s="13">
        <f t="shared" si="7"/>
        <v>140</v>
      </c>
      <c r="I127" s="1" t="s">
        <v>402</v>
      </c>
      <c r="J127" s="30">
        <v>140</v>
      </c>
      <c r="K127" s="1"/>
      <c r="L127" s="1"/>
      <c r="M127" s="1"/>
      <c r="N127" s="1"/>
      <c r="O127" s="52"/>
    </row>
    <row r="128" spans="1:15" x14ac:dyDescent="0.3">
      <c r="A128" s="95">
        <v>45402</v>
      </c>
      <c r="B128" s="10" t="s">
        <v>585</v>
      </c>
      <c r="C128" s="10" t="s">
        <v>14</v>
      </c>
      <c r="D128" s="11">
        <f t="shared" si="5"/>
        <v>118.18181818181817</v>
      </c>
      <c r="E128" s="11">
        <f t="shared" si="6"/>
        <v>11.818181818181818</v>
      </c>
      <c r="F128" s="39">
        <v>130</v>
      </c>
      <c r="G128" s="18"/>
      <c r="H128" s="13">
        <f t="shared" si="7"/>
        <v>130</v>
      </c>
      <c r="I128" s="19" t="s">
        <v>364</v>
      </c>
      <c r="J128" s="52">
        <v>130</v>
      </c>
      <c r="K128" s="40"/>
      <c r="L128" s="1"/>
      <c r="M128" s="52"/>
      <c r="N128" s="52"/>
      <c r="O128" s="52"/>
    </row>
    <row r="129" spans="1:15" x14ac:dyDescent="0.3">
      <c r="A129" s="95">
        <v>45402</v>
      </c>
      <c r="B129" s="10" t="s">
        <v>586</v>
      </c>
      <c r="C129" s="10" t="s">
        <v>14</v>
      </c>
      <c r="D129" s="11">
        <f t="shared" si="5"/>
        <v>154.54545454545453</v>
      </c>
      <c r="E129" s="11">
        <f t="shared" si="6"/>
        <v>15.454545454545453</v>
      </c>
      <c r="F129" s="39">
        <v>170</v>
      </c>
      <c r="G129" s="18">
        <v>50</v>
      </c>
      <c r="H129" s="13">
        <f t="shared" si="7"/>
        <v>120</v>
      </c>
      <c r="I129" s="19" t="s">
        <v>1094</v>
      </c>
      <c r="J129" s="52">
        <v>170</v>
      </c>
      <c r="K129" s="40"/>
      <c r="L129" s="1"/>
      <c r="M129" s="52"/>
      <c r="N129" s="52"/>
      <c r="O129" s="52"/>
    </row>
    <row r="130" spans="1:15" x14ac:dyDescent="0.3">
      <c r="A130" s="95">
        <v>45402</v>
      </c>
      <c r="B130" s="10" t="s">
        <v>587</v>
      </c>
      <c r="C130" s="10" t="s">
        <v>14</v>
      </c>
      <c r="D130" s="11">
        <f t="shared" si="5"/>
        <v>136.36363636363635</v>
      </c>
      <c r="E130" s="11">
        <f t="shared" si="6"/>
        <v>13.636363636363635</v>
      </c>
      <c r="F130" s="39">
        <v>150</v>
      </c>
      <c r="G130" s="18"/>
      <c r="H130" s="13">
        <f t="shared" si="7"/>
        <v>150</v>
      </c>
      <c r="I130" s="19" t="s">
        <v>1028</v>
      </c>
      <c r="J130" s="52">
        <v>150</v>
      </c>
      <c r="K130" s="40"/>
      <c r="L130" s="1"/>
      <c r="M130" s="52"/>
      <c r="N130" s="52"/>
      <c r="O130" s="52"/>
    </row>
    <row r="131" spans="1:15" x14ac:dyDescent="0.3">
      <c r="A131" s="95">
        <v>45402</v>
      </c>
      <c r="B131" s="10" t="s">
        <v>588</v>
      </c>
      <c r="C131" s="10" t="s">
        <v>14</v>
      </c>
      <c r="D131" s="11">
        <f t="shared" si="5"/>
        <v>181.81818181818181</v>
      </c>
      <c r="E131" s="11">
        <f t="shared" ref="E131:E162" si="8">D131*10/100</f>
        <v>18.18181818181818</v>
      </c>
      <c r="F131" s="39">
        <v>200</v>
      </c>
      <c r="G131" s="18"/>
      <c r="H131" s="13">
        <f t="shared" si="7"/>
        <v>200</v>
      </c>
      <c r="I131" s="19" t="s">
        <v>403</v>
      </c>
      <c r="J131" s="52">
        <v>200</v>
      </c>
      <c r="K131" s="40"/>
      <c r="L131" s="1"/>
      <c r="M131" s="52"/>
      <c r="N131" s="52"/>
      <c r="O131" s="52"/>
    </row>
    <row r="132" spans="1:15" x14ac:dyDescent="0.3">
      <c r="A132" s="95">
        <v>45402</v>
      </c>
      <c r="B132" s="10" t="s">
        <v>589</v>
      </c>
      <c r="C132" s="10" t="s">
        <v>14</v>
      </c>
      <c r="D132" s="11">
        <f t="shared" ref="D132:D195" si="9">F132/1.1</f>
        <v>350</v>
      </c>
      <c r="E132" s="11">
        <f t="shared" si="8"/>
        <v>35</v>
      </c>
      <c r="F132" s="39">
        <v>385</v>
      </c>
      <c r="G132" s="18">
        <v>50</v>
      </c>
      <c r="H132" s="13">
        <f t="shared" si="7"/>
        <v>335</v>
      </c>
      <c r="I132" s="19" t="s">
        <v>1095</v>
      </c>
      <c r="J132" s="52">
        <v>385</v>
      </c>
      <c r="K132" s="40"/>
      <c r="L132" s="1"/>
      <c r="M132" s="52"/>
      <c r="N132" s="52"/>
      <c r="O132" s="1"/>
    </row>
    <row r="133" spans="1:15" x14ac:dyDescent="0.3">
      <c r="A133" s="95">
        <v>45402</v>
      </c>
      <c r="B133" s="10" t="s">
        <v>590</v>
      </c>
      <c r="C133" s="10" t="s">
        <v>14</v>
      </c>
      <c r="D133" s="11">
        <f t="shared" si="9"/>
        <v>381.81818181818181</v>
      </c>
      <c r="E133" s="11">
        <f t="shared" si="8"/>
        <v>38.18181818181818</v>
      </c>
      <c r="F133" s="94">
        <v>420</v>
      </c>
      <c r="G133" s="18">
        <v>100</v>
      </c>
      <c r="H133" s="13">
        <f t="shared" si="7"/>
        <v>320</v>
      </c>
      <c r="I133" s="19" t="s">
        <v>1096</v>
      </c>
      <c r="J133" s="52">
        <v>420</v>
      </c>
      <c r="K133" s="40"/>
      <c r="L133" s="1"/>
      <c r="M133" s="52"/>
      <c r="N133" s="52"/>
      <c r="O133" s="1"/>
    </row>
    <row r="134" spans="1:15" x14ac:dyDescent="0.3">
      <c r="A134" s="95">
        <v>45402</v>
      </c>
      <c r="B134" s="10" t="s">
        <v>591</v>
      </c>
      <c r="C134" s="10" t="s">
        <v>14</v>
      </c>
      <c r="D134" s="11">
        <f t="shared" si="9"/>
        <v>281.81818181818181</v>
      </c>
      <c r="E134" s="11">
        <f t="shared" si="8"/>
        <v>28.18181818181818</v>
      </c>
      <c r="F134" s="39">
        <v>310</v>
      </c>
      <c r="G134" s="21">
        <v>50</v>
      </c>
      <c r="H134" s="13">
        <f t="shared" si="7"/>
        <v>260</v>
      </c>
      <c r="I134" s="19" t="s">
        <v>1097</v>
      </c>
      <c r="J134" s="52">
        <v>270</v>
      </c>
      <c r="K134" s="40">
        <v>40</v>
      </c>
      <c r="L134" s="1" t="s">
        <v>223</v>
      </c>
      <c r="M134" s="52"/>
      <c r="N134" s="52"/>
      <c r="O134" s="1"/>
    </row>
    <row r="135" spans="1:15" x14ac:dyDescent="0.3">
      <c r="A135" s="95">
        <v>45402</v>
      </c>
      <c r="B135" s="10" t="s">
        <v>592</v>
      </c>
      <c r="C135" s="10" t="s">
        <v>14</v>
      </c>
      <c r="D135" s="11">
        <f t="shared" si="9"/>
        <v>172.72727272727272</v>
      </c>
      <c r="E135" s="11">
        <f t="shared" si="8"/>
        <v>17.272727272727273</v>
      </c>
      <c r="F135" s="39">
        <v>190</v>
      </c>
      <c r="G135" s="21">
        <v>50</v>
      </c>
      <c r="H135" s="13">
        <f t="shared" si="7"/>
        <v>140</v>
      </c>
      <c r="I135" s="19" t="s">
        <v>1098</v>
      </c>
      <c r="J135" s="52">
        <v>190</v>
      </c>
      <c r="K135" s="40"/>
      <c r="L135" s="1"/>
      <c r="M135" s="52"/>
      <c r="N135" s="52"/>
      <c r="O135" s="1"/>
    </row>
    <row r="136" spans="1:15" x14ac:dyDescent="0.3">
      <c r="A136" s="95">
        <v>45402</v>
      </c>
      <c r="B136" s="10" t="s">
        <v>593</v>
      </c>
      <c r="C136" s="10" t="s">
        <v>14</v>
      </c>
      <c r="D136" s="11">
        <f t="shared" si="9"/>
        <v>218.18181818181816</v>
      </c>
      <c r="E136" s="11">
        <f t="shared" si="8"/>
        <v>21.818181818181817</v>
      </c>
      <c r="F136" s="30">
        <v>240</v>
      </c>
      <c r="G136" s="30">
        <v>50</v>
      </c>
      <c r="H136" s="13">
        <f t="shared" si="7"/>
        <v>190</v>
      </c>
      <c r="I136" s="19" t="s">
        <v>1099</v>
      </c>
      <c r="J136" s="52">
        <v>220</v>
      </c>
      <c r="K136" s="40">
        <v>20</v>
      </c>
      <c r="L136" s="1" t="s">
        <v>223</v>
      </c>
      <c r="M136" s="52"/>
      <c r="N136" s="52"/>
      <c r="O136" s="1"/>
    </row>
    <row r="137" spans="1:15" x14ac:dyDescent="0.3">
      <c r="A137" s="95">
        <v>45402</v>
      </c>
      <c r="B137" s="10" t="s">
        <v>594</v>
      </c>
      <c r="C137" s="10" t="s">
        <v>14</v>
      </c>
      <c r="D137" s="11">
        <f t="shared" si="9"/>
        <v>263.63636363636363</v>
      </c>
      <c r="E137" s="11">
        <f t="shared" si="8"/>
        <v>26.36363636363636</v>
      </c>
      <c r="F137" s="30">
        <v>290</v>
      </c>
      <c r="G137" s="30">
        <v>50</v>
      </c>
      <c r="H137" s="13">
        <f t="shared" si="7"/>
        <v>240</v>
      </c>
      <c r="I137" s="19" t="s">
        <v>1100</v>
      </c>
      <c r="J137" s="88">
        <v>270</v>
      </c>
      <c r="K137" s="88">
        <v>20</v>
      </c>
      <c r="L137" s="1"/>
      <c r="M137" s="1"/>
      <c r="N137" s="1"/>
      <c r="O137" s="1"/>
    </row>
    <row r="138" spans="1:15" x14ac:dyDescent="0.3">
      <c r="A138" s="95">
        <v>45402</v>
      </c>
      <c r="B138" s="10" t="s">
        <v>595</v>
      </c>
      <c r="C138" s="10" t="s">
        <v>14</v>
      </c>
      <c r="D138" s="11">
        <f t="shared" si="9"/>
        <v>245.45454545454544</v>
      </c>
      <c r="E138" s="11">
        <f t="shared" si="8"/>
        <v>24.545454545454547</v>
      </c>
      <c r="F138" s="30">
        <v>270</v>
      </c>
      <c r="G138" s="30">
        <v>50</v>
      </c>
      <c r="H138" s="13">
        <f t="shared" si="7"/>
        <v>220</v>
      </c>
      <c r="I138" s="19" t="s">
        <v>1101</v>
      </c>
      <c r="J138" s="88">
        <v>270</v>
      </c>
      <c r="K138" s="88"/>
      <c r="L138" s="1"/>
      <c r="M138" s="1"/>
      <c r="N138" s="1"/>
      <c r="O138" s="1"/>
    </row>
    <row r="139" spans="1:15" x14ac:dyDescent="0.3">
      <c r="A139" s="95">
        <v>45402</v>
      </c>
      <c r="B139" s="10" t="s">
        <v>596</v>
      </c>
      <c r="C139" s="10" t="s">
        <v>14</v>
      </c>
      <c r="D139" s="11">
        <f t="shared" si="9"/>
        <v>209.09090909090907</v>
      </c>
      <c r="E139" s="11">
        <f t="shared" si="8"/>
        <v>20.909090909090907</v>
      </c>
      <c r="F139" s="30">
        <v>230</v>
      </c>
      <c r="G139" s="30">
        <v>50</v>
      </c>
      <c r="H139" s="13">
        <f t="shared" si="7"/>
        <v>180</v>
      </c>
      <c r="I139" s="19" t="s">
        <v>1102</v>
      </c>
      <c r="J139" s="88">
        <v>170</v>
      </c>
      <c r="K139" s="88">
        <v>40</v>
      </c>
      <c r="L139" s="1" t="s">
        <v>223</v>
      </c>
      <c r="M139" s="1"/>
      <c r="N139" s="1"/>
      <c r="O139" s="1"/>
    </row>
    <row r="140" spans="1:15" x14ac:dyDescent="0.3">
      <c r="A140" s="95">
        <v>45402</v>
      </c>
      <c r="B140" s="10" t="s">
        <v>597</v>
      </c>
      <c r="C140" s="10" t="s">
        <v>14</v>
      </c>
      <c r="D140" s="11">
        <f t="shared" si="9"/>
        <v>154.54545454545453</v>
      </c>
      <c r="E140" s="11">
        <f t="shared" si="8"/>
        <v>15.454545454545453</v>
      </c>
      <c r="F140" s="30">
        <v>170</v>
      </c>
      <c r="G140" s="30"/>
      <c r="H140" s="13">
        <f t="shared" si="7"/>
        <v>170</v>
      </c>
      <c r="I140" s="19" t="s">
        <v>402</v>
      </c>
      <c r="J140" s="88">
        <v>170</v>
      </c>
      <c r="K140" s="88"/>
      <c r="L140" s="1"/>
      <c r="M140" s="1"/>
      <c r="N140" s="1"/>
      <c r="O140" s="1"/>
    </row>
    <row r="141" spans="1:15" x14ac:dyDescent="0.3">
      <c r="A141" s="95">
        <v>45402</v>
      </c>
      <c r="B141" s="10" t="s">
        <v>598</v>
      </c>
      <c r="C141" s="10" t="s">
        <v>14</v>
      </c>
      <c r="D141" s="11">
        <f t="shared" si="9"/>
        <v>118.18181818181817</v>
      </c>
      <c r="E141" s="11">
        <f t="shared" si="8"/>
        <v>11.818181818181818</v>
      </c>
      <c r="F141" s="30">
        <v>130</v>
      </c>
      <c r="G141" s="30"/>
      <c r="H141" s="13">
        <f t="shared" si="7"/>
        <v>130</v>
      </c>
      <c r="I141" s="19" t="s">
        <v>403</v>
      </c>
      <c r="J141" s="88">
        <v>130</v>
      </c>
      <c r="K141" s="88"/>
      <c r="L141" s="1"/>
      <c r="M141" s="1"/>
      <c r="N141" s="1"/>
      <c r="O141" s="1"/>
    </row>
    <row r="142" spans="1:15" x14ac:dyDescent="0.3">
      <c r="A142" s="95">
        <v>45402</v>
      </c>
      <c r="B142" s="10" t="s">
        <v>599</v>
      </c>
      <c r="C142" s="10" t="s">
        <v>14</v>
      </c>
      <c r="D142" s="11">
        <f t="shared" si="9"/>
        <v>127.27272727272727</v>
      </c>
      <c r="E142" s="11">
        <f t="shared" si="8"/>
        <v>12.727272727272727</v>
      </c>
      <c r="F142" s="30">
        <v>140</v>
      </c>
      <c r="G142" s="30"/>
      <c r="H142" s="13">
        <f t="shared" si="7"/>
        <v>140</v>
      </c>
      <c r="I142" s="19" t="s">
        <v>721</v>
      </c>
      <c r="J142" s="88">
        <v>140</v>
      </c>
      <c r="K142" s="88"/>
      <c r="L142" s="1"/>
      <c r="M142" s="1"/>
      <c r="N142" s="1"/>
      <c r="O142" s="1"/>
    </row>
    <row r="143" spans="1:15" x14ac:dyDescent="0.3">
      <c r="A143" s="95">
        <v>45402</v>
      </c>
      <c r="B143" s="10" t="s">
        <v>600</v>
      </c>
      <c r="C143" s="10" t="s">
        <v>14</v>
      </c>
      <c r="D143" s="11">
        <f t="shared" si="9"/>
        <v>300</v>
      </c>
      <c r="E143" s="11">
        <f t="shared" si="8"/>
        <v>30</v>
      </c>
      <c r="F143" s="30">
        <v>330</v>
      </c>
      <c r="G143" s="30">
        <v>50</v>
      </c>
      <c r="H143" s="13">
        <f t="shared" si="7"/>
        <v>280</v>
      </c>
      <c r="I143" s="19" t="s">
        <v>1103</v>
      </c>
      <c r="J143" s="88">
        <v>170</v>
      </c>
      <c r="K143" s="88">
        <v>160</v>
      </c>
      <c r="L143" s="1" t="s">
        <v>949</v>
      </c>
      <c r="M143" s="1"/>
      <c r="N143" s="1"/>
      <c r="O143" s="1"/>
    </row>
    <row r="144" spans="1:15" x14ac:dyDescent="0.3">
      <c r="A144" s="95">
        <v>45402</v>
      </c>
      <c r="B144" s="10" t="s">
        <v>601</v>
      </c>
      <c r="C144" s="10" t="s">
        <v>14</v>
      </c>
      <c r="D144" s="11">
        <f t="shared" si="9"/>
        <v>190.90909090909091</v>
      </c>
      <c r="E144" s="11">
        <f t="shared" si="8"/>
        <v>19.09090909090909</v>
      </c>
      <c r="F144" s="30">
        <v>210</v>
      </c>
      <c r="G144" s="30">
        <v>50</v>
      </c>
      <c r="H144" s="13">
        <f t="shared" si="7"/>
        <v>160</v>
      </c>
      <c r="I144" s="19" t="s">
        <v>1104</v>
      </c>
      <c r="J144" s="88">
        <v>170</v>
      </c>
      <c r="K144" s="88">
        <v>40</v>
      </c>
      <c r="L144" s="1" t="s">
        <v>223</v>
      </c>
      <c r="M144" s="1"/>
      <c r="N144" s="1"/>
      <c r="O144" s="1"/>
    </row>
    <row r="145" spans="1:15" x14ac:dyDescent="0.3">
      <c r="A145" s="95">
        <v>45402</v>
      </c>
      <c r="B145" s="10" t="s">
        <v>602</v>
      </c>
      <c r="C145" s="10" t="s">
        <v>14</v>
      </c>
      <c r="D145" s="11">
        <f t="shared" si="9"/>
        <v>227.27272727272725</v>
      </c>
      <c r="E145" s="11">
        <f t="shared" si="8"/>
        <v>22.727272727272727</v>
      </c>
      <c r="F145" s="30">
        <v>250</v>
      </c>
      <c r="G145" s="30">
        <v>50</v>
      </c>
      <c r="H145" s="13">
        <f t="shared" si="7"/>
        <v>200</v>
      </c>
      <c r="I145" s="19" t="s">
        <v>1105</v>
      </c>
      <c r="J145" s="88">
        <v>220</v>
      </c>
      <c r="K145" s="88">
        <v>30</v>
      </c>
      <c r="L145" s="1"/>
      <c r="M145" s="1"/>
      <c r="N145" s="1"/>
      <c r="O145" s="1"/>
    </row>
    <row r="146" spans="1:15" x14ac:dyDescent="0.3">
      <c r="A146" s="95">
        <v>45402</v>
      </c>
      <c r="B146" s="10" t="s">
        <v>603</v>
      </c>
      <c r="C146" s="10" t="s">
        <v>14</v>
      </c>
      <c r="D146" s="11">
        <f t="shared" si="9"/>
        <v>227.27272727272725</v>
      </c>
      <c r="E146" s="11">
        <f t="shared" si="8"/>
        <v>22.727272727272727</v>
      </c>
      <c r="F146" s="30">
        <v>250</v>
      </c>
      <c r="G146" s="30">
        <v>50</v>
      </c>
      <c r="H146" s="13">
        <f t="shared" si="7"/>
        <v>200</v>
      </c>
      <c r="I146" s="19" t="s">
        <v>1106</v>
      </c>
      <c r="J146" s="88">
        <v>220</v>
      </c>
      <c r="K146" s="88">
        <v>30</v>
      </c>
      <c r="L146" s="1"/>
      <c r="M146" s="1"/>
      <c r="N146" s="1"/>
      <c r="O146" s="1"/>
    </row>
    <row r="147" spans="1:15" x14ac:dyDescent="0.3">
      <c r="A147" s="95">
        <v>45402</v>
      </c>
      <c r="B147" s="10" t="s">
        <v>604</v>
      </c>
      <c r="C147" s="10" t="s">
        <v>14</v>
      </c>
      <c r="D147" s="11">
        <f t="shared" si="9"/>
        <v>227.27272727272725</v>
      </c>
      <c r="E147" s="11">
        <f t="shared" si="8"/>
        <v>22.727272727272727</v>
      </c>
      <c r="F147" s="30">
        <v>250</v>
      </c>
      <c r="G147" s="30">
        <v>50</v>
      </c>
      <c r="H147" s="13">
        <f t="shared" si="7"/>
        <v>200</v>
      </c>
      <c r="I147" s="19" t="s">
        <v>1107</v>
      </c>
      <c r="J147" s="88">
        <v>220</v>
      </c>
      <c r="K147" s="88">
        <v>30</v>
      </c>
      <c r="L147" s="1"/>
      <c r="M147" s="1"/>
      <c r="N147" s="1"/>
      <c r="O147" s="1"/>
    </row>
    <row r="148" spans="1:15" x14ac:dyDescent="0.3">
      <c r="A148" s="95">
        <v>45402</v>
      </c>
      <c r="B148" s="10" t="s">
        <v>605</v>
      </c>
      <c r="C148" s="10" t="s">
        <v>14</v>
      </c>
      <c r="D148" s="11">
        <f t="shared" si="9"/>
        <v>163.63636363636363</v>
      </c>
      <c r="E148" s="11">
        <f t="shared" si="8"/>
        <v>16.363636363636363</v>
      </c>
      <c r="F148" s="30">
        <v>180</v>
      </c>
      <c r="G148" s="30"/>
      <c r="H148" s="13">
        <f t="shared" si="7"/>
        <v>180</v>
      </c>
      <c r="I148" s="19" t="s">
        <v>364</v>
      </c>
      <c r="J148" s="88">
        <v>180</v>
      </c>
      <c r="K148" s="88"/>
      <c r="L148" s="1"/>
      <c r="M148" s="88"/>
      <c r="N148" s="1"/>
      <c r="O148" s="1"/>
    </row>
    <row r="149" spans="1:15" x14ac:dyDescent="0.3">
      <c r="A149" s="95">
        <v>45402</v>
      </c>
      <c r="B149" s="10" t="s">
        <v>606</v>
      </c>
      <c r="C149" s="10" t="s">
        <v>14</v>
      </c>
      <c r="D149" s="11">
        <f t="shared" si="9"/>
        <v>181.81818181818181</v>
      </c>
      <c r="E149" s="11">
        <f t="shared" si="8"/>
        <v>18.18181818181818</v>
      </c>
      <c r="F149" s="30">
        <v>200</v>
      </c>
      <c r="G149" s="30"/>
      <c r="H149" s="13">
        <f t="shared" si="7"/>
        <v>200</v>
      </c>
      <c r="I149" s="19" t="s">
        <v>364</v>
      </c>
      <c r="J149" s="88">
        <v>200</v>
      </c>
      <c r="K149" s="88"/>
      <c r="L149" s="1"/>
      <c r="M149" s="88"/>
      <c r="N149" s="1"/>
      <c r="O149" s="1"/>
    </row>
    <row r="150" spans="1:15" x14ac:dyDescent="0.3">
      <c r="A150" s="95">
        <v>45402</v>
      </c>
      <c r="B150" s="10" t="s">
        <v>607</v>
      </c>
      <c r="C150" s="10" t="s">
        <v>14</v>
      </c>
      <c r="D150" s="11">
        <f t="shared" si="9"/>
        <v>227.27272727272725</v>
      </c>
      <c r="E150" s="11">
        <f t="shared" si="8"/>
        <v>22.727272727272727</v>
      </c>
      <c r="F150" s="30">
        <v>250</v>
      </c>
      <c r="G150" s="30">
        <v>50</v>
      </c>
      <c r="H150" s="13">
        <f t="shared" si="7"/>
        <v>200</v>
      </c>
      <c r="I150" s="19" t="s">
        <v>282</v>
      </c>
      <c r="J150" s="88">
        <v>220</v>
      </c>
      <c r="K150" s="30">
        <v>30</v>
      </c>
      <c r="L150" s="1"/>
      <c r="M150" s="88"/>
      <c r="N150" s="1"/>
      <c r="O150" s="1"/>
    </row>
    <row r="151" spans="1:15" x14ac:dyDescent="0.3">
      <c r="A151" s="95">
        <v>45402</v>
      </c>
      <c r="B151" s="10" t="s">
        <v>608</v>
      </c>
      <c r="C151" s="10" t="s">
        <v>14</v>
      </c>
      <c r="D151" s="11">
        <f t="shared" si="9"/>
        <v>163.63636363636363</v>
      </c>
      <c r="E151" s="11">
        <f t="shared" si="8"/>
        <v>16.363636363636363</v>
      </c>
      <c r="F151" s="30">
        <v>180</v>
      </c>
      <c r="G151" s="30"/>
      <c r="H151" s="13">
        <f t="shared" si="7"/>
        <v>180</v>
      </c>
      <c r="I151" s="19" t="s">
        <v>402</v>
      </c>
      <c r="J151" s="88">
        <v>180</v>
      </c>
      <c r="K151" s="88"/>
      <c r="L151" s="1"/>
      <c r="M151" s="88"/>
      <c r="N151" s="1"/>
      <c r="O151" s="1"/>
    </row>
    <row r="152" spans="1:15" x14ac:dyDescent="0.3">
      <c r="A152" s="95">
        <v>45403</v>
      </c>
      <c r="B152" s="10" t="s">
        <v>609</v>
      </c>
      <c r="C152" s="10" t="s">
        <v>14</v>
      </c>
      <c r="D152" s="11">
        <f t="shared" si="9"/>
        <v>154.54545454545453</v>
      </c>
      <c r="E152" s="11">
        <f t="shared" si="8"/>
        <v>15.454545454545453</v>
      </c>
      <c r="F152" s="30">
        <v>170</v>
      </c>
      <c r="G152" s="30">
        <v>50</v>
      </c>
      <c r="H152" s="13">
        <f t="shared" si="7"/>
        <v>120</v>
      </c>
      <c r="I152" s="19" t="s">
        <v>1108</v>
      </c>
      <c r="J152" s="88">
        <v>170</v>
      </c>
      <c r="K152" s="1"/>
      <c r="L152" s="1"/>
      <c r="M152" s="88"/>
      <c r="N152" s="1"/>
      <c r="O152" s="1"/>
    </row>
    <row r="153" spans="1:15" x14ac:dyDescent="0.3">
      <c r="A153" s="95">
        <v>45403</v>
      </c>
      <c r="B153" s="10" t="s">
        <v>610</v>
      </c>
      <c r="C153" s="10" t="s">
        <v>14</v>
      </c>
      <c r="D153" s="11">
        <f t="shared" si="9"/>
        <v>836.36363636363626</v>
      </c>
      <c r="E153" s="11">
        <f t="shared" si="8"/>
        <v>83.636363636363626</v>
      </c>
      <c r="F153" s="30">
        <v>920</v>
      </c>
      <c r="G153" s="30">
        <v>920</v>
      </c>
      <c r="H153" s="13">
        <f t="shared" si="7"/>
        <v>0</v>
      </c>
      <c r="I153" s="19" t="s">
        <v>1109</v>
      </c>
      <c r="J153" s="88">
        <v>270</v>
      </c>
      <c r="K153" s="30">
        <v>500</v>
      </c>
      <c r="L153" s="1" t="s">
        <v>1110</v>
      </c>
      <c r="M153" s="88">
        <v>150</v>
      </c>
      <c r="N153" s="1" t="s">
        <v>1111</v>
      </c>
      <c r="O153" s="1"/>
    </row>
    <row r="154" spans="1:15" x14ac:dyDescent="0.3">
      <c r="A154" s="95">
        <v>45403</v>
      </c>
      <c r="B154" s="10" t="s">
        <v>611</v>
      </c>
      <c r="C154" s="10" t="s">
        <v>14</v>
      </c>
      <c r="D154" s="11">
        <f t="shared" si="9"/>
        <v>227.27272727272725</v>
      </c>
      <c r="E154" s="11">
        <f t="shared" si="8"/>
        <v>22.727272727272727</v>
      </c>
      <c r="F154" s="30">
        <v>250</v>
      </c>
      <c r="G154" s="30">
        <v>50</v>
      </c>
      <c r="H154" s="13">
        <f t="shared" si="7"/>
        <v>200</v>
      </c>
      <c r="I154" s="19" t="s">
        <v>1112</v>
      </c>
      <c r="J154" s="88">
        <v>220</v>
      </c>
      <c r="K154" s="88">
        <v>30</v>
      </c>
      <c r="L154" s="1" t="s">
        <v>223</v>
      </c>
      <c r="M154" s="88"/>
      <c r="N154" s="1"/>
      <c r="O154" s="1"/>
    </row>
    <row r="155" spans="1:15" x14ac:dyDescent="0.3">
      <c r="A155" s="95">
        <v>45403</v>
      </c>
      <c r="B155" s="10" t="s">
        <v>612</v>
      </c>
      <c r="C155" s="10" t="s">
        <v>14</v>
      </c>
      <c r="D155" s="11">
        <f t="shared" si="9"/>
        <v>245.45454545454544</v>
      </c>
      <c r="E155" s="11">
        <f t="shared" si="8"/>
        <v>24.545454545454547</v>
      </c>
      <c r="F155" s="30">
        <v>270</v>
      </c>
      <c r="G155" s="30">
        <v>50</v>
      </c>
      <c r="H155" s="13">
        <f t="shared" si="7"/>
        <v>220</v>
      </c>
      <c r="I155" s="19" t="s">
        <v>1113</v>
      </c>
      <c r="J155" s="88">
        <v>270</v>
      </c>
      <c r="K155" s="88"/>
      <c r="L155" s="1"/>
      <c r="M155" s="88"/>
      <c r="N155" s="1"/>
      <c r="O155" s="1"/>
    </row>
    <row r="156" spans="1:15" x14ac:dyDescent="0.3">
      <c r="A156" s="95">
        <v>45403</v>
      </c>
      <c r="B156" s="10" t="s">
        <v>613</v>
      </c>
      <c r="C156" s="10" t="s">
        <v>14</v>
      </c>
      <c r="D156" s="11">
        <f t="shared" si="9"/>
        <v>240.90909090909088</v>
      </c>
      <c r="E156" s="11">
        <f t="shared" si="8"/>
        <v>24.09090909090909</v>
      </c>
      <c r="F156" s="30">
        <v>265</v>
      </c>
      <c r="G156" s="30">
        <v>50</v>
      </c>
      <c r="H156" s="13">
        <f t="shared" si="7"/>
        <v>215</v>
      </c>
      <c r="I156" s="19" t="s">
        <v>1114</v>
      </c>
      <c r="J156" s="88">
        <v>220</v>
      </c>
      <c r="K156" s="30">
        <v>45</v>
      </c>
      <c r="L156" s="1" t="s">
        <v>16</v>
      </c>
      <c r="M156" s="88"/>
      <c r="N156" s="1"/>
      <c r="O156" s="1"/>
    </row>
    <row r="157" spans="1:15" x14ac:dyDescent="0.3">
      <c r="A157" s="95">
        <v>45405</v>
      </c>
      <c r="B157" s="10" t="s">
        <v>614</v>
      </c>
      <c r="C157" s="10" t="s">
        <v>14</v>
      </c>
      <c r="D157" s="11">
        <f t="shared" si="9"/>
        <v>172.72727272727272</v>
      </c>
      <c r="E157" s="11">
        <f t="shared" si="8"/>
        <v>17.272727272727273</v>
      </c>
      <c r="F157" s="30">
        <v>190</v>
      </c>
      <c r="G157" s="30"/>
      <c r="H157" s="13">
        <f t="shared" si="7"/>
        <v>190</v>
      </c>
      <c r="I157" s="19" t="s">
        <v>901</v>
      </c>
      <c r="J157" s="88">
        <v>190</v>
      </c>
      <c r="K157" s="88"/>
      <c r="L157" s="1"/>
      <c r="M157" s="88"/>
      <c r="N157" s="1"/>
      <c r="O157" s="1"/>
    </row>
    <row r="158" spans="1:15" x14ac:dyDescent="0.3">
      <c r="A158" s="95">
        <v>45405</v>
      </c>
      <c r="B158" s="10" t="s">
        <v>615</v>
      </c>
      <c r="C158" s="10" t="s">
        <v>14</v>
      </c>
      <c r="D158" s="11">
        <f t="shared" si="9"/>
        <v>154.54545454545453</v>
      </c>
      <c r="E158" s="11">
        <f t="shared" si="8"/>
        <v>15.454545454545453</v>
      </c>
      <c r="F158" s="30">
        <v>170</v>
      </c>
      <c r="G158" s="30">
        <v>50</v>
      </c>
      <c r="H158" s="13">
        <f t="shared" si="7"/>
        <v>120</v>
      </c>
      <c r="I158" s="19" t="s">
        <v>1115</v>
      </c>
      <c r="J158" s="88">
        <v>170</v>
      </c>
      <c r="K158" s="30"/>
      <c r="L158" s="1"/>
      <c r="M158" s="1"/>
      <c r="N158" s="1"/>
      <c r="O158" s="1"/>
    </row>
    <row r="159" spans="1:15" x14ac:dyDescent="0.3">
      <c r="A159" s="95">
        <v>45406</v>
      </c>
      <c r="B159" s="10" t="s">
        <v>616</v>
      </c>
      <c r="C159" s="10" t="s">
        <v>14</v>
      </c>
      <c r="D159" s="11">
        <f t="shared" si="9"/>
        <v>199.99999999999997</v>
      </c>
      <c r="E159" s="11">
        <f t="shared" si="8"/>
        <v>19.999999999999996</v>
      </c>
      <c r="F159" s="30">
        <v>220</v>
      </c>
      <c r="G159" s="30">
        <v>50</v>
      </c>
      <c r="H159" s="13">
        <f t="shared" si="7"/>
        <v>170</v>
      </c>
      <c r="I159" s="19" t="s">
        <v>1116</v>
      </c>
      <c r="J159" s="88">
        <v>220</v>
      </c>
      <c r="K159" s="1"/>
      <c r="L159" s="1"/>
      <c r="M159" s="1"/>
      <c r="N159" s="1"/>
      <c r="O159" s="1"/>
    </row>
    <row r="160" spans="1:15" x14ac:dyDescent="0.3">
      <c r="A160" s="95">
        <v>45406</v>
      </c>
      <c r="B160" s="10" t="s">
        <v>617</v>
      </c>
      <c r="C160" s="10" t="s">
        <v>14</v>
      </c>
      <c r="D160" s="11">
        <f t="shared" si="9"/>
        <v>240.90909090909088</v>
      </c>
      <c r="E160" s="11">
        <f t="shared" si="8"/>
        <v>24.09090909090909</v>
      </c>
      <c r="F160" s="30">
        <v>265</v>
      </c>
      <c r="G160" s="30">
        <v>50</v>
      </c>
      <c r="H160" s="13">
        <f t="shared" si="7"/>
        <v>215</v>
      </c>
      <c r="I160" s="19" t="s">
        <v>1117</v>
      </c>
      <c r="J160" s="88">
        <v>220</v>
      </c>
      <c r="K160" s="30">
        <v>45</v>
      </c>
      <c r="L160" s="1" t="s">
        <v>16</v>
      </c>
      <c r="M160" s="1"/>
      <c r="N160" s="1"/>
      <c r="O160" s="1"/>
    </row>
    <row r="161" spans="1:15" x14ac:dyDescent="0.3">
      <c r="A161" s="95">
        <v>45406</v>
      </c>
      <c r="B161" s="10" t="s">
        <v>618</v>
      </c>
      <c r="C161" s="10" t="s">
        <v>14</v>
      </c>
      <c r="D161" s="11">
        <f t="shared" si="9"/>
        <v>199.99999999999997</v>
      </c>
      <c r="E161" s="11">
        <f t="shared" si="8"/>
        <v>19.999999999999996</v>
      </c>
      <c r="F161" s="30">
        <v>220</v>
      </c>
      <c r="G161" s="30">
        <v>50</v>
      </c>
      <c r="H161" s="13">
        <f t="shared" si="7"/>
        <v>170</v>
      </c>
      <c r="I161" s="19" t="s">
        <v>1118</v>
      </c>
      <c r="J161" s="88">
        <v>220</v>
      </c>
      <c r="K161" s="1"/>
      <c r="L161" s="1"/>
      <c r="M161" s="1"/>
      <c r="N161" s="1"/>
      <c r="O161" s="1"/>
    </row>
    <row r="162" spans="1:15" x14ac:dyDescent="0.3">
      <c r="A162" s="95">
        <v>45407</v>
      </c>
      <c r="B162" s="10" t="s">
        <v>619</v>
      </c>
      <c r="C162" s="10" t="s">
        <v>14</v>
      </c>
      <c r="D162" s="11">
        <f t="shared" si="9"/>
        <v>199.99999999999997</v>
      </c>
      <c r="E162" s="11">
        <f t="shared" si="8"/>
        <v>19.999999999999996</v>
      </c>
      <c r="F162" s="30">
        <v>220</v>
      </c>
      <c r="G162" s="30">
        <v>50</v>
      </c>
      <c r="H162" s="13">
        <f t="shared" si="7"/>
        <v>170</v>
      </c>
      <c r="I162" s="19" t="s">
        <v>1119</v>
      </c>
      <c r="J162" s="88">
        <v>220</v>
      </c>
      <c r="K162" s="1"/>
      <c r="L162" s="1"/>
      <c r="M162" s="1"/>
      <c r="N162" s="1"/>
      <c r="O162" s="1"/>
    </row>
    <row r="163" spans="1:15" x14ac:dyDescent="0.3">
      <c r="A163" s="95">
        <v>45408</v>
      </c>
      <c r="B163" s="10" t="s">
        <v>620</v>
      </c>
      <c r="C163" s="10" t="s">
        <v>14</v>
      </c>
      <c r="D163" s="11">
        <f t="shared" si="9"/>
        <v>154.54545454545453</v>
      </c>
      <c r="E163" s="79">
        <f t="shared" ref="E163:E207" si="10">D163*10/100</f>
        <v>15.454545454545453</v>
      </c>
      <c r="F163" s="88">
        <v>170</v>
      </c>
      <c r="G163" s="30">
        <v>50</v>
      </c>
      <c r="H163" s="13">
        <f t="shared" si="7"/>
        <v>120</v>
      </c>
      <c r="I163" s="19" t="s">
        <v>1120</v>
      </c>
      <c r="J163" s="88">
        <v>170</v>
      </c>
      <c r="K163" s="1"/>
      <c r="L163" s="1"/>
      <c r="M163" s="1"/>
      <c r="N163" s="1"/>
      <c r="O163" s="1"/>
    </row>
    <row r="164" spans="1:15" x14ac:dyDescent="0.3">
      <c r="A164" s="95">
        <v>45408</v>
      </c>
      <c r="B164" s="10" t="s">
        <v>621</v>
      </c>
      <c r="C164" s="10" t="s">
        <v>14</v>
      </c>
      <c r="D164" s="11">
        <f t="shared" si="9"/>
        <v>545.45454545454538</v>
      </c>
      <c r="E164" s="79">
        <f t="shared" si="10"/>
        <v>54.54545454545454</v>
      </c>
      <c r="F164" s="88">
        <v>600</v>
      </c>
      <c r="G164" s="30"/>
      <c r="H164" s="13">
        <f t="shared" si="7"/>
        <v>600</v>
      </c>
      <c r="I164" s="19" t="s">
        <v>1121</v>
      </c>
      <c r="J164" s="88">
        <v>600</v>
      </c>
      <c r="K164" s="1"/>
      <c r="L164" s="1"/>
      <c r="M164" s="1"/>
      <c r="N164" s="1"/>
      <c r="O164" s="1"/>
    </row>
    <row r="165" spans="1:15" x14ac:dyDescent="0.3">
      <c r="A165" s="95">
        <v>45408</v>
      </c>
      <c r="B165" s="10" t="s">
        <v>622</v>
      </c>
      <c r="C165" s="10" t="s">
        <v>14</v>
      </c>
      <c r="D165" s="11">
        <f t="shared" si="9"/>
        <v>154.54545454545453</v>
      </c>
      <c r="E165" s="79">
        <f t="shared" si="10"/>
        <v>15.454545454545453</v>
      </c>
      <c r="F165" s="88">
        <v>170</v>
      </c>
      <c r="G165" s="30">
        <v>50</v>
      </c>
      <c r="H165" s="13">
        <f t="shared" si="7"/>
        <v>120</v>
      </c>
      <c r="I165" s="19" t="s">
        <v>1122</v>
      </c>
      <c r="J165" s="88">
        <v>170</v>
      </c>
      <c r="K165" s="30"/>
      <c r="L165" s="1"/>
      <c r="M165" s="1"/>
      <c r="N165" s="1"/>
      <c r="O165" s="1"/>
    </row>
    <row r="166" spans="1:15" x14ac:dyDescent="0.3">
      <c r="A166" s="95">
        <v>45408</v>
      </c>
      <c r="B166" s="10" t="s">
        <v>623</v>
      </c>
      <c r="C166" s="10" t="s">
        <v>14</v>
      </c>
      <c r="D166" s="11">
        <f t="shared" si="9"/>
        <v>109.09090909090908</v>
      </c>
      <c r="E166" s="79">
        <f t="shared" si="10"/>
        <v>10.909090909090908</v>
      </c>
      <c r="F166" s="88">
        <v>120</v>
      </c>
      <c r="G166" s="30"/>
      <c r="H166" s="13">
        <f t="shared" si="7"/>
        <v>120</v>
      </c>
      <c r="I166" s="19" t="s">
        <v>402</v>
      </c>
      <c r="J166" s="88">
        <v>120</v>
      </c>
      <c r="K166" s="1"/>
      <c r="L166" s="1"/>
      <c r="M166" s="1"/>
      <c r="N166" s="1"/>
      <c r="O166" s="1"/>
    </row>
    <row r="167" spans="1:15" x14ac:dyDescent="0.3">
      <c r="A167" s="95">
        <v>45408</v>
      </c>
      <c r="B167" s="10" t="s">
        <v>624</v>
      </c>
      <c r="C167" s="10" t="s">
        <v>14</v>
      </c>
      <c r="D167" s="11">
        <f t="shared" si="9"/>
        <v>540.90909090909088</v>
      </c>
      <c r="E167" s="79">
        <f t="shared" si="10"/>
        <v>54.090909090909093</v>
      </c>
      <c r="F167" s="88">
        <v>595</v>
      </c>
      <c r="G167" s="30">
        <v>200</v>
      </c>
      <c r="H167" s="13">
        <f t="shared" si="7"/>
        <v>395</v>
      </c>
      <c r="I167" s="19" t="s">
        <v>1123</v>
      </c>
      <c r="J167" s="88">
        <v>400</v>
      </c>
      <c r="K167" s="1">
        <v>45</v>
      </c>
      <c r="L167" s="1" t="s">
        <v>16</v>
      </c>
      <c r="M167" s="1">
        <v>150</v>
      </c>
      <c r="N167" s="1" t="s">
        <v>1125</v>
      </c>
      <c r="O167" s="1"/>
    </row>
    <row r="168" spans="1:15" x14ac:dyDescent="0.3">
      <c r="A168" s="95">
        <v>45408</v>
      </c>
      <c r="B168" s="10" t="s">
        <v>625</v>
      </c>
      <c r="C168" s="10" t="s">
        <v>14</v>
      </c>
      <c r="D168" s="11">
        <f t="shared" si="9"/>
        <v>163.63636363636363</v>
      </c>
      <c r="E168" s="79">
        <f t="shared" si="10"/>
        <v>16.363636363636363</v>
      </c>
      <c r="F168" s="88">
        <v>180</v>
      </c>
      <c r="G168" s="30"/>
      <c r="H168" s="13">
        <f t="shared" si="7"/>
        <v>180</v>
      </c>
      <c r="I168" s="19" t="s">
        <v>402</v>
      </c>
      <c r="J168" s="88">
        <v>180</v>
      </c>
      <c r="K168" s="30"/>
      <c r="L168" s="1"/>
      <c r="M168" s="1"/>
      <c r="N168" s="1"/>
      <c r="O168" s="1"/>
    </row>
    <row r="169" spans="1:15" x14ac:dyDescent="0.3">
      <c r="A169" s="95">
        <v>45408</v>
      </c>
      <c r="B169" s="10" t="s">
        <v>626</v>
      </c>
      <c r="C169" s="10" t="s">
        <v>14</v>
      </c>
      <c r="D169" s="11">
        <f t="shared" si="9"/>
        <v>227.27272727272725</v>
      </c>
      <c r="E169" s="79">
        <f t="shared" si="10"/>
        <v>22.727272727272727</v>
      </c>
      <c r="F169" s="88">
        <v>250</v>
      </c>
      <c r="G169" s="30">
        <v>50</v>
      </c>
      <c r="H169" s="13">
        <f t="shared" si="7"/>
        <v>200</v>
      </c>
      <c r="I169" s="19" t="s">
        <v>1124</v>
      </c>
      <c r="J169" s="88">
        <v>250</v>
      </c>
      <c r="K169" s="1"/>
      <c r="L169" s="1"/>
      <c r="M169" s="1"/>
      <c r="N169" s="1"/>
      <c r="O169" s="1"/>
    </row>
    <row r="170" spans="1:15" x14ac:dyDescent="0.3">
      <c r="A170" s="95">
        <v>45408</v>
      </c>
      <c r="B170" s="10" t="s">
        <v>627</v>
      </c>
      <c r="C170" s="10" t="s">
        <v>14</v>
      </c>
      <c r="D170" s="11">
        <f t="shared" si="9"/>
        <v>118.18181818181817</v>
      </c>
      <c r="E170" s="79">
        <f t="shared" si="10"/>
        <v>11.818181818181818</v>
      </c>
      <c r="F170" s="88">
        <v>130</v>
      </c>
      <c r="G170" s="30"/>
      <c r="H170" s="13">
        <f t="shared" si="7"/>
        <v>130</v>
      </c>
      <c r="I170" s="19" t="s">
        <v>402</v>
      </c>
      <c r="J170" s="88">
        <v>130</v>
      </c>
      <c r="K170" s="1"/>
      <c r="L170" s="1"/>
      <c r="M170" s="1"/>
      <c r="N170" s="1"/>
      <c r="O170" s="1"/>
    </row>
    <row r="171" spans="1:15" x14ac:dyDescent="0.3">
      <c r="A171" s="95">
        <v>45409</v>
      </c>
      <c r="B171" s="10" t="s">
        <v>628</v>
      </c>
      <c r="C171" s="10" t="s">
        <v>14</v>
      </c>
      <c r="D171" s="11">
        <f t="shared" si="9"/>
        <v>236.36363636363635</v>
      </c>
      <c r="E171" s="79">
        <f t="shared" si="10"/>
        <v>23.636363636363637</v>
      </c>
      <c r="F171" s="88">
        <v>260</v>
      </c>
      <c r="G171" s="30">
        <v>50</v>
      </c>
      <c r="H171" s="13">
        <f t="shared" si="7"/>
        <v>210</v>
      </c>
      <c r="I171" s="19" t="s">
        <v>1126</v>
      </c>
      <c r="J171" s="88">
        <v>220</v>
      </c>
      <c r="K171" s="1">
        <v>40</v>
      </c>
      <c r="L171" s="1" t="s">
        <v>223</v>
      </c>
      <c r="M171" s="1"/>
      <c r="N171" s="1"/>
      <c r="O171" s="1"/>
    </row>
    <row r="172" spans="1:15" x14ac:dyDescent="0.3">
      <c r="A172" s="95">
        <v>45409</v>
      </c>
      <c r="B172" s="10" t="s">
        <v>629</v>
      </c>
      <c r="C172" s="10" t="s">
        <v>14</v>
      </c>
      <c r="D172" s="11">
        <f t="shared" si="9"/>
        <v>236.36363636363635</v>
      </c>
      <c r="E172" s="79">
        <f t="shared" si="10"/>
        <v>23.636363636363637</v>
      </c>
      <c r="F172" s="88">
        <v>260</v>
      </c>
      <c r="G172" s="30">
        <v>50</v>
      </c>
      <c r="H172" s="13">
        <f t="shared" si="7"/>
        <v>210</v>
      </c>
      <c r="I172" s="19" t="s">
        <v>1127</v>
      </c>
      <c r="J172" s="88">
        <v>220</v>
      </c>
      <c r="K172" s="1">
        <v>40</v>
      </c>
      <c r="L172" s="1" t="s">
        <v>223</v>
      </c>
      <c r="M172" s="1"/>
      <c r="N172" s="1"/>
      <c r="O172" s="1"/>
    </row>
    <row r="173" spans="1:15" x14ac:dyDescent="0.3">
      <c r="A173" s="95">
        <v>45409</v>
      </c>
      <c r="B173" s="10" t="s">
        <v>630</v>
      </c>
      <c r="C173" s="10" t="s">
        <v>14</v>
      </c>
      <c r="D173" s="11">
        <f t="shared" si="9"/>
        <v>263.63636363636363</v>
      </c>
      <c r="E173" s="79">
        <f t="shared" si="10"/>
        <v>26.36363636363636</v>
      </c>
      <c r="F173" s="88">
        <v>290</v>
      </c>
      <c r="G173" s="30">
        <v>50</v>
      </c>
      <c r="H173" s="13">
        <f t="shared" si="7"/>
        <v>240</v>
      </c>
      <c r="I173" s="19" t="s">
        <v>1128</v>
      </c>
      <c r="J173" s="88">
        <v>270</v>
      </c>
      <c r="K173" s="1">
        <v>20</v>
      </c>
      <c r="L173" s="1" t="s">
        <v>223</v>
      </c>
      <c r="M173" s="1"/>
      <c r="N173" s="1"/>
      <c r="O173" s="1"/>
    </row>
    <row r="174" spans="1:15" x14ac:dyDescent="0.3">
      <c r="A174" s="95">
        <v>45409</v>
      </c>
      <c r="B174" s="10" t="s">
        <v>631</v>
      </c>
      <c r="C174" s="10" t="s">
        <v>14</v>
      </c>
      <c r="D174" s="11">
        <f t="shared" si="9"/>
        <v>181.81818181818181</v>
      </c>
      <c r="E174" s="30">
        <f t="shared" si="10"/>
        <v>18.18181818181818</v>
      </c>
      <c r="F174" s="30">
        <v>200</v>
      </c>
      <c r="G174" s="30"/>
      <c r="H174" s="13">
        <f t="shared" si="7"/>
        <v>200</v>
      </c>
      <c r="I174" s="1" t="s">
        <v>402</v>
      </c>
      <c r="J174" s="30">
        <v>200</v>
      </c>
      <c r="K174" s="30"/>
      <c r="L174" s="1"/>
      <c r="M174" s="1"/>
      <c r="N174" s="1"/>
      <c r="O174" s="1"/>
    </row>
    <row r="175" spans="1:15" x14ac:dyDescent="0.3">
      <c r="A175" s="95">
        <v>45409</v>
      </c>
      <c r="B175" s="10" t="s">
        <v>632</v>
      </c>
      <c r="C175" s="10" t="s">
        <v>14</v>
      </c>
      <c r="D175" s="11">
        <f t="shared" si="9"/>
        <v>172.72727272727272</v>
      </c>
      <c r="E175" s="30">
        <f t="shared" si="10"/>
        <v>17.272727272727273</v>
      </c>
      <c r="F175" s="30">
        <v>190</v>
      </c>
      <c r="G175" s="30"/>
      <c r="H175" s="13">
        <f t="shared" si="7"/>
        <v>190</v>
      </c>
      <c r="I175" s="1" t="s">
        <v>402</v>
      </c>
      <c r="J175" s="30">
        <v>190</v>
      </c>
      <c r="K175" s="30"/>
      <c r="L175" s="1"/>
      <c r="M175" s="1"/>
      <c r="N175" s="1"/>
      <c r="O175" s="1"/>
    </row>
    <row r="176" spans="1:15" x14ac:dyDescent="0.3">
      <c r="A176" s="95">
        <v>45409</v>
      </c>
      <c r="B176" s="10" t="s">
        <v>633</v>
      </c>
      <c r="C176" s="10" t="s">
        <v>14</v>
      </c>
      <c r="D176" s="11">
        <f t="shared" si="9"/>
        <v>227.27272727272725</v>
      </c>
      <c r="E176" s="30">
        <f t="shared" si="10"/>
        <v>22.727272727272727</v>
      </c>
      <c r="F176" s="30">
        <v>250</v>
      </c>
      <c r="G176" s="30">
        <v>50</v>
      </c>
      <c r="H176" s="13">
        <f t="shared" si="7"/>
        <v>200</v>
      </c>
      <c r="I176" s="1" t="s">
        <v>1129</v>
      </c>
      <c r="J176" s="30">
        <v>220</v>
      </c>
      <c r="K176" s="30">
        <v>30</v>
      </c>
      <c r="L176" s="1" t="s">
        <v>223</v>
      </c>
      <c r="M176" s="1"/>
      <c r="N176" s="1"/>
      <c r="O176" s="1"/>
    </row>
    <row r="177" spans="1:15" x14ac:dyDescent="0.3">
      <c r="A177" s="95">
        <v>45409</v>
      </c>
      <c r="B177" s="10" t="s">
        <v>634</v>
      </c>
      <c r="C177" s="10" t="s">
        <v>14</v>
      </c>
      <c r="D177" s="11">
        <f t="shared" si="9"/>
        <v>172.72727272727272</v>
      </c>
      <c r="E177" s="30">
        <f t="shared" si="10"/>
        <v>17.272727272727273</v>
      </c>
      <c r="F177" s="30">
        <v>190</v>
      </c>
      <c r="G177" s="30"/>
      <c r="H177" s="13">
        <f t="shared" si="7"/>
        <v>190</v>
      </c>
      <c r="I177" s="1" t="s">
        <v>1130</v>
      </c>
      <c r="J177" s="30">
        <v>190</v>
      </c>
      <c r="K177" s="30"/>
      <c r="L177" s="1"/>
      <c r="M177" s="1"/>
      <c r="N177" s="1"/>
      <c r="O177" s="1"/>
    </row>
    <row r="178" spans="1:15" x14ac:dyDescent="0.3">
      <c r="A178" s="95">
        <v>45409</v>
      </c>
      <c r="B178" s="10" t="s">
        <v>635</v>
      </c>
      <c r="C178" s="10" t="s">
        <v>14</v>
      </c>
      <c r="D178" s="11">
        <f t="shared" si="9"/>
        <v>154.54545454545453</v>
      </c>
      <c r="E178" s="30">
        <f t="shared" si="10"/>
        <v>15.454545454545453</v>
      </c>
      <c r="F178" s="30">
        <v>170</v>
      </c>
      <c r="G178" s="30">
        <v>50</v>
      </c>
      <c r="H178" s="13">
        <f t="shared" si="7"/>
        <v>120</v>
      </c>
      <c r="I178" s="1" t="s">
        <v>264</v>
      </c>
      <c r="J178" s="30">
        <v>170</v>
      </c>
      <c r="K178" s="30"/>
      <c r="L178" s="1"/>
      <c r="M178" s="1"/>
      <c r="N178" s="1"/>
      <c r="O178" s="1"/>
    </row>
    <row r="179" spans="1:15" x14ac:dyDescent="0.3">
      <c r="A179" s="95">
        <v>45409</v>
      </c>
      <c r="B179" s="10" t="s">
        <v>636</v>
      </c>
      <c r="C179" s="10" t="s">
        <v>14</v>
      </c>
      <c r="D179" s="11">
        <f t="shared" si="9"/>
        <v>272.72727272727269</v>
      </c>
      <c r="E179" s="30">
        <f t="shared" si="10"/>
        <v>27.27272727272727</v>
      </c>
      <c r="F179" s="30">
        <v>300</v>
      </c>
      <c r="G179" s="30">
        <v>50</v>
      </c>
      <c r="H179" s="13">
        <f t="shared" si="7"/>
        <v>250</v>
      </c>
      <c r="I179" s="1" t="s">
        <v>1131</v>
      </c>
      <c r="J179" s="30">
        <v>220</v>
      </c>
      <c r="K179" s="30">
        <v>30</v>
      </c>
      <c r="L179" s="1" t="s">
        <v>223</v>
      </c>
      <c r="M179" s="1"/>
      <c r="N179" s="1"/>
      <c r="O179" s="1"/>
    </row>
    <row r="180" spans="1:15" x14ac:dyDescent="0.3">
      <c r="A180" s="95">
        <v>45409</v>
      </c>
      <c r="B180" s="10" t="s">
        <v>637</v>
      </c>
      <c r="C180" s="10" t="s">
        <v>14</v>
      </c>
      <c r="D180" s="11">
        <f t="shared" si="9"/>
        <v>227.27272727272725</v>
      </c>
      <c r="E180" s="30">
        <f t="shared" si="10"/>
        <v>22.727272727272727</v>
      </c>
      <c r="F180" s="30">
        <v>250</v>
      </c>
      <c r="G180" s="30">
        <v>50</v>
      </c>
      <c r="H180" s="13">
        <f t="shared" si="7"/>
        <v>200</v>
      </c>
      <c r="I180" s="1" t="s">
        <v>264</v>
      </c>
      <c r="J180" s="30">
        <v>220</v>
      </c>
      <c r="K180" s="30">
        <v>30</v>
      </c>
      <c r="L180" s="1" t="s">
        <v>223</v>
      </c>
      <c r="M180" s="1"/>
      <c r="N180" s="1"/>
      <c r="O180" s="1"/>
    </row>
    <row r="181" spans="1:15" x14ac:dyDescent="0.3">
      <c r="A181" s="95">
        <v>45409</v>
      </c>
      <c r="B181" s="10" t="s">
        <v>638</v>
      </c>
      <c r="C181" s="10" t="s">
        <v>14</v>
      </c>
      <c r="D181" s="11">
        <f t="shared" si="9"/>
        <v>209.09090909090907</v>
      </c>
      <c r="E181" s="30">
        <f t="shared" si="10"/>
        <v>20.909090909090907</v>
      </c>
      <c r="F181" s="30">
        <v>230</v>
      </c>
      <c r="G181" s="30"/>
      <c r="H181" s="13">
        <f t="shared" si="7"/>
        <v>230</v>
      </c>
      <c r="I181" s="1" t="s">
        <v>402</v>
      </c>
      <c r="J181" s="30">
        <v>230</v>
      </c>
      <c r="K181" s="30"/>
      <c r="L181" s="1"/>
      <c r="M181" s="1"/>
      <c r="N181" s="1"/>
      <c r="O181" s="1"/>
    </row>
    <row r="182" spans="1:15" x14ac:dyDescent="0.3">
      <c r="A182" s="95">
        <v>45409</v>
      </c>
      <c r="B182" s="10" t="s">
        <v>639</v>
      </c>
      <c r="C182" s="10" t="s">
        <v>14</v>
      </c>
      <c r="D182" s="11">
        <f t="shared" si="9"/>
        <v>199.99999999999997</v>
      </c>
      <c r="E182" s="30">
        <f t="shared" si="10"/>
        <v>19.999999999999996</v>
      </c>
      <c r="F182" s="30">
        <v>220</v>
      </c>
      <c r="G182" s="30">
        <v>50</v>
      </c>
      <c r="H182" s="13">
        <f t="shared" si="7"/>
        <v>170</v>
      </c>
      <c r="I182" s="1" t="s">
        <v>1132</v>
      </c>
      <c r="J182" s="30">
        <v>220</v>
      </c>
      <c r="K182" s="30"/>
      <c r="L182" s="1"/>
      <c r="M182" s="1"/>
      <c r="N182" s="1"/>
      <c r="O182" s="1"/>
    </row>
    <row r="183" spans="1:15" x14ac:dyDescent="0.3">
      <c r="A183" s="95">
        <v>45409</v>
      </c>
      <c r="B183" s="10" t="s">
        <v>640</v>
      </c>
      <c r="C183" s="10" t="s">
        <v>14</v>
      </c>
      <c r="D183" s="11">
        <f t="shared" si="9"/>
        <v>227.27272727272725</v>
      </c>
      <c r="E183" s="30">
        <f t="shared" si="10"/>
        <v>22.727272727272727</v>
      </c>
      <c r="F183" s="30">
        <v>250</v>
      </c>
      <c r="G183" s="30">
        <v>50</v>
      </c>
      <c r="H183" s="13">
        <f t="shared" si="7"/>
        <v>200</v>
      </c>
      <c r="I183" s="1" t="s">
        <v>1133</v>
      </c>
      <c r="J183" s="30">
        <v>220</v>
      </c>
      <c r="K183" s="30">
        <v>30</v>
      </c>
      <c r="L183" s="1" t="s">
        <v>223</v>
      </c>
      <c r="M183" s="1"/>
      <c r="N183" s="1"/>
      <c r="O183" s="1"/>
    </row>
    <row r="184" spans="1:15" x14ac:dyDescent="0.3">
      <c r="A184" s="95">
        <v>45409</v>
      </c>
      <c r="B184" s="10" t="s">
        <v>641</v>
      </c>
      <c r="C184" s="10" t="s">
        <v>14</v>
      </c>
      <c r="D184" s="11">
        <f t="shared" si="9"/>
        <v>199.99999999999997</v>
      </c>
      <c r="E184" s="30">
        <f t="shared" si="10"/>
        <v>19.999999999999996</v>
      </c>
      <c r="F184" s="30">
        <v>220</v>
      </c>
      <c r="G184" s="30">
        <v>50</v>
      </c>
      <c r="H184" s="13">
        <f t="shared" si="7"/>
        <v>170</v>
      </c>
      <c r="I184" s="1" t="s">
        <v>1134</v>
      </c>
      <c r="J184" s="30">
        <v>220</v>
      </c>
      <c r="K184" s="30"/>
      <c r="L184" s="1"/>
      <c r="M184" s="1"/>
      <c r="N184" s="1"/>
      <c r="O184" s="1"/>
    </row>
    <row r="185" spans="1:15" x14ac:dyDescent="0.3">
      <c r="A185" s="95">
        <v>45409</v>
      </c>
      <c r="B185" s="10" t="s">
        <v>642</v>
      </c>
      <c r="C185" s="10" t="s">
        <v>14</v>
      </c>
      <c r="D185" s="11">
        <f t="shared" si="9"/>
        <v>199.99999999999997</v>
      </c>
      <c r="E185" s="30">
        <f t="shared" si="10"/>
        <v>19.999999999999996</v>
      </c>
      <c r="F185" s="30">
        <v>220</v>
      </c>
      <c r="G185" s="30">
        <v>50</v>
      </c>
      <c r="H185" s="13">
        <f t="shared" si="7"/>
        <v>170</v>
      </c>
      <c r="I185" s="1" t="s">
        <v>1135</v>
      </c>
      <c r="J185" s="30">
        <v>220</v>
      </c>
      <c r="K185" s="30"/>
      <c r="L185" s="1"/>
      <c r="M185" s="1"/>
      <c r="N185" s="1"/>
      <c r="O185" s="1"/>
    </row>
    <row r="186" spans="1:15" x14ac:dyDescent="0.3">
      <c r="A186" s="95">
        <v>45409</v>
      </c>
      <c r="B186" s="10" t="s">
        <v>643</v>
      </c>
      <c r="C186" s="10" t="s">
        <v>14</v>
      </c>
      <c r="D186" s="11">
        <f t="shared" si="9"/>
        <v>190.90909090909091</v>
      </c>
      <c r="E186" s="30">
        <f t="shared" si="10"/>
        <v>19.09090909090909</v>
      </c>
      <c r="F186" s="30">
        <v>210</v>
      </c>
      <c r="G186" s="30">
        <v>50</v>
      </c>
      <c r="H186" s="13">
        <f t="shared" si="7"/>
        <v>160</v>
      </c>
      <c r="I186" s="1" t="s">
        <v>1136</v>
      </c>
      <c r="J186" s="30">
        <v>170</v>
      </c>
      <c r="K186" s="30">
        <v>40</v>
      </c>
      <c r="L186" s="1" t="s">
        <v>223</v>
      </c>
      <c r="M186" s="1"/>
      <c r="N186" s="1"/>
      <c r="O186" s="1"/>
    </row>
    <row r="187" spans="1:15" x14ac:dyDescent="0.3">
      <c r="A187" s="95">
        <v>45409</v>
      </c>
      <c r="B187" s="10" t="s">
        <v>644</v>
      </c>
      <c r="C187" s="10" t="s">
        <v>14</v>
      </c>
      <c r="D187" s="11">
        <f t="shared" si="9"/>
        <v>154.54545454545453</v>
      </c>
      <c r="E187" s="30">
        <f t="shared" si="10"/>
        <v>15.454545454545453</v>
      </c>
      <c r="F187" s="30">
        <v>170</v>
      </c>
      <c r="G187" s="30">
        <v>50</v>
      </c>
      <c r="H187" s="13">
        <f t="shared" ref="H187:H208" si="11">F187-G187</f>
        <v>120</v>
      </c>
      <c r="I187" s="1" t="s">
        <v>1137</v>
      </c>
      <c r="J187" s="30">
        <v>170</v>
      </c>
      <c r="K187" s="30"/>
      <c r="L187" s="1"/>
      <c r="M187" s="1"/>
      <c r="N187" s="1"/>
      <c r="O187" s="1"/>
    </row>
    <row r="188" spans="1:15" x14ac:dyDescent="0.3">
      <c r="A188" s="95">
        <v>45409</v>
      </c>
      <c r="B188" s="10" t="s">
        <v>645</v>
      </c>
      <c r="C188" s="10" t="s">
        <v>14</v>
      </c>
      <c r="D188" s="11">
        <f t="shared" si="9"/>
        <v>181.81818181818181</v>
      </c>
      <c r="E188" s="30">
        <f t="shared" si="10"/>
        <v>18.18181818181818</v>
      </c>
      <c r="F188" s="30">
        <v>200</v>
      </c>
      <c r="G188" s="30">
        <v>50</v>
      </c>
      <c r="H188" s="13">
        <f t="shared" si="11"/>
        <v>150</v>
      </c>
      <c r="I188" s="1" t="s">
        <v>1138</v>
      </c>
      <c r="J188" s="30">
        <v>170</v>
      </c>
      <c r="K188" s="30">
        <v>30</v>
      </c>
      <c r="L188" s="1" t="s">
        <v>223</v>
      </c>
      <c r="M188" s="1"/>
      <c r="N188" s="1"/>
      <c r="O188" s="1"/>
    </row>
    <row r="189" spans="1:15" x14ac:dyDescent="0.3">
      <c r="A189" s="95">
        <v>45409</v>
      </c>
      <c r="B189" s="10" t="s">
        <v>646</v>
      </c>
      <c r="C189" s="10" t="s">
        <v>14</v>
      </c>
      <c r="D189" s="11">
        <f t="shared" si="9"/>
        <v>154.54545454545453</v>
      </c>
      <c r="E189" s="30">
        <f t="shared" si="10"/>
        <v>15.454545454545453</v>
      </c>
      <c r="F189" s="30">
        <v>170</v>
      </c>
      <c r="G189" s="30">
        <v>50</v>
      </c>
      <c r="H189" s="13">
        <f t="shared" si="11"/>
        <v>120</v>
      </c>
      <c r="I189" s="1" t="s">
        <v>1139</v>
      </c>
      <c r="J189" s="30">
        <v>170</v>
      </c>
      <c r="K189" s="30"/>
      <c r="L189" s="1"/>
      <c r="M189" s="1"/>
      <c r="N189" s="1"/>
      <c r="O189" s="1"/>
    </row>
    <row r="190" spans="1:15" x14ac:dyDescent="0.3">
      <c r="A190" s="95">
        <v>45409</v>
      </c>
      <c r="B190" s="10" t="s">
        <v>647</v>
      </c>
      <c r="C190" s="10" t="s">
        <v>14</v>
      </c>
      <c r="D190" s="11">
        <f t="shared" si="9"/>
        <v>127.27272727272727</v>
      </c>
      <c r="E190" s="30">
        <f t="shared" si="10"/>
        <v>12.727272727272727</v>
      </c>
      <c r="F190" s="30">
        <v>140</v>
      </c>
      <c r="G190" s="30"/>
      <c r="H190" s="13">
        <f t="shared" si="11"/>
        <v>140</v>
      </c>
      <c r="I190" s="1" t="s">
        <v>1140</v>
      </c>
      <c r="J190" s="30">
        <v>140</v>
      </c>
      <c r="K190" s="30"/>
      <c r="L190" s="1"/>
      <c r="M190" s="1"/>
      <c r="N190" s="1"/>
      <c r="O190" s="1"/>
    </row>
    <row r="191" spans="1:15" x14ac:dyDescent="0.3">
      <c r="A191" s="95">
        <v>45409</v>
      </c>
      <c r="B191" s="10" t="s">
        <v>648</v>
      </c>
      <c r="C191" s="10" t="s">
        <v>14</v>
      </c>
      <c r="D191" s="11">
        <f t="shared" si="9"/>
        <v>118.18181818181817</v>
      </c>
      <c r="E191" s="30">
        <f t="shared" si="10"/>
        <v>11.818181818181818</v>
      </c>
      <c r="F191" s="30">
        <v>130</v>
      </c>
      <c r="G191" s="30"/>
      <c r="H191" s="13">
        <f t="shared" si="11"/>
        <v>130</v>
      </c>
      <c r="I191" s="1" t="s">
        <v>403</v>
      </c>
      <c r="J191" s="30">
        <v>130</v>
      </c>
      <c r="K191" s="30"/>
      <c r="L191" s="1"/>
      <c r="M191" s="1"/>
      <c r="N191" s="1"/>
      <c r="O191" s="1"/>
    </row>
    <row r="192" spans="1:15" x14ac:dyDescent="0.3">
      <c r="A192" s="95">
        <v>45409</v>
      </c>
      <c r="B192" s="10" t="s">
        <v>649</v>
      </c>
      <c r="C192" s="10" t="s">
        <v>14</v>
      </c>
      <c r="D192" s="11">
        <f t="shared" si="9"/>
        <v>300</v>
      </c>
      <c r="E192" s="30">
        <f t="shared" si="10"/>
        <v>30</v>
      </c>
      <c r="F192" s="30">
        <v>330</v>
      </c>
      <c r="G192" s="30">
        <v>50</v>
      </c>
      <c r="H192" s="13">
        <f t="shared" si="11"/>
        <v>280</v>
      </c>
      <c r="I192" s="1" t="s">
        <v>1141</v>
      </c>
      <c r="J192" s="30">
        <v>170</v>
      </c>
      <c r="K192" s="30">
        <v>160</v>
      </c>
      <c r="L192" s="1" t="s">
        <v>949</v>
      </c>
      <c r="M192" s="1"/>
      <c r="N192" s="1"/>
      <c r="O192" s="1"/>
    </row>
    <row r="193" spans="1:15" x14ac:dyDescent="0.3">
      <c r="A193" s="95">
        <v>45409</v>
      </c>
      <c r="B193" s="10" t="s">
        <v>650</v>
      </c>
      <c r="C193" s="10" t="s">
        <v>14</v>
      </c>
      <c r="D193" s="11">
        <f t="shared" si="9"/>
        <v>145.45454545454544</v>
      </c>
      <c r="E193" s="30">
        <f t="shared" si="10"/>
        <v>14.545454545454545</v>
      </c>
      <c r="F193" s="30">
        <v>160</v>
      </c>
      <c r="G193" s="30"/>
      <c r="H193" s="13">
        <f t="shared" si="11"/>
        <v>160</v>
      </c>
      <c r="I193" s="1" t="s">
        <v>402</v>
      </c>
      <c r="J193" s="30">
        <v>160</v>
      </c>
      <c r="K193" s="30"/>
      <c r="L193" s="1"/>
      <c r="M193" s="1"/>
      <c r="N193" s="1"/>
      <c r="O193" s="1"/>
    </row>
    <row r="194" spans="1:15" x14ac:dyDescent="0.3">
      <c r="A194" s="95">
        <v>45409</v>
      </c>
      <c r="B194" s="10" t="s">
        <v>651</v>
      </c>
      <c r="C194" s="10" t="s">
        <v>14</v>
      </c>
      <c r="D194" s="11">
        <f t="shared" si="9"/>
        <v>118.18181818181817</v>
      </c>
      <c r="E194" s="30">
        <f t="shared" si="10"/>
        <v>11.818181818181818</v>
      </c>
      <c r="F194" s="30">
        <v>130</v>
      </c>
      <c r="G194" s="30"/>
      <c r="H194" s="13">
        <f t="shared" si="11"/>
        <v>130</v>
      </c>
      <c r="I194" s="1" t="s">
        <v>402</v>
      </c>
      <c r="J194" s="30">
        <v>130</v>
      </c>
      <c r="K194" s="30"/>
      <c r="L194" s="1"/>
      <c r="M194" s="1"/>
      <c r="N194" s="1"/>
      <c r="O194" s="1"/>
    </row>
    <row r="195" spans="1:15" x14ac:dyDescent="0.3">
      <c r="A195" s="95">
        <v>45409</v>
      </c>
      <c r="B195" s="10" t="s">
        <v>652</v>
      </c>
      <c r="C195" s="10" t="s">
        <v>14</v>
      </c>
      <c r="D195" s="11">
        <f t="shared" si="9"/>
        <v>190.90909090909091</v>
      </c>
      <c r="E195" s="30">
        <f t="shared" si="10"/>
        <v>19.09090909090909</v>
      </c>
      <c r="F195" s="30">
        <v>210</v>
      </c>
      <c r="G195" s="30">
        <v>50</v>
      </c>
      <c r="H195" s="13">
        <f t="shared" si="11"/>
        <v>160</v>
      </c>
      <c r="I195" s="1" t="s">
        <v>1142</v>
      </c>
      <c r="J195" s="30">
        <v>170</v>
      </c>
      <c r="K195" s="30">
        <v>40</v>
      </c>
      <c r="L195" s="1" t="s">
        <v>223</v>
      </c>
      <c r="M195" s="1"/>
      <c r="N195" s="1"/>
      <c r="O195" s="1"/>
    </row>
    <row r="196" spans="1:15" x14ac:dyDescent="0.3">
      <c r="A196" s="95">
        <v>45409</v>
      </c>
      <c r="B196" s="10" t="s">
        <v>653</v>
      </c>
      <c r="C196" s="10" t="s">
        <v>14</v>
      </c>
      <c r="D196" s="11">
        <f t="shared" ref="D196:D207" si="12">F196/1.1</f>
        <v>154.54545454545453</v>
      </c>
      <c r="E196" s="30">
        <f t="shared" si="10"/>
        <v>15.454545454545453</v>
      </c>
      <c r="F196" s="30">
        <v>170</v>
      </c>
      <c r="G196" s="30">
        <v>50</v>
      </c>
      <c r="H196" s="13">
        <f t="shared" si="11"/>
        <v>120</v>
      </c>
      <c r="I196" s="1" t="s">
        <v>1143</v>
      </c>
      <c r="J196" s="30">
        <v>170</v>
      </c>
      <c r="K196" s="30"/>
      <c r="L196" s="1"/>
      <c r="M196" s="1"/>
      <c r="N196" s="1"/>
      <c r="O196" s="1"/>
    </row>
    <row r="197" spans="1:15" x14ac:dyDescent="0.3">
      <c r="A197" s="95">
        <v>45409</v>
      </c>
      <c r="B197" s="10" t="s">
        <v>654</v>
      </c>
      <c r="C197" s="10" t="s">
        <v>14</v>
      </c>
      <c r="D197" s="11">
        <f t="shared" si="12"/>
        <v>190.90909090909091</v>
      </c>
      <c r="E197" s="30">
        <f t="shared" si="10"/>
        <v>19.09090909090909</v>
      </c>
      <c r="F197" s="30">
        <v>210</v>
      </c>
      <c r="G197" s="30">
        <v>50</v>
      </c>
      <c r="H197" s="13">
        <f t="shared" si="11"/>
        <v>160</v>
      </c>
      <c r="I197" s="1" t="s">
        <v>1144</v>
      </c>
      <c r="J197" s="30">
        <v>170</v>
      </c>
      <c r="K197" s="30">
        <v>40</v>
      </c>
      <c r="L197" s="1" t="s">
        <v>223</v>
      </c>
      <c r="M197" s="1"/>
      <c r="N197" s="1"/>
      <c r="O197" s="1"/>
    </row>
    <row r="198" spans="1:15" x14ac:dyDescent="0.3">
      <c r="A198" s="95">
        <v>45409</v>
      </c>
      <c r="B198" s="10" t="s">
        <v>655</v>
      </c>
      <c r="C198" s="10" t="s">
        <v>14</v>
      </c>
      <c r="D198" s="11">
        <f t="shared" si="12"/>
        <v>118.18181818181817</v>
      </c>
      <c r="E198" s="30">
        <f t="shared" si="10"/>
        <v>11.818181818181818</v>
      </c>
      <c r="F198" s="30">
        <v>130</v>
      </c>
      <c r="G198" s="30"/>
      <c r="H198" s="13">
        <f t="shared" si="11"/>
        <v>130</v>
      </c>
      <c r="I198" s="1" t="s">
        <v>402</v>
      </c>
      <c r="J198" s="30">
        <v>130</v>
      </c>
      <c r="K198" s="30"/>
      <c r="L198" s="1"/>
      <c r="M198" s="1"/>
      <c r="N198" s="1"/>
      <c r="O198" s="1"/>
    </row>
    <row r="199" spans="1:15" x14ac:dyDescent="0.3">
      <c r="A199" s="95">
        <v>45409</v>
      </c>
      <c r="B199" s="10" t="s">
        <v>656</v>
      </c>
      <c r="C199" s="10" t="s">
        <v>14</v>
      </c>
      <c r="D199" s="11">
        <f t="shared" si="12"/>
        <v>118.18181818181817</v>
      </c>
      <c r="E199" s="30">
        <f t="shared" si="10"/>
        <v>11.818181818181818</v>
      </c>
      <c r="F199" s="30">
        <v>130</v>
      </c>
      <c r="G199" s="30"/>
      <c r="H199" s="13">
        <f t="shared" si="11"/>
        <v>130</v>
      </c>
      <c r="I199" s="1" t="s">
        <v>402</v>
      </c>
      <c r="J199" s="30">
        <v>130</v>
      </c>
      <c r="K199" s="30"/>
      <c r="L199" s="1"/>
      <c r="M199" s="1"/>
      <c r="N199" s="1"/>
      <c r="O199" s="1"/>
    </row>
    <row r="200" spans="1:15" x14ac:dyDescent="0.3">
      <c r="A200" s="95">
        <v>45409</v>
      </c>
      <c r="B200" s="10" t="s">
        <v>657</v>
      </c>
      <c r="C200" s="10" t="s">
        <v>14</v>
      </c>
      <c r="D200" s="11">
        <f t="shared" si="12"/>
        <v>109.09090909090908</v>
      </c>
      <c r="E200" s="30">
        <f t="shared" si="10"/>
        <v>10.909090909090908</v>
      </c>
      <c r="F200" s="30">
        <v>120</v>
      </c>
      <c r="G200" s="30"/>
      <c r="H200" s="13">
        <f t="shared" si="11"/>
        <v>120</v>
      </c>
      <c r="I200" s="1" t="s">
        <v>402</v>
      </c>
      <c r="J200" s="30">
        <v>120</v>
      </c>
      <c r="K200" s="30"/>
      <c r="L200" s="1"/>
      <c r="M200" s="1"/>
      <c r="N200" s="1"/>
      <c r="O200" s="1"/>
    </row>
    <row r="201" spans="1:15" x14ac:dyDescent="0.3">
      <c r="A201" s="95">
        <v>45409</v>
      </c>
      <c r="B201" s="10" t="s">
        <v>658</v>
      </c>
      <c r="C201" s="10" t="s">
        <v>14</v>
      </c>
      <c r="D201" s="11">
        <f t="shared" si="12"/>
        <v>199.99999999999997</v>
      </c>
      <c r="E201" s="30">
        <f t="shared" si="10"/>
        <v>19.999999999999996</v>
      </c>
      <c r="F201" s="30">
        <v>220</v>
      </c>
      <c r="G201" s="30">
        <v>50</v>
      </c>
      <c r="H201" s="13">
        <f t="shared" si="11"/>
        <v>170</v>
      </c>
      <c r="I201" s="1" t="s">
        <v>1121</v>
      </c>
      <c r="J201" s="30">
        <v>220</v>
      </c>
      <c r="K201" s="30"/>
      <c r="L201" s="1"/>
      <c r="M201" s="1"/>
      <c r="N201" s="1"/>
      <c r="O201" s="1"/>
    </row>
    <row r="202" spans="1:15" x14ac:dyDescent="0.3">
      <c r="A202" s="95">
        <v>45410</v>
      </c>
      <c r="B202" s="10" t="s">
        <v>659</v>
      </c>
      <c r="C202" s="10" t="s">
        <v>14</v>
      </c>
      <c r="D202" s="11">
        <f t="shared" si="12"/>
        <v>209.09090909090907</v>
      </c>
      <c r="E202" s="30">
        <f t="shared" si="10"/>
        <v>20.909090909090907</v>
      </c>
      <c r="F202" s="30">
        <v>230</v>
      </c>
      <c r="G202" s="30">
        <v>50</v>
      </c>
      <c r="H202" s="13">
        <f t="shared" si="11"/>
        <v>180</v>
      </c>
      <c r="I202" s="1" t="s">
        <v>1145</v>
      </c>
      <c r="J202" s="30">
        <v>230</v>
      </c>
      <c r="K202" s="30"/>
      <c r="L202" s="1"/>
      <c r="M202" s="1"/>
      <c r="N202" s="1"/>
      <c r="O202" s="1"/>
    </row>
    <row r="203" spans="1:15" x14ac:dyDescent="0.3">
      <c r="A203" s="95">
        <v>45410</v>
      </c>
      <c r="B203" s="10" t="s">
        <v>660</v>
      </c>
      <c r="C203" s="10" t="s">
        <v>14</v>
      </c>
      <c r="D203" s="11">
        <f t="shared" si="12"/>
        <v>281.81818181818181</v>
      </c>
      <c r="E203" s="30">
        <f t="shared" si="10"/>
        <v>28.18181818181818</v>
      </c>
      <c r="F203" s="30">
        <v>310</v>
      </c>
      <c r="G203" s="30">
        <v>50</v>
      </c>
      <c r="H203" s="13">
        <f t="shared" si="11"/>
        <v>260</v>
      </c>
      <c r="I203" s="1" t="s">
        <v>1121</v>
      </c>
      <c r="J203" s="30">
        <v>270</v>
      </c>
      <c r="K203" s="30">
        <v>40</v>
      </c>
      <c r="L203" s="1" t="s">
        <v>223</v>
      </c>
      <c r="M203" s="1"/>
      <c r="N203" s="1"/>
      <c r="O203" s="1"/>
    </row>
    <row r="204" spans="1:15" x14ac:dyDescent="0.3">
      <c r="A204" s="95">
        <v>45412</v>
      </c>
      <c r="B204" s="10" t="s">
        <v>661</v>
      </c>
      <c r="C204" s="10" t="s">
        <v>14</v>
      </c>
      <c r="D204" s="11">
        <f t="shared" si="12"/>
        <v>245.45454545454544</v>
      </c>
      <c r="E204" s="30">
        <f t="shared" si="10"/>
        <v>24.545454545454547</v>
      </c>
      <c r="F204" s="30">
        <v>270</v>
      </c>
      <c r="G204" s="30">
        <v>50</v>
      </c>
      <c r="H204" s="13">
        <f t="shared" si="11"/>
        <v>220</v>
      </c>
      <c r="I204" s="1" t="s">
        <v>1146</v>
      </c>
      <c r="J204" s="30">
        <v>270</v>
      </c>
      <c r="K204" s="30"/>
      <c r="L204" s="1"/>
      <c r="M204" s="1"/>
      <c r="N204" s="1"/>
      <c r="O204" s="1"/>
    </row>
    <row r="205" spans="1:15" x14ac:dyDescent="0.3">
      <c r="A205" s="95">
        <v>45412</v>
      </c>
      <c r="B205" s="10" t="s">
        <v>662</v>
      </c>
      <c r="C205" s="10" t="s">
        <v>14</v>
      </c>
      <c r="D205" s="11">
        <f t="shared" si="12"/>
        <v>172.72727272727272</v>
      </c>
      <c r="E205" s="30">
        <f t="shared" si="10"/>
        <v>17.272727272727273</v>
      </c>
      <c r="F205" s="30">
        <v>190</v>
      </c>
      <c r="G205" s="30"/>
      <c r="H205" s="13">
        <f t="shared" si="11"/>
        <v>190</v>
      </c>
      <c r="I205" s="1" t="s">
        <v>1093</v>
      </c>
      <c r="J205" s="30">
        <v>190</v>
      </c>
      <c r="K205" s="30"/>
      <c r="L205" s="1"/>
      <c r="M205" s="1"/>
      <c r="N205" s="1"/>
      <c r="O205" s="1"/>
    </row>
    <row r="206" spans="1:15" x14ac:dyDescent="0.3">
      <c r="A206" s="95">
        <v>45412</v>
      </c>
      <c r="B206" s="10" t="s">
        <v>663</v>
      </c>
      <c r="C206" s="10" t="s">
        <v>14</v>
      </c>
      <c r="D206" s="11">
        <f t="shared" si="12"/>
        <v>145.45454545454544</v>
      </c>
      <c r="E206" s="30">
        <f t="shared" si="10"/>
        <v>14.545454545454545</v>
      </c>
      <c r="F206" s="30">
        <v>160</v>
      </c>
      <c r="G206" s="30"/>
      <c r="H206" s="13">
        <f t="shared" si="11"/>
        <v>160</v>
      </c>
      <c r="I206" s="1" t="s">
        <v>402</v>
      </c>
      <c r="J206" s="30">
        <v>160</v>
      </c>
      <c r="K206" s="30"/>
      <c r="L206" s="1"/>
      <c r="M206" s="1"/>
      <c r="N206" s="1"/>
      <c r="O206" s="1"/>
    </row>
    <row r="207" spans="1:15" x14ac:dyDescent="0.3">
      <c r="A207" s="95">
        <v>45412</v>
      </c>
      <c r="B207" s="10" t="s">
        <v>664</v>
      </c>
      <c r="C207" s="10" t="s">
        <v>14</v>
      </c>
      <c r="D207" s="11">
        <f t="shared" si="12"/>
        <v>172.72727272727272</v>
      </c>
      <c r="E207" s="30">
        <f t="shared" si="10"/>
        <v>17.272727272727273</v>
      </c>
      <c r="F207" s="30">
        <v>190</v>
      </c>
      <c r="G207" s="30">
        <v>50</v>
      </c>
      <c r="H207" s="13">
        <f t="shared" si="11"/>
        <v>140</v>
      </c>
      <c r="I207" s="1" t="s">
        <v>1147</v>
      </c>
      <c r="J207" s="30">
        <v>170</v>
      </c>
      <c r="K207" s="30">
        <v>20</v>
      </c>
      <c r="L207" s="1" t="s">
        <v>223</v>
      </c>
      <c r="M207" s="1"/>
      <c r="N207" s="1"/>
      <c r="O207" s="1"/>
    </row>
    <row r="208" spans="1:15" x14ac:dyDescent="0.3">
      <c r="A208" s="116" t="s">
        <v>2</v>
      </c>
      <c r="B208" s="116"/>
      <c r="C208" s="116"/>
      <c r="D208" s="96">
        <f>SUM(D3:D207)</f>
        <v>41309.090909090934</v>
      </c>
      <c r="E208" s="96">
        <f>SUM(E3:E207)</f>
        <v>4130.9090909090901</v>
      </c>
      <c r="F208" s="102">
        <f>SUM(F3:F207)</f>
        <v>45440</v>
      </c>
      <c r="G208" s="96">
        <f>SUM(G3:G207)</f>
        <v>9420</v>
      </c>
      <c r="H208" s="13">
        <f t="shared" si="11"/>
        <v>36020</v>
      </c>
      <c r="I208" s="99"/>
    </row>
    <row r="209" spans="4:8" x14ac:dyDescent="0.3">
      <c r="D209" t="s">
        <v>1817</v>
      </c>
      <c r="E209" t="s">
        <v>1818</v>
      </c>
      <c r="F209" t="s">
        <v>2</v>
      </c>
      <c r="G209" t="s">
        <v>1819</v>
      </c>
      <c r="H209" t="s">
        <v>13</v>
      </c>
    </row>
  </sheetData>
  <mergeCells count="15">
    <mergeCell ref="A208:C208"/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4" type="noConversion"/>
  <conditionalFormatting sqref="A3:A19 F104:F126">
    <cfRule type="expression" dxfId="47" priority="25" stopIfTrue="1">
      <formula>EXACT($C3,"HUMMER")</formula>
    </cfRule>
    <cfRule type="expression" dxfId="46" priority="26" stopIfTrue="1">
      <formula>EXACT($C3,"BLANCA")</formula>
    </cfRule>
    <cfRule type="expression" dxfId="45" priority="27" stopIfTrue="1">
      <formula>EXACT($C3,"ROSA")</formula>
    </cfRule>
  </conditionalFormatting>
  <conditionalFormatting sqref="A20:A23 A25:A28 A30:A34">
    <cfRule type="expression" dxfId="44" priority="31" stopIfTrue="1">
      <formula>EXACT($C21,"HUMMER")</formula>
    </cfRule>
    <cfRule type="expression" dxfId="43" priority="32" stopIfTrue="1">
      <formula>EXACT($C21,"BLANCA")</formula>
    </cfRule>
    <cfRule type="expression" dxfId="42" priority="33" stopIfTrue="1">
      <formula>EXACT($C21,"ROSA")</formula>
    </cfRule>
  </conditionalFormatting>
  <conditionalFormatting sqref="A24">
    <cfRule type="expression" dxfId="41" priority="19" stopIfTrue="1">
      <formula>EXACT($C24,"HUMMER")</formula>
    </cfRule>
    <cfRule type="expression" dxfId="40" priority="20" stopIfTrue="1">
      <formula>EXACT($C24,"BLANCA")</formula>
    </cfRule>
    <cfRule type="expression" dxfId="39" priority="21" stopIfTrue="1">
      <formula>EXACT($C24,"ROSA")</formula>
    </cfRule>
  </conditionalFormatting>
  <conditionalFormatting sqref="A29">
    <cfRule type="expression" dxfId="38" priority="16" stopIfTrue="1">
      <formula>EXACT($C29,"HUMMER")</formula>
    </cfRule>
    <cfRule type="expression" dxfId="37" priority="17" stopIfTrue="1">
      <formula>EXACT($C29,"BLANCA")</formula>
    </cfRule>
    <cfRule type="expression" dxfId="36" priority="18" stopIfTrue="1">
      <formula>EXACT($C29,"ROSA")</formula>
    </cfRule>
  </conditionalFormatting>
  <conditionalFormatting sqref="A35:A37">
    <cfRule type="expression" dxfId="35" priority="34" stopIfTrue="1">
      <formula>EXACT($C37,"HUMMER")</formula>
    </cfRule>
    <cfRule type="expression" dxfId="34" priority="35" stopIfTrue="1">
      <formula>EXACT($C37,"BLANCA")</formula>
    </cfRule>
    <cfRule type="expression" dxfId="33" priority="36" stopIfTrue="1">
      <formula>EXACT($C37,"ROSA")</formula>
    </cfRule>
  </conditionalFormatting>
  <conditionalFormatting sqref="F3:F8">
    <cfRule type="expression" dxfId="32" priority="22" stopIfTrue="1">
      <formula>EXACT($C3,"HUMMER")</formula>
    </cfRule>
    <cfRule type="expression" dxfId="31" priority="23" stopIfTrue="1">
      <formula>EXACT($C3,"BLANCA")</formula>
    </cfRule>
    <cfRule type="expression" dxfId="30" priority="24" stopIfTrue="1">
      <formula>EXACT($C3,"ROSA")</formula>
    </cfRule>
  </conditionalFormatting>
  <conditionalFormatting sqref="F26:F35 F37">
    <cfRule type="expression" dxfId="29" priority="28" stopIfTrue="1">
      <formula>EXACT($C26,"HUMMER")</formula>
    </cfRule>
    <cfRule type="expression" dxfId="28" priority="29" stopIfTrue="1">
      <formula>EXACT($C26,"BLANCA")</formula>
    </cfRule>
    <cfRule type="expression" dxfId="27" priority="30" stopIfTrue="1">
      <formula>EXACT($C26,"ROSA")</formula>
    </cfRule>
  </conditionalFormatting>
  <conditionalFormatting sqref="F36">
    <cfRule type="expression" dxfId="26" priority="37" stopIfTrue="1">
      <formula>EXACT($C39,"HUMMER")</formula>
    </cfRule>
    <cfRule type="expression" dxfId="25" priority="38" stopIfTrue="1">
      <formula>EXACT($C39,"BLANCA")</formula>
    </cfRule>
    <cfRule type="expression" dxfId="24" priority="39" stopIfTrue="1">
      <formula>EXACT($C39,"ROSA")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3652-9F4D-41B8-A7A9-BB355CA8DC6E}">
  <dimension ref="A1:Q197"/>
  <sheetViews>
    <sheetView topLeftCell="A156" workbookViewId="0">
      <selection activeCell="E195" sqref="E195"/>
    </sheetView>
  </sheetViews>
  <sheetFormatPr baseColWidth="10" defaultRowHeight="14.4" x14ac:dyDescent="0.3"/>
  <cols>
    <col min="2" max="2" width="20.109375" customWidth="1"/>
    <col min="3" max="3" width="38.109375" customWidth="1"/>
    <col min="4" max="4" width="14.88671875" customWidth="1"/>
    <col min="5" max="5" width="11.5546875" bestFit="1" customWidth="1"/>
    <col min="6" max="6" width="13.109375" bestFit="1" customWidth="1"/>
    <col min="7" max="7" width="16.6640625" customWidth="1"/>
    <col min="8" max="8" width="12" bestFit="1" customWidth="1"/>
    <col min="9" max="9" width="31.44140625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8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3"/>
      <c r="N2" s="115"/>
      <c r="O2" s="113"/>
    </row>
    <row r="3" spans="1:15" x14ac:dyDescent="0.3">
      <c r="A3" s="9">
        <v>45413</v>
      </c>
      <c r="B3" s="10" t="s">
        <v>665</v>
      </c>
      <c r="C3" s="10" t="s">
        <v>14</v>
      </c>
      <c r="D3" s="11">
        <f>F3/1.1</f>
        <v>127.27272727272727</v>
      </c>
      <c r="E3" s="11">
        <f t="shared" ref="E3:E66" si="0">D3*10/100</f>
        <v>12.727272727272727</v>
      </c>
      <c r="F3" s="12">
        <v>140</v>
      </c>
      <c r="G3" s="11"/>
      <c r="H3" s="13">
        <f>F3-G3</f>
        <v>140</v>
      </c>
      <c r="I3" s="78" t="s">
        <v>402</v>
      </c>
      <c r="J3" s="79">
        <v>140</v>
      </c>
      <c r="K3" s="79"/>
      <c r="L3" s="10"/>
      <c r="M3" s="80"/>
      <c r="N3" s="2"/>
      <c r="O3" s="2"/>
    </row>
    <row r="4" spans="1:15" x14ac:dyDescent="0.3">
      <c r="A4" s="9">
        <v>45413</v>
      </c>
      <c r="B4" s="10" t="s">
        <v>666</v>
      </c>
      <c r="C4" s="10" t="s">
        <v>14</v>
      </c>
      <c r="D4" s="11">
        <f t="shared" ref="D4:D67" si="1">F4/1.1</f>
        <v>199.99999999999997</v>
      </c>
      <c r="E4" s="11">
        <f t="shared" si="0"/>
        <v>19.999999999999996</v>
      </c>
      <c r="F4" s="16">
        <v>220</v>
      </c>
      <c r="G4" s="11">
        <v>50</v>
      </c>
      <c r="H4" s="13">
        <f t="shared" ref="H4:H67" si="2">F4-G4</f>
        <v>170</v>
      </c>
      <c r="I4" s="78" t="s">
        <v>1353</v>
      </c>
      <c r="J4" s="79">
        <v>170</v>
      </c>
      <c r="K4" s="79"/>
      <c r="L4" s="10"/>
      <c r="M4" s="80"/>
      <c r="N4" s="2"/>
      <c r="O4" s="2"/>
    </row>
    <row r="5" spans="1:15" x14ac:dyDescent="0.3">
      <c r="A5" s="9">
        <v>45413</v>
      </c>
      <c r="B5" s="10" t="s">
        <v>667</v>
      </c>
      <c r="C5" s="10" t="s">
        <v>14</v>
      </c>
      <c r="D5" s="11">
        <f t="shared" si="1"/>
        <v>163.63636363636363</v>
      </c>
      <c r="E5" s="11">
        <f t="shared" si="0"/>
        <v>16.363636363636363</v>
      </c>
      <c r="F5" s="16">
        <v>180</v>
      </c>
      <c r="G5" s="11"/>
      <c r="H5" s="13">
        <f t="shared" si="2"/>
        <v>180</v>
      </c>
      <c r="I5" s="78" t="s">
        <v>403</v>
      </c>
      <c r="J5" s="79">
        <v>180</v>
      </c>
      <c r="K5" s="79"/>
      <c r="L5" s="10"/>
      <c r="M5" s="80"/>
      <c r="N5" s="2"/>
      <c r="O5" s="2"/>
    </row>
    <row r="6" spans="1:15" x14ac:dyDescent="0.3">
      <c r="A6" s="9">
        <v>45413</v>
      </c>
      <c r="B6" s="10" t="s">
        <v>668</v>
      </c>
      <c r="C6" s="10" t="s">
        <v>14</v>
      </c>
      <c r="D6" s="11">
        <f t="shared" si="1"/>
        <v>199.99999999999997</v>
      </c>
      <c r="E6" s="11">
        <f t="shared" si="0"/>
        <v>19.999999999999996</v>
      </c>
      <c r="F6" s="16">
        <v>220</v>
      </c>
      <c r="G6" s="11">
        <v>50</v>
      </c>
      <c r="H6" s="13">
        <f t="shared" si="2"/>
        <v>170</v>
      </c>
      <c r="I6" s="78" t="s">
        <v>1354</v>
      </c>
      <c r="J6" s="79">
        <v>170</v>
      </c>
      <c r="K6" s="79"/>
      <c r="L6" s="10"/>
      <c r="M6" s="80"/>
      <c r="N6" s="2"/>
      <c r="O6" s="2"/>
    </row>
    <row r="7" spans="1:15" x14ac:dyDescent="0.3">
      <c r="A7" s="9">
        <v>45413</v>
      </c>
      <c r="B7" s="10" t="s">
        <v>669</v>
      </c>
      <c r="C7" s="10" t="s">
        <v>14</v>
      </c>
      <c r="D7" s="11">
        <f t="shared" si="1"/>
        <v>245.45454545454544</v>
      </c>
      <c r="E7" s="11">
        <f t="shared" si="0"/>
        <v>24.545454545454547</v>
      </c>
      <c r="F7" s="16">
        <v>270</v>
      </c>
      <c r="G7" s="11"/>
      <c r="H7" s="13">
        <f t="shared" si="2"/>
        <v>270</v>
      </c>
      <c r="I7" s="78" t="s">
        <v>1028</v>
      </c>
      <c r="J7" s="79">
        <v>270</v>
      </c>
      <c r="K7" s="79"/>
      <c r="L7" s="10"/>
      <c r="M7" s="80"/>
      <c r="N7" s="81"/>
      <c r="O7" s="2"/>
    </row>
    <row r="8" spans="1:15" x14ac:dyDescent="0.3">
      <c r="A8" s="9">
        <v>45414</v>
      </c>
      <c r="B8" s="10" t="s">
        <v>670</v>
      </c>
      <c r="C8" s="10" t="s">
        <v>14</v>
      </c>
      <c r="D8" s="11">
        <f t="shared" si="1"/>
        <v>259.09090909090907</v>
      </c>
      <c r="E8" s="11">
        <f t="shared" si="0"/>
        <v>25.909090909090907</v>
      </c>
      <c r="F8" s="12">
        <v>285</v>
      </c>
      <c r="G8" s="11">
        <v>50</v>
      </c>
      <c r="H8" s="13">
        <f t="shared" si="2"/>
        <v>235</v>
      </c>
      <c r="I8" s="78" t="s">
        <v>1355</v>
      </c>
      <c r="J8" s="79">
        <v>220</v>
      </c>
      <c r="K8" s="79">
        <v>20</v>
      </c>
      <c r="L8" s="10" t="s">
        <v>223</v>
      </c>
      <c r="M8" s="80">
        <v>45</v>
      </c>
      <c r="N8" s="2" t="s">
        <v>16</v>
      </c>
      <c r="O8" s="2"/>
    </row>
    <row r="9" spans="1:15" x14ac:dyDescent="0.3">
      <c r="A9" s="9">
        <v>45415</v>
      </c>
      <c r="B9" s="10" t="s">
        <v>671</v>
      </c>
      <c r="C9" s="10" t="s">
        <v>14</v>
      </c>
      <c r="D9" s="11">
        <f t="shared" si="1"/>
        <v>199.99999999999997</v>
      </c>
      <c r="E9" s="11">
        <f t="shared" si="0"/>
        <v>19.999999999999996</v>
      </c>
      <c r="F9" s="18">
        <v>220</v>
      </c>
      <c r="G9" s="18">
        <v>50</v>
      </c>
      <c r="H9" s="13">
        <f t="shared" si="2"/>
        <v>170</v>
      </c>
      <c r="I9" s="19" t="s">
        <v>1354</v>
      </c>
      <c r="J9" s="79">
        <v>220</v>
      </c>
      <c r="K9" s="79"/>
      <c r="L9" s="10"/>
      <c r="M9" s="80"/>
      <c r="N9" s="2"/>
      <c r="O9" s="2"/>
    </row>
    <row r="10" spans="1:15" x14ac:dyDescent="0.3">
      <c r="A10" s="9">
        <v>45415</v>
      </c>
      <c r="B10" s="10" t="s">
        <v>672</v>
      </c>
      <c r="C10" s="10" t="s">
        <v>14</v>
      </c>
      <c r="D10" s="11">
        <f t="shared" si="1"/>
        <v>154.54545454545453</v>
      </c>
      <c r="E10" s="11">
        <f t="shared" si="0"/>
        <v>15.454545454545453</v>
      </c>
      <c r="F10" s="18">
        <v>170</v>
      </c>
      <c r="G10" s="18">
        <v>50</v>
      </c>
      <c r="H10" s="13">
        <f t="shared" si="2"/>
        <v>120</v>
      </c>
      <c r="I10" s="19" t="s">
        <v>1356</v>
      </c>
      <c r="J10" s="79">
        <v>170</v>
      </c>
      <c r="K10" s="79"/>
      <c r="L10" s="10"/>
      <c r="M10" s="80"/>
      <c r="N10" s="2"/>
      <c r="O10" s="2"/>
    </row>
    <row r="11" spans="1:15" x14ac:dyDescent="0.3">
      <c r="A11" s="9">
        <v>45415</v>
      </c>
      <c r="B11" s="10" t="s">
        <v>673</v>
      </c>
      <c r="C11" s="10" t="s">
        <v>14</v>
      </c>
      <c r="D11" s="11">
        <f t="shared" si="1"/>
        <v>181.81818181818181</v>
      </c>
      <c r="E11" s="11">
        <f t="shared" si="0"/>
        <v>18.18181818181818</v>
      </c>
      <c r="F11" s="18">
        <v>200</v>
      </c>
      <c r="G11" s="18">
        <v>50</v>
      </c>
      <c r="H11" s="13">
        <f t="shared" si="2"/>
        <v>150</v>
      </c>
      <c r="I11" s="19" t="s">
        <v>1357</v>
      </c>
      <c r="J11" s="79">
        <v>170</v>
      </c>
      <c r="K11" s="79">
        <v>30</v>
      </c>
      <c r="L11" s="10" t="s">
        <v>223</v>
      </c>
      <c r="M11" s="80"/>
      <c r="N11" s="2"/>
      <c r="O11" s="2"/>
    </row>
    <row r="12" spans="1:15" x14ac:dyDescent="0.3">
      <c r="A12" s="9">
        <v>45415</v>
      </c>
      <c r="B12" s="10" t="s">
        <v>674</v>
      </c>
      <c r="C12" s="10" t="s">
        <v>14</v>
      </c>
      <c r="D12" s="11">
        <f t="shared" si="1"/>
        <v>199.99999999999997</v>
      </c>
      <c r="E12" s="11">
        <f t="shared" si="0"/>
        <v>19.999999999999996</v>
      </c>
      <c r="F12" s="18">
        <v>220</v>
      </c>
      <c r="G12" s="18">
        <v>50</v>
      </c>
      <c r="H12" s="13">
        <f t="shared" si="2"/>
        <v>170</v>
      </c>
      <c r="I12" s="19" t="s">
        <v>1358</v>
      </c>
      <c r="J12" s="79">
        <v>220</v>
      </c>
      <c r="K12" s="79"/>
      <c r="L12" s="10"/>
      <c r="M12" s="80"/>
      <c r="N12" s="2"/>
      <c r="O12" s="2"/>
    </row>
    <row r="13" spans="1:15" x14ac:dyDescent="0.3">
      <c r="A13" s="9">
        <v>45416</v>
      </c>
      <c r="B13" s="10" t="s">
        <v>675</v>
      </c>
      <c r="C13" s="10" t="s">
        <v>14</v>
      </c>
      <c r="D13" s="11">
        <f t="shared" si="1"/>
        <v>281.81818181818181</v>
      </c>
      <c r="E13" s="11">
        <f t="shared" si="0"/>
        <v>28.18181818181818</v>
      </c>
      <c r="F13" s="18">
        <v>310</v>
      </c>
      <c r="G13" s="18">
        <v>50</v>
      </c>
      <c r="H13" s="13">
        <f t="shared" si="2"/>
        <v>260</v>
      </c>
      <c r="I13" s="19" t="s">
        <v>1359</v>
      </c>
      <c r="J13" s="79">
        <v>270</v>
      </c>
      <c r="K13" s="79">
        <v>40</v>
      </c>
      <c r="L13" s="10" t="s">
        <v>223</v>
      </c>
      <c r="M13" s="80"/>
      <c r="N13" s="2"/>
      <c r="O13" s="2"/>
    </row>
    <row r="14" spans="1:15" x14ac:dyDescent="0.3">
      <c r="A14" s="9">
        <v>45416</v>
      </c>
      <c r="B14" s="10" t="s">
        <v>676</v>
      </c>
      <c r="C14" s="10" t="s">
        <v>14</v>
      </c>
      <c r="D14" s="11">
        <f t="shared" si="1"/>
        <v>163.63636363636363</v>
      </c>
      <c r="E14" s="11">
        <f t="shared" si="0"/>
        <v>16.363636363636363</v>
      </c>
      <c r="F14" s="18">
        <v>180</v>
      </c>
      <c r="G14" s="18"/>
      <c r="H14" s="13">
        <f t="shared" si="2"/>
        <v>180</v>
      </c>
      <c r="I14" s="19" t="s">
        <v>403</v>
      </c>
      <c r="J14" s="79">
        <v>180</v>
      </c>
      <c r="K14" s="79"/>
      <c r="L14" s="10"/>
      <c r="M14" s="80"/>
      <c r="N14" s="2"/>
      <c r="O14" s="2"/>
    </row>
    <row r="15" spans="1:15" x14ac:dyDescent="0.3">
      <c r="A15" s="9">
        <v>45416</v>
      </c>
      <c r="B15" s="10" t="s">
        <v>677</v>
      </c>
      <c r="C15" s="10" t="s">
        <v>14</v>
      </c>
      <c r="D15" s="11">
        <f t="shared" si="1"/>
        <v>163.63636363636363</v>
      </c>
      <c r="E15" s="11">
        <f t="shared" si="0"/>
        <v>16.363636363636363</v>
      </c>
      <c r="F15" s="18">
        <v>180</v>
      </c>
      <c r="G15" s="18"/>
      <c r="H15" s="13">
        <f t="shared" si="2"/>
        <v>180</v>
      </c>
      <c r="I15" s="19" t="s">
        <v>402</v>
      </c>
      <c r="J15" s="79">
        <v>180</v>
      </c>
      <c r="K15" s="79"/>
      <c r="L15" s="10"/>
      <c r="M15" s="80"/>
      <c r="N15" s="2"/>
      <c r="O15" s="2"/>
    </row>
    <row r="16" spans="1:15" x14ac:dyDescent="0.3">
      <c r="A16" s="9">
        <v>45416</v>
      </c>
      <c r="B16" s="10" t="s">
        <v>678</v>
      </c>
      <c r="C16" s="10" t="s">
        <v>14</v>
      </c>
      <c r="D16" s="11">
        <f t="shared" si="1"/>
        <v>163.63636363636363</v>
      </c>
      <c r="E16" s="11">
        <f t="shared" si="0"/>
        <v>16.363636363636363</v>
      </c>
      <c r="F16" s="18">
        <v>180</v>
      </c>
      <c r="G16" s="18"/>
      <c r="H16" s="13">
        <f t="shared" si="2"/>
        <v>180</v>
      </c>
      <c r="I16" s="19" t="s">
        <v>402</v>
      </c>
      <c r="J16" s="79">
        <v>180</v>
      </c>
      <c r="K16" s="79"/>
      <c r="L16" s="10"/>
      <c r="M16" s="82"/>
      <c r="N16" s="2"/>
      <c r="O16" s="2"/>
    </row>
    <row r="17" spans="1:15" x14ac:dyDescent="0.3">
      <c r="A17" s="9">
        <v>45416</v>
      </c>
      <c r="B17" s="10" t="s">
        <v>679</v>
      </c>
      <c r="C17" s="10" t="s">
        <v>14</v>
      </c>
      <c r="D17" s="11">
        <f t="shared" si="1"/>
        <v>154.54545454545453</v>
      </c>
      <c r="E17" s="11">
        <f t="shared" si="0"/>
        <v>15.454545454545453</v>
      </c>
      <c r="F17" s="18">
        <v>170</v>
      </c>
      <c r="G17" s="18">
        <v>70</v>
      </c>
      <c r="H17" s="13">
        <f t="shared" si="2"/>
        <v>100</v>
      </c>
      <c r="I17" s="19" t="s">
        <v>1357</v>
      </c>
      <c r="J17" s="79">
        <v>170</v>
      </c>
      <c r="K17" s="79"/>
      <c r="L17" s="10"/>
      <c r="M17" s="80"/>
      <c r="N17" s="2"/>
      <c r="O17" s="2"/>
    </row>
    <row r="18" spans="1:15" x14ac:dyDescent="0.3">
      <c r="A18" s="9">
        <v>45416</v>
      </c>
      <c r="B18" s="10" t="s">
        <v>680</v>
      </c>
      <c r="C18" s="10" t="s">
        <v>14</v>
      </c>
      <c r="D18" s="11">
        <f t="shared" si="1"/>
        <v>136.36363636363635</v>
      </c>
      <c r="E18" s="11">
        <f t="shared" si="0"/>
        <v>13.636363636363635</v>
      </c>
      <c r="F18" s="18">
        <v>150</v>
      </c>
      <c r="G18" s="18">
        <v>50</v>
      </c>
      <c r="H18" s="13">
        <f t="shared" si="2"/>
        <v>100</v>
      </c>
      <c r="I18" s="19" t="s">
        <v>1360</v>
      </c>
      <c r="J18" s="79">
        <v>150</v>
      </c>
      <c r="K18" s="79"/>
      <c r="L18" s="10"/>
      <c r="M18" s="80"/>
      <c r="N18" s="2"/>
      <c r="O18" s="2"/>
    </row>
    <row r="19" spans="1:15" x14ac:dyDescent="0.3">
      <c r="A19" s="9">
        <v>45416</v>
      </c>
      <c r="B19" s="10" t="s">
        <v>681</v>
      </c>
      <c r="C19" s="10" t="s">
        <v>14</v>
      </c>
      <c r="D19" s="11">
        <f t="shared" si="1"/>
        <v>118.18181818181817</v>
      </c>
      <c r="E19" s="11">
        <f t="shared" si="0"/>
        <v>11.818181818181818</v>
      </c>
      <c r="F19" s="18">
        <v>130</v>
      </c>
      <c r="G19" s="18"/>
      <c r="H19" s="13">
        <f t="shared" si="2"/>
        <v>130</v>
      </c>
      <c r="I19" s="19" t="s">
        <v>403</v>
      </c>
      <c r="J19" s="79">
        <v>130</v>
      </c>
      <c r="K19" s="79"/>
      <c r="L19" s="10"/>
      <c r="M19" s="80"/>
      <c r="N19" s="2"/>
      <c r="O19" s="2"/>
    </row>
    <row r="20" spans="1:15" x14ac:dyDescent="0.3">
      <c r="A20" s="9">
        <v>45416</v>
      </c>
      <c r="B20" s="10" t="s">
        <v>682</v>
      </c>
      <c r="C20" s="10" t="s">
        <v>14</v>
      </c>
      <c r="D20" s="11">
        <f t="shared" si="1"/>
        <v>154.54545454545453</v>
      </c>
      <c r="E20" s="11">
        <f t="shared" si="0"/>
        <v>15.454545454545453</v>
      </c>
      <c r="F20" s="18">
        <v>170</v>
      </c>
      <c r="G20" s="18">
        <v>50</v>
      </c>
      <c r="H20" s="13">
        <f t="shared" si="2"/>
        <v>120</v>
      </c>
      <c r="I20" s="19" t="s">
        <v>1361</v>
      </c>
      <c r="J20" s="79">
        <v>170</v>
      </c>
      <c r="K20" s="79"/>
      <c r="L20" s="10"/>
      <c r="M20" s="80"/>
      <c r="N20" s="2"/>
      <c r="O20" s="2"/>
    </row>
    <row r="21" spans="1:15" x14ac:dyDescent="0.3">
      <c r="A21" s="9">
        <v>45416</v>
      </c>
      <c r="B21" s="10" t="s">
        <v>683</v>
      </c>
      <c r="C21" s="10" t="s">
        <v>14</v>
      </c>
      <c r="D21" s="11">
        <f t="shared" si="1"/>
        <v>218.18181818181816</v>
      </c>
      <c r="E21" s="11">
        <f t="shared" si="0"/>
        <v>21.818181818181817</v>
      </c>
      <c r="F21" s="18">
        <v>240</v>
      </c>
      <c r="G21" s="21">
        <v>50</v>
      </c>
      <c r="H21" s="13">
        <f t="shared" si="2"/>
        <v>190</v>
      </c>
      <c r="I21" s="19" t="s">
        <v>1362</v>
      </c>
      <c r="J21" s="79">
        <v>240</v>
      </c>
      <c r="K21" s="79"/>
      <c r="L21" s="10"/>
      <c r="M21" s="80"/>
      <c r="N21" s="2"/>
      <c r="O21" s="2"/>
    </row>
    <row r="22" spans="1:15" x14ac:dyDescent="0.3">
      <c r="A22" s="9">
        <v>45416</v>
      </c>
      <c r="B22" s="10" t="s">
        <v>684</v>
      </c>
      <c r="C22" s="10" t="s">
        <v>14</v>
      </c>
      <c r="D22" s="11">
        <f t="shared" si="1"/>
        <v>127.27272727272727</v>
      </c>
      <c r="E22" s="11">
        <f t="shared" si="0"/>
        <v>12.727272727272727</v>
      </c>
      <c r="F22" s="18">
        <v>140</v>
      </c>
      <c r="G22" s="11"/>
      <c r="H22" s="13">
        <f t="shared" si="2"/>
        <v>140</v>
      </c>
      <c r="I22" s="19" t="s">
        <v>1363</v>
      </c>
      <c r="J22" s="79">
        <v>140</v>
      </c>
      <c r="K22" s="79"/>
      <c r="L22" s="10"/>
      <c r="M22" s="80"/>
      <c r="N22" s="2"/>
      <c r="O22" s="2"/>
    </row>
    <row r="23" spans="1:15" x14ac:dyDescent="0.3">
      <c r="A23" s="9">
        <v>45416</v>
      </c>
      <c r="B23" s="10" t="s">
        <v>685</v>
      </c>
      <c r="C23" s="10" t="s">
        <v>14</v>
      </c>
      <c r="D23" s="11">
        <f t="shared" si="1"/>
        <v>127.27272727272727</v>
      </c>
      <c r="E23" s="11">
        <f t="shared" si="0"/>
        <v>12.727272727272727</v>
      </c>
      <c r="F23" s="18">
        <v>140</v>
      </c>
      <c r="G23" s="11"/>
      <c r="H23" s="13">
        <f t="shared" si="2"/>
        <v>140</v>
      </c>
      <c r="I23" s="19" t="s">
        <v>1028</v>
      </c>
      <c r="J23" s="79">
        <v>140</v>
      </c>
      <c r="K23" s="79"/>
      <c r="L23" s="10"/>
      <c r="M23" s="80"/>
      <c r="N23" s="2"/>
      <c r="O23" s="2"/>
    </row>
    <row r="24" spans="1:15" x14ac:dyDescent="0.3">
      <c r="A24" s="9">
        <v>45416</v>
      </c>
      <c r="B24" s="10" t="s">
        <v>686</v>
      </c>
      <c r="C24" s="10" t="s">
        <v>14</v>
      </c>
      <c r="D24" s="11">
        <f t="shared" si="1"/>
        <v>254.54545454545453</v>
      </c>
      <c r="E24" s="11">
        <f t="shared" si="0"/>
        <v>25.454545454545453</v>
      </c>
      <c r="F24" s="18">
        <v>280</v>
      </c>
      <c r="G24" s="11"/>
      <c r="H24" s="13">
        <f t="shared" si="2"/>
        <v>280</v>
      </c>
      <c r="I24" s="19" t="s">
        <v>1364</v>
      </c>
      <c r="J24" s="79">
        <v>280</v>
      </c>
      <c r="K24" s="79"/>
      <c r="L24" s="10"/>
      <c r="M24" s="80"/>
      <c r="N24" s="2"/>
      <c r="O24" s="2"/>
    </row>
    <row r="25" spans="1:15" x14ac:dyDescent="0.3">
      <c r="A25" s="9">
        <v>45416</v>
      </c>
      <c r="B25" s="10" t="s">
        <v>687</v>
      </c>
      <c r="C25" s="10" t="s">
        <v>14</v>
      </c>
      <c r="D25" s="11">
        <f t="shared" si="1"/>
        <v>445.45454545454544</v>
      </c>
      <c r="E25" s="11">
        <f t="shared" si="0"/>
        <v>44.54545454545454</v>
      </c>
      <c r="F25" s="18">
        <v>490</v>
      </c>
      <c r="G25" s="11"/>
      <c r="H25" s="13">
        <f t="shared" si="2"/>
        <v>490</v>
      </c>
      <c r="I25" s="19" t="s">
        <v>1365</v>
      </c>
      <c r="J25" s="79">
        <v>480</v>
      </c>
      <c r="K25" s="79"/>
      <c r="L25" s="10"/>
      <c r="M25" s="80"/>
      <c r="N25" s="2"/>
      <c r="O25" s="2"/>
    </row>
    <row r="26" spans="1:15" x14ac:dyDescent="0.3">
      <c r="A26" s="9">
        <v>45416</v>
      </c>
      <c r="B26" s="10" t="s">
        <v>688</v>
      </c>
      <c r="C26" s="10" t="s">
        <v>14</v>
      </c>
      <c r="D26" s="11">
        <f t="shared" si="1"/>
        <v>163.63636363636363</v>
      </c>
      <c r="E26" s="11">
        <f t="shared" si="0"/>
        <v>16.363636363636363</v>
      </c>
      <c r="F26" s="16">
        <v>180</v>
      </c>
      <c r="G26" s="11"/>
      <c r="H26" s="13">
        <f t="shared" si="2"/>
        <v>180</v>
      </c>
      <c r="I26" s="19" t="s">
        <v>403</v>
      </c>
      <c r="J26" s="79">
        <v>180</v>
      </c>
      <c r="K26" s="79"/>
      <c r="L26" s="10"/>
      <c r="M26" s="83"/>
      <c r="N26" s="84"/>
      <c r="O26" s="84"/>
    </row>
    <row r="27" spans="1:15" x14ac:dyDescent="0.3">
      <c r="A27" s="9">
        <v>45416</v>
      </c>
      <c r="B27" s="10" t="s">
        <v>689</v>
      </c>
      <c r="C27" s="10" t="s">
        <v>14</v>
      </c>
      <c r="D27" s="11">
        <f t="shared" si="1"/>
        <v>272.72727272727269</v>
      </c>
      <c r="E27" s="11">
        <f t="shared" si="0"/>
        <v>27.27272727272727</v>
      </c>
      <c r="F27" s="16">
        <v>300</v>
      </c>
      <c r="G27" s="11"/>
      <c r="H27" s="13">
        <f t="shared" si="2"/>
        <v>300</v>
      </c>
      <c r="I27" s="19" t="s">
        <v>1366</v>
      </c>
      <c r="J27" s="79">
        <v>270</v>
      </c>
      <c r="K27" s="85">
        <v>30</v>
      </c>
      <c r="L27" s="25" t="s">
        <v>223</v>
      </c>
      <c r="M27" s="80"/>
      <c r="N27" s="2"/>
      <c r="O27" s="2"/>
    </row>
    <row r="28" spans="1:15" x14ac:dyDescent="0.3">
      <c r="A28" s="9">
        <v>45416</v>
      </c>
      <c r="B28" s="10" t="s">
        <v>690</v>
      </c>
      <c r="C28" s="10" t="s">
        <v>14</v>
      </c>
      <c r="D28" s="11">
        <f t="shared" si="1"/>
        <v>136.36363636363635</v>
      </c>
      <c r="E28" s="11">
        <f t="shared" si="0"/>
        <v>13.636363636363635</v>
      </c>
      <c r="F28" s="16">
        <v>150</v>
      </c>
      <c r="G28" s="11"/>
      <c r="H28" s="13">
        <f t="shared" si="2"/>
        <v>150</v>
      </c>
      <c r="I28" s="78" t="s">
        <v>1357</v>
      </c>
      <c r="J28" s="79">
        <v>150</v>
      </c>
      <c r="K28" s="79"/>
      <c r="L28" s="25"/>
      <c r="M28" s="80"/>
      <c r="N28" s="2"/>
      <c r="O28" s="2"/>
    </row>
    <row r="29" spans="1:15" x14ac:dyDescent="0.3">
      <c r="A29" s="9">
        <v>45416</v>
      </c>
      <c r="B29" s="10" t="s">
        <v>691</v>
      </c>
      <c r="C29" s="10" t="s">
        <v>14</v>
      </c>
      <c r="D29" s="11">
        <f t="shared" si="1"/>
        <v>172.72727272727272</v>
      </c>
      <c r="E29" s="11">
        <f t="shared" si="0"/>
        <v>17.272727272727273</v>
      </c>
      <c r="F29" s="16">
        <v>190</v>
      </c>
      <c r="G29" s="11"/>
      <c r="H29" s="13">
        <f t="shared" si="2"/>
        <v>190</v>
      </c>
      <c r="I29" s="10" t="s">
        <v>1367</v>
      </c>
      <c r="J29" s="79">
        <v>190</v>
      </c>
      <c r="K29" s="79"/>
      <c r="L29" s="10"/>
      <c r="M29" s="80"/>
      <c r="N29" s="2"/>
      <c r="O29" s="2"/>
    </row>
    <row r="30" spans="1:15" x14ac:dyDescent="0.3">
      <c r="A30" s="9">
        <v>45416</v>
      </c>
      <c r="B30" s="10" t="s">
        <v>692</v>
      </c>
      <c r="C30" s="10" t="s">
        <v>14</v>
      </c>
      <c r="D30" s="11">
        <f t="shared" si="1"/>
        <v>163.63636363636363</v>
      </c>
      <c r="E30" s="11">
        <f t="shared" si="0"/>
        <v>16.363636363636363</v>
      </c>
      <c r="F30" s="16">
        <v>180</v>
      </c>
      <c r="G30" s="11"/>
      <c r="H30" s="13">
        <f t="shared" si="2"/>
        <v>180</v>
      </c>
      <c r="I30" s="19" t="s">
        <v>403</v>
      </c>
      <c r="J30" s="79">
        <v>180</v>
      </c>
      <c r="K30" s="79"/>
      <c r="L30" s="10"/>
      <c r="M30" s="80"/>
      <c r="N30" s="2"/>
      <c r="O30" s="2"/>
    </row>
    <row r="31" spans="1:15" x14ac:dyDescent="0.3">
      <c r="A31" s="9">
        <v>45416</v>
      </c>
      <c r="B31" s="10" t="s">
        <v>693</v>
      </c>
      <c r="C31" s="10" t="s">
        <v>14</v>
      </c>
      <c r="D31" s="11">
        <f t="shared" si="1"/>
        <v>245.45454545454544</v>
      </c>
      <c r="E31" s="11">
        <f t="shared" si="0"/>
        <v>24.545454545454547</v>
      </c>
      <c r="F31" s="16">
        <v>270</v>
      </c>
      <c r="G31" s="11">
        <v>50</v>
      </c>
      <c r="H31" s="13">
        <f t="shared" si="2"/>
        <v>220</v>
      </c>
      <c r="I31" s="19" t="s">
        <v>1368</v>
      </c>
      <c r="J31" s="79">
        <v>270</v>
      </c>
      <c r="K31" s="79"/>
      <c r="L31" s="10"/>
      <c r="M31" s="80"/>
      <c r="N31" s="2"/>
      <c r="O31" s="2"/>
    </row>
    <row r="32" spans="1:15" x14ac:dyDescent="0.3">
      <c r="A32" s="9">
        <v>45416</v>
      </c>
      <c r="B32" s="10" t="s">
        <v>694</v>
      </c>
      <c r="C32" s="10" t="s">
        <v>14</v>
      </c>
      <c r="D32" s="11">
        <f t="shared" si="1"/>
        <v>313.63636363636363</v>
      </c>
      <c r="E32" s="11">
        <f t="shared" si="0"/>
        <v>31.36363636363636</v>
      </c>
      <c r="F32" s="16">
        <v>345</v>
      </c>
      <c r="G32" s="11">
        <v>50</v>
      </c>
      <c r="H32" s="13">
        <f t="shared" si="2"/>
        <v>295</v>
      </c>
      <c r="I32" s="78" t="s">
        <v>1369</v>
      </c>
      <c r="J32" s="79">
        <v>270</v>
      </c>
      <c r="K32" s="79">
        <v>30</v>
      </c>
      <c r="L32" s="10" t="s">
        <v>223</v>
      </c>
      <c r="M32" s="80">
        <v>45</v>
      </c>
      <c r="N32" s="2" t="s">
        <v>16</v>
      </c>
      <c r="O32" s="2"/>
    </row>
    <row r="33" spans="1:15" x14ac:dyDescent="0.3">
      <c r="A33" s="9">
        <v>45417</v>
      </c>
      <c r="B33" s="10" t="s">
        <v>695</v>
      </c>
      <c r="C33" s="10" t="s">
        <v>14</v>
      </c>
      <c r="D33" s="11">
        <f t="shared" si="1"/>
        <v>127.27272727272727</v>
      </c>
      <c r="E33" s="11">
        <f t="shared" si="0"/>
        <v>12.727272727272727</v>
      </c>
      <c r="F33" s="16">
        <v>140</v>
      </c>
      <c r="G33" s="11"/>
      <c r="H33" s="13">
        <f t="shared" si="2"/>
        <v>140</v>
      </c>
      <c r="I33" s="78" t="s">
        <v>1370</v>
      </c>
      <c r="J33" s="79">
        <v>140</v>
      </c>
      <c r="K33" s="79"/>
      <c r="L33" s="10"/>
      <c r="M33" s="80"/>
      <c r="N33" s="2"/>
      <c r="O33" s="2"/>
    </row>
    <row r="34" spans="1:15" x14ac:dyDescent="0.3">
      <c r="A34" s="9">
        <v>45421</v>
      </c>
      <c r="B34" s="10" t="s">
        <v>696</v>
      </c>
      <c r="C34" s="10" t="s">
        <v>14</v>
      </c>
      <c r="D34" s="11">
        <f t="shared" si="1"/>
        <v>231.81818181818181</v>
      </c>
      <c r="E34" s="11">
        <f t="shared" si="0"/>
        <v>23.18181818181818</v>
      </c>
      <c r="F34" s="16">
        <v>255</v>
      </c>
      <c r="G34" s="11"/>
      <c r="H34" s="13">
        <f t="shared" si="2"/>
        <v>255</v>
      </c>
      <c r="I34" s="78" t="s">
        <v>402</v>
      </c>
      <c r="J34" s="79">
        <v>255</v>
      </c>
      <c r="K34" s="79"/>
      <c r="L34" s="10"/>
      <c r="M34" s="80"/>
      <c r="N34" s="2"/>
      <c r="O34" s="2"/>
    </row>
    <row r="35" spans="1:15" x14ac:dyDescent="0.3">
      <c r="A35" s="9">
        <v>45421</v>
      </c>
      <c r="B35" s="10" t="s">
        <v>697</v>
      </c>
      <c r="C35" s="10" t="s">
        <v>14</v>
      </c>
      <c r="D35" s="11">
        <f t="shared" si="1"/>
        <v>327.27272727272725</v>
      </c>
      <c r="E35" s="11">
        <f t="shared" si="0"/>
        <v>32.727272727272727</v>
      </c>
      <c r="F35" s="16">
        <v>360</v>
      </c>
      <c r="G35" s="11"/>
      <c r="H35" s="13">
        <f t="shared" si="2"/>
        <v>360</v>
      </c>
      <c r="I35" s="78" t="s">
        <v>402</v>
      </c>
      <c r="J35" s="79">
        <v>360</v>
      </c>
      <c r="K35" s="79"/>
      <c r="L35" s="10"/>
      <c r="M35" s="80"/>
      <c r="N35" s="2"/>
      <c r="O35" s="2"/>
    </row>
    <row r="36" spans="1:15" x14ac:dyDescent="0.3">
      <c r="A36" s="9">
        <v>45421</v>
      </c>
      <c r="B36" s="10" t="s">
        <v>698</v>
      </c>
      <c r="C36" s="10" t="s">
        <v>14</v>
      </c>
      <c r="D36" s="11">
        <f t="shared" si="1"/>
        <v>181.81818181818181</v>
      </c>
      <c r="E36" s="11">
        <f t="shared" si="0"/>
        <v>18.18181818181818</v>
      </c>
      <c r="F36" s="16">
        <v>200</v>
      </c>
      <c r="G36" s="11">
        <v>50</v>
      </c>
      <c r="H36" s="13">
        <f t="shared" si="2"/>
        <v>150</v>
      </c>
      <c r="I36" s="19" t="s">
        <v>1371</v>
      </c>
      <c r="J36" s="79">
        <v>170</v>
      </c>
      <c r="K36" s="79">
        <v>30</v>
      </c>
      <c r="L36" s="10" t="s">
        <v>223</v>
      </c>
      <c r="M36" s="80"/>
      <c r="N36" s="2"/>
      <c r="O36" s="2"/>
    </row>
    <row r="37" spans="1:15" x14ac:dyDescent="0.3">
      <c r="A37" s="9">
        <v>45422</v>
      </c>
      <c r="B37" s="10" t="s">
        <v>699</v>
      </c>
      <c r="C37" s="10" t="s">
        <v>14</v>
      </c>
      <c r="D37" s="11">
        <f t="shared" si="1"/>
        <v>190.90909090909091</v>
      </c>
      <c r="E37" s="11">
        <f t="shared" si="0"/>
        <v>19.09090909090909</v>
      </c>
      <c r="F37" s="16">
        <v>210</v>
      </c>
      <c r="G37" s="11">
        <v>50</v>
      </c>
      <c r="H37" s="13">
        <f t="shared" si="2"/>
        <v>160</v>
      </c>
      <c r="I37" s="19" t="s">
        <v>1372</v>
      </c>
      <c r="J37" s="79">
        <v>170</v>
      </c>
      <c r="K37" s="79">
        <v>40</v>
      </c>
      <c r="L37" s="10" t="s">
        <v>223</v>
      </c>
      <c r="M37" s="80"/>
      <c r="N37" s="2"/>
      <c r="O37" s="2"/>
    </row>
    <row r="38" spans="1:15" x14ac:dyDescent="0.3">
      <c r="A38" s="26">
        <v>45422</v>
      </c>
      <c r="B38" s="10" t="s">
        <v>700</v>
      </c>
      <c r="C38" s="10" t="s">
        <v>14</v>
      </c>
      <c r="D38" s="11">
        <f t="shared" si="1"/>
        <v>127.27272727272727</v>
      </c>
      <c r="E38" s="11">
        <f t="shared" si="0"/>
        <v>12.727272727272727</v>
      </c>
      <c r="F38" s="18">
        <v>140</v>
      </c>
      <c r="G38" s="18"/>
      <c r="H38" s="13">
        <f t="shared" si="2"/>
        <v>140</v>
      </c>
      <c r="I38" s="19" t="s">
        <v>402</v>
      </c>
      <c r="J38" s="79">
        <v>140</v>
      </c>
      <c r="K38" s="86"/>
      <c r="L38" s="10"/>
      <c r="M38" s="80"/>
      <c r="N38" s="2"/>
      <c r="O38" s="2"/>
    </row>
    <row r="39" spans="1:15" x14ac:dyDescent="0.3">
      <c r="A39" s="26">
        <v>45422</v>
      </c>
      <c r="B39" s="10" t="s">
        <v>701</v>
      </c>
      <c r="C39" s="10" t="s">
        <v>14</v>
      </c>
      <c r="D39" s="11">
        <f t="shared" si="1"/>
        <v>172.72727272727272</v>
      </c>
      <c r="E39" s="11">
        <f t="shared" si="0"/>
        <v>17.272727272727273</v>
      </c>
      <c r="F39" s="18">
        <v>190</v>
      </c>
      <c r="G39" s="18">
        <v>50</v>
      </c>
      <c r="H39" s="13">
        <f t="shared" si="2"/>
        <v>140</v>
      </c>
      <c r="I39" s="19" t="s">
        <v>1373</v>
      </c>
      <c r="J39" s="79">
        <v>170</v>
      </c>
      <c r="K39" s="79">
        <v>20</v>
      </c>
      <c r="L39" s="10" t="s">
        <v>223</v>
      </c>
      <c r="M39" s="80"/>
      <c r="N39" s="2"/>
      <c r="O39" s="2"/>
    </row>
    <row r="40" spans="1:15" x14ac:dyDescent="0.3">
      <c r="A40" s="26">
        <v>45422</v>
      </c>
      <c r="B40" s="10" t="s">
        <v>702</v>
      </c>
      <c r="C40" s="10" t="s">
        <v>14</v>
      </c>
      <c r="D40" s="11">
        <f t="shared" si="1"/>
        <v>218.18181818181816</v>
      </c>
      <c r="E40" s="11">
        <f t="shared" si="0"/>
        <v>21.818181818181817</v>
      </c>
      <c r="F40" s="18">
        <v>240</v>
      </c>
      <c r="G40" s="18">
        <v>50</v>
      </c>
      <c r="H40" s="13">
        <f t="shared" si="2"/>
        <v>190</v>
      </c>
      <c r="I40" s="19" t="s">
        <v>286</v>
      </c>
      <c r="J40" s="79">
        <v>220</v>
      </c>
      <c r="K40" s="79">
        <v>20</v>
      </c>
      <c r="L40" s="10" t="s">
        <v>223</v>
      </c>
      <c r="M40" s="80"/>
      <c r="N40" s="2"/>
      <c r="O40" s="2"/>
    </row>
    <row r="41" spans="1:15" x14ac:dyDescent="0.3">
      <c r="A41" s="26">
        <v>45422</v>
      </c>
      <c r="B41" s="10" t="s">
        <v>703</v>
      </c>
      <c r="C41" s="10" t="s">
        <v>14</v>
      </c>
      <c r="D41" s="11">
        <f t="shared" si="1"/>
        <v>163.63636363636363</v>
      </c>
      <c r="E41" s="11">
        <f t="shared" si="0"/>
        <v>16.363636363636363</v>
      </c>
      <c r="F41" s="18">
        <v>180</v>
      </c>
      <c r="G41" s="18">
        <v>180</v>
      </c>
      <c r="H41" s="13">
        <f t="shared" si="2"/>
        <v>0</v>
      </c>
      <c r="I41" s="19" t="s">
        <v>402</v>
      </c>
      <c r="J41" s="79">
        <v>180</v>
      </c>
      <c r="K41" s="79"/>
      <c r="L41" s="10"/>
      <c r="M41" s="80"/>
      <c r="N41" s="2"/>
      <c r="O41" s="2"/>
    </row>
    <row r="42" spans="1:15" x14ac:dyDescent="0.3">
      <c r="A42" s="26">
        <v>45422</v>
      </c>
      <c r="B42" s="10" t="s">
        <v>1148</v>
      </c>
      <c r="C42" s="10" t="s">
        <v>14</v>
      </c>
      <c r="D42" s="11">
        <f t="shared" si="1"/>
        <v>199.99999999999997</v>
      </c>
      <c r="E42" s="11">
        <f t="shared" si="0"/>
        <v>19.999999999999996</v>
      </c>
      <c r="F42" s="18">
        <v>220</v>
      </c>
      <c r="G42" s="18">
        <v>50</v>
      </c>
      <c r="H42" s="13">
        <f t="shared" si="2"/>
        <v>170</v>
      </c>
      <c r="I42" s="19" t="s">
        <v>1357</v>
      </c>
      <c r="J42" s="79">
        <v>220</v>
      </c>
      <c r="K42" s="79"/>
      <c r="L42" s="10"/>
      <c r="M42" s="80"/>
      <c r="N42" s="2"/>
      <c r="O42" s="2"/>
    </row>
    <row r="43" spans="1:15" x14ac:dyDescent="0.3">
      <c r="A43" s="26">
        <v>45422</v>
      </c>
      <c r="B43" s="10" t="s">
        <v>1149</v>
      </c>
      <c r="C43" s="10" t="s">
        <v>14</v>
      </c>
      <c r="D43" s="11">
        <f t="shared" si="1"/>
        <v>281.81818181818181</v>
      </c>
      <c r="E43" s="11">
        <f t="shared" si="0"/>
        <v>28.18181818181818</v>
      </c>
      <c r="F43" s="18">
        <v>310</v>
      </c>
      <c r="G43" s="18">
        <v>50</v>
      </c>
      <c r="H43" s="13">
        <f t="shared" si="2"/>
        <v>260</v>
      </c>
      <c r="I43" s="19" t="s">
        <v>1374</v>
      </c>
      <c r="J43" s="79">
        <v>270</v>
      </c>
      <c r="K43" s="79">
        <v>40</v>
      </c>
      <c r="L43" s="10" t="s">
        <v>223</v>
      </c>
      <c r="M43" s="80"/>
      <c r="N43" s="2"/>
      <c r="O43" s="2"/>
    </row>
    <row r="44" spans="1:15" x14ac:dyDescent="0.3">
      <c r="A44" s="26">
        <v>45422</v>
      </c>
      <c r="B44" s="10" t="s">
        <v>1150</v>
      </c>
      <c r="C44" s="10" t="s">
        <v>14</v>
      </c>
      <c r="D44" s="11">
        <f t="shared" si="1"/>
        <v>127.27272727272727</v>
      </c>
      <c r="E44" s="11">
        <f t="shared" si="0"/>
        <v>12.727272727272727</v>
      </c>
      <c r="F44" s="18">
        <v>140</v>
      </c>
      <c r="G44" s="18"/>
      <c r="H44" s="13">
        <f t="shared" si="2"/>
        <v>140</v>
      </c>
      <c r="I44" s="19" t="s">
        <v>1375</v>
      </c>
      <c r="J44" s="79">
        <v>140</v>
      </c>
      <c r="K44" s="79"/>
      <c r="L44" s="10"/>
      <c r="M44" s="80"/>
      <c r="N44" s="2"/>
      <c r="O44" s="2"/>
    </row>
    <row r="45" spans="1:15" x14ac:dyDescent="0.3">
      <c r="A45" s="26">
        <v>45422</v>
      </c>
      <c r="B45" s="10" t="s">
        <v>1151</v>
      </c>
      <c r="C45" s="10" t="s">
        <v>14</v>
      </c>
      <c r="D45" s="11">
        <f t="shared" si="1"/>
        <v>154.54545454545453</v>
      </c>
      <c r="E45" s="11">
        <f t="shared" si="0"/>
        <v>15.454545454545453</v>
      </c>
      <c r="F45" s="18">
        <v>170</v>
      </c>
      <c r="G45" s="18">
        <v>50</v>
      </c>
      <c r="H45" s="13">
        <f t="shared" si="2"/>
        <v>120</v>
      </c>
      <c r="I45" s="19" t="s">
        <v>1376</v>
      </c>
      <c r="J45" s="79">
        <v>170</v>
      </c>
      <c r="K45" s="79"/>
      <c r="L45" s="10"/>
      <c r="M45" s="80"/>
      <c r="N45" s="2"/>
      <c r="O45" s="2"/>
    </row>
    <row r="46" spans="1:15" x14ac:dyDescent="0.3">
      <c r="A46" s="26">
        <v>45423</v>
      </c>
      <c r="B46" s="10" t="s">
        <v>1152</v>
      </c>
      <c r="C46" s="10" t="s">
        <v>14</v>
      </c>
      <c r="D46" s="11">
        <f t="shared" si="1"/>
        <v>254.54545454545453</v>
      </c>
      <c r="E46" s="11">
        <f t="shared" si="0"/>
        <v>25.454545454545453</v>
      </c>
      <c r="F46" s="18">
        <v>280</v>
      </c>
      <c r="G46" s="18">
        <v>50</v>
      </c>
      <c r="H46" s="13">
        <f t="shared" si="2"/>
        <v>230</v>
      </c>
      <c r="I46" s="19" t="s">
        <v>1377</v>
      </c>
      <c r="J46" s="79">
        <v>220</v>
      </c>
      <c r="K46" s="79">
        <v>60</v>
      </c>
      <c r="L46" s="10" t="s">
        <v>223</v>
      </c>
      <c r="M46" s="80"/>
      <c r="N46" s="2"/>
      <c r="O46" s="2"/>
    </row>
    <row r="47" spans="1:15" x14ac:dyDescent="0.3">
      <c r="A47" s="26">
        <v>45423</v>
      </c>
      <c r="B47" s="10" t="s">
        <v>1153</v>
      </c>
      <c r="C47" s="10" t="s">
        <v>14</v>
      </c>
      <c r="D47" s="11">
        <f t="shared" si="1"/>
        <v>281.81818181818181</v>
      </c>
      <c r="E47" s="11">
        <f t="shared" si="0"/>
        <v>28.18181818181818</v>
      </c>
      <c r="F47" s="18">
        <v>310</v>
      </c>
      <c r="G47" s="18">
        <v>50</v>
      </c>
      <c r="H47" s="13">
        <f t="shared" si="2"/>
        <v>260</v>
      </c>
      <c r="I47" s="19" t="s">
        <v>1378</v>
      </c>
      <c r="J47" s="79">
        <v>270</v>
      </c>
      <c r="K47" s="79">
        <v>40</v>
      </c>
      <c r="L47" s="10" t="s">
        <v>223</v>
      </c>
      <c r="M47" s="80"/>
      <c r="N47" s="2"/>
      <c r="O47" s="2"/>
    </row>
    <row r="48" spans="1:15" x14ac:dyDescent="0.3">
      <c r="A48" s="26">
        <v>45423</v>
      </c>
      <c r="B48" s="10" t="s">
        <v>1154</v>
      </c>
      <c r="C48" s="10" t="s">
        <v>14</v>
      </c>
      <c r="D48" s="11">
        <f t="shared" si="1"/>
        <v>240.90909090909088</v>
      </c>
      <c r="E48" s="11">
        <f t="shared" si="0"/>
        <v>24.09090909090909</v>
      </c>
      <c r="F48" s="18">
        <v>265</v>
      </c>
      <c r="G48" s="18">
        <v>50</v>
      </c>
      <c r="H48" s="13">
        <f t="shared" si="2"/>
        <v>215</v>
      </c>
      <c r="I48" s="19" t="s">
        <v>1379</v>
      </c>
      <c r="J48" s="79">
        <v>220</v>
      </c>
      <c r="K48" s="79"/>
      <c r="L48" s="10"/>
      <c r="M48" s="80">
        <v>45</v>
      </c>
      <c r="N48" s="2" t="s">
        <v>16</v>
      </c>
      <c r="O48" s="2"/>
    </row>
    <row r="49" spans="1:15" x14ac:dyDescent="0.3">
      <c r="A49" s="26">
        <v>45423</v>
      </c>
      <c r="B49" s="10" t="s">
        <v>1155</v>
      </c>
      <c r="C49" s="10" t="s">
        <v>14</v>
      </c>
      <c r="D49" s="11">
        <f t="shared" si="1"/>
        <v>281.81818181818181</v>
      </c>
      <c r="E49" s="11">
        <f t="shared" si="0"/>
        <v>28.18181818181818</v>
      </c>
      <c r="F49" s="18">
        <v>310</v>
      </c>
      <c r="G49" s="18">
        <v>50</v>
      </c>
      <c r="H49" s="13">
        <f t="shared" si="2"/>
        <v>260</v>
      </c>
      <c r="I49" s="19" t="s">
        <v>1380</v>
      </c>
      <c r="J49" s="79">
        <v>270</v>
      </c>
      <c r="K49" s="79">
        <v>40</v>
      </c>
      <c r="L49" s="10" t="s">
        <v>223</v>
      </c>
      <c r="M49" s="80"/>
      <c r="N49" s="2"/>
      <c r="O49" s="2"/>
    </row>
    <row r="50" spans="1:15" x14ac:dyDescent="0.3">
      <c r="A50" s="26">
        <v>45423</v>
      </c>
      <c r="B50" s="10" t="s">
        <v>1156</v>
      </c>
      <c r="C50" s="10" t="s">
        <v>14</v>
      </c>
      <c r="D50" s="11">
        <f t="shared" si="1"/>
        <v>199.99999999999997</v>
      </c>
      <c r="E50" s="11">
        <f t="shared" si="0"/>
        <v>19.999999999999996</v>
      </c>
      <c r="F50" s="18">
        <v>220</v>
      </c>
      <c r="G50" s="18">
        <v>50</v>
      </c>
      <c r="H50" s="13">
        <f t="shared" si="2"/>
        <v>170</v>
      </c>
      <c r="I50" s="19" t="s">
        <v>1381</v>
      </c>
      <c r="J50" s="79">
        <v>220</v>
      </c>
      <c r="K50" s="79"/>
      <c r="L50" s="10"/>
      <c r="M50" s="80"/>
      <c r="N50" s="2"/>
      <c r="O50" s="2"/>
    </row>
    <row r="51" spans="1:15" x14ac:dyDescent="0.3">
      <c r="A51" s="26">
        <v>45423</v>
      </c>
      <c r="B51" s="10" t="s">
        <v>1157</v>
      </c>
      <c r="C51" s="10" t="s">
        <v>14</v>
      </c>
      <c r="D51" s="11">
        <f t="shared" si="1"/>
        <v>199.99999999999997</v>
      </c>
      <c r="E51" s="11">
        <f t="shared" si="0"/>
        <v>19.999999999999996</v>
      </c>
      <c r="F51" s="18">
        <v>220</v>
      </c>
      <c r="G51" s="18">
        <v>50</v>
      </c>
      <c r="H51" s="13">
        <f t="shared" si="2"/>
        <v>170</v>
      </c>
      <c r="I51" s="19" t="s">
        <v>1382</v>
      </c>
      <c r="J51" s="79">
        <v>220</v>
      </c>
      <c r="K51" s="79"/>
      <c r="L51" s="10"/>
      <c r="M51" s="80"/>
      <c r="N51" s="2"/>
      <c r="O51" s="2"/>
    </row>
    <row r="52" spans="1:15" x14ac:dyDescent="0.3">
      <c r="A52" s="28">
        <v>45423</v>
      </c>
      <c r="B52" s="10" t="s">
        <v>1158</v>
      </c>
      <c r="C52" s="10" t="s">
        <v>14</v>
      </c>
      <c r="D52" s="11">
        <f t="shared" si="1"/>
        <v>154.54545454545453</v>
      </c>
      <c r="E52" s="11">
        <f t="shared" si="0"/>
        <v>15.454545454545453</v>
      </c>
      <c r="F52" s="18">
        <v>170</v>
      </c>
      <c r="G52" s="18">
        <v>50</v>
      </c>
      <c r="H52" s="13">
        <f t="shared" si="2"/>
        <v>120</v>
      </c>
      <c r="I52" s="87" t="s">
        <v>1383</v>
      </c>
      <c r="J52" s="88">
        <v>170</v>
      </c>
      <c r="K52" s="88"/>
      <c r="L52" s="1"/>
      <c r="M52" s="80"/>
      <c r="N52" s="2"/>
      <c r="O52" s="84"/>
    </row>
    <row r="53" spans="1:15" x14ac:dyDescent="0.3">
      <c r="A53" s="26">
        <v>45423</v>
      </c>
      <c r="B53" s="10" t="s">
        <v>1159</v>
      </c>
      <c r="C53" s="10" t="s">
        <v>14</v>
      </c>
      <c r="D53" s="11">
        <f t="shared" si="1"/>
        <v>136.36363636363635</v>
      </c>
      <c r="E53" s="11">
        <f t="shared" si="0"/>
        <v>13.636363636363635</v>
      </c>
      <c r="F53" s="18">
        <v>150</v>
      </c>
      <c r="G53" s="18">
        <v>50</v>
      </c>
      <c r="H53" s="13">
        <f t="shared" si="2"/>
        <v>100</v>
      </c>
      <c r="I53" s="19" t="s">
        <v>1384</v>
      </c>
      <c r="J53" s="79">
        <v>150</v>
      </c>
      <c r="K53" s="79"/>
      <c r="L53" s="10"/>
      <c r="M53" s="80"/>
      <c r="N53" s="2"/>
      <c r="O53" s="2"/>
    </row>
    <row r="54" spans="1:15" x14ac:dyDescent="0.3">
      <c r="A54" s="26">
        <v>45423</v>
      </c>
      <c r="B54" s="10" t="s">
        <v>1160</v>
      </c>
      <c r="C54" s="10" t="s">
        <v>14</v>
      </c>
      <c r="D54" s="11">
        <f t="shared" si="1"/>
        <v>127.27272727272727</v>
      </c>
      <c r="E54" s="11">
        <f t="shared" si="0"/>
        <v>12.727272727272727</v>
      </c>
      <c r="F54" s="18">
        <v>140</v>
      </c>
      <c r="G54" s="18"/>
      <c r="H54" s="13">
        <f t="shared" si="2"/>
        <v>140</v>
      </c>
      <c r="I54" s="19" t="s">
        <v>720</v>
      </c>
      <c r="J54" s="79">
        <v>140</v>
      </c>
      <c r="K54" s="79"/>
      <c r="L54" s="10"/>
      <c r="M54" s="80"/>
      <c r="N54" s="2"/>
      <c r="O54" s="2"/>
    </row>
    <row r="55" spans="1:15" x14ac:dyDescent="0.3">
      <c r="A55" s="26">
        <v>45423</v>
      </c>
      <c r="B55" s="10" t="s">
        <v>1161</v>
      </c>
      <c r="C55" s="10" t="s">
        <v>14</v>
      </c>
      <c r="D55" s="11">
        <f t="shared" si="1"/>
        <v>154.54545454545453</v>
      </c>
      <c r="E55" s="11">
        <f t="shared" si="0"/>
        <v>15.454545454545453</v>
      </c>
      <c r="F55" s="18">
        <v>170</v>
      </c>
      <c r="G55" s="18">
        <v>50</v>
      </c>
      <c r="H55" s="13">
        <f t="shared" si="2"/>
        <v>120</v>
      </c>
      <c r="I55" s="19" t="s">
        <v>1385</v>
      </c>
      <c r="J55" s="79">
        <v>170</v>
      </c>
      <c r="K55" s="79"/>
      <c r="L55" s="10"/>
      <c r="M55" s="80"/>
      <c r="N55" s="2"/>
      <c r="O55" s="2"/>
    </row>
    <row r="56" spans="1:15" x14ac:dyDescent="0.3">
      <c r="A56" s="26">
        <v>45423</v>
      </c>
      <c r="B56" s="10" t="s">
        <v>1162</v>
      </c>
      <c r="C56" s="10" t="s">
        <v>14</v>
      </c>
      <c r="D56" s="11">
        <f t="shared" si="1"/>
        <v>209.09090909090907</v>
      </c>
      <c r="E56" s="11">
        <f t="shared" si="0"/>
        <v>20.909090909090907</v>
      </c>
      <c r="F56" s="18">
        <v>230</v>
      </c>
      <c r="G56" s="18">
        <v>50</v>
      </c>
      <c r="H56" s="13">
        <f t="shared" si="2"/>
        <v>180</v>
      </c>
      <c r="I56" s="19" t="s">
        <v>1386</v>
      </c>
      <c r="J56" s="79">
        <v>170</v>
      </c>
      <c r="K56" s="79">
        <v>20</v>
      </c>
      <c r="L56" s="10" t="s">
        <v>223</v>
      </c>
      <c r="M56" s="80">
        <v>40</v>
      </c>
      <c r="N56" s="2" t="s">
        <v>16</v>
      </c>
      <c r="O56" s="2"/>
    </row>
    <row r="57" spans="1:15" x14ac:dyDescent="0.3">
      <c r="A57" s="26">
        <v>45423</v>
      </c>
      <c r="B57" s="10" t="s">
        <v>1163</v>
      </c>
      <c r="C57" s="10" t="s">
        <v>14</v>
      </c>
      <c r="D57" s="11">
        <f t="shared" si="1"/>
        <v>154.54545454545453</v>
      </c>
      <c r="E57" s="11">
        <f t="shared" si="0"/>
        <v>15.454545454545453</v>
      </c>
      <c r="F57" s="18">
        <v>170</v>
      </c>
      <c r="G57" s="18">
        <v>50</v>
      </c>
      <c r="H57" s="13">
        <f t="shared" si="2"/>
        <v>120</v>
      </c>
      <c r="I57" s="19" t="s">
        <v>1387</v>
      </c>
      <c r="J57" s="79">
        <v>170</v>
      </c>
      <c r="K57" s="79"/>
      <c r="L57" s="10"/>
      <c r="M57" s="80"/>
      <c r="N57" s="2"/>
      <c r="O57" s="2"/>
    </row>
    <row r="58" spans="1:15" x14ac:dyDescent="0.3">
      <c r="A58" s="26">
        <v>45423</v>
      </c>
      <c r="B58" s="10" t="s">
        <v>1164</v>
      </c>
      <c r="C58" s="10" t="s">
        <v>14</v>
      </c>
      <c r="D58" s="11">
        <f t="shared" si="1"/>
        <v>181.81818181818181</v>
      </c>
      <c r="E58" s="11">
        <f t="shared" si="0"/>
        <v>18.18181818181818</v>
      </c>
      <c r="F58" s="18">
        <v>200</v>
      </c>
      <c r="G58" s="18">
        <v>50</v>
      </c>
      <c r="H58" s="13">
        <f t="shared" si="2"/>
        <v>150</v>
      </c>
      <c r="I58" s="19" t="s">
        <v>1388</v>
      </c>
      <c r="J58" s="79">
        <v>170</v>
      </c>
      <c r="K58" s="79">
        <v>30</v>
      </c>
      <c r="L58" s="10" t="s">
        <v>223</v>
      </c>
      <c r="M58" s="80"/>
      <c r="N58" s="2"/>
      <c r="O58" s="2"/>
    </row>
    <row r="59" spans="1:15" x14ac:dyDescent="0.3">
      <c r="A59" s="28">
        <v>45423</v>
      </c>
      <c r="B59" s="10" t="s">
        <v>1165</v>
      </c>
      <c r="C59" s="10" t="s">
        <v>14</v>
      </c>
      <c r="D59" s="11">
        <f t="shared" si="1"/>
        <v>345.45454545454544</v>
      </c>
      <c r="E59" s="11">
        <f t="shared" si="0"/>
        <v>34.545454545454547</v>
      </c>
      <c r="F59" s="18">
        <v>380</v>
      </c>
      <c r="G59" s="18">
        <v>50</v>
      </c>
      <c r="H59" s="13">
        <f t="shared" si="2"/>
        <v>330</v>
      </c>
      <c r="I59" s="19" t="s">
        <v>1142</v>
      </c>
      <c r="J59" s="79">
        <v>220</v>
      </c>
      <c r="K59" s="79"/>
      <c r="L59" s="10"/>
      <c r="M59" s="80">
        <v>160</v>
      </c>
      <c r="N59" s="2" t="s">
        <v>1392</v>
      </c>
      <c r="O59" s="2"/>
    </row>
    <row r="60" spans="1:15" x14ac:dyDescent="0.3">
      <c r="A60" s="26">
        <v>45423</v>
      </c>
      <c r="B60" s="10" t="s">
        <v>1166</v>
      </c>
      <c r="C60" s="10" t="s">
        <v>14</v>
      </c>
      <c r="D60" s="11">
        <f t="shared" si="1"/>
        <v>172.72727272727272</v>
      </c>
      <c r="E60" s="11">
        <f t="shared" si="0"/>
        <v>17.272727272727273</v>
      </c>
      <c r="F60" s="18">
        <v>190</v>
      </c>
      <c r="G60" s="18"/>
      <c r="H60" s="13">
        <f t="shared" si="2"/>
        <v>190</v>
      </c>
      <c r="I60" s="19" t="s">
        <v>1389</v>
      </c>
      <c r="J60" s="79">
        <v>190</v>
      </c>
      <c r="K60" s="79"/>
      <c r="L60" s="10"/>
      <c r="M60" s="80"/>
      <c r="N60" s="2"/>
      <c r="O60" s="2"/>
    </row>
    <row r="61" spans="1:15" x14ac:dyDescent="0.3">
      <c r="A61" s="26">
        <v>45423</v>
      </c>
      <c r="B61" s="10" t="s">
        <v>1167</v>
      </c>
      <c r="C61" s="10" t="s">
        <v>14</v>
      </c>
      <c r="D61" s="11">
        <f t="shared" si="1"/>
        <v>245.45454545454544</v>
      </c>
      <c r="E61" s="11">
        <f t="shared" si="0"/>
        <v>24.545454545454547</v>
      </c>
      <c r="F61" s="18">
        <v>270</v>
      </c>
      <c r="G61" s="18">
        <v>50</v>
      </c>
      <c r="H61" s="13">
        <f t="shared" si="2"/>
        <v>220</v>
      </c>
      <c r="I61" s="19" t="s">
        <v>1390</v>
      </c>
      <c r="J61" s="79">
        <v>270</v>
      </c>
      <c r="K61" s="79"/>
      <c r="L61" s="10"/>
      <c r="M61" s="80"/>
      <c r="N61" s="2"/>
      <c r="O61" s="2"/>
    </row>
    <row r="62" spans="1:15" x14ac:dyDescent="0.3">
      <c r="A62" s="28">
        <v>45423</v>
      </c>
      <c r="B62" s="10" t="s">
        <v>1168</v>
      </c>
      <c r="C62" s="10" t="s">
        <v>14</v>
      </c>
      <c r="D62" s="11">
        <f t="shared" si="1"/>
        <v>245.45454545454544</v>
      </c>
      <c r="E62" s="11">
        <f t="shared" si="0"/>
        <v>24.545454545454547</v>
      </c>
      <c r="F62" s="18">
        <v>270</v>
      </c>
      <c r="G62" s="18">
        <v>50</v>
      </c>
      <c r="H62" s="13">
        <f t="shared" si="2"/>
        <v>220</v>
      </c>
      <c r="I62" s="19" t="s">
        <v>1391</v>
      </c>
      <c r="J62" s="79">
        <v>270</v>
      </c>
      <c r="K62" s="79"/>
      <c r="L62" s="10"/>
      <c r="M62" s="80"/>
      <c r="N62" s="2"/>
      <c r="O62" s="2"/>
    </row>
    <row r="63" spans="1:15" x14ac:dyDescent="0.3">
      <c r="A63" s="26">
        <v>45423</v>
      </c>
      <c r="B63" s="10" t="s">
        <v>1169</v>
      </c>
      <c r="C63" s="10" t="s">
        <v>14</v>
      </c>
      <c r="D63" s="11">
        <f t="shared" si="1"/>
        <v>163.63636363636363</v>
      </c>
      <c r="E63" s="11">
        <f t="shared" si="0"/>
        <v>16.363636363636363</v>
      </c>
      <c r="F63" s="18">
        <v>180</v>
      </c>
      <c r="G63" s="18"/>
      <c r="H63" s="13">
        <f t="shared" si="2"/>
        <v>180</v>
      </c>
      <c r="I63" s="19" t="s">
        <v>985</v>
      </c>
      <c r="J63" s="79">
        <v>180</v>
      </c>
      <c r="K63" s="79"/>
      <c r="L63" s="10"/>
      <c r="M63" s="80"/>
      <c r="N63" s="2"/>
      <c r="O63" s="2"/>
    </row>
    <row r="64" spans="1:15" x14ac:dyDescent="0.3">
      <c r="A64" s="28">
        <v>45423</v>
      </c>
      <c r="B64" s="10" t="s">
        <v>1170</v>
      </c>
      <c r="C64" s="10" t="s">
        <v>14</v>
      </c>
      <c r="D64" s="11">
        <f t="shared" si="1"/>
        <v>172.72727272727272</v>
      </c>
      <c r="E64" s="11">
        <f t="shared" si="0"/>
        <v>17.272727272727273</v>
      </c>
      <c r="F64" s="18">
        <v>190</v>
      </c>
      <c r="G64" s="18"/>
      <c r="H64" s="13">
        <f t="shared" si="2"/>
        <v>190</v>
      </c>
      <c r="I64" s="19" t="s">
        <v>1393</v>
      </c>
      <c r="J64" s="79">
        <v>190</v>
      </c>
      <c r="K64" s="79"/>
      <c r="L64" s="10"/>
      <c r="M64" s="80"/>
      <c r="N64" s="2"/>
      <c r="O64" s="2"/>
    </row>
    <row r="65" spans="1:15" x14ac:dyDescent="0.3">
      <c r="A65" s="26">
        <v>45423</v>
      </c>
      <c r="B65" s="10" t="s">
        <v>1171</v>
      </c>
      <c r="C65" s="10" t="s">
        <v>14</v>
      </c>
      <c r="D65" s="11">
        <f t="shared" si="1"/>
        <v>199.99999999999997</v>
      </c>
      <c r="E65" s="11">
        <f t="shared" si="0"/>
        <v>19.999999999999996</v>
      </c>
      <c r="F65" s="18">
        <v>220</v>
      </c>
      <c r="G65" s="18">
        <v>50</v>
      </c>
      <c r="H65" s="13">
        <f t="shared" si="2"/>
        <v>170</v>
      </c>
      <c r="I65" s="19" t="s">
        <v>1394</v>
      </c>
      <c r="J65" s="79">
        <v>220</v>
      </c>
      <c r="K65" s="79"/>
      <c r="L65" s="10"/>
      <c r="M65" s="80"/>
      <c r="N65" s="2"/>
      <c r="O65" s="2"/>
    </row>
    <row r="66" spans="1:15" x14ac:dyDescent="0.3">
      <c r="A66" s="26">
        <v>45423</v>
      </c>
      <c r="B66" s="10" t="s">
        <v>1172</v>
      </c>
      <c r="C66" s="10" t="s">
        <v>14</v>
      </c>
      <c r="D66" s="11">
        <f t="shared" si="1"/>
        <v>154.54545454545453</v>
      </c>
      <c r="E66" s="11">
        <f t="shared" si="0"/>
        <v>15.454545454545453</v>
      </c>
      <c r="F66" s="18">
        <v>170</v>
      </c>
      <c r="G66" s="18">
        <v>50</v>
      </c>
      <c r="H66" s="13">
        <f t="shared" si="2"/>
        <v>120</v>
      </c>
      <c r="I66" s="19" t="s">
        <v>1395</v>
      </c>
      <c r="J66" s="79">
        <v>170</v>
      </c>
      <c r="K66" s="79"/>
      <c r="L66" s="10"/>
      <c r="M66" s="80"/>
      <c r="N66" s="2"/>
      <c r="O66" s="2"/>
    </row>
    <row r="67" spans="1:15" x14ac:dyDescent="0.3">
      <c r="A67" s="28">
        <v>45423</v>
      </c>
      <c r="B67" s="10" t="s">
        <v>1173</v>
      </c>
      <c r="C67" s="10" t="s">
        <v>14</v>
      </c>
      <c r="D67" s="11">
        <f t="shared" si="1"/>
        <v>199.99999999999997</v>
      </c>
      <c r="E67" s="11">
        <f t="shared" ref="E67:E130" si="3">D67*10/100</f>
        <v>19.999999999999996</v>
      </c>
      <c r="F67" s="18">
        <v>220</v>
      </c>
      <c r="G67" s="18">
        <v>50</v>
      </c>
      <c r="H67" s="13">
        <f t="shared" si="2"/>
        <v>170</v>
      </c>
      <c r="I67" s="19" t="s">
        <v>1396</v>
      </c>
      <c r="J67" s="79">
        <v>220</v>
      </c>
      <c r="K67" s="79"/>
      <c r="L67" s="10"/>
      <c r="M67" s="80"/>
      <c r="N67" s="2"/>
      <c r="O67" s="2"/>
    </row>
    <row r="68" spans="1:15" x14ac:dyDescent="0.3">
      <c r="A68" s="26">
        <v>45423</v>
      </c>
      <c r="B68" s="10" t="s">
        <v>1174</v>
      </c>
      <c r="C68" s="10" t="s">
        <v>14</v>
      </c>
      <c r="D68" s="11">
        <f t="shared" ref="D68:D131" si="4">F68/1.1</f>
        <v>127.27272727272727</v>
      </c>
      <c r="E68" s="11">
        <f t="shared" si="3"/>
        <v>12.727272727272727</v>
      </c>
      <c r="F68" s="18">
        <v>140</v>
      </c>
      <c r="G68" s="18"/>
      <c r="H68" s="13">
        <f t="shared" ref="H68:H131" si="5">F68-G68</f>
        <v>140</v>
      </c>
      <c r="I68" s="19" t="s">
        <v>402</v>
      </c>
      <c r="J68" s="79">
        <v>140</v>
      </c>
      <c r="K68" s="79"/>
      <c r="L68" s="10"/>
      <c r="M68" s="80"/>
      <c r="N68" s="2"/>
      <c r="O68" s="2"/>
    </row>
    <row r="69" spans="1:15" x14ac:dyDescent="0.3">
      <c r="A69" s="28">
        <v>45423</v>
      </c>
      <c r="B69" s="10" t="s">
        <v>1175</v>
      </c>
      <c r="C69" s="10" t="s">
        <v>14</v>
      </c>
      <c r="D69" s="11">
        <f t="shared" si="4"/>
        <v>190.90909090909091</v>
      </c>
      <c r="E69" s="11">
        <f t="shared" si="3"/>
        <v>19.09090909090909</v>
      </c>
      <c r="F69" s="18">
        <v>210</v>
      </c>
      <c r="G69" s="18">
        <v>50</v>
      </c>
      <c r="H69" s="13">
        <f t="shared" si="5"/>
        <v>160</v>
      </c>
      <c r="I69" s="19" t="s">
        <v>1397</v>
      </c>
      <c r="J69" s="79">
        <v>170</v>
      </c>
      <c r="K69" s="79">
        <v>40</v>
      </c>
      <c r="L69" s="10" t="s">
        <v>223</v>
      </c>
      <c r="M69" s="80"/>
      <c r="N69" s="2"/>
      <c r="O69" s="2"/>
    </row>
    <row r="70" spans="1:15" x14ac:dyDescent="0.3">
      <c r="A70" s="26">
        <v>45423</v>
      </c>
      <c r="B70" s="10" t="s">
        <v>1176</v>
      </c>
      <c r="C70" s="10" t="s">
        <v>14</v>
      </c>
      <c r="D70" s="11">
        <f t="shared" si="4"/>
        <v>249.99999999999997</v>
      </c>
      <c r="E70" s="11">
        <f t="shared" si="3"/>
        <v>24.999999999999996</v>
      </c>
      <c r="F70" s="18">
        <v>275</v>
      </c>
      <c r="G70" s="18">
        <v>50</v>
      </c>
      <c r="H70" s="13">
        <f t="shared" si="5"/>
        <v>225</v>
      </c>
      <c r="I70" s="19" t="s">
        <v>1398</v>
      </c>
      <c r="J70" s="79">
        <v>170</v>
      </c>
      <c r="K70" s="79">
        <v>40</v>
      </c>
      <c r="L70" s="10" t="s">
        <v>223</v>
      </c>
      <c r="M70" s="80">
        <v>45</v>
      </c>
      <c r="N70" s="2" t="s">
        <v>16</v>
      </c>
      <c r="O70" s="2"/>
    </row>
    <row r="71" spans="1:15" x14ac:dyDescent="0.3">
      <c r="A71" s="26">
        <v>45423</v>
      </c>
      <c r="B71" s="10" t="s">
        <v>1177</v>
      </c>
      <c r="C71" s="10" t="s">
        <v>14</v>
      </c>
      <c r="D71" s="11">
        <f t="shared" si="4"/>
        <v>154.54545454545453</v>
      </c>
      <c r="E71" s="11">
        <f t="shared" si="3"/>
        <v>15.454545454545453</v>
      </c>
      <c r="F71" s="18">
        <v>170</v>
      </c>
      <c r="G71" s="18">
        <v>50</v>
      </c>
      <c r="H71" s="13">
        <f t="shared" si="5"/>
        <v>120</v>
      </c>
      <c r="I71" s="19" t="s">
        <v>1399</v>
      </c>
      <c r="J71" s="79">
        <v>170</v>
      </c>
      <c r="K71" s="79"/>
      <c r="L71" s="10"/>
      <c r="M71" s="80"/>
      <c r="N71" s="2"/>
      <c r="O71" s="2"/>
    </row>
    <row r="72" spans="1:15" x14ac:dyDescent="0.3">
      <c r="A72" s="28">
        <v>45423</v>
      </c>
      <c r="B72" s="10" t="s">
        <v>1178</v>
      </c>
      <c r="C72" s="10" t="s">
        <v>14</v>
      </c>
      <c r="D72" s="11">
        <f t="shared" si="4"/>
        <v>154.54545454545453</v>
      </c>
      <c r="E72" s="11">
        <f t="shared" si="3"/>
        <v>15.454545454545453</v>
      </c>
      <c r="F72" s="18">
        <v>170</v>
      </c>
      <c r="G72" s="18">
        <v>50</v>
      </c>
      <c r="H72" s="13">
        <f t="shared" si="5"/>
        <v>120</v>
      </c>
      <c r="I72" s="19" t="s">
        <v>708</v>
      </c>
      <c r="J72" s="79">
        <v>170</v>
      </c>
      <c r="K72" s="79"/>
      <c r="L72" s="10"/>
      <c r="M72" s="80"/>
      <c r="N72" s="2"/>
      <c r="O72" s="2"/>
    </row>
    <row r="73" spans="1:15" x14ac:dyDescent="0.3">
      <c r="A73" s="26">
        <v>45423</v>
      </c>
      <c r="B73" s="10" t="s">
        <v>1179</v>
      </c>
      <c r="C73" s="10" t="s">
        <v>14</v>
      </c>
      <c r="D73" s="11">
        <f t="shared" si="4"/>
        <v>127.27272727272727</v>
      </c>
      <c r="E73" s="11">
        <f t="shared" si="3"/>
        <v>12.727272727272727</v>
      </c>
      <c r="F73" s="18">
        <v>140</v>
      </c>
      <c r="G73" s="18"/>
      <c r="H73" s="13">
        <f t="shared" si="5"/>
        <v>140</v>
      </c>
      <c r="I73" s="19" t="s">
        <v>985</v>
      </c>
      <c r="J73" s="79">
        <v>140</v>
      </c>
      <c r="K73" s="79"/>
      <c r="L73" s="10"/>
      <c r="M73" s="80"/>
      <c r="N73" s="2"/>
      <c r="O73" s="2"/>
    </row>
    <row r="74" spans="1:15" x14ac:dyDescent="0.3">
      <c r="A74" s="26">
        <v>45424</v>
      </c>
      <c r="B74" s="10" t="s">
        <v>1180</v>
      </c>
      <c r="C74" s="10" t="s">
        <v>14</v>
      </c>
      <c r="D74" s="11">
        <f t="shared" si="4"/>
        <v>154.54545454545453</v>
      </c>
      <c r="E74" s="11">
        <f t="shared" si="3"/>
        <v>15.454545454545453</v>
      </c>
      <c r="F74" s="18">
        <v>170</v>
      </c>
      <c r="G74" s="18">
        <v>50</v>
      </c>
      <c r="H74" s="13">
        <f t="shared" si="5"/>
        <v>120</v>
      </c>
      <c r="I74" s="19" t="s">
        <v>1400</v>
      </c>
      <c r="J74" s="79">
        <v>170</v>
      </c>
      <c r="K74" s="79"/>
      <c r="L74" s="10"/>
      <c r="M74" s="80"/>
      <c r="N74" s="2"/>
      <c r="O74" s="2"/>
    </row>
    <row r="75" spans="1:15" x14ac:dyDescent="0.3">
      <c r="A75" s="26">
        <v>45425</v>
      </c>
      <c r="B75" s="10" t="s">
        <v>1181</v>
      </c>
      <c r="C75" s="10" t="s">
        <v>14</v>
      </c>
      <c r="D75" s="11">
        <f t="shared" si="4"/>
        <v>240.90909090909088</v>
      </c>
      <c r="E75" s="11">
        <f t="shared" si="3"/>
        <v>24.09090909090909</v>
      </c>
      <c r="F75" s="18">
        <v>265</v>
      </c>
      <c r="G75" s="21">
        <v>50</v>
      </c>
      <c r="H75" s="13">
        <f t="shared" si="5"/>
        <v>215</v>
      </c>
      <c r="I75" s="19" t="s">
        <v>1401</v>
      </c>
      <c r="J75" s="79">
        <v>220</v>
      </c>
      <c r="K75" s="79"/>
      <c r="L75" s="10"/>
      <c r="M75" s="80">
        <v>45</v>
      </c>
      <c r="N75" s="2" t="s">
        <v>16</v>
      </c>
      <c r="O75" s="2"/>
    </row>
    <row r="76" spans="1:15" x14ac:dyDescent="0.3">
      <c r="A76" s="26">
        <v>45426</v>
      </c>
      <c r="B76" s="10" t="s">
        <v>1182</v>
      </c>
      <c r="C76" s="10" t="s">
        <v>14</v>
      </c>
      <c r="D76" s="11">
        <f t="shared" si="4"/>
        <v>209.09090909090907</v>
      </c>
      <c r="E76" s="11">
        <f t="shared" si="3"/>
        <v>20.909090909090907</v>
      </c>
      <c r="F76" s="18">
        <v>230</v>
      </c>
      <c r="G76" s="18"/>
      <c r="H76" s="13">
        <f t="shared" si="5"/>
        <v>230</v>
      </c>
      <c r="I76" s="19" t="s">
        <v>985</v>
      </c>
      <c r="J76" s="79">
        <v>230</v>
      </c>
      <c r="K76" s="79"/>
      <c r="L76" s="10"/>
      <c r="M76" s="80"/>
      <c r="N76" s="2"/>
      <c r="O76" s="2"/>
    </row>
    <row r="77" spans="1:15" x14ac:dyDescent="0.3">
      <c r="A77" s="26">
        <v>45426</v>
      </c>
      <c r="B77" s="10" t="s">
        <v>1183</v>
      </c>
      <c r="C77" s="10" t="s">
        <v>14</v>
      </c>
      <c r="D77" s="11">
        <f t="shared" si="4"/>
        <v>172.72727272727272</v>
      </c>
      <c r="E77" s="11">
        <f t="shared" si="3"/>
        <v>17.272727272727273</v>
      </c>
      <c r="F77" s="18">
        <v>190</v>
      </c>
      <c r="G77" s="18">
        <v>50</v>
      </c>
      <c r="H77" s="13">
        <f t="shared" si="5"/>
        <v>140</v>
      </c>
      <c r="I77" s="19" t="s">
        <v>1402</v>
      </c>
      <c r="J77" s="79">
        <v>170</v>
      </c>
      <c r="K77" s="32">
        <v>20</v>
      </c>
      <c r="L77" s="10" t="s">
        <v>223</v>
      </c>
      <c r="M77" s="80"/>
      <c r="N77" s="2"/>
      <c r="O77" s="2"/>
    </row>
    <row r="78" spans="1:15" x14ac:dyDescent="0.3">
      <c r="A78" s="26">
        <v>45427</v>
      </c>
      <c r="B78" s="10" t="s">
        <v>1184</v>
      </c>
      <c r="C78" s="10" t="s">
        <v>14</v>
      </c>
      <c r="D78" s="11">
        <f t="shared" si="4"/>
        <v>127.27272727272727</v>
      </c>
      <c r="E78" s="11">
        <f t="shared" si="3"/>
        <v>12.727272727272727</v>
      </c>
      <c r="F78" s="33">
        <v>140</v>
      </c>
      <c r="G78" s="33">
        <v>50</v>
      </c>
      <c r="H78" s="13">
        <f t="shared" si="5"/>
        <v>90</v>
      </c>
      <c r="I78" s="19" t="s">
        <v>1403</v>
      </c>
      <c r="J78" s="89">
        <v>170</v>
      </c>
      <c r="K78" s="35">
        <v>20</v>
      </c>
      <c r="L78" s="36" t="s">
        <v>223</v>
      </c>
      <c r="M78" s="90"/>
      <c r="N78" s="91"/>
      <c r="O78" s="91"/>
    </row>
    <row r="79" spans="1:15" x14ac:dyDescent="0.3">
      <c r="A79" s="26">
        <v>45427</v>
      </c>
      <c r="B79" s="10" t="s">
        <v>1185</v>
      </c>
      <c r="C79" s="10" t="s">
        <v>14</v>
      </c>
      <c r="D79" s="11">
        <f t="shared" si="4"/>
        <v>127.27272727272727</v>
      </c>
      <c r="E79" s="11">
        <f t="shared" si="3"/>
        <v>12.727272727272727</v>
      </c>
      <c r="F79" s="39">
        <v>140</v>
      </c>
      <c r="G79" s="18">
        <v>50</v>
      </c>
      <c r="H79" s="13">
        <f t="shared" si="5"/>
        <v>90</v>
      </c>
      <c r="I79" s="19" t="s">
        <v>1404</v>
      </c>
      <c r="J79" s="52">
        <v>170</v>
      </c>
      <c r="K79" s="40">
        <v>20</v>
      </c>
      <c r="L79" s="1" t="s">
        <v>223</v>
      </c>
      <c r="M79" s="52"/>
      <c r="N79" s="52"/>
      <c r="O79" s="52"/>
    </row>
    <row r="80" spans="1:15" x14ac:dyDescent="0.3">
      <c r="A80" s="26">
        <v>45427</v>
      </c>
      <c r="B80" s="10" t="s">
        <v>1186</v>
      </c>
      <c r="C80" s="10" t="s">
        <v>14</v>
      </c>
      <c r="D80" s="11">
        <f t="shared" si="4"/>
        <v>254.54545454545453</v>
      </c>
      <c r="E80" s="11">
        <f t="shared" si="3"/>
        <v>25.454545454545453</v>
      </c>
      <c r="F80" s="39">
        <v>280</v>
      </c>
      <c r="G80" s="18">
        <v>50</v>
      </c>
      <c r="H80" s="13">
        <f t="shared" si="5"/>
        <v>230</v>
      </c>
      <c r="I80" s="19" t="s">
        <v>1357</v>
      </c>
      <c r="J80" s="52">
        <v>330</v>
      </c>
      <c r="K80" s="40"/>
      <c r="L80" s="1"/>
      <c r="M80" s="52"/>
      <c r="N80" s="52"/>
      <c r="O80" s="52"/>
    </row>
    <row r="81" spans="1:15" x14ac:dyDescent="0.3">
      <c r="A81" s="26">
        <v>45429</v>
      </c>
      <c r="B81" s="10" t="s">
        <v>1187</v>
      </c>
      <c r="C81" s="10" t="s">
        <v>14</v>
      </c>
      <c r="D81" s="11">
        <f t="shared" si="4"/>
        <v>245.45454545454544</v>
      </c>
      <c r="E81" s="11">
        <f t="shared" si="3"/>
        <v>24.545454545454547</v>
      </c>
      <c r="F81" s="39">
        <v>270</v>
      </c>
      <c r="G81" s="18">
        <v>50</v>
      </c>
      <c r="H81" s="13">
        <f t="shared" si="5"/>
        <v>220</v>
      </c>
      <c r="I81" s="19" t="s">
        <v>1405</v>
      </c>
      <c r="J81" s="52">
        <v>270</v>
      </c>
      <c r="K81" s="40"/>
      <c r="L81" s="1"/>
      <c r="M81" s="52"/>
      <c r="N81" s="52"/>
      <c r="O81" s="52"/>
    </row>
    <row r="82" spans="1:15" x14ac:dyDescent="0.3">
      <c r="A82" s="26">
        <v>45429</v>
      </c>
      <c r="B82" s="10" t="s">
        <v>1188</v>
      </c>
      <c r="C82" s="10" t="s">
        <v>14</v>
      </c>
      <c r="D82" s="11">
        <f t="shared" si="4"/>
        <v>245.45454545454544</v>
      </c>
      <c r="E82" s="11">
        <f t="shared" si="3"/>
        <v>24.545454545454547</v>
      </c>
      <c r="F82" s="39">
        <v>270</v>
      </c>
      <c r="G82" s="18">
        <v>50</v>
      </c>
      <c r="H82" s="13">
        <f t="shared" si="5"/>
        <v>220</v>
      </c>
      <c r="I82" s="19" t="s">
        <v>1406</v>
      </c>
      <c r="J82" s="52">
        <v>270</v>
      </c>
      <c r="K82" s="40"/>
      <c r="L82" s="1"/>
      <c r="M82" s="52"/>
      <c r="N82" s="52"/>
      <c r="O82" s="52"/>
    </row>
    <row r="83" spans="1:15" x14ac:dyDescent="0.3">
      <c r="A83" s="26">
        <v>45429</v>
      </c>
      <c r="B83" s="10" t="s">
        <v>1189</v>
      </c>
      <c r="C83" s="10" t="s">
        <v>14</v>
      </c>
      <c r="D83" s="11">
        <f t="shared" si="4"/>
        <v>263.63636363636363</v>
      </c>
      <c r="E83" s="11">
        <f t="shared" si="3"/>
        <v>26.36363636363636</v>
      </c>
      <c r="F83" s="39">
        <v>290</v>
      </c>
      <c r="G83" s="21"/>
      <c r="H83" s="13">
        <f t="shared" si="5"/>
        <v>290</v>
      </c>
      <c r="I83" s="19" t="s">
        <v>1407</v>
      </c>
      <c r="J83" s="52">
        <v>290</v>
      </c>
      <c r="K83" s="40"/>
      <c r="L83" s="1"/>
      <c r="M83" s="52"/>
      <c r="N83" s="52"/>
      <c r="O83" s="52"/>
    </row>
    <row r="84" spans="1:15" x14ac:dyDescent="0.3">
      <c r="A84" s="26">
        <v>45429</v>
      </c>
      <c r="B84" s="10" t="s">
        <v>1190</v>
      </c>
      <c r="C84" s="10" t="s">
        <v>14</v>
      </c>
      <c r="D84" s="11">
        <f t="shared" si="4"/>
        <v>281.81818181818181</v>
      </c>
      <c r="E84" s="11">
        <f t="shared" si="3"/>
        <v>28.18181818181818</v>
      </c>
      <c r="F84" s="39">
        <v>310</v>
      </c>
      <c r="G84" s="18">
        <v>50</v>
      </c>
      <c r="H84" s="13">
        <f t="shared" si="5"/>
        <v>260</v>
      </c>
      <c r="I84" s="19" t="s">
        <v>1408</v>
      </c>
      <c r="J84" s="52">
        <v>270</v>
      </c>
      <c r="K84" s="40">
        <v>40</v>
      </c>
      <c r="L84" s="1" t="s">
        <v>223</v>
      </c>
      <c r="M84" s="52"/>
      <c r="N84" s="52"/>
      <c r="O84" s="52"/>
    </row>
    <row r="85" spans="1:15" x14ac:dyDescent="0.3">
      <c r="A85" s="26">
        <v>45429</v>
      </c>
      <c r="B85" s="10" t="s">
        <v>1191</v>
      </c>
      <c r="C85" s="10" t="s">
        <v>14</v>
      </c>
      <c r="D85" s="11">
        <f t="shared" si="4"/>
        <v>245.45454545454544</v>
      </c>
      <c r="E85" s="11">
        <f t="shared" si="3"/>
        <v>24.545454545454547</v>
      </c>
      <c r="F85" s="39">
        <v>270</v>
      </c>
      <c r="G85" s="18">
        <v>50</v>
      </c>
      <c r="H85" s="13">
        <f t="shared" si="5"/>
        <v>220</v>
      </c>
      <c r="I85" s="19" t="s">
        <v>1409</v>
      </c>
      <c r="J85" s="52">
        <v>270</v>
      </c>
      <c r="K85" s="40"/>
      <c r="L85" s="1"/>
      <c r="M85" s="52"/>
      <c r="N85" s="52"/>
      <c r="O85" s="52"/>
    </row>
    <row r="86" spans="1:15" x14ac:dyDescent="0.3">
      <c r="A86" s="26">
        <v>45429</v>
      </c>
      <c r="B86" s="10" t="s">
        <v>1192</v>
      </c>
      <c r="C86" s="10" t="s">
        <v>14</v>
      </c>
      <c r="D86" s="11">
        <f t="shared" si="4"/>
        <v>154.54545454545453</v>
      </c>
      <c r="E86" s="11">
        <f t="shared" si="3"/>
        <v>15.454545454545453</v>
      </c>
      <c r="F86" s="39">
        <v>170</v>
      </c>
      <c r="G86" s="18">
        <v>50</v>
      </c>
      <c r="H86" s="13">
        <f t="shared" si="5"/>
        <v>120</v>
      </c>
      <c r="I86" s="19" t="s">
        <v>1406</v>
      </c>
      <c r="J86" s="52">
        <v>170</v>
      </c>
      <c r="K86" s="40"/>
      <c r="L86" s="1"/>
      <c r="M86" s="52"/>
      <c r="N86" s="52"/>
      <c r="O86" s="52"/>
    </row>
    <row r="87" spans="1:15" x14ac:dyDescent="0.3">
      <c r="A87" s="26">
        <v>45429</v>
      </c>
      <c r="B87" s="10" t="s">
        <v>1193</v>
      </c>
      <c r="C87" s="10" t="s">
        <v>14</v>
      </c>
      <c r="D87" s="11">
        <f t="shared" si="4"/>
        <v>154.54545454545453</v>
      </c>
      <c r="E87" s="11">
        <f t="shared" si="3"/>
        <v>15.454545454545453</v>
      </c>
      <c r="F87" s="39">
        <v>170</v>
      </c>
      <c r="G87" s="18">
        <v>50</v>
      </c>
      <c r="H87" s="13">
        <f t="shared" si="5"/>
        <v>120</v>
      </c>
      <c r="I87" s="19" t="s">
        <v>1410</v>
      </c>
      <c r="J87" s="52">
        <v>170</v>
      </c>
      <c r="K87" s="40"/>
      <c r="L87" s="41"/>
      <c r="M87" s="52"/>
      <c r="N87" s="52"/>
      <c r="O87" s="52"/>
    </row>
    <row r="88" spans="1:15" x14ac:dyDescent="0.3">
      <c r="A88" s="26">
        <v>45429</v>
      </c>
      <c r="B88" s="10" t="s">
        <v>1194</v>
      </c>
      <c r="C88" s="10" t="s">
        <v>14</v>
      </c>
      <c r="D88" s="11">
        <f t="shared" si="4"/>
        <v>127.27272727272727</v>
      </c>
      <c r="E88" s="11">
        <f t="shared" si="3"/>
        <v>12.727272727272727</v>
      </c>
      <c r="F88" s="39">
        <v>140</v>
      </c>
      <c r="G88" s="18"/>
      <c r="H88" s="13">
        <f t="shared" si="5"/>
        <v>140</v>
      </c>
      <c r="I88" s="19" t="s">
        <v>402</v>
      </c>
      <c r="J88" s="52">
        <v>140</v>
      </c>
      <c r="K88" s="40"/>
      <c r="L88" s="1"/>
      <c r="M88" s="92"/>
      <c r="N88" s="52"/>
      <c r="O88" s="52"/>
    </row>
    <row r="89" spans="1:15" x14ac:dyDescent="0.3">
      <c r="A89" s="26">
        <v>45429</v>
      </c>
      <c r="B89" s="10" t="s">
        <v>1195</v>
      </c>
      <c r="C89" s="10" t="s">
        <v>14</v>
      </c>
      <c r="D89" s="11">
        <f t="shared" si="4"/>
        <v>154.54545454545453</v>
      </c>
      <c r="E89" s="11">
        <f t="shared" si="3"/>
        <v>15.454545454545453</v>
      </c>
      <c r="F89" s="39">
        <v>170</v>
      </c>
      <c r="G89" s="18">
        <v>50</v>
      </c>
      <c r="H89" s="13">
        <f t="shared" si="5"/>
        <v>120</v>
      </c>
      <c r="I89" s="19" t="s">
        <v>1411</v>
      </c>
      <c r="J89" s="52">
        <v>170</v>
      </c>
      <c r="K89" s="40"/>
      <c r="L89" s="1"/>
      <c r="M89" s="52"/>
      <c r="N89" s="52"/>
      <c r="O89" s="52"/>
    </row>
    <row r="90" spans="1:15" x14ac:dyDescent="0.3">
      <c r="A90" s="26">
        <v>45429</v>
      </c>
      <c r="B90" s="10" t="s">
        <v>1196</v>
      </c>
      <c r="C90" s="10" t="s">
        <v>14</v>
      </c>
      <c r="D90" s="11">
        <f t="shared" si="4"/>
        <v>154.54545454545453</v>
      </c>
      <c r="E90" s="11">
        <f t="shared" si="3"/>
        <v>15.454545454545453</v>
      </c>
      <c r="F90" s="30">
        <v>170</v>
      </c>
      <c r="G90" s="30">
        <v>50</v>
      </c>
      <c r="H90" s="13">
        <f t="shared" si="5"/>
        <v>120</v>
      </c>
      <c r="I90" s="1" t="s">
        <v>1412</v>
      </c>
      <c r="J90" s="30">
        <v>170</v>
      </c>
      <c r="K90" s="30"/>
      <c r="L90" s="1"/>
      <c r="M90" s="1"/>
      <c r="N90" s="1"/>
      <c r="O90" s="52"/>
    </row>
    <row r="91" spans="1:15" x14ac:dyDescent="0.3">
      <c r="A91" s="26">
        <v>45429</v>
      </c>
      <c r="B91" s="10" t="s">
        <v>1197</v>
      </c>
      <c r="C91" s="10" t="s">
        <v>14</v>
      </c>
      <c r="D91" s="11">
        <f t="shared" si="4"/>
        <v>199.99999999999997</v>
      </c>
      <c r="E91" s="11">
        <f t="shared" si="3"/>
        <v>19.999999999999996</v>
      </c>
      <c r="F91" s="30">
        <v>220</v>
      </c>
      <c r="G91" s="30">
        <v>50</v>
      </c>
      <c r="H91" s="13">
        <f t="shared" si="5"/>
        <v>170</v>
      </c>
      <c r="I91" s="1" t="s">
        <v>1357</v>
      </c>
      <c r="J91" s="30">
        <v>220</v>
      </c>
      <c r="K91" s="30"/>
      <c r="L91" s="1"/>
      <c r="M91" s="1"/>
      <c r="N91" s="1"/>
      <c r="O91" s="52"/>
    </row>
    <row r="92" spans="1:15" x14ac:dyDescent="0.3">
      <c r="A92" s="26">
        <v>45430</v>
      </c>
      <c r="B92" s="10" t="s">
        <v>1198</v>
      </c>
      <c r="C92" s="10" t="s">
        <v>14</v>
      </c>
      <c r="D92" s="11">
        <f t="shared" si="4"/>
        <v>199.99999999999997</v>
      </c>
      <c r="E92" s="11">
        <f t="shared" si="3"/>
        <v>19.999999999999996</v>
      </c>
      <c r="F92" s="30">
        <v>220</v>
      </c>
      <c r="G92" s="30">
        <v>50</v>
      </c>
      <c r="H92" s="13">
        <f t="shared" si="5"/>
        <v>170</v>
      </c>
      <c r="I92" s="1" t="s">
        <v>1413</v>
      </c>
      <c r="J92" s="30">
        <v>220</v>
      </c>
      <c r="K92" s="30"/>
      <c r="L92" s="1"/>
      <c r="M92" s="1"/>
      <c r="N92" s="1"/>
      <c r="O92" s="52"/>
    </row>
    <row r="93" spans="1:15" x14ac:dyDescent="0.3">
      <c r="A93" s="26">
        <v>45430</v>
      </c>
      <c r="B93" s="10" t="s">
        <v>1199</v>
      </c>
      <c r="C93" s="10" t="s">
        <v>14</v>
      </c>
      <c r="D93" s="11">
        <f t="shared" si="4"/>
        <v>499.99999999999994</v>
      </c>
      <c r="E93" s="11">
        <f t="shared" si="3"/>
        <v>49.999999999999993</v>
      </c>
      <c r="F93" s="30">
        <v>550</v>
      </c>
      <c r="G93" s="30">
        <v>100</v>
      </c>
      <c r="H93" s="13">
        <f t="shared" si="5"/>
        <v>450</v>
      </c>
      <c r="I93" s="1" t="s">
        <v>1414</v>
      </c>
      <c r="J93" s="30">
        <v>550</v>
      </c>
      <c r="K93" s="30"/>
      <c r="L93" s="1"/>
      <c r="M93" s="1"/>
      <c r="N93" s="1"/>
      <c r="O93" s="52"/>
    </row>
    <row r="94" spans="1:15" x14ac:dyDescent="0.3">
      <c r="A94" s="28">
        <v>45430</v>
      </c>
      <c r="B94" s="10" t="s">
        <v>1200</v>
      </c>
      <c r="C94" s="10" t="s">
        <v>14</v>
      </c>
      <c r="D94" s="11">
        <f t="shared" si="4"/>
        <v>154.54545454545453</v>
      </c>
      <c r="E94" s="11">
        <f t="shared" si="3"/>
        <v>15.454545454545453</v>
      </c>
      <c r="F94" s="30">
        <v>170</v>
      </c>
      <c r="G94" s="30">
        <v>50</v>
      </c>
      <c r="H94" s="13">
        <f t="shared" si="5"/>
        <v>120</v>
      </c>
      <c r="I94" s="1" t="s">
        <v>1415</v>
      </c>
      <c r="J94" s="30">
        <v>170</v>
      </c>
      <c r="K94" s="1"/>
      <c r="L94" s="1"/>
      <c r="M94" s="1"/>
      <c r="N94" s="1"/>
      <c r="O94" s="52"/>
    </row>
    <row r="95" spans="1:15" x14ac:dyDescent="0.3">
      <c r="A95" s="95">
        <v>45430</v>
      </c>
      <c r="B95" s="10" t="s">
        <v>1201</v>
      </c>
      <c r="C95" s="10" t="s">
        <v>14</v>
      </c>
      <c r="D95" s="11">
        <f t="shared" si="4"/>
        <v>172.72727272727272</v>
      </c>
      <c r="E95" s="11">
        <f t="shared" si="3"/>
        <v>17.272727272727273</v>
      </c>
      <c r="F95" s="30">
        <v>190</v>
      </c>
      <c r="G95" s="30"/>
      <c r="H95" s="13">
        <f t="shared" si="5"/>
        <v>190</v>
      </c>
      <c r="I95" s="1" t="s">
        <v>1375</v>
      </c>
      <c r="J95" s="30">
        <v>190</v>
      </c>
      <c r="K95" s="1"/>
      <c r="L95" s="1"/>
      <c r="M95" s="1"/>
      <c r="N95" s="1"/>
      <c r="O95" s="52"/>
    </row>
    <row r="96" spans="1:15" x14ac:dyDescent="0.3">
      <c r="A96" s="95">
        <v>45430</v>
      </c>
      <c r="B96" s="10" t="s">
        <v>1202</v>
      </c>
      <c r="C96" s="10" t="s">
        <v>14</v>
      </c>
      <c r="D96" s="11">
        <f t="shared" si="4"/>
        <v>245.45454545454544</v>
      </c>
      <c r="E96" s="11">
        <f t="shared" si="3"/>
        <v>24.545454545454547</v>
      </c>
      <c r="F96" s="30">
        <v>270</v>
      </c>
      <c r="G96" s="1">
        <v>50</v>
      </c>
      <c r="H96" s="13">
        <f t="shared" si="5"/>
        <v>220</v>
      </c>
      <c r="I96" s="1" t="s">
        <v>1416</v>
      </c>
      <c r="J96" s="30">
        <v>270</v>
      </c>
      <c r="K96" s="1"/>
      <c r="L96" s="1"/>
      <c r="M96" s="1"/>
      <c r="N96" s="1"/>
      <c r="O96" s="52"/>
    </row>
    <row r="97" spans="1:15" x14ac:dyDescent="0.3">
      <c r="A97" s="95">
        <v>45430</v>
      </c>
      <c r="B97" s="10" t="s">
        <v>1203</v>
      </c>
      <c r="C97" s="10" t="s">
        <v>14</v>
      </c>
      <c r="D97" s="11">
        <f t="shared" si="4"/>
        <v>163.63636363636363</v>
      </c>
      <c r="E97" s="11">
        <f t="shared" si="3"/>
        <v>16.363636363636363</v>
      </c>
      <c r="F97" s="39">
        <v>180</v>
      </c>
      <c r="G97" s="18"/>
      <c r="H97" s="13">
        <f t="shared" si="5"/>
        <v>180</v>
      </c>
      <c r="I97" s="1" t="s">
        <v>403</v>
      </c>
      <c r="J97" s="30">
        <v>180</v>
      </c>
      <c r="K97" s="1"/>
      <c r="L97" s="1"/>
      <c r="M97" s="1"/>
      <c r="N97" s="1"/>
      <c r="O97" s="52"/>
    </row>
    <row r="98" spans="1:15" x14ac:dyDescent="0.3">
      <c r="A98" s="95">
        <v>45430</v>
      </c>
      <c r="B98" s="10" t="s">
        <v>1204</v>
      </c>
      <c r="C98" s="10" t="s">
        <v>14</v>
      </c>
      <c r="D98" s="11">
        <f t="shared" si="4"/>
        <v>199.99999999999997</v>
      </c>
      <c r="E98" s="11">
        <f t="shared" si="3"/>
        <v>19.999999999999996</v>
      </c>
      <c r="F98" s="39">
        <v>220</v>
      </c>
      <c r="G98" s="18">
        <v>50</v>
      </c>
      <c r="H98" s="13">
        <f t="shared" si="5"/>
        <v>170</v>
      </c>
      <c r="I98" s="19" t="s">
        <v>1417</v>
      </c>
      <c r="J98" s="52">
        <v>220</v>
      </c>
      <c r="K98" s="40"/>
      <c r="L98" s="1"/>
      <c r="M98" s="52"/>
      <c r="N98" s="52"/>
      <c r="O98" s="52"/>
    </row>
    <row r="99" spans="1:15" x14ac:dyDescent="0.3">
      <c r="A99" s="26">
        <v>45430</v>
      </c>
      <c r="B99" s="10" t="s">
        <v>1205</v>
      </c>
      <c r="C99" s="10" t="s">
        <v>14</v>
      </c>
      <c r="D99" s="11">
        <f t="shared" si="4"/>
        <v>190.90909090909091</v>
      </c>
      <c r="E99" s="11">
        <f t="shared" si="3"/>
        <v>19.09090909090909</v>
      </c>
      <c r="F99" s="39">
        <v>210</v>
      </c>
      <c r="G99" s="18">
        <v>50</v>
      </c>
      <c r="H99" s="13">
        <f t="shared" si="5"/>
        <v>160</v>
      </c>
      <c r="I99" s="19" t="s">
        <v>1418</v>
      </c>
      <c r="J99" s="52">
        <v>170</v>
      </c>
      <c r="K99" s="40">
        <v>40</v>
      </c>
      <c r="L99" s="1" t="s">
        <v>223</v>
      </c>
      <c r="M99" s="52"/>
      <c r="N99" s="52"/>
      <c r="O99" s="52"/>
    </row>
    <row r="100" spans="1:15" x14ac:dyDescent="0.3">
      <c r="A100" s="26">
        <v>45430</v>
      </c>
      <c r="B100" s="10" t="s">
        <v>1206</v>
      </c>
      <c r="C100" s="10" t="s">
        <v>14</v>
      </c>
      <c r="D100" s="11">
        <f t="shared" si="4"/>
        <v>199.99999999999997</v>
      </c>
      <c r="E100" s="11">
        <f t="shared" si="3"/>
        <v>19.999999999999996</v>
      </c>
      <c r="F100" s="39">
        <v>220</v>
      </c>
      <c r="G100" s="18">
        <v>50</v>
      </c>
      <c r="H100" s="13">
        <f t="shared" si="5"/>
        <v>170</v>
      </c>
      <c r="I100" s="19" t="s">
        <v>1419</v>
      </c>
      <c r="J100" s="52">
        <v>170</v>
      </c>
      <c r="K100" s="40">
        <v>50</v>
      </c>
      <c r="L100" s="1" t="s">
        <v>223</v>
      </c>
      <c r="M100" s="52"/>
      <c r="N100" s="52"/>
      <c r="O100" s="52"/>
    </row>
    <row r="101" spans="1:15" x14ac:dyDescent="0.3">
      <c r="A101" s="28">
        <v>45430</v>
      </c>
      <c r="B101" s="10" t="s">
        <v>1207</v>
      </c>
      <c r="C101" s="10" t="s">
        <v>14</v>
      </c>
      <c r="D101" s="11">
        <f t="shared" si="4"/>
        <v>154.54545454545453</v>
      </c>
      <c r="E101" s="11">
        <f t="shared" si="3"/>
        <v>15.454545454545453</v>
      </c>
      <c r="F101" s="43">
        <v>170</v>
      </c>
      <c r="G101" s="44">
        <v>50</v>
      </c>
      <c r="H101" s="13">
        <f t="shared" si="5"/>
        <v>120</v>
      </c>
      <c r="I101" s="45" t="s">
        <v>1420</v>
      </c>
      <c r="J101" s="93">
        <v>170</v>
      </c>
      <c r="K101" s="47"/>
      <c r="L101" s="48"/>
      <c r="M101" s="93"/>
      <c r="N101" s="93"/>
      <c r="O101" s="93"/>
    </row>
    <row r="102" spans="1:15" x14ac:dyDescent="0.3">
      <c r="A102" s="95">
        <v>45430</v>
      </c>
      <c r="B102" s="10" t="s">
        <v>1208</v>
      </c>
      <c r="C102" s="10" t="s">
        <v>14</v>
      </c>
      <c r="D102" s="11">
        <f t="shared" si="4"/>
        <v>127.27272727272727</v>
      </c>
      <c r="E102" s="11">
        <f t="shared" si="3"/>
        <v>12.727272727272727</v>
      </c>
      <c r="F102" s="30">
        <v>140</v>
      </c>
      <c r="G102" s="30"/>
      <c r="H102" s="13">
        <f t="shared" si="5"/>
        <v>140</v>
      </c>
      <c r="I102" s="19" t="s">
        <v>944</v>
      </c>
      <c r="J102" s="52">
        <v>140</v>
      </c>
      <c r="K102" s="40"/>
      <c r="L102" s="1"/>
      <c r="M102" s="52"/>
      <c r="N102" s="52"/>
      <c r="O102" s="52"/>
    </row>
    <row r="103" spans="1:15" x14ac:dyDescent="0.3">
      <c r="A103" s="95">
        <v>45430</v>
      </c>
      <c r="B103" s="10" t="s">
        <v>1209</v>
      </c>
      <c r="C103" s="10" t="s">
        <v>14</v>
      </c>
      <c r="D103" s="11">
        <f t="shared" si="4"/>
        <v>154.54545454545453</v>
      </c>
      <c r="E103" s="11">
        <f t="shared" si="3"/>
        <v>15.454545454545453</v>
      </c>
      <c r="F103" s="30">
        <v>170</v>
      </c>
      <c r="G103" s="30">
        <v>50</v>
      </c>
      <c r="H103" s="13">
        <f t="shared" si="5"/>
        <v>120</v>
      </c>
      <c r="I103" s="19" t="s">
        <v>1421</v>
      </c>
      <c r="J103" s="52">
        <v>170</v>
      </c>
      <c r="K103" s="40"/>
      <c r="L103" s="1"/>
      <c r="M103" s="52"/>
      <c r="N103" s="52"/>
      <c r="O103" s="52"/>
    </row>
    <row r="104" spans="1:15" x14ac:dyDescent="0.3">
      <c r="A104" s="95">
        <v>45430</v>
      </c>
      <c r="B104" s="10" t="s">
        <v>1210</v>
      </c>
      <c r="C104" s="10" t="s">
        <v>14</v>
      </c>
      <c r="D104" s="11">
        <f t="shared" si="4"/>
        <v>172.72727272727272</v>
      </c>
      <c r="E104" s="11">
        <f t="shared" si="3"/>
        <v>17.272727272727273</v>
      </c>
      <c r="F104" s="51">
        <v>190</v>
      </c>
      <c r="G104" s="6">
        <v>50</v>
      </c>
      <c r="H104" s="13">
        <f t="shared" si="5"/>
        <v>140</v>
      </c>
      <c r="I104" s="19" t="s">
        <v>1422</v>
      </c>
      <c r="J104" s="52">
        <v>170</v>
      </c>
      <c r="K104" s="40">
        <v>20</v>
      </c>
      <c r="L104" s="1" t="s">
        <v>223</v>
      </c>
      <c r="M104" s="52"/>
      <c r="N104" s="52"/>
      <c r="O104" s="52"/>
    </row>
    <row r="105" spans="1:15" x14ac:dyDescent="0.3">
      <c r="A105" s="95">
        <v>45430</v>
      </c>
      <c r="B105" s="10" t="s">
        <v>1211</v>
      </c>
      <c r="C105" s="10" t="s">
        <v>14</v>
      </c>
      <c r="D105" s="11">
        <f t="shared" si="4"/>
        <v>154.54545454545453</v>
      </c>
      <c r="E105" s="11">
        <f t="shared" si="3"/>
        <v>15.454545454545453</v>
      </c>
      <c r="F105" s="51">
        <v>170</v>
      </c>
      <c r="G105" s="6">
        <v>50</v>
      </c>
      <c r="H105" s="13">
        <f t="shared" si="5"/>
        <v>120</v>
      </c>
      <c r="I105" s="19" t="s">
        <v>1423</v>
      </c>
      <c r="J105" s="52">
        <v>170</v>
      </c>
      <c r="K105" s="40"/>
      <c r="L105" s="1"/>
      <c r="M105" s="52"/>
      <c r="N105" s="52"/>
      <c r="O105" s="52"/>
    </row>
    <row r="106" spans="1:15" x14ac:dyDescent="0.3">
      <c r="A106" s="26">
        <v>45430</v>
      </c>
      <c r="B106" s="10" t="s">
        <v>1212</v>
      </c>
      <c r="C106" s="10" t="s">
        <v>14</v>
      </c>
      <c r="D106" s="11">
        <f t="shared" si="4"/>
        <v>154.54545454545453</v>
      </c>
      <c r="E106" s="11">
        <f t="shared" si="3"/>
        <v>15.454545454545453</v>
      </c>
      <c r="F106" s="51">
        <v>170</v>
      </c>
      <c r="G106" s="6">
        <v>50</v>
      </c>
      <c r="H106" s="13">
        <f t="shared" si="5"/>
        <v>120</v>
      </c>
      <c r="I106" s="19" t="s">
        <v>1119</v>
      </c>
      <c r="J106" s="52">
        <v>170</v>
      </c>
      <c r="K106" s="40"/>
      <c r="L106" s="1"/>
      <c r="M106" s="52"/>
      <c r="N106" s="52"/>
      <c r="O106" s="52"/>
    </row>
    <row r="107" spans="1:15" x14ac:dyDescent="0.3">
      <c r="A107" s="26">
        <v>45430</v>
      </c>
      <c r="B107" s="10" t="s">
        <v>1213</v>
      </c>
      <c r="C107" s="10" t="s">
        <v>14</v>
      </c>
      <c r="D107" s="11">
        <f t="shared" si="4"/>
        <v>209.09090909090907</v>
      </c>
      <c r="E107" s="11">
        <f t="shared" si="3"/>
        <v>20.909090909090907</v>
      </c>
      <c r="F107" s="51">
        <v>230</v>
      </c>
      <c r="G107" s="6">
        <v>50</v>
      </c>
      <c r="H107" s="13">
        <f t="shared" si="5"/>
        <v>180</v>
      </c>
      <c r="I107" s="19" t="s">
        <v>1424</v>
      </c>
      <c r="J107" s="52">
        <v>170</v>
      </c>
      <c r="K107" s="40">
        <v>60</v>
      </c>
      <c r="L107" s="1" t="s">
        <v>223</v>
      </c>
      <c r="M107" s="52"/>
      <c r="N107" s="52"/>
      <c r="O107" s="52"/>
    </row>
    <row r="108" spans="1:15" x14ac:dyDescent="0.3">
      <c r="A108" s="28">
        <v>45430</v>
      </c>
      <c r="B108" s="10" t="s">
        <v>1214</v>
      </c>
      <c r="C108" s="10" t="s">
        <v>14</v>
      </c>
      <c r="D108" s="11">
        <f t="shared" si="4"/>
        <v>118.18181818181817</v>
      </c>
      <c r="E108" s="11">
        <f t="shared" si="3"/>
        <v>11.818181818181818</v>
      </c>
      <c r="F108" s="51">
        <v>130</v>
      </c>
      <c r="G108" s="6"/>
      <c r="H108" s="13">
        <f t="shared" si="5"/>
        <v>130</v>
      </c>
      <c r="I108" s="19" t="s">
        <v>403</v>
      </c>
      <c r="J108" s="52">
        <v>130</v>
      </c>
      <c r="K108" s="40"/>
      <c r="L108" s="1"/>
      <c r="M108" s="52"/>
      <c r="N108" s="52"/>
      <c r="O108" s="52"/>
    </row>
    <row r="109" spans="1:15" x14ac:dyDescent="0.3">
      <c r="A109" s="95">
        <v>45430</v>
      </c>
      <c r="B109" s="10" t="s">
        <v>1215</v>
      </c>
      <c r="C109" s="10" t="s">
        <v>14</v>
      </c>
      <c r="D109" s="11">
        <f t="shared" si="4"/>
        <v>127.27272727272727</v>
      </c>
      <c r="E109" s="11">
        <f t="shared" si="3"/>
        <v>12.727272727272727</v>
      </c>
      <c r="F109" s="51">
        <v>140</v>
      </c>
      <c r="G109" s="6"/>
      <c r="H109" s="13">
        <f t="shared" si="5"/>
        <v>140</v>
      </c>
      <c r="I109" s="19" t="s">
        <v>944</v>
      </c>
      <c r="J109" s="52">
        <v>140</v>
      </c>
      <c r="K109" s="40"/>
      <c r="L109" s="1"/>
      <c r="M109" s="52"/>
      <c r="N109" s="52"/>
      <c r="O109" s="52"/>
    </row>
    <row r="110" spans="1:15" x14ac:dyDescent="0.3">
      <c r="A110" s="95">
        <v>45430</v>
      </c>
      <c r="B110" s="10" t="s">
        <v>1216</v>
      </c>
      <c r="C110" s="10" t="s">
        <v>14</v>
      </c>
      <c r="D110" s="11">
        <f t="shared" si="4"/>
        <v>181.81818181818181</v>
      </c>
      <c r="E110" s="11">
        <f t="shared" si="3"/>
        <v>18.18181818181818</v>
      </c>
      <c r="F110" s="51">
        <v>200</v>
      </c>
      <c r="G110" s="6">
        <v>50</v>
      </c>
      <c r="H110" s="13">
        <f t="shared" si="5"/>
        <v>150</v>
      </c>
      <c r="I110" s="19" t="s">
        <v>1425</v>
      </c>
      <c r="J110" s="52">
        <v>170</v>
      </c>
      <c r="K110" s="40">
        <v>30</v>
      </c>
      <c r="L110" s="1" t="s">
        <v>223</v>
      </c>
      <c r="M110" s="52"/>
      <c r="N110" s="52"/>
      <c r="O110" s="52"/>
    </row>
    <row r="111" spans="1:15" x14ac:dyDescent="0.3">
      <c r="A111" s="95">
        <v>45430</v>
      </c>
      <c r="B111" s="10" t="s">
        <v>1217</v>
      </c>
      <c r="C111" s="10" t="s">
        <v>14</v>
      </c>
      <c r="D111" s="11">
        <f t="shared" si="4"/>
        <v>154.54545454545453</v>
      </c>
      <c r="E111" s="11">
        <f t="shared" si="3"/>
        <v>15.454545454545453</v>
      </c>
      <c r="F111" s="51">
        <v>170</v>
      </c>
      <c r="G111" s="6">
        <v>170</v>
      </c>
      <c r="H111" s="13">
        <f t="shared" si="5"/>
        <v>0</v>
      </c>
      <c r="I111" s="19" t="s">
        <v>1426</v>
      </c>
      <c r="J111" s="52">
        <v>170</v>
      </c>
      <c r="K111" s="40"/>
      <c r="L111" s="1"/>
      <c r="M111" s="52"/>
      <c r="N111" s="52"/>
      <c r="O111" s="52"/>
    </row>
    <row r="112" spans="1:15" x14ac:dyDescent="0.3">
      <c r="A112" s="26">
        <v>45430</v>
      </c>
      <c r="B112" s="10" t="s">
        <v>1218</v>
      </c>
      <c r="C112" s="10" t="s">
        <v>14</v>
      </c>
      <c r="D112" s="11">
        <f t="shared" si="4"/>
        <v>581.81818181818176</v>
      </c>
      <c r="E112" s="11">
        <f t="shared" si="3"/>
        <v>58.18181818181818</v>
      </c>
      <c r="F112" s="51">
        <v>640</v>
      </c>
      <c r="G112" s="6">
        <v>640</v>
      </c>
      <c r="H112" s="13">
        <f t="shared" si="5"/>
        <v>0</v>
      </c>
      <c r="I112" s="19" t="s">
        <v>1427</v>
      </c>
      <c r="J112" s="52">
        <v>640</v>
      </c>
      <c r="K112" s="40"/>
      <c r="L112" s="1"/>
      <c r="M112" s="52"/>
      <c r="N112" s="52"/>
      <c r="O112" s="52"/>
    </row>
    <row r="113" spans="1:15" x14ac:dyDescent="0.3">
      <c r="A113" s="26">
        <v>45430</v>
      </c>
      <c r="B113" s="10" t="s">
        <v>1219</v>
      </c>
      <c r="C113" s="10" t="s">
        <v>14</v>
      </c>
      <c r="D113" s="11">
        <f t="shared" si="4"/>
        <v>199.99999999999997</v>
      </c>
      <c r="E113" s="11">
        <f t="shared" si="3"/>
        <v>19.999999999999996</v>
      </c>
      <c r="F113" s="51">
        <v>220</v>
      </c>
      <c r="G113" s="6">
        <v>50</v>
      </c>
      <c r="H113" s="13">
        <f t="shared" si="5"/>
        <v>170</v>
      </c>
      <c r="I113" s="19" t="s">
        <v>1428</v>
      </c>
      <c r="J113" s="52">
        <v>220</v>
      </c>
      <c r="K113" s="40"/>
      <c r="L113" s="1"/>
      <c r="M113" s="52"/>
      <c r="N113" s="52"/>
      <c r="O113" s="52"/>
    </row>
    <row r="114" spans="1:15" x14ac:dyDescent="0.3">
      <c r="A114" s="28">
        <v>45430</v>
      </c>
      <c r="B114" s="10" t="s">
        <v>1220</v>
      </c>
      <c r="C114" s="10" t="s">
        <v>14</v>
      </c>
      <c r="D114" s="11">
        <f t="shared" si="4"/>
        <v>227.27272727272725</v>
      </c>
      <c r="E114" s="11">
        <f t="shared" si="3"/>
        <v>22.727272727272727</v>
      </c>
      <c r="F114" s="51">
        <v>250</v>
      </c>
      <c r="G114" s="6">
        <v>50</v>
      </c>
      <c r="H114" s="13">
        <f t="shared" si="5"/>
        <v>200</v>
      </c>
      <c r="I114" s="19" t="s">
        <v>1429</v>
      </c>
      <c r="J114" s="52">
        <v>220</v>
      </c>
      <c r="K114" s="40">
        <v>30</v>
      </c>
      <c r="L114" s="1" t="s">
        <v>223</v>
      </c>
      <c r="M114" s="52"/>
      <c r="N114" s="52"/>
      <c r="O114" s="52"/>
    </row>
    <row r="115" spans="1:15" x14ac:dyDescent="0.3">
      <c r="A115" s="95">
        <v>45430</v>
      </c>
      <c r="B115" s="10" t="s">
        <v>1221</v>
      </c>
      <c r="C115" s="10" t="s">
        <v>14</v>
      </c>
      <c r="D115" s="11">
        <f t="shared" si="4"/>
        <v>245.45454545454544</v>
      </c>
      <c r="E115" s="11">
        <f t="shared" si="3"/>
        <v>24.545454545454547</v>
      </c>
      <c r="F115" s="51">
        <v>270</v>
      </c>
      <c r="G115" s="6">
        <v>50</v>
      </c>
      <c r="H115" s="13">
        <f t="shared" si="5"/>
        <v>220</v>
      </c>
      <c r="I115" s="19" t="s">
        <v>1430</v>
      </c>
      <c r="J115" s="52">
        <v>270</v>
      </c>
      <c r="K115" s="40"/>
      <c r="L115" s="1"/>
      <c r="M115" s="52"/>
      <c r="N115" s="52"/>
      <c r="O115" s="52"/>
    </row>
    <row r="116" spans="1:15" x14ac:dyDescent="0.3">
      <c r="A116" s="95">
        <v>45430</v>
      </c>
      <c r="B116" s="10" t="s">
        <v>1222</v>
      </c>
      <c r="C116" s="10" t="s">
        <v>14</v>
      </c>
      <c r="D116" s="11">
        <f t="shared" si="4"/>
        <v>245.45454545454544</v>
      </c>
      <c r="E116" s="11">
        <f t="shared" si="3"/>
        <v>24.545454545454547</v>
      </c>
      <c r="F116" s="51">
        <v>270</v>
      </c>
      <c r="G116" s="6">
        <v>50</v>
      </c>
      <c r="H116" s="13">
        <f t="shared" si="5"/>
        <v>220</v>
      </c>
      <c r="I116" s="19" t="s">
        <v>1431</v>
      </c>
      <c r="J116" s="52">
        <v>270</v>
      </c>
      <c r="K116" s="40"/>
      <c r="L116" s="1"/>
      <c r="M116" s="52"/>
      <c r="N116" s="52"/>
      <c r="O116" s="52"/>
    </row>
    <row r="117" spans="1:15" x14ac:dyDescent="0.3">
      <c r="A117" s="95">
        <v>45431</v>
      </c>
      <c r="B117" s="10" t="s">
        <v>1223</v>
      </c>
      <c r="C117" s="10" t="s">
        <v>14</v>
      </c>
      <c r="D117" s="11">
        <f t="shared" si="4"/>
        <v>181.81818181818181</v>
      </c>
      <c r="E117" s="11">
        <f t="shared" si="3"/>
        <v>18.18181818181818</v>
      </c>
      <c r="F117" s="51">
        <v>200</v>
      </c>
      <c r="G117" s="6">
        <v>50</v>
      </c>
      <c r="H117" s="13">
        <f t="shared" si="5"/>
        <v>150</v>
      </c>
      <c r="I117" s="19" t="s">
        <v>1432</v>
      </c>
      <c r="J117" s="52">
        <v>170</v>
      </c>
      <c r="K117" s="40">
        <v>30</v>
      </c>
      <c r="L117" s="1"/>
      <c r="M117" s="52"/>
      <c r="N117" s="52"/>
      <c r="O117" s="52"/>
    </row>
    <row r="118" spans="1:15" x14ac:dyDescent="0.3">
      <c r="A118" s="95">
        <v>45431</v>
      </c>
      <c r="B118" s="10" t="s">
        <v>1224</v>
      </c>
      <c r="C118" s="10" t="s">
        <v>14</v>
      </c>
      <c r="D118" s="11">
        <f t="shared" si="4"/>
        <v>154.54545454545453</v>
      </c>
      <c r="E118" s="11">
        <f t="shared" si="3"/>
        <v>15.454545454545453</v>
      </c>
      <c r="F118" s="51">
        <v>170</v>
      </c>
      <c r="G118" s="6">
        <v>50</v>
      </c>
      <c r="H118" s="13">
        <f t="shared" si="5"/>
        <v>120</v>
      </c>
      <c r="I118" s="19" t="s">
        <v>1433</v>
      </c>
      <c r="J118" s="52">
        <v>170</v>
      </c>
      <c r="K118" s="40"/>
      <c r="L118" s="1"/>
      <c r="M118" s="52"/>
      <c r="N118" s="52"/>
      <c r="O118" s="52"/>
    </row>
    <row r="119" spans="1:15" x14ac:dyDescent="0.3">
      <c r="A119" s="95">
        <v>45431</v>
      </c>
      <c r="B119" s="10" t="s">
        <v>1225</v>
      </c>
      <c r="C119" s="10" t="s">
        <v>14</v>
      </c>
      <c r="D119" s="11">
        <f t="shared" si="4"/>
        <v>154.54545454545453</v>
      </c>
      <c r="E119" s="11">
        <f t="shared" si="3"/>
        <v>15.454545454545453</v>
      </c>
      <c r="F119" s="51">
        <v>170</v>
      </c>
      <c r="G119" s="6">
        <v>50</v>
      </c>
      <c r="H119" s="13">
        <f t="shared" si="5"/>
        <v>120</v>
      </c>
      <c r="I119" s="19" t="s">
        <v>1434</v>
      </c>
      <c r="J119" s="52">
        <v>170</v>
      </c>
      <c r="K119" s="40"/>
      <c r="L119" s="1"/>
      <c r="M119" s="52"/>
      <c r="N119" s="52"/>
      <c r="O119" s="52"/>
    </row>
    <row r="120" spans="1:15" x14ac:dyDescent="0.3">
      <c r="A120" s="95">
        <v>45431</v>
      </c>
      <c r="B120" s="10" t="s">
        <v>1226</v>
      </c>
      <c r="C120" s="10" t="s">
        <v>14</v>
      </c>
      <c r="D120" s="11">
        <f t="shared" si="4"/>
        <v>172.72727272727272</v>
      </c>
      <c r="E120" s="11">
        <f t="shared" si="3"/>
        <v>17.272727272727273</v>
      </c>
      <c r="F120" s="51">
        <v>190</v>
      </c>
      <c r="G120" s="6">
        <v>50</v>
      </c>
      <c r="H120" s="13">
        <f t="shared" si="5"/>
        <v>140</v>
      </c>
      <c r="I120" s="19" t="s">
        <v>1435</v>
      </c>
      <c r="J120" s="52">
        <v>170</v>
      </c>
      <c r="K120" s="40">
        <v>20</v>
      </c>
      <c r="L120" s="1" t="s">
        <v>223</v>
      </c>
      <c r="M120" s="52"/>
      <c r="N120" s="52"/>
      <c r="O120" s="52"/>
    </row>
    <row r="121" spans="1:15" x14ac:dyDescent="0.3">
      <c r="A121" s="95">
        <v>45431</v>
      </c>
      <c r="B121" s="10" t="s">
        <v>1227</v>
      </c>
      <c r="C121" s="10" t="s">
        <v>14</v>
      </c>
      <c r="D121" s="11">
        <f t="shared" si="4"/>
        <v>127.27272727272727</v>
      </c>
      <c r="E121" s="11">
        <f t="shared" si="3"/>
        <v>12.727272727272727</v>
      </c>
      <c r="F121" s="51">
        <v>140</v>
      </c>
      <c r="G121" s="6"/>
      <c r="H121" s="13">
        <f t="shared" si="5"/>
        <v>140</v>
      </c>
      <c r="I121" s="19" t="s">
        <v>1436</v>
      </c>
      <c r="J121" s="52">
        <v>140</v>
      </c>
      <c r="K121" s="40"/>
      <c r="L121" s="1"/>
      <c r="M121" s="52"/>
      <c r="N121" s="52"/>
      <c r="O121" s="52"/>
    </row>
    <row r="122" spans="1:15" x14ac:dyDescent="0.3">
      <c r="A122" s="95">
        <v>45431</v>
      </c>
      <c r="B122" s="10" t="s">
        <v>1228</v>
      </c>
      <c r="C122" s="10" t="s">
        <v>14</v>
      </c>
      <c r="D122" s="11">
        <f t="shared" si="4"/>
        <v>127.27272727272727</v>
      </c>
      <c r="E122" s="11">
        <f t="shared" si="3"/>
        <v>12.727272727272727</v>
      </c>
      <c r="F122" s="51">
        <v>140</v>
      </c>
      <c r="G122" s="6"/>
      <c r="H122" s="13">
        <f t="shared" si="5"/>
        <v>140</v>
      </c>
      <c r="I122" s="19" t="s">
        <v>402</v>
      </c>
      <c r="J122" s="52">
        <v>140</v>
      </c>
      <c r="K122" s="40"/>
      <c r="L122" s="1"/>
      <c r="M122" s="92"/>
      <c r="N122" s="52"/>
      <c r="O122" s="52"/>
    </row>
    <row r="123" spans="1:15" x14ac:dyDescent="0.3">
      <c r="A123" s="95">
        <v>45431</v>
      </c>
      <c r="B123" s="10" t="s">
        <v>1229</v>
      </c>
      <c r="C123" s="10" t="s">
        <v>14</v>
      </c>
      <c r="D123" s="11">
        <f t="shared" si="4"/>
        <v>154.54545454545453</v>
      </c>
      <c r="E123" s="11">
        <f t="shared" si="3"/>
        <v>15.454545454545453</v>
      </c>
      <c r="F123" s="51">
        <v>170</v>
      </c>
      <c r="G123" s="6">
        <v>80</v>
      </c>
      <c r="H123" s="13">
        <f t="shared" si="5"/>
        <v>90</v>
      </c>
      <c r="I123" s="19" t="s">
        <v>1437</v>
      </c>
      <c r="J123" s="52">
        <v>170</v>
      </c>
      <c r="K123" s="40"/>
      <c r="L123" s="1"/>
      <c r="M123" s="52"/>
      <c r="N123" s="52"/>
      <c r="O123" s="52"/>
    </row>
    <row r="124" spans="1:15" x14ac:dyDescent="0.3">
      <c r="A124" s="95">
        <v>45431</v>
      </c>
      <c r="B124" s="10" t="s">
        <v>1230</v>
      </c>
      <c r="C124" s="10" t="s">
        <v>14</v>
      </c>
      <c r="D124" s="11">
        <f t="shared" si="4"/>
        <v>290.90909090909088</v>
      </c>
      <c r="E124" s="11">
        <f t="shared" si="3"/>
        <v>29.09090909090909</v>
      </c>
      <c r="F124" s="51">
        <v>320</v>
      </c>
      <c r="G124" s="6">
        <v>50</v>
      </c>
      <c r="H124" s="13">
        <f t="shared" si="5"/>
        <v>270</v>
      </c>
      <c r="I124" s="19" t="s">
        <v>1357</v>
      </c>
      <c r="J124" s="52">
        <v>320</v>
      </c>
      <c r="K124" s="40"/>
      <c r="L124" s="1"/>
      <c r="M124" s="52"/>
      <c r="N124" s="52"/>
      <c r="O124" s="52"/>
    </row>
    <row r="125" spans="1:15" x14ac:dyDescent="0.3">
      <c r="A125" s="95">
        <v>45431</v>
      </c>
      <c r="B125" s="10" t="s">
        <v>1231</v>
      </c>
      <c r="C125" s="10" t="s">
        <v>14</v>
      </c>
      <c r="D125" s="11">
        <f t="shared" si="4"/>
        <v>209.09090909090907</v>
      </c>
      <c r="E125" s="11">
        <f t="shared" si="3"/>
        <v>20.909090909090907</v>
      </c>
      <c r="F125" s="51">
        <v>230</v>
      </c>
      <c r="G125" s="6"/>
      <c r="H125" s="13">
        <f t="shared" si="5"/>
        <v>230</v>
      </c>
      <c r="I125" s="19" t="s">
        <v>402</v>
      </c>
      <c r="J125" s="52">
        <v>230</v>
      </c>
      <c r="K125" s="40"/>
      <c r="L125" s="1"/>
      <c r="M125" s="52"/>
      <c r="N125" s="52"/>
      <c r="O125" s="52"/>
    </row>
    <row r="126" spans="1:15" x14ac:dyDescent="0.3">
      <c r="A126" s="95">
        <v>45431</v>
      </c>
      <c r="B126" s="10" t="s">
        <v>1232</v>
      </c>
      <c r="C126" s="10" t="s">
        <v>14</v>
      </c>
      <c r="D126" s="11">
        <f t="shared" si="4"/>
        <v>245.45454545454544</v>
      </c>
      <c r="E126" s="11">
        <f t="shared" si="3"/>
        <v>24.545454545454547</v>
      </c>
      <c r="F126" s="51">
        <v>270</v>
      </c>
      <c r="G126" s="6">
        <v>50</v>
      </c>
      <c r="H126" s="13">
        <f t="shared" si="5"/>
        <v>220</v>
      </c>
      <c r="I126" s="19" t="s">
        <v>1438</v>
      </c>
      <c r="J126" s="52">
        <v>270</v>
      </c>
      <c r="K126" s="40"/>
      <c r="L126" s="1"/>
      <c r="M126" s="52"/>
      <c r="N126" s="52"/>
      <c r="O126" s="52"/>
    </row>
    <row r="127" spans="1:15" x14ac:dyDescent="0.3">
      <c r="A127" s="95">
        <v>45432</v>
      </c>
      <c r="B127" s="10" t="s">
        <v>1233</v>
      </c>
      <c r="C127" s="10" t="s">
        <v>14</v>
      </c>
      <c r="D127" s="11">
        <f t="shared" si="4"/>
        <v>272.72727272727269</v>
      </c>
      <c r="E127" s="11">
        <f t="shared" si="3"/>
        <v>27.27272727272727</v>
      </c>
      <c r="F127" s="30">
        <v>300</v>
      </c>
      <c r="G127" s="30">
        <v>50</v>
      </c>
      <c r="H127" s="13">
        <f t="shared" si="5"/>
        <v>250</v>
      </c>
      <c r="I127" s="1" t="s">
        <v>1439</v>
      </c>
      <c r="J127" s="30">
        <v>300</v>
      </c>
      <c r="K127" s="1"/>
      <c r="L127" s="1"/>
      <c r="M127" s="1"/>
      <c r="N127" s="1"/>
      <c r="O127" s="52"/>
    </row>
    <row r="128" spans="1:15" x14ac:dyDescent="0.3">
      <c r="A128" s="95">
        <v>45432</v>
      </c>
      <c r="B128" s="10" t="s">
        <v>1234</v>
      </c>
      <c r="C128" s="10" t="s">
        <v>14</v>
      </c>
      <c r="D128" s="11">
        <f t="shared" si="4"/>
        <v>272.72727272727269</v>
      </c>
      <c r="E128" s="11">
        <f t="shared" si="3"/>
        <v>27.27272727272727</v>
      </c>
      <c r="F128" s="39">
        <v>300</v>
      </c>
      <c r="G128" s="18">
        <v>50</v>
      </c>
      <c r="H128" s="13">
        <f t="shared" si="5"/>
        <v>250</v>
      </c>
      <c r="I128" s="19" t="s">
        <v>1439</v>
      </c>
      <c r="J128" s="52">
        <v>300</v>
      </c>
      <c r="K128" s="40"/>
      <c r="L128" s="1"/>
      <c r="M128" s="52"/>
      <c r="N128" s="52"/>
      <c r="O128" s="52"/>
    </row>
    <row r="129" spans="1:15" x14ac:dyDescent="0.3">
      <c r="A129" s="95">
        <v>45432</v>
      </c>
      <c r="B129" s="10" t="s">
        <v>1235</v>
      </c>
      <c r="C129" s="10" t="s">
        <v>14</v>
      </c>
      <c r="D129" s="11">
        <f t="shared" si="4"/>
        <v>181.81818181818181</v>
      </c>
      <c r="E129" s="11">
        <f t="shared" si="3"/>
        <v>18.18181818181818</v>
      </c>
      <c r="F129" s="39">
        <v>200</v>
      </c>
      <c r="G129" s="18"/>
      <c r="H129" s="13">
        <f t="shared" si="5"/>
        <v>200</v>
      </c>
      <c r="I129" s="19" t="s">
        <v>402</v>
      </c>
      <c r="J129" s="52">
        <v>200</v>
      </c>
      <c r="K129" s="40"/>
      <c r="L129" s="1"/>
      <c r="M129" s="52"/>
      <c r="N129" s="52"/>
      <c r="O129" s="52"/>
    </row>
    <row r="130" spans="1:15" x14ac:dyDescent="0.3">
      <c r="A130" s="95">
        <v>45432</v>
      </c>
      <c r="B130" s="10" t="s">
        <v>1236</v>
      </c>
      <c r="C130" s="10" t="s">
        <v>14</v>
      </c>
      <c r="D130" s="11">
        <f t="shared" si="4"/>
        <v>136.36363636363635</v>
      </c>
      <c r="E130" s="11">
        <f t="shared" si="3"/>
        <v>13.636363636363635</v>
      </c>
      <c r="F130" s="39">
        <v>150</v>
      </c>
      <c r="G130" s="18">
        <v>50</v>
      </c>
      <c r="H130" s="13">
        <f t="shared" si="5"/>
        <v>100</v>
      </c>
      <c r="I130" s="19" t="s">
        <v>1357</v>
      </c>
      <c r="J130" s="52">
        <v>150</v>
      </c>
      <c r="K130" s="40"/>
      <c r="L130" s="1"/>
      <c r="M130" s="52"/>
      <c r="N130" s="52"/>
      <c r="O130" s="52"/>
    </row>
    <row r="131" spans="1:15" x14ac:dyDescent="0.3">
      <c r="A131" s="95">
        <v>45434</v>
      </c>
      <c r="B131" s="10" t="s">
        <v>1237</v>
      </c>
      <c r="C131" s="10" t="s">
        <v>14</v>
      </c>
      <c r="D131" s="11">
        <f t="shared" si="4"/>
        <v>209.09090909090907</v>
      </c>
      <c r="E131" s="11">
        <f t="shared" ref="E131:E195" si="6">D131*10/100</f>
        <v>20.909090909090907</v>
      </c>
      <c r="F131" s="39">
        <v>230</v>
      </c>
      <c r="G131" s="18"/>
      <c r="H131" s="13">
        <f t="shared" si="5"/>
        <v>230</v>
      </c>
      <c r="I131" s="19" t="s">
        <v>402</v>
      </c>
      <c r="J131" s="52">
        <v>230</v>
      </c>
      <c r="K131" s="40"/>
      <c r="L131" s="1"/>
      <c r="M131" s="52"/>
      <c r="N131" s="52"/>
      <c r="O131" s="52"/>
    </row>
    <row r="132" spans="1:15" x14ac:dyDescent="0.3">
      <c r="A132" s="95">
        <v>45434</v>
      </c>
      <c r="B132" s="10" t="s">
        <v>1238</v>
      </c>
      <c r="C132" s="10" t="s">
        <v>14</v>
      </c>
      <c r="D132" s="11">
        <f t="shared" ref="D132:D194" si="7">F132/1.1</f>
        <v>154.54545454545453</v>
      </c>
      <c r="E132" s="11">
        <f t="shared" si="6"/>
        <v>15.454545454545453</v>
      </c>
      <c r="F132" s="39">
        <v>170</v>
      </c>
      <c r="G132" s="18">
        <v>50</v>
      </c>
      <c r="H132" s="13">
        <f t="shared" ref="H132:H194" si="8">F132-G132</f>
        <v>120</v>
      </c>
      <c r="I132" s="19" t="s">
        <v>1440</v>
      </c>
      <c r="J132" s="52">
        <v>170</v>
      </c>
      <c r="K132" s="40"/>
      <c r="L132" s="1"/>
      <c r="M132" s="52"/>
      <c r="N132" s="52"/>
      <c r="O132" s="1"/>
    </row>
    <row r="133" spans="1:15" x14ac:dyDescent="0.3">
      <c r="A133" s="95">
        <v>45435</v>
      </c>
      <c r="B133" s="10" t="s">
        <v>1239</v>
      </c>
      <c r="C133" s="10" t="s">
        <v>14</v>
      </c>
      <c r="D133" s="11">
        <f t="shared" si="7"/>
        <v>245.45454545454544</v>
      </c>
      <c r="E133" s="11">
        <f t="shared" si="6"/>
        <v>24.545454545454547</v>
      </c>
      <c r="F133" s="94">
        <v>270</v>
      </c>
      <c r="G133" s="18">
        <v>50</v>
      </c>
      <c r="H133" s="13">
        <f t="shared" si="8"/>
        <v>220</v>
      </c>
      <c r="I133" s="100" t="s">
        <v>1357</v>
      </c>
      <c r="J133" s="52">
        <v>270</v>
      </c>
      <c r="K133" s="40"/>
      <c r="L133" s="1"/>
      <c r="M133" s="52"/>
      <c r="N133" s="52"/>
      <c r="O133" s="1"/>
    </row>
    <row r="134" spans="1:15" x14ac:dyDescent="0.3">
      <c r="A134" s="95">
        <v>45435</v>
      </c>
      <c r="B134" s="10" t="s">
        <v>1240</v>
      </c>
      <c r="C134" s="10" t="s">
        <v>14</v>
      </c>
      <c r="D134" s="11">
        <f t="shared" si="7"/>
        <v>245.45454545454544</v>
      </c>
      <c r="E134" s="11">
        <f t="shared" si="6"/>
        <v>24.545454545454547</v>
      </c>
      <c r="F134" s="39">
        <v>270</v>
      </c>
      <c r="G134" s="21">
        <v>50</v>
      </c>
      <c r="H134" s="13">
        <f t="shared" si="8"/>
        <v>220</v>
      </c>
      <c r="I134" s="100" t="s">
        <v>1441</v>
      </c>
      <c r="J134" s="52">
        <v>270</v>
      </c>
      <c r="K134" s="40"/>
      <c r="L134" s="1"/>
      <c r="M134" s="52"/>
      <c r="N134" s="52"/>
      <c r="O134" s="1"/>
    </row>
    <row r="135" spans="1:15" x14ac:dyDescent="0.3">
      <c r="A135" s="95">
        <v>45435</v>
      </c>
      <c r="B135" s="10" t="s">
        <v>1241</v>
      </c>
      <c r="C135" s="10" t="s">
        <v>14</v>
      </c>
      <c r="D135" s="11">
        <f t="shared" si="7"/>
        <v>236.36363636363635</v>
      </c>
      <c r="E135" s="11">
        <f t="shared" si="6"/>
        <v>23.636363636363637</v>
      </c>
      <c r="F135" s="39">
        <v>260</v>
      </c>
      <c r="G135" s="21">
        <v>50</v>
      </c>
      <c r="H135" s="13">
        <f t="shared" si="8"/>
        <v>210</v>
      </c>
      <c r="I135" s="19" t="s">
        <v>1357</v>
      </c>
      <c r="J135" s="52">
        <v>220</v>
      </c>
      <c r="K135" s="40">
        <v>40</v>
      </c>
      <c r="L135" s="1" t="s">
        <v>223</v>
      </c>
      <c r="M135" s="52"/>
      <c r="N135" s="52"/>
      <c r="O135" s="1"/>
    </row>
    <row r="136" spans="1:15" x14ac:dyDescent="0.3">
      <c r="A136" s="95">
        <v>45435</v>
      </c>
      <c r="B136" s="10" t="s">
        <v>1242</v>
      </c>
      <c r="C136" s="10" t="s">
        <v>14</v>
      </c>
      <c r="D136" s="11">
        <f t="shared" si="7"/>
        <v>172.72727272727272</v>
      </c>
      <c r="E136" s="11">
        <f t="shared" si="6"/>
        <v>17.272727272727273</v>
      </c>
      <c r="F136" s="30">
        <v>190</v>
      </c>
      <c r="G136" s="30"/>
      <c r="H136" s="13">
        <f t="shared" si="8"/>
        <v>190</v>
      </c>
      <c r="I136" s="19" t="s">
        <v>893</v>
      </c>
      <c r="J136" s="52">
        <v>190</v>
      </c>
      <c r="K136" s="40"/>
      <c r="L136" s="1"/>
      <c r="M136" s="52"/>
      <c r="N136" s="52"/>
      <c r="O136" s="1"/>
    </row>
    <row r="137" spans="1:15" x14ac:dyDescent="0.3">
      <c r="A137" s="95">
        <v>45435</v>
      </c>
      <c r="B137" s="10" t="s">
        <v>1243</v>
      </c>
      <c r="C137" s="10" t="s">
        <v>14</v>
      </c>
      <c r="D137" s="11">
        <f t="shared" si="7"/>
        <v>245.45454545454544</v>
      </c>
      <c r="E137" s="11">
        <f t="shared" si="6"/>
        <v>24.545454545454547</v>
      </c>
      <c r="F137" s="30">
        <v>270</v>
      </c>
      <c r="G137" s="30">
        <v>50</v>
      </c>
      <c r="H137" s="13">
        <f t="shared" si="8"/>
        <v>220</v>
      </c>
      <c r="I137" s="19" t="s">
        <v>1442</v>
      </c>
      <c r="J137" s="88">
        <v>270</v>
      </c>
      <c r="K137" s="88"/>
      <c r="L137" s="1"/>
      <c r="M137" s="1"/>
      <c r="N137" s="1"/>
      <c r="O137" s="1"/>
    </row>
    <row r="138" spans="1:15" x14ac:dyDescent="0.3">
      <c r="A138" s="95">
        <v>45436</v>
      </c>
      <c r="B138" s="10" t="s">
        <v>1244</v>
      </c>
      <c r="C138" s="10" t="s">
        <v>14</v>
      </c>
      <c r="D138" s="11">
        <f t="shared" si="7"/>
        <v>236.36363636363635</v>
      </c>
      <c r="E138" s="11">
        <f t="shared" si="6"/>
        <v>23.636363636363637</v>
      </c>
      <c r="F138" s="30">
        <v>260</v>
      </c>
      <c r="G138" s="30">
        <v>50</v>
      </c>
      <c r="H138" s="13">
        <f t="shared" si="8"/>
        <v>210</v>
      </c>
      <c r="I138" s="19" t="s">
        <v>1443</v>
      </c>
      <c r="J138" s="88">
        <v>220</v>
      </c>
      <c r="K138" s="88"/>
      <c r="L138" s="1"/>
      <c r="M138" s="30">
        <v>40</v>
      </c>
      <c r="N138" s="1" t="s">
        <v>16</v>
      </c>
      <c r="O138" s="1"/>
    </row>
    <row r="139" spans="1:15" x14ac:dyDescent="0.3">
      <c r="A139" s="95">
        <v>45436</v>
      </c>
      <c r="B139" s="10" t="s">
        <v>1245</v>
      </c>
      <c r="C139" s="10" t="s">
        <v>14</v>
      </c>
      <c r="D139" s="11">
        <f t="shared" si="7"/>
        <v>199.99999999999997</v>
      </c>
      <c r="E139" s="11">
        <f t="shared" si="6"/>
        <v>19.999999999999996</v>
      </c>
      <c r="F139" s="30">
        <v>220</v>
      </c>
      <c r="G139" s="30">
        <v>50</v>
      </c>
      <c r="H139" s="13">
        <f t="shared" si="8"/>
        <v>170</v>
      </c>
      <c r="I139" s="19" t="s">
        <v>1444</v>
      </c>
      <c r="J139" s="88">
        <v>220</v>
      </c>
      <c r="K139" s="88"/>
      <c r="L139" s="1"/>
      <c r="M139" s="1"/>
      <c r="N139" s="1"/>
      <c r="O139" s="1"/>
    </row>
    <row r="140" spans="1:15" x14ac:dyDescent="0.3">
      <c r="A140" s="95">
        <v>45436</v>
      </c>
      <c r="B140" s="10" t="s">
        <v>1246</v>
      </c>
      <c r="C140" s="10" t="s">
        <v>14</v>
      </c>
      <c r="D140" s="11">
        <f t="shared" si="7"/>
        <v>199.99999999999997</v>
      </c>
      <c r="E140" s="11">
        <f t="shared" si="6"/>
        <v>19.999999999999996</v>
      </c>
      <c r="F140" s="30">
        <v>220</v>
      </c>
      <c r="G140" s="30">
        <v>50</v>
      </c>
      <c r="H140" s="13">
        <f t="shared" si="8"/>
        <v>170</v>
      </c>
      <c r="I140" s="19" t="s">
        <v>1445</v>
      </c>
      <c r="J140" s="88">
        <v>220</v>
      </c>
      <c r="K140" s="88"/>
      <c r="L140" s="1"/>
      <c r="M140" s="1"/>
      <c r="N140" s="1"/>
      <c r="O140" s="1"/>
    </row>
    <row r="141" spans="1:15" x14ac:dyDescent="0.3">
      <c r="A141" s="95">
        <v>45436</v>
      </c>
      <c r="B141" s="10" t="s">
        <v>1247</v>
      </c>
      <c r="C141" s="10" t="s">
        <v>14</v>
      </c>
      <c r="D141" s="11">
        <f t="shared" si="7"/>
        <v>127.27272727272727</v>
      </c>
      <c r="E141" s="11">
        <f t="shared" si="6"/>
        <v>12.727272727272727</v>
      </c>
      <c r="F141" s="30">
        <v>140</v>
      </c>
      <c r="G141" s="30"/>
      <c r="H141" s="13">
        <f t="shared" si="8"/>
        <v>140</v>
      </c>
      <c r="I141" s="19" t="s">
        <v>402</v>
      </c>
      <c r="J141" s="88">
        <v>140</v>
      </c>
      <c r="K141" s="88"/>
      <c r="L141" s="1"/>
      <c r="M141" s="1"/>
      <c r="N141" s="1"/>
      <c r="O141" s="1"/>
    </row>
    <row r="142" spans="1:15" x14ac:dyDescent="0.3">
      <c r="A142" s="95">
        <v>45436</v>
      </c>
      <c r="B142" s="10" t="s">
        <v>1248</v>
      </c>
      <c r="C142" s="10" t="s">
        <v>14</v>
      </c>
      <c r="D142" s="11">
        <f t="shared" si="7"/>
        <v>199.99999999999997</v>
      </c>
      <c r="E142" s="11">
        <f t="shared" si="6"/>
        <v>19.999999999999996</v>
      </c>
      <c r="F142" s="30">
        <v>220</v>
      </c>
      <c r="G142" s="30">
        <v>50</v>
      </c>
      <c r="H142" s="13">
        <f t="shared" si="8"/>
        <v>170</v>
      </c>
      <c r="I142" s="19" t="s">
        <v>1446</v>
      </c>
      <c r="J142" s="88">
        <v>220</v>
      </c>
      <c r="K142" s="88"/>
      <c r="L142" s="1"/>
      <c r="M142" s="1"/>
      <c r="N142" s="1"/>
      <c r="O142" s="1"/>
    </row>
    <row r="143" spans="1:15" x14ac:dyDescent="0.3">
      <c r="A143" s="95">
        <v>45436</v>
      </c>
      <c r="B143" s="10" t="s">
        <v>1249</v>
      </c>
      <c r="C143" s="10" t="s">
        <v>14</v>
      </c>
      <c r="D143" s="11">
        <f t="shared" si="7"/>
        <v>154.54545454545453</v>
      </c>
      <c r="E143" s="11">
        <f t="shared" si="6"/>
        <v>15.454545454545453</v>
      </c>
      <c r="F143" s="30">
        <v>170</v>
      </c>
      <c r="G143" s="30">
        <v>50</v>
      </c>
      <c r="H143" s="13">
        <f t="shared" si="8"/>
        <v>120</v>
      </c>
      <c r="I143" s="19" t="s">
        <v>1447</v>
      </c>
      <c r="J143" s="88">
        <v>170</v>
      </c>
      <c r="K143" s="88"/>
      <c r="L143" s="1"/>
      <c r="M143" s="1"/>
      <c r="N143" s="1"/>
      <c r="O143" s="1"/>
    </row>
    <row r="144" spans="1:15" x14ac:dyDescent="0.3">
      <c r="A144" s="95">
        <v>45436</v>
      </c>
      <c r="B144" s="10" t="s">
        <v>1250</v>
      </c>
      <c r="C144" s="10" t="s">
        <v>14</v>
      </c>
      <c r="D144" s="11">
        <f t="shared" si="7"/>
        <v>136.36363636363635</v>
      </c>
      <c r="E144" s="11">
        <f t="shared" si="6"/>
        <v>13.636363636363635</v>
      </c>
      <c r="F144" s="30">
        <v>150</v>
      </c>
      <c r="G144" s="30"/>
      <c r="H144" s="13">
        <f t="shared" si="8"/>
        <v>150</v>
      </c>
      <c r="I144" s="19" t="s">
        <v>403</v>
      </c>
      <c r="J144" s="88">
        <v>150</v>
      </c>
      <c r="K144" s="88"/>
      <c r="L144" s="1"/>
      <c r="M144" s="1"/>
      <c r="N144" s="1"/>
      <c r="O144" s="1"/>
    </row>
    <row r="145" spans="1:15" x14ac:dyDescent="0.3">
      <c r="A145" s="95">
        <v>45436</v>
      </c>
      <c r="B145" s="10" t="s">
        <v>1251</v>
      </c>
      <c r="C145" s="10" t="s">
        <v>14</v>
      </c>
      <c r="D145" s="11">
        <f t="shared" si="7"/>
        <v>154.54545454545453</v>
      </c>
      <c r="E145" s="11">
        <f t="shared" si="6"/>
        <v>15.454545454545453</v>
      </c>
      <c r="F145" s="30">
        <v>170</v>
      </c>
      <c r="G145" s="30">
        <v>50</v>
      </c>
      <c r="H145" s="13">
        <f t="shared" si="8"/>
        <v>120</v>
      </c>
      <c r="I145" s="19" t="s">
        <v>1448</v>
      </c>
      <c r="J145" s="88">
        <v>170</v>
      </c>
      <c r="K145" s="88"/>
      <c r="L145" s="1"/>
      <c r="M145" s="1"/>
      <c r="N145" s="1"/>
      <c r="O145" s="1"/>
    </row>
    <row r="146" spans="1:15" x14ac:dyDescent="0.3">
      <c r="A146" s="95">
        <v>45436</v>
      </c>
      <c r="B146" s="10" t="s">
        <v>1252</v>
      </c>
      <c r="C146" s="10" t="s">
        <v>14</v>
      </c>
      <c r="D146" s="11">
        <f t="shared" si="7"/>
        <v>154.54545454545453</v>
      </c>
      <c r="E146" s="11">
        <f t="shared" si="6"/>
        <v>15.454545454545453</v>
      </c>
      <c r="F146" s="30">
        <v>170</v>
      </c>
      <c r="G146" s="30">
        <v>50</v>
      </c>
      <c r="H146" s="13">
        <f t="shared" si="8"/>
        <v>120</v>
      </c>
      <c r="I146" s="19" t="s">
        <v>1357</v>
      </c>
      <c r="J146" s="88">
        <v>170</v>
      </c>
      <c r="K146" s="88"/>
      <c r="L146" s="1"/>
      <c r="M146" s="1"/>
      <c r="N146" s="1"/>
      <c r="O146" s="1"/>
    </row>
    <row r="147" spans="1:15" x14ac:dyDescent="0.3">
      <c r="A147" s="95">
        <v>45436</v>
      </c>
      <c r="B147" s="10" t="s">
        <v>1253</v>
      </c>
      <c r="C147" s="10" t="s">
        <v>14</v>
      </c>
      <c r="D147" s="11">
        <f t="shared" si="7"/>
        <v>372.72727272727269</v>
      </c>
      <c r="E147" s="11">
        <f t="shared" si="6"/>
        <v>37.272727272727273</v>
      </c>
      <c r="F147" s="30">
        <v>410</v>
      </c>
      <c r="G147" s="30">
        <v>50</v>
      </c>
      <c r="H147" s="13">
        <f t="shared" si="8"/>
        <v>360</v>
      </c>
      <c r="I147" s="19" t="s">
        <v>1449</v>
      </c>
      <c r="J147" s="88">
        <v>220</v>
      </c>
      <c r="K147" s="88">
        <v>30</v>
      </c>
      <c r="L147" s="1" t="s">
        <v>223</v>
      </c>
      <c r="M147" s="30">
        <v>160</v>
      </c>
      <c r="N147" s="1" t="s">
        <v>949</v>
      </c>
      <c r="O147" s="1"/>
    </row>
    <row r="148" spans="1:15" x14ac:dyDescent="0.3">
      <c r="A148" s="95">
        <v>45436</v>
      </c>
      <c r="B148" s="10" t="s">
        <v>1254</v>
      </c>
      <c r="C148" s="10" t="s">
        <v>14</v>
      </c>
      <c r="D148" s="11">
        <f t="shared" si="7"/>
        <v>318.18181818181813</v>
      </c>
      <c r="E148" s="11">
        <f t="shared" si="6"/>
        <v>31.818181818181809</v>
      </c>
      <c r="F148" s="30">
        <v>350</v>
      </c>
      <c r="G148" s="30">
        <v>50</v>
      </c>
      <c r="H148" s="13">
        <f t="shared" si="8"/>
        <v>300</v>
      </c>
      <c r="I148" s="19" t="s">
        <v>1450</v>
      </c>
      <c r="J148" s="88">
        <v>270</v>
      </c>
      <c r="K148" s="88">
        <v>30</v>
      </c>
      <c r="L148" s="1" t="s">
        <v>223</v>
      </c>
      <c r="M148" s="88"/>
      <c r="N148" s="1"/>
      <c r="O148" s="1"/>
    </row>
    <row r="149" spans="1:15" x14ac:dyDescent="0.3">
      <c r="A149" s="95">
        <v>45436</v>
      </c>
      <c r="B149" s="10" t="s">
        <v>1255</v>
      </c>
      <c r="C149" s="10" t="s">
        <v>14</v>
      </c>
      <c r="D149" s="11">
        <f t="shared" si="7"/>
        <v>163.63636363636363</v>
      </c>
      <c r="E149" s="11">
        <f t="shared" si="6"/>
        <v>16.363636363636363</v>
      </c>
      <c r="F149" s="30">
        <v>180</v>
      </c>
      <c r="G149" s="30"/>
      <c r="H149" s="13">
        <f t="shared" si="8"/>
        <v>180</v>
      </c>
      <c r="I149" s="19" t="s">
        <v>403</v>
      </c>
      <c r="J149" s="88">
        <v>180</v>
      </c>
      <c r="K149" s="88"/>
      <c r="L149" s="1"/>
      <c r="M149" s="88"/>
      <c r="N149" s="1"/>
      <c r="O149" s="1"/>
    </row>
    <row r="150" spans="1:15" x14ac:dyDescent="0.3">
      <c r="A150" s="95">
        <v>45436</v>
      </c>
      <c r="B150" s="10" t="s">
        <v>1256</v>
      </c>
      <c r="C150" s="10" t="s">
        <v>14</v>
      </c>
      <c r="D150" s="11">
        <f t="shared" si="7"/>
        <v>245.45454545454544</v>
      </c>
      <c r="E150" s="11">
        <f t="shared" si="6"/>
        <v>24.545454545454547</v>
      </c>
      <c r="F150" s="30">
        <v>270</v>
      </c>
      <c r="G150" s="30">
        <v>50</v>
      </c>
      <c r="H150" s="13">
        <f t="shared" si="8"/>
        <v>220</v>
      </c>
      <c r="I150" s="19" t="s">
        <v>1451</v>
      </c>
      <c r="J150" s="88">
        <v>270</v>
      </c>
      <c r="K150" s="30"/>
      <c r="L150" s="1"/>
      <c r="M150" s="88"/>
      <c r="N150" s="1"/>
      <c r="O150" s="1"/>
    </row>
    <row r="151" spans="1:15" x14ac:dyDescent="0.3">
      <c r="A151" s="95">
        <v>45436</v>
      </c>
      <c r="B151" s="10" t="s">
        <v>1257</v>
      </c>
      <c r="C151" s="10" t="s">
        <v>14</v>
      </c>
      <c r="D151" s="11">
        <f t="shared" si="7"/>
        <v>145.45454545454544</v>
      </c>
      <c r="E151" s="11">
        <f t="shared" si="6"/>
        <v>14.545454545454545</v>
      </c>
      <c r="F151" s="30">
        <v>160</v>
      </c>
      <c r="G151" s="30"/>
      <c r="H151" s="13">
        <f t="shared" si="8"/>
        <v>160</v>
      </c>
      <c r="I151" s="19" t="s">
        <v>402</v>
      </c>
      <c r="J151" s="88">
        <v>160</v>
      </c>
      <c r="K151" s="88"/>
      <c r="L151" s="1"/>
      <c r="M151" s="88"/>
      <c r="N151" s="1"/>
      <c r="O151" s="1"/>
    </row>
    <row r="152" spans="1:15" x14ac:dyDescent="0.3">
      <c r="A152" s="95">
        <v>45436</v>
      </c>
      <c r="B152" s="10" t="s">
        <v>1258</v>
      </c>
      <c r="C152" s="10" t="s">
        <v>14</v>
      </c>
      <c r="D152" s="11">
        <f t="shared" si="7"/>
        <v>145.45454545454544</v>
      </c>
      <c r="E152" s="11">
        <f t="shared" si="6"/>
        <v>14.545454545454545</v>
      </c>
      <c r="F152" s="30">
        <v>160</v>
      </c>
      <c r="G152" s="30"/>
      <c r="H152" s="13">
        <f t="shared" si="8"/>
        <v>160</v>
      </c>
      <c r="I152" s="19" t="s">
        <v>402</v>
      </c>
      <c r="J152" s="88">
        <v>160</v>
      </c>
      <c r="K152" s="1"/>
      <c r="L152" s="1"/>
      <c r="M152" s="88"/>
      <c r="N152" s="1"/>
      <c r="O152" s="1"/>
    </row>
    <row r="153" spans="1:15" x14ac:dyDescent="0.3">
      <c r="A153" s="95">
        <v>45436</v>
      </c>
      <c r="B153" s="10" t="s">
        <v>1259</v>
      </c>
      <c r="C153" s="10" t="s">
        <v>14</v>
      </c>
      <c r="D153" s="11">
        <f t="shared" si="7"/>
        <v>145.45454545454544</v>
      </c>
      <c r="E153" s="11">
        <f t="shared" si="6"/>
        <v>14.545454545454545</v>
      </c>
      <c r="F153" s="30">
        <v>160</v>
      </c>
      <c r="G153" s="30"/>
      <c r="H153" s="13">
        <f t="shared" si="8"/>
        <v>160</v>
      </c>
      <c r="I153" s="19" t="s">
        <v>402</v>
      </c>
      <c r="J153" s="88">
        <v>160</v>
      </c>
      <c r="K153" s="30"/>
      <c r="L153" s="1"/>
      <c r="M153" s="88"/>
      <c r="N153" s="1"/>
      <c r="O153" s="1"/>
    </row>
    <row r="154" spans="1:15" x14ac:dyDescent="0.3">
      <c r="A154" s="95">
        <v>45436</v>
      </c>
      <c r="B154" s="10" t="s">
        <v>1260</v>
      </c>
      <c r="C154" s="10" t="s">
        <v>14</v>
      </c>
      <c r="D154" s="11">
        <f t="shared" si="7"/>
        <v>127.27272727272727</v>
      </c>
      <c r="E154" s="11">
        <f t="shared" si="6"/>
        <v>12.727272727272727</v>
      </c>
      <c r="F154" s="30">
        <v>140</v>
      </c>
      <c r="G154" s="30"/>
      <c r="H154" s="13">
        <f t="shared" si="8"/>
        <v>140</v>
      </c>
      <c r="I154" s="19" t="s">
        <v>402</v>
      </c>
      <c r="J154" s="88">
        <v>140</v>
      </c>
      <c r="K154" s="88"/>
      <c r="L154" s="1"/>
      <c r="M154" s="88"/>
      <c r="N154" s="1"/>
      <c r="O154" s="1"/>
    </row>
    <row r="155" spans="1:15" x14ac:dyDescent="0.3">
      <c r="A155" s="95">
        <v>45437</v>
      </c>
      <c r="B155" s="10" t="s">
        <v>1261</v>
      </c>
      <c r="C155" s="10" t="s">
        <v>14</v>
      </c>
      <c r="D155" s="11">
        <f t="shared" si="7"/>
        <v>281.81818181818181</v>
      </c>
      <c r="E155" s="11">
        <f t="shared" si="6"/>
        <v>28.18181818181818</v>
      </c>
      <c r="F155" s="30">
        <v>310</v>
      </c>
      <c r="G155" s="30">
        <v>50</v>
      </c>
      <c r="H155" s="13">
        <f t="shared" si="8"/>
        <v>260</v>
      </c>
      <c r="I155" s="19" t="s">
        <v>1452</v>
      </c>
      <c r="J155" s="88">
        <v>270</v>
      </c>
      <c r="K155" s="88">
        <v>40</v>
      </c>
      <c r="L155" s="1" t="s">
        <v>223</v>
      </c>
      <c r="M155" s="88"/>
      <c r="N155" s="1"/>
      <c r="O155" s="1"/>
    </row>
    <row r="156" spans="1:15" x14ac:dyDescent="0.3">
      <c r="A156" s="95">
        <v>45437</v>
      </c>
      <c r="B156" s="10" t="s">
        <v>1262</v>
      </c>
      <c r="C156" s="10" t="s">
        <v>14</v>
      </c>
      <c r="D156" s="11">
        <f t="shared" si="7"/>
        <v>236.36363636363635</v>
      </c>
      <c r="E156" s="11">
        <f t="shared" si="6"/>
        <v>23.636363636363637</v>
      </c>
      <c r="F156" s="30">
        <v>260</v>
      </c>
      <c r="G156" s="30">
        <v>50</v>
      </c>
      <c r="H156" s="13">
        <f t="shared" si="8"/>
        <v>210</v>
      </c>
      <c r="I156" s="19" t="s">
        <v>1453</v>
      </c>
      <c r="J156" s="88">
        <v>220</v>
      </c>
      <c r="K156" s="30">
        <v>40</v>
      </c>
      <c r="L156" s="1" t="s">
        <v>223</v>
      </c>
      <c r="M156" s="88"/>
      <c r="N156" s="1"/>
      <c r="O156" s="1"/>
    </row>
    <row r="157" spans="1:15" x14ac:dyDescent="0.3">
      <c r="A157" s="95">
        <v>45437</v>
      </c>
      <c r="B157" s="10" t="s">
        <v>1263</v>
      </c>
      <c r="C157" s="10" t="s">
        <v>14</v>
      </c>
      <c r="D157" s="11">
        <f t="shared" si="7"/>
        <v>281.81818181818181</v>
      </c>
      <c r="E157" s="11">
        <f t="shared" si="6"/>
        <v>28.18181818181818</v>
      </c>
      <c r="F157" s="30">
        <v>310</v>
      </c>
      <c r="G157" s="30">
        <v>50</v>
      </c>
      <c r="H157" s="13">
        <f t="shared" si="8"/>
        <v>260</v>
      </c>
      <c r="I157" s="19" t="s">
        <v>1454</v>
      </c>
      <c r="J157" s="88">
        <v>270</v>
      </c>
      <c r="K157" s="88">
        <v>40</v>
      </c>
      <c r="L157" s="1" t="s">
        <v>223</v>
      </c>
      <c r="M157" s="88"/>
      <c r="N157" s="1"/>
      <c r="O157" s="1"/>
    </row>
    <row r="158" spans="1:15" x14ac:dyDescent="0.3">
      <c r="A158" s="95">
        <v>45437</v>
      </c>
      <c r="B158" s="10" t="s">
        <v>1264</v>
      </c>
      <c r="C158" s="10" t="s">
        <v>14</v>
      </c>
      <c r="D158" s="11">
        <f t="shared" si="7"/>
        <v>245.45454545454544</v>
      </c>
      <c r="E158" s="11">
        <f t="shared" si="6"/>
        <v>24.545454545454547</v>
      </c>
      <c r="F158" s="30">
        <v>270</v>
      </c>
      <c r="G158" s="30">
        <v>50</v>
      </c>
      <c r="H158" s="13">
        <f t="shared" si="8"/>
        <v>220</v>
      </c>
      <c r="I158" s="19" t="s">
        <v>1455</v>
      </c>
      <c r="J158" s="88">
        <v>270</v>
      </c>
      <c r="K158" s="30"/>
      <c r="L158" s="1"/>
      <c r="M158" s="1"/>
      <c r="N158" s="1"/>
      <c r="O158" s="1"/>
    </row>
    <row r="159" spans="1:15" x14ac:dyDescent="0.3">
      <c r="A159" s="95">
        <v>45437</v>
      </c>
      <c r="B159" s="10" t="s">
        <v>1265</v>
      </c>
      <c r="C159" s="10" t="s">
        <v>14</v>
      </c>
      <c r="D159" s="11">
        <f t="shared" si="7"/>
        <v>245.45454545454544</v>
      </c>
      <c r="E159" s="11">
        <f t="shared" si="6"/>
        <v>24.545454545454547</v>
      </c>
      <c r="F159" s="30">
        <v>270</v>
      </c>
      <c r="G159" s="30">
        <v>50</v>
      </c>
      <c r="H159" s="13">
        <f t="shared" si="8"/>
        <v>220</v>
      </c>
      <c r="I159" s="19" t="s">
        <v>1456</v>
      </c>
      <c r="J159" s="88">
        <v>270</v>
      </c>
      <c r="K159" s="1"/>
      <c r="L159" s="1"/>
      <c r="M159" s="1"/>
      <c r="N159" s="1"/>
      <c r="O159" s="1"/>
    </row>
    <row r="160" spans="1:15" x14ac:dyDescent="0.3">
      <c r="A160" s="95">
        <v>45437</v>
      </c>
      <c r="B160" s="10" t="s">
        <v>1266</v>
      </c>
      <c r="C160" s="10" t="s">
        <v>14</v>
      </c>
      <c r="D160" s="11">
        <f t="shared" si="7"/>
        <v>199.99999999999997</v>
      </c>
      <c r="E160" s="11">
        <f t="shared" si="6"/>
        <v>19.999999999999996</v>
      </c>
      <c r="F160" s="30">
        <v>220</v>
      </c>
      <c r="G160" s="30">
        <v>50</v>
      </c>
      <c r="H160" s="13">
        <f t="shared" si="8"/>
        <v>170</v>
      </c>
      <c r="I160" s="19" t="s">
        <v>1457</v>
      </c>
      <c r="J160" s="88">
        <v>220</v>
      </c>
      <c r="K160" s="30"/>
      <c r="L160" s="1"/>
      <c r="M160" s="1"/>
      <c r="N160" s="1"/>
      <c r="O160" s="1"/>
    </row>
    <row r="161" spans="1:15" x14ac:dyDescent="0.3">
      <c r="A161" s="95">
        <v>45437</v>
      </c>
      <c r="B161" s="10" t="s">
        <v>1267</v>
      </c>
      <c r="C161" s="10" t="s">
        <v>14</v>
      </c>
      <c r="D161" s="11">
        <f t="shared" si="7"/>
        <v>163.63636363636363</v>
      </c>
      <c r="E161" s="11">
        <f t="shared" si="6"/>
        <v>16.363636363636363</v>
      </c>
      <c r="F161" s="30">
        <v>180</v>
      </c>
      <c r="G161" s="30"/>
      <c r="H161" s="13">
        <f t="shared" si="8"/>
        <v>180</v>
      </c>
      <c r="I161" s="19" t="s">
        <v>893</v>
      </c>
      <c r="J161" s="88">
        <v>180</v>
      </c>
      <c r="K161" s="1"/>
      <c r="L161" s="1"/>
      <c r="M161" s="1"/>
      <c r="N161" s="1"/>
      <c r="O161" s="1"/>
    </row>
    <row r="162" spans="1:15" x14ac:dyDescent="0.3">
      <c r="A162" s="95">
        <v>45437</v>
      </c>
      <c r="B162" s="10" t="s">
        <v>1268</v>
      </c>
      <c r="C162" s="10" t="s">
        <v>14</v>
      </c>
      <c r="D162" s="11">
        <f t="shared" si="7"/>
        <v>154.54545454545453</v>
      </c>
      <c r="E162" s="11">
        <f t="shared" si="6"/>
        <v>15.454545454545453</v>
      </c>
      <c r="F162" s="30">
        <v>170</v>
      </c>
      <c r="G162" s="30"/>
      <c r="H162" s="13">
        <f t="shared" si="8"/>
        <v>170</v>
      </c>
      <c r="I162" s="19" t="s">
        <v>403</v>
      </c>
      <c r="J162" s="88">
        <v>170</v>
      </c>
      <c r="K162" s="1"/>
      <c r="L162" s="1"/>
      <c r="M162" s="1"/>
      <c r="N162" s="1"/>
      <c r="O162" s="1"/>
    </row>
    <row r="163" spans="1:15" x14ac:dyDescent="0.3">
      <c r="A163" s="95">
        <v>45437</v>
      </c>
      <c r="B163" s="10" t="s">
        <v>1269</v>
      </c>
      <c r="C163" s="10" t="s">
        <v>14</v>
      </c>
      <c r="D163" s="11">
        <f t="shared" si="7"/>
        <v>236.36363636363635</v>
      </c>
      <c r="E163" s="79">
        <f t="shared" si="6"/>
        <v>23.636363636363637</v>
      </c>
      <c r="F163" s="88">
        <v>260</v>
      </c>
      <c r="G163" s="30">
        <v>50</v>
      </c>
      <c r="H163" s="13">
        <f t="shared" si="8"/>
        <v>210</v>
      </c>
      <c r="I163" s="19" t="s">
        <v>1458</v>
      </c>
      <c r="J163" s="88">
        <v>220</v>
      </c>
      <c r="K163" s="30">
        <v>40</v>
      </c>
      <c r="L163" s="1" t="s">
        <v>223</v>
      </c>
      <c r="M163" s="1"/>
      <c r="N163" s="1"/>
      <c r="O163" s="1"/>
    </row>
    <row r="164" spans="1:15" x14ac:dyDescent="0.3">
      <c r="A164" s="95">
        <v>45437</v>
      </c>
      <c r="B164" s="10" t="s">
        <v>1270</v>
      </c>
      <c r="C164" s="10" t="s">
        <v>14</v>
      </c>
      <c r="D164" s="11">
        <f t="shared" si="7"/>
        <v>236.36363636363635</v>
      </c>
      <c r="E164" s="79">
        <f t="shared" si="6"/>
        <v>23.636363636363637</v>
      </c>
      <c r="F164" s="88">
        <v>260</v>
      </c>
      <c r="G164" s="30">
        <v>50</v>
      </c>
      <c r="H164" s="13">
        <f t="shared" si="8"/>
        <v>210</v>
      </c>
      <c r="I164" s="19" t="s">
        <v>1459</v>
      </c>
      <c r="J164" s="88">
        <v>220</v>
      </c>
      <c r="K164" s="30">
        <v>40</v>
      </c>
      <c r="L164" s="1" t="s">
        <v>223</v>
      </c>
      <c r="M164" s="1"/>
      <c r="N164" s="1"/>
      <c r="O164" s="1"/>
    </row>
    <row r="165" spans="1:15" x14ac:dyDescent="0.3">
      <c r="A165" s="95">
        <v>45437</v>
      </c>
      <c r="B165" s="10" t="s">
        <v>1271</v>
      </c>
      <c r="C165" s="10" t="s">
        <v>14</v>
      </c>
      <c r="D165" s="11">
        <f t="shared" si="7"/>
        <v>227.27272727272725</v>
      </c>
      <c r="E165" s="79">
        <f t="shared" si="6"/>
        <v>22.727272727272727</v>
      </c>
      <c r="F165" s="88">
        <v>250</v>
      </c>
      <c r="G165" s="30">
        <v>50</v>
      </c>
      <c r="H165" s="13">
        <f t="shared" si="8"/>
        <v>200</v>
      </c>
      <c r="I165" s="19" t="s">
        <v>1460</v>
      </c>
      <c r="J165" s="88">
        <v>220</v>
      </c>
      <c r="K165" s="30">
        <v>30</v>
      </c>
      <c r="L165" s="1" t="s">
        <v>223</v>
      </c>
      <c r="M165" s="1"/>
      <c r="N165" s="1"/>
      <c r="O165" s="1"/>
    </row>
    <row r="166" spans="1:15" x14ac:dyDescent="0.3">
      <c r="A166" s="95">
        <v>45437</v>
      </c>
      <c r="B166" s="10" t="s">
        <v>1272</v>
      </c>
      <c r="C166" s="10" t="s">
        <v>14</v>
      </c>
      <c r="D166" s="11">
        <f t="shared" si="7"/>
        <v>199.99999999999997</v>
      </c>
      <c r="E166" s="79">
        <f t="shared" si="6"/>
        <v>19.999999999999996</v>
      </c>
      <c r="F166" s="88">
        <v>220</v>
      </c>
      <c r="G166" s="30">
        <v>50</v>
      </c>
      <c r="H166" s="13">
        <f t="shared" si="8"/>
        <v>170</v>
      </c>
      <c r="I166" s="19" t="s">
        <v>1461</v>
      </c>
      <c r="J166" s="88">
        <v>220</v>
      </c>
      <c r="K166" s="1"/>
      <c r="L166" s="1"/>
      <c r="M166" s="1"/>
      <c r="N166" s="1"/>
      <c r="O166" s="1"/>
    </row>
    <row r="167" spans="1:15" x14ac:dyDescent="0.3">
      <c r="A167" s="95">
        <v>45437</v>
      </c>
      <c r="B167" s="10" t="s">
        <v>1273</v>
      </c>
      <c r="C167" s="10" t="s">
        <v>14</v>
      </c>
      <c r="D167" s="11">
        <f t="shared" si="7"/>
        <v>409.09090909090907</v>
      </c>
      <c r="E167" s="79">
        <f t="shared" si="6"/>
        <v>40.909090909090907</v>
      </c>
      <c r="F167" s="88">
        <v>450</v>
      </c>
      <c r="G167" s="30">
        <v>50</v>
      </c>
      <c r="H167" s="13">
        <f t="shared" si="8"/>
        <v>400</v>
      </c>
      <c r="I167" s="19" t="s">
        <v>1462</v>
      </c>
      <c r="J167" s="88">
        <v>450</v>
      </c>
      <c r="K167" s="1"/>
      <c r="L167" s="1"/>
      <c r="M167" s="1"/>
      <c r="N167" s="1"/>
      <c r="O167" s="1"/>
    </row>
    <row r="168" spans="1:15" x14ac:dyDescent="0.3">
      <c r="A168" s="95">
        <v>45437</v>
      </c>
      <c r="B168" s="10" t="s">
        <v>1274</v>
      </c>
      <c r="C168" s="10" t="s">
        <v>14</v>
      </c>
      <c r="D168" s="11">
        <f t="shared" si="7"/>
        <v>172.72727272727272</v>
      </c>
      <c r="E168" s="79">
        <f t="shared" si="6"/>
        <v>17.272727272727273</v>
      </c>
      <c r="F168" s="88">
        <v>190</v>
      </c>
      <c r="G168" s="30">
        <v>50</v>
      </c>
      <c r="H168" s="13">
        <f t="shared" si="8"/>
        <v>140</v>
      </c>
      <c r="I168" s="19" t="s">
        <v>1463</v>
      </c>
      <c r="J168" s="88">
        <v>170</v>
      </c>
      <c r="K168" s="30">
        <v>20</v>
      </c>
      <c r="L168" s="1" t="s">
        <v>223</v>
      </c>
      <c r="M168" s="1"/>
      <c r="N168" s="1"/>
      <c r="O168" s="1"/>
    </row>
    <row r="169" spans="1:15" x14ac:dyDescent="0.3">
      <c r="A169" s="95">
        <v>45437</v>
      </c>
      <c r="B169" s="10" t="s">
        <v>1275</v>
      </c>
      <c r="C169" s="10" t="s">
        <v>14</v>
      </c>
      <c r="D169" s="11">
        <f t="shared" si="7"/>
        <v>154.54545454545453</v>
      </c>
      <c r="E169" s="79">
        <f t="shared" si="6"/>
        <v>15.454545454545453</v>
      </c>
      <c r="F169" s="88">
        <v>170</v>
      </c>
      <c r="G169" s="30">
        <v>50</v>
      </c>
      <c r="H169" s="13">
        <f t="shared" si="8"/>
        <v>120</v>
      </c>
      <c r="I169" s="19" t="s">
        <v>1464</v>
      </c>
      <c r="J169" s="88">
        <v>170</v>
      </c>
      <c r="K169" s="1"/>
      <c r="L169" s="1"/>
      <c r="M169" s="1"/>
      <c r="N169" s="1"/>
      <c r="O169" s="1"/>
    </row>
    <row r="170" spans="1:15" x14ac:dyDescent="0.3">
      <c r="A170" s="95">
        <v>45437</v>
      </c>
      <c r="B170" s="10" t="s">
        <v>1276</v>
      </c>
      <c r="C170" s="10" t="s">
        <v>14</v>
      </c>
      <c r="D170" s="11">
        <f t="shared" si="7"/>
        <v>154.54545454545453</v>
      </c>
      <c r="E170" s="79">
        <f t="shared" si="6"/>
        <v>15.454545454545453</v>
      </c>
      <c r="F170" s="88">
        <v>170</v>
      </c>
      <c r="G170" s="30">
        <v>50</v>
      </c>
      <c r="H170" s="13">
        <f t="shared" si="8"/>
        <v>120</v>
      </c>
      <c r="I170" s="19" t="s">
        <v>1357</v>
      </c>
      <c r="J170" s="88">
        <v>170</v>
      </c>
      <c r="K170" s="1"/>
      <c r="L170" s="1"/>
      <c r="M170" s="1"/>
      <c r="N170" s="1"/>
      <c r="O170" s="1"/>
    </row>
    <row r="171" spans="1:15" x14ac:dyDescent="0.3">
      <c r="A171" s="95">
        <v>45437</v>
      </c>
      <c r="B171" s="10" t="s">
        <v>1277</v>
      </c>
      <c r="C171" s="10" t="s">
        <v>14</v>
      </c>
      <c r="D171" s="11">
        <f t="shared" si="7"/>
        <v>154.54545454545453</v>
      </c>
      <c r="E171" s="79">
        <f t="shared" si="6"/>
        <v>15.454545454545453</v>
      </c>
      <c r="F171" s="88">
        <v>170</v>
      </c>
      <c r="G171" s="30">
        <v>50</v>
      </c>
      <c r="H171" s="13">
        <f t="shared" si="8"/>
        <v>120</v>
      </c>
      <c r="I171" s="19" t="s">
        <v>1465</v>
      </c>
      <c r="J171" s="88">
        <v>170</v>
      </c>
      <c r="K171" s="1"/>
      <c r="L171" s="1"/>
      <c r="M171" s="1"/>
      <c r="N171" s="1"/>
      <c r="O171" s="1"/>
    </row>
    <row r="172" spans="1:15" x14ac:dyDescent="0.3">
      <c r="A172" s="95">
        <v>45437</v>
      </c>
      <c r="B172" s="10" t="s">
        <v>1278</v>
      </c>
      <c r="C172" s="10" t="s">
        <v>14</v>
      </c>
      <c r="D172" s="11">
        <f t="shared" si="7"/>
        <v>136.36363636363635</v>
      </c>
      <c r="E172" s="79">
        <f t="shared" si="6"/>
        <v>13.636363636363635</v>
      </c>
      <c r="F172" s="88">
        <v>150</v>
      </c>
      <c r="G172" s="30"/>
      <c r="H172" s="13">
        <f t="shared" si="8"/>
        <v>150</v>
      </c>
      <c r="I172" s="19" t="s">
        <v>403</v>
      </c>
      <c r="J172" s="88">
        <v>150</v>
      </c>
      <c r="K172" s="1"/>
      <c r="L172" s="1"/>
      <c r="M172" s="1"/>
      <c r="N172" s="1"/>
      <c r="O172" s="1"/>
    </row>
    <row r="173" spans="1:15" x14ac:dyDescent="0.3">
      <c r="A173" s="95">
        <v>45437</v>
      </c>
      <c r="B173" s="10" t="s">
        <v>1279</v>
      </c>
      <c r="C173" s="10" t="s">
        <v>14</v>
      </c>
      <c r="D173" s="11">
        <f t="shared" si="7"/>
        <v>190.90909090909091</v>
      </c>
      <c r="E173" s="79">
        <f t="shared" si="6"/>
        <v>19.09090909090909</v>
      </c>
      <c r="F173" s="88">
        <v>210</v>
      </c>
      <c r="G173" s="30">
        <v>50</v>
      </c>
      <c r="H173" s="13">
        <f t="shared" si="8"/>
        <v>160</v>
      </c>
      <c r="I173" s="19" t="s">
        <v>1466</v>
      </c>
      <c r="J173" s="88">
        <v>170</v>
      </c>
      <c r="K173" s="30">
        <v>40</v>
      </c>
      <c r="L173" s="1"/>
      <c r="M173" s="1"/>
      <c r="N173" s="1"/>
      <c r="O173" s="1"/>
    </row>
    <row r="174" spans="1:15" x14ac:dyDescent="0.3">
      <c r="A174" s="95">
        <v>45437</v>
      </c>
      <c r="B174" s="10" t="s">
        <v>1280</v>
      </c>
      <c r="C174" s="10" t="s">
        <v>14</v>
      </c>
      <c r="D174" s="11">
        <f t="shared" si="7"/>
        <v>127.27272727272727</v>
      </c>
      <c r="E174" s="30">
        <f t="shared" si="6"/>
        <v>12.727272727272727</v>
      </c>
      <c r="F174" s="30">
        <v>140</v>
      </c>
      <c r="G174" s="30"/>
      <c r="H174" s="13">
        <f t="shared" si="8"/>
        <v>140</v>
      </c>
      <c r="I174" s="1" t="s">
        <v>1393</v>
      </c>
      <c r="J174" s="30">
        <v>140</v>
      </c>
      <c r="K174" s="30"/>
      <c r="L174" s="1"/>
      <c r="M174" s="1"/>
      <c r="N174" s="1"/>
      <c r="O174" s="1"/>
    </row>
    <row r="175" spans="1:15" x14ac:dyDescent="0.3">
      <c r="A175" s="95">
        <v>45437</v>
      </c>
      <c r="B175" s="10" t="s">
        <v>1281</v>
      </c>
      <c r="C175" s="10" t="s">
        <v>14</v>
      </c>
      <c r="D175" s="11">
        <f t="shared" si="7"/>
        <v>127.27272727272727</v>
      </c>
      <c r="E175" s="30">
        <f t="shared" si="6"/>
        <v>12.727272727272727</v>
      </c>
      <c r="F175" s="30">
        <v>140</v>
      </c>
      <c r="G175" s="30"/>
      <c r="H175" s="13">
        <f t="shared" si="8"/>
        <v>140</v>
      </c>
      <c r="I175" s="1" t="s">
        <v>721</v>
      </c>
      <c r="J175" s="30">
        <v>140</v>
      </c>
      <c r="K175" s="30"/>
      <c r="L175" s="1"/>
      <c r="M175" s="1"/>
      <c r="N175" s="1"/>
      <c r="O175" s="1"/>
    </row>
    <row r="176" spans="1:15" x14ac:dyDescent="0.3">
      <c r="A176" s="95">
        <v>45437</v>
      </c>
      <c r="B176" s="10" t="s">
        <v>1282</v>
      </c>
      <c r="C176" s="10" t="s">
        <v>14</v>
      </c>
      <c r="D176" s="11">
        <f t="shared" si="7"/>
        <v>154.54545454545453</v>
      </c>
      <c r="E176" s="30">
        <f t="shared" si="6"/>
        <v>15.454545454545453</v>
      </c>
      <c r="F176" s="30">
        <v>170</v>
      </c>
      <c r="G176" s="30">
        <v>50</v>
      </c>
      <c r="H176" s="13">
        <f t="shared" si="8"/>
        <v>120</v>
      </c>
      <c r="I176" s="1" t="s">
        <v>1467</v>
      </c>
      <c r="J176" s="30">
        <v>170</v>
      </c>
      <c r="K176" s="30"/>
      <c r="L176" s="1"/>
      <c r="M176" s="1"/>
      <c r="N176" s="1"/>
      <c r="O176" s="1"/>
    </row>
    <row r="177" spans="1:17" x14ac:dyDescent="0.3">
      <c r="A177" s="95">
        <v>45437</v>
      </c>
      <c r="B177" s="10" t="s">
        <v>1283</v>
      </c>
      <c r="C177" s="10" t="s">
        <v>14</v>
      </c>
      <c r="D177" s="11">
        <f t="shared" si="7"/>
        <v>154.54545454545453</v>
      </c>
      <c r="E177" s="30">
        <f t="shared" si="6"/>
        <v>15.454545454545453</v>
      </c>
      <c r="F177" s="30">
        <v>170</v>
      </c>
      <c r="G177" s="30">
        <v>50</v>
      </c>
      <c r="H177" s="13">
        <f t="shared" si="8"/>
        <v>120</v>
      </c>
      <c r="I177" s="1" t="s">
        <v>1468</v>
      </c>
      <c r="J177" s="30">
        <v>170</v>
      </c>
      <c r="K177" s="30"/>
      <c r="L177" s="1"/>
      <c r="M177" s="1"/>
      <c r="N177" s="1"/>
      <c r="O177" s="1"/>
    </row>
    <row r="178" spans="1:17" x14ac:dyDescent="0.3">
      <c r="A178" s="95">
        <v>45437</v>
      </c>
      <c r="B178" s="10" t="s">
        <v>1284</v>
      </c>
      <c r="C178" s="10" t="s">
        <v>14</v>
      </c>
      <c r="D178" s="11">
        <f t="shared" si="7"/>
        <v>109.09090909090908</v>
      </c>
      <c r="E178" s="30">
        <f t="shared" si="6"/>
        <v>10.909090909090908</v>
      </c>
      <c r="F178" s="30">
        <v>120</v>
      </c>
      <c r="G178" s="30">
        <v>50</v>
      </c>
      <c r="H178" s="13">
        <f t="shared" si="8"/>
        <v>70</v>
      </c>
      <c r="I178" s="1" t="s">
        <v>1357</v>
      </c>
      <c r="J178" s="30">
        <v>170</v>
      </c>
      <c r="K178" s="30"/>
      <c r="L178" s="1"/>
      <c r="M178" s="1"/>
      <c r="N178" s="1"/>
      <c r="O178" s="1"/>
    </row>
    <row r="179" spans="1:17" x14ac:dyDescent="0.3">
      <c r="A179" s="95">
        <v>45438</v>
      </c>
      <c r="B179" s="10" t="s">
        <v>1285</v>
      </c>
      <c r="C179" s="10" t="s">
        <v>14</v>
      </c>
      <c r="D179" s="11">
        <f t="shared" si="7"/>
        <v>227.27272727272725</v>
      </c>
      <c r="E179" s="30">
        <f t="shared" si="6"/>
        <v>22.727272727272727</v>
      </c>
      <c r="F179" s="30">
        <v>250</v>
      </c>
      <c r="G179" s="30">
        <v>50</v>
      </c>
      <c r="H179" s="13">
        <f t="shared" si="8"/>
        <v>200</v>
      </c>
      <c r="I179" s="1" t="s">
        <v>1469</v>
      </c>
      <c r="J179" s="30">
        <v>220</v>
      </c>
      <c r="K179" s="30">
        <v>30</v>
      </c>
      <c r="L179" s="1" t="s">
        <v>223</v>
      </c>
      <c r="M179" s="1"/>
      <c r="N179" s="1"/>
      <c r="O179" s="1"/>
    </row>
    <row r="180" spans="1:17" x14ac:dyDescent="0.3">
      <c r="A180" s="95">
        <v>45438</v>
      </c>
      <c r="B180" s="10" t="s">
        <v>1286</v>
      </c>
      <c r="C180" s="10" t="s">
        <v>14</v>
      </c>
      <c r="D180" s="11">
        <f t="shared" si="7"/>
        <v>199.99999999999997</v>
      </c>
      <c r="E180" s="30">
        <f t="shared" si="6"/>
        <v>19.999999999999996</v>
      </c>
      <c r="F180" s="30">
        <v>220</v>
      </c>
      <c r="G180" s="30"/>
      <c r="H180" s="13">
        <f t="shared" si="8"/>
        <v>220</v>
      </c>
      <c r="I180" s="1" t="s">
        <v>403</v>
      </c>
      <c r="J180" s="30">
        <v>180</v>
      </c>
      <c r="K180" s="30"/>
      <c r="L180" s="1"/>
      <c r="M180" s="1"/>
      <c r="N180" s="1"/>
      <c r="O180" s="1"/>
    </row>
    <row r="181" spans="1:17" x14ac:dyDescent="0.3">
      <c r="A181" s="95">
        <v>45438</v>
      </c>
      <c r="B181" s="10" t="s">
        <v>1287</v>
      </c>
      <c r="C181" s="10" t="s">
        <v>14</v>
      </c>
      <c r="D181" s="11">
        <f t="shared" si="7"/>
        <v>209.09090909090907</v>
      </c>
      <c r="E181" s="30">
        <f t="shared" si="6"/>
        <v>20.909090909090907</v>
      </c>
      <c r="F181" s="30">
        <v>230</v>
      </c>
      <c r="G181" s="30">
        <v>50</v>
      </c>
      <c r="H181" s="13">
        <f t="shared" si="8"/>
        <v>180</v>
      </c>
      <c r="I181" s="1" t="s">
        <v>1470</v>
      </c>
      <c r="J181" s="30">
        <v>170</v>
      </c>
      <c r="K181" s="30">
        <v>60</v>
      </c>
      <c r="L181" s="1" t="s">
        <v>223</v>
      </c>
      <c r="M181" s="1"/>
      <c r="N181" s="1"/>
      <c r="O181" s="1"/>
    </row>
    <row r="182" spans="1:17" x14ac:dyDescent="0.3">
      <c r="A182" s="95">
        <v>45438</v>
      </c>
      <c r="B182" s="10" t="s">
        <v>1288</v>
      </c>
      <c r="C182" s="10" t="s">
        <v>14</v>
      </c>
      <c r="D182" s="11">
        <f t="shared" si="7"/>
        <v>245.45454545454544</v>
      </c>
      <c r="E182" s="30">
        <f t="shared" si="6"/>
        <v>24.545454545454547</v>
      </c>
      <c r="F182" s="30">
        <v>270</v>
      </c>
      <c r="G182" s="30">
        <v>50</v>
      </c>
      <c r="H182" s="13">
        <f t="shared" si="8"/>
        <v>220</v>
      </c>
      <c r="I182" s="1" t="s">
        <v>1471</v>
      </c>
      <c r="J182" s="30">
        <v>270</v>
      </c>
      <c r="K182" s="30"/>
      <c r="L182" s="1"/>
      <c r="M182" s="1"/>
      <c r="N182" s="1"/>
      <c r="O182" s="1"/>
    </row>
    <row r="183" spans="1:17" x14ac:dyDescent="0.3">
      <c r="A183" s="95">
        <v>45438</v>
      </c>
      <c r="B183" s="10" t="s">
        <v>1289</v>
      </c>
      <c r="C183" s="10" t="s">
        <v>14</v>
      </c>
      <c r="D183" s="11">
        <f t="shared" si="7"/>
        <v>281.81818181818181</v>
      </c>
      <c r="E183" s="30">
        <f t="shared" si="6"/>
        <v>28.18181818181818</v>
      </c>
      <c r="F183" s="30">
        <v>310</v>
      </c>
      <c r="G183" s="30">
        <v>50</v>
      </c>
      <c r="H183" s="13">
        <f t="shared" si="8"/>
        <v>260</v>
      </c>
      <c r="I183" s="1" t="s">
        <v>1472</v>
      </c>
      <c r="J183" s="30">
        <v>270</v>
      </c>
      <c r="K183" s="30">
        <v>40</v>
      </c>
      <c r="L183" s="1" t="s">
        <v>223</v>
      </c>
      <c r="M183" s="1"/>
      <c r="N183" s="1"/>
      <c r="O183" s="1"/>
    </row>
    <row r="184" spans="1:17" x14ac:dyDescent="0.3">
      <c r="A184" s="95">
        <v>45438</v>
      </c>
      <c r="B184" s="10" t="s">
        <v>1290</v>
      </c>
      <c r="C184" s="10" t="s">
        <v>14</v>
      </c>
      <c r="D184" s="11">
        <f t="shared" si="7"/>
        <v>286.36363636363632</v>
      </c>
      <c r="E184" s="30">
        <f t="shared" si="6"/>
        <v>28.63636363636363</v>
      </c>
      <c r="F184" s="30">
        <v>315</v>
      </c>
      <c r="G184" s="30">
        <v>50</v>
      </c>
      <c r="H184" s="13">
        <f t="shared" si="8"/>
        <v>265</v>
      </c>
      <c r="I184" s="1" t="s">
        <v>1473</v>
      </c>
      <c r="J184" s="30">
        <v>270</v>
      </c>
      <c r="K184" s="30"/>
      <c r="L184" s="1"/>
      <c r="M184" s="30">
        <v>45</v>
      </c>
      <c r="N184" s="1" t="s">
        <v>16</v>
      </c>
      <c r="O184" s="1"/>
    </row>
    <row r="185" spans="1:17" x14ac:dyDescent="0.3">
      <c r="A185" s="95">
        <v>45439</v>
      </c>
      <c r="B185" s="10" t="s">
        <v>1291</v>
      </c>
      <c r="C185" s="10" t="s">
        <v>14</v>
      </c>
      <c r="D185" s="11">
        <f t="shared" si="7"/>
        <v>245.45454545454544</v>
      </c>
      <c r="E185" s="30">
        <f t="shared" si="6"/>
        <v>24.545454545454547</v>
      </c>
      <c r="F185" s="30">
        <v>270</v>
      </c>
      <c r="G185" s="30">
        <v>50</v>
      </c>
      <c r="H185" s="13">
        <f t="shared" si="8"/>
        <v>220</v>
      </c>
      <c r="I185" s="1" t="s">
        <v>1474</v>
      </c>
      <c r="J185" s="30">
        <v>270</v>
      </c>
      <c r="K185" s="30"/>
      <c r="L185" s="1"/>
      <c r="M185" s="1"/>
      <c r="N185" s="1"/>
      <c r="O185" s="1"/>
    </row>
    <row r="186" spans="1:17" x14ac:dyDescent="0.3">
      <c r="A186" s="95">
        <v>45439</v>
      </c>
      <c r="B186" s="10" t="s">
        <v>1292</v>
      </c>
      <c r="C186" s="10" t="s">
        <v>14</v>
      </c>
      <c r="D186" s="11">
        <f t="shared" si="7"/>
        <v>263.63636363636363</v>
      </c>
      <c r="E186" s="30">
        <f t="shared" si="6"/>
        <v>26.36363636363636</v>
      </c>
      <c r="F186" s="30">
        <v>290</v>
      </c>
      <c r="G186" s="30">
        <v>50</v>
      </c>
      <c r="H186" s="13">
        <f t="shared" si="8"/>
        <v>240</v>
      </c>
      <c r="I186" s="1" t="s">
        <v>1357</v>
      </c>
      <c r="J186" s="30">
        <v>270</v>
      </c>
      <c r="K186" s="30">
        <v>20</v>
      </c>
      <c r="L186" s="1"/>
      <c r="M186" s="1"/>
      <c r="N186" s="1"/>
      <c r="O186" s="1"/>
    </row>
    <row r="187" spans="1:17" x14ac:dyDescent="0.3">
      <c r="A187" s="95">
        <v>45441</v>
      </c>
      <c r="B187" s="10" t="s">
        <v>1293</v>
      </c>
      <c r="C187" s="10" t="s">
        <v>14</v>
      </c>
      <c r="D187" s="11">
        <f t="shared" si="7"/>
        <v>163.63636363636363</v>
      </c>
      <c r="E187" s="30">
        <f t="shared" si="6"/>
        <v>16.363636363636363</v>
      </c>
      <c r="F187" s="30">
        <v>180</v>
      </c>
      <c r="G187" s="30"/>
      <c r="H187" s="13">
        <f t="shared" si="8"/>
        <v>180</v>
      </c>
      <c r="I187" s="1" t="s">
        <v>402</v>
      </c>
      <c r="J187" s="30">
        <v>180</v>
      </c>
      <c r="K187" s="30"/>
      <c r="L187" s="1"/>
      <c r="M187" s="1"/>
      <c r="N187" s="1"/>
      <c r="O187" s="1"/>
    </row>
    <row r="188" spans="1:17" x14ac:dyDescent="0.3">
      <c r="A188" s="95">
        <v>45442</v>
      </c>
      <c r="B188" s="10" t="s">
        <v>1294</v>
      </c>
      <c r="C188" s="10" t="s">
        <v>14</v>
      </c>
      <c r="D188" s="11">
        <f t="shared" si="7"/>
        <v>199.99999999999997</v>
      </c>
      <c r="E188" s="30">
        <f t="shared" si="6"/>
        <v>19.999999999999996</v>
      </c>
      <c r="F188" s="30">
        <v>220</v>
      </c>
      <c r="G188" s="30">
        <v>50</v>
      </c>
      <c r="H188" s="13">
        <f t="shared" si="8"/>
        <v>170</v>
      </c>
      <c r="I188" s="1" t="s">
        <v>1475</v>
      </c>
      <c r="J188" s="30">
        <v>220</v>
      </c>
      <c r="K188" s="30"/>
      <c r="L188" s="1"/>
      <c r="M188" s="1"/>
      <c r="N188" s="1"/>
      <c r="O188" s="1"/>
    </row>
    <row r="189" spans="1:17" x14ac:dyDescent="0.3">
      <c r="A189" s="95">
        <v>45443</v>
      </c>
      <c r="B189" s="10" t="s">
        <v>1295</v>
      </c>
      <c r="C189" s="10" t="s">
        <v>14</v>
      </c>
      <c r="D189" s="11">
        <f t="shared" si="7"/>
        <v>199.99999999999997</v>
      </c>
      <c r="E189" s="30">
        <f t="shared" si="6"/>
        <v>19.999999999999996</v>
      </c>
      <c r="F189" s="30">
        <v>220</v>
      </c>
      <c r="G189" s="30">
        <v>50</v>
      </c>
      <c r="H189" s="13">
        <f t="shared" si="8"/>
        <v>170</v>
      </c>
      <c r="I189" s="1" t="s">
        <v>1476</v>
      </c>
      <c r="J189" s="30">
        <v>220</v>
      </c>
      <c r="K189" s="30"/>
      <c r="L189" s="1"/>
      <c r="M189" s="1"/>
      <c r="N189" s="1"/>
      <c r="O189" s="1"/>
    </row>
    <row r="190" spans="1:17" x14ac:dyDescent="0.3">
      <c r="A190" s="95">
        <v>45443</v>
      </c>
      <c r="B190" s="10" t="s">
        <v>1296</v>
      </c>
      <c r="C190" s="10" t="s">
        <v>14</v>
      </c>
      <c r="D190" s="11">
        <f t="shared" si="7"/>
        <v>431.81818181818176</v>
      </c>
      <c r="E190" s="30">
        <f t="shared" si="6"/>
        <v>43.18181818181818</v>
      </c>
      <c r="F190" s="30">
        <v>475</v>
      </c>
      <c r="G190" s="30">
        <v>50</v>
      </c>
      <c r="H190" s="13">
        <f t="shared" si="8"/>
        <v>425</v>
      </c>
      <c r="I190" s="1" t="s">
        <v>1477</v>
      </c>
      <c r="J190" s="30">
        <v>270</v>
      </c>
      <c r="K190" s="30">
        <v>40</v>
      </c>
      <c r="L190" s="1" t="s">
        <v>223</v>
      </c>
      <c r="M190" s="1">
        <v>45</v>
      </c>
      <c r="N190" s="1" t="s">
        <v>16</v>
      </c>
      <c r="O190" s="1"/>
      <c r="P190" s="98">
        <v>120</v>
      </c>
      <c r="Q190" t="s">
        <v>1125</v>
      </c>
    </row>
    <row r="191" spans="1:17" x14ac:dyDescent="0.3">
      <c r="A191" s="95">
        <v>45443</v>
      </c>
      <c r="B191" s="10" t="s">
        <v>1297</v>
      </c>
      <c r="C191" s="10" t="s">
        <v>14</v>
      </c>
      <c r="D191" s="11">
        <f t="shared" si="7"/>
        <v>181.81818181818181</v>
      </c>
      <c r="E191" s="30">
        <f t="shared" si="6"/>
        <v>18.18181818181818</v>
      </c>
      <c r="F191" s="30">
        <v>200</v>
      </c>
      <c r="G191" s="30">
        <v>50</v>
      </c>
      <c r="H191" s="13">
        <f t="shared" si="8"/>
        <v>150</v>
      </c>
      <c r="I191" s="1" t="s">
        <v>1478</v>
      </c>
      <c r="J191" s="30">
        <v>170</v>
      </c>
      <c r="K191" s="30">
        <v>30</v>
      </c>
      <c r="L191" s="1" t="s">
        <v>223</v>
      </c>
      <c r="M191" s="1"/>
      <c r="N191" s="1"/>
      <c r="O191" s="1"/>
    </row>
    <row r="192" spans="1:17" x14ac:dyDescent="0.3">
      <c r="A192" s="95">
        <v>45443</v>
      </c>
      <c r="B192" s="10" t="s">
        <v>1298</v>
      </c>
      <c r="C192" s="10" t="s">
        <v>14</v>
      </c>
      <c r="D192" s="11">
        <f t="shared" si="7"/>
        <v>127.27272727272727</v>
      </c>
      <c r="E192" s="30">
        <f t="shared" si="6"/>
        <v>12.727272727272727</v>
      </c>
      <c r="F192" s="30">
        <v>140</v>
      </c>
      <c r="G192" s="30">
        <v>50</v>
      </c>
      <c r="H192" s="13">
        <f t="shared" si="8"/>
        <v>90</v>
      </c>
      <c r="I192" s="1" t="s">
        <v>402</v>
      </c>
      <c r="J192" s="30">
        <v>140</v>
      </c>
      <c r="K192" s="30"/>
      <c r="L192" s="1"/>
      <c r="M192" s="1"/>
      <c r="N192" s="1"/>
      <c r="O192" s="1"/>
    </row>
    <row r="193" spans="1:15" x14ac:dyDescent="0.3">
      <c r="A193" s="95">
        <v>45443</v>
      </c>
      <c r="B193" s="10" t="s">
        <v>1299</v>
      </c>
      <c r="C193" s="10" t="s">
        <v>14</v>
      </c>
      <c r="D193" s="11">
        <f t="shared" si="7"/>
        <v>199.99999999999997</v>
      </c>
      <c r="E193" s="30">
        <f t="shared" si="6"/>
        <v>19.999999999999996</v>
      </c>
      <c r="F193" s="30">
        <v>220</v>
      </c>
      <c r="G193" s="30"/>
      <c r="H193" s="13">
        <f t="shared" si="8"/>
        <v>220</v>
      </c>
      <c r="I193" s="1" t="s">
        <v>402</v>
      </c>
      <c r="J193" s="30">
        <v>220</v>
      </c>
      <c r="K193" s="30"/>
      <c r="L193" s="1"/>
      <c r="M193" s="1"/>
      <c r="N193" s="1"/>
      <c r="O193" s="1"/>
    </row>
    <row r="194" spans="1:15" x14ac:dyDescent="0.3">
      <c r="A194" s="95">
        <v>45443</v>
      </c>
      <c r="B194" s="10" t="s">
        <v>1300</v>
      </c>
      <c r="C194" s="10" t="s">
        <v>14</v>
      </c>
      <c r="D194" s="11">
        <f t="shared" si="7"/>
        <v>209.09090909090907</v>
      </c>
      <c r="E194" s="30">
        <f t="shared" si="6"/>
        <v>20.909090909090907</v>
      </c>
      <c r="F194" s="30">
        <v>230</v>
      </c>
      <c r="G194" s="30"/>
      <c r="H194" s="13">
        <f t="shared" si="8"/>
        <v>230</v>
      </c>
      <c r="I194" s="1" t="s">
        <v>402</v>
      </c>
      <c r="J194" s="30">
        <v>230</v>
      </c>
      <c r="K194" s="30"/>
      <c r="L194" s="1"/>
      <c r="M194" s="1"/>
      <c r="N194" s="1"/>
      <c r="O194" s="1"/>
    </row>
    <row r="195" spans="1:15" x14ac:dyDescent="0.3">
      <c r="A195" s="116" t="s">
        <v>2</v>
      </c>
      <c r="B195" s="116"/>
      <c r="C195" s="116"/>
      <c r="D195" s="30">
        <f>SUM(D3:D194)</f>
        <v>38490.90909090911</v>
      </c>
      <c r="E195" s="30">
        <f t="shared" si="6"/>
        <v>3849.0909090909113</v>
      </c>
      <c r="F195" s="30">
        <f>SUM(F3:F194)</f>
        <v>42340</v>
      </c>
      <c r="G195" s="30">
        <f>SUM(G3:G194)</f>
        <v>7690</v>
      </c>
      <c r="H195" s="30">
        <f>SUM(H3:H194)</f>
        <v>34650</v>
      </c>
    </row>
    <row r="196" spans="1:15" x14ac:dyDescent="0.3">
      <c r="D196" t="s">
        <v>1817</v>
      </c>
      <c r="E196" t="s">
        <v>267</v>
      </c>
      <c r="F196" t="s">
        <v>2</v>
      </c>
      <c r="G196" t="s">
        <v>1820</v>
      </c>
      <c r="H196" t="s">
        <v>13</v>
      </c>
    </row>
    <row r="197" spans="1:15" x14ac:dyDescent="0.3">
      <c r="D197" s="99">
        <f>D195+E195</f>
        <v>42340.000000000022</v>
      </c>
    </row>
  </sheetData>
  <mergeCells count="15">
    <mergeCell ref="A195:C195"/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4" type="noConversion"/>
  <conditionalFormatting sqref="A3:A19 F104:F126">
    <cfRule type="expression" dxfId="23" priority="13" stopIfTrue="1">
      <formula>EXACT($C3,"HUMMER")</formula>
    </cfRule>
    <cfRule type="expression" dxfId="22" priority="14" stopIfTrue="1">
      <formula>EXACT($C3,"BLANCA")</formula>
    </cfRule>
    <cfRule type="expression" dxfId="21" priority="15" stopIfTrue="1">
      <formula>EXACT($C3,"ROSA")</formula>
    </cfRule>
  </conditionalFormatting>
  <conditionalFormatting sqref="A20:A23 A25:A28 A30:A34">
    <cfRule type="expression" dxfId="20" priority="19" stopIfTrue="1">
      <formula>EXACT($C21,"HUMMER")</formula>
    </cfRule>
    <cfRule type="expression" dxfId="19" priority="20" stopIfTrue="1">
      <formula>EXACT($C21,"BLANCA")</formula>
    </cfRule>
    <cfRule type="expression" dxfId="18" priority="21" stopIfTrue="1">
      <formula>EXACT($C21,"ROSA")</formula>
    </cfRule>
  </conditionalFormatting>
  <conditionalFormatting sqref="A24">
    <cfRule type="expression" dxfId="17" priority="1" stopIfTrue="1">
      <formula>EXACT($C24,"HUMMER")</formula>
    </cfRule>
    <cfRule type="expression" dxfId="16" priority="2" stopIfTrue="1">
      <formula>EXACT($C24,"BLANCA")</formula>
    </cfRule>
    <cfRule type="expression" dxfId="15" priority="3" stopIfTrue="1">
      <formula>EXACT($C24,"ROSA")</formula>
    </cfRule>
  </conditionalFormatting>
  <conditionalFormatting sqref="A29">
    <cfRule type="expression" dxfId="14" priority="4" stopIfTrue="1">
      <formula>EXACT($C29,"HUMMER")</formula>
    </cfRule>
    <cfRule type="expression" dxfId="13" priority="5" stopIfTrue="1">
      <formula>EXACT($C29,"BLANCA")</formula>
    </cfRule>
    <cfRule type="expression" dxfId="12" priority="6" stopIfTrue="1">
      <formula>EXACT($C29,"ROSA")</formula>
    </cfRule>
  </conditionalFormatting>
  <conditionalFormatting sqref="A35:A37">
    <cfRule type="expression" dxfId="11" priority="22" stopIfTrue="1">
      <formula>EXACT($C37,"HUMMER")</formula>
    </cfRule>
    <cfRule type="expression" dxfId="10" priority="23" stopIfTrue="1">
      <formula>EXACT($C37,"BLANCA")</formula>
    </cfRule>
    <cfRule type="expression" dxfId="9" priority="24" stopIfTrue="1">
      <formula>EXACT($C37,"ROSA")</formula>
    </cfRule>
  </conditionalFormatting>
  <conditionalFormatting sqref="F3:F8">
    <cfRule type="expression" dxfId="8" priority="10" stopIfTrue="1">
      <formula>EXACT($C3,"HUMMER")</formula>
    </cfRule>
    <cfRule type="expression" dxfId="7" priority="11" stopIfTrue="1">
      <formula>EXACT($C3,"BLANCA")</formula>
    </cfRule>
    <cfRule type="expression" dxfId="6" priority="12" stopIfTrue="1">
      <formula>EXACT($C3,"ROSA")</formula>
    </cfRule>
  </conditionalFormatting>
  <conditionalFormatting sqref="F26:F35 F37">
    <cfRule type="expression" dxfId="5" priority="16" stopIfTrue="1">
      <formula>EXACT($C26,"HUMMER")</formula>
    </cfRule>
    <cfRule type="expression" dxfId="4" priority="17" stopIfTrue="1">
      <formula>EXACT($C26,"BLANCA")</formula>
    </cfRule>
    <cfRule type="expression" dxfId="3" priority="18" stopIfTrue="1">
      <formula>EXACT($C26,"ROSA")</formula>
    </cfRule>
  </conditionalFormatting>
  <conditionalFormatting sqref="F36">
    <cfRule type="expression" dxfId="2" priority="25" stopIfTrue="1">
      <formula>EXACT($C39,"HUMMER")</formula>
    </cfRule>
    <cfRule type="expression" dxfId="1" priority="26" stopIfTrue="1">
      <formula>EXACT($C39,"BLANCA")</formula>
    </cfRule>
    <cfRule type="expression" dxfId="0" priority="27" stopIfTrue="1">
      <formula>EXACT($C39,"ROSA")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D6F8-E249-4C1F-A942-B02C7B8FA127}">
  <dimension ref="A1:O232"/>
  <sheetViews>
    <sheetView topLeftCell="A208" workbookViewId="0">
      <selection activeCell="A230" sqref="A230:L230"/>
    </sheetView>
  </sheetViews>
  <sheetFormatPr baseColWidth="10" defaultRowHeight="14.4" x14ac:dyDescent="0.3"/>
  <cols>
    <col min="2" max="2" width="17.5546875" customWidth="1"/>
    <col min="3" max="3" width="37.6640625" customWidth="1"/>
    <col min="4" max="4" width="14.44140625" customWidth="1"/>
    <col min="5" max="5" width="11.5546875" bestFit="1" customWidth="1"/>
    <col min="6" max="6" width="12.109375" bestFit="1" customWidth="1"/>
    <col min="7" max="7" width="11.5546875" bestFit="1" customWidth="1"/>
    <col min="8" max="8" width="12" bestFit="1" customWidth="1"/>
    <col min="9" max="9" width="24.33203125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8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4"/>
      <c r="N2" s="117"/>
      <c r="O2" s="114"/>
    </row>
    <row r="3" spans="1:15" x14ac:dyDescent="0.3">
      <c r="A3" s="95">
        <v>45444</v>
      </c>
      <c r="B3" s="10" t="s">
        <v>1301</v>
      </c>
      <c r="C3" s="10" t="s">
        <v>14</v>
      </c>
      <c r="D3" s="30">
        <f>F3/1.1</f>
        <v>236.36363636363635</v>
      </c>
      <c r="E3" s="30">
        <f t="shared" ref="E3:E66" si="0">D3*10/100</f>
        <v>23.636363636363637</v>
      </c>
      <c r="F3" s="30">
        <v>260</v>
      </c>
      <c r="G3" s="30">
        <v>50</v>
      </c>
      <c r="H3" s="13">
        <f t="shared" ref="H3:H66" si="1">F3-G3</f>
        <v>210</v>
      </c>
      <c r="I3" s="1" t="s">
        <v>1479</v>
      </c>
      <c r="J3" s="30">
        <v>220</v>
      </c>
      <c r="K3" s="30">
        <v>40</v>
      </c>
      <c r="L3" s="1" t="s">
        <v>223</v>
      </c>
      <c r="M3" s="1"/>
      <c r="N3" s="1"/>
      <c r="O3" s="1"/>
    </row>
    <row r="4" spans="1:15" x14ac:dyDescent="0.3">
      <c r="A4" s="95">
        <v>45444</v>
      </c>
      <c r="B4" s="10" t="s">
        <v>1302</v>
      </c>
      <c r="C4" s="10" t="s">
        <v>14</v>
      </c>
      <c r="D4" s="30">
        <f t="shared" ref="D4:D67" si="2">F4/1.1</f>
        <v>277.27272727272725</v>
      </c>
      <c r="E4" s="30">
        <f t="shared" si="0"/>
        <v>27.727272727272727</v>
      </c>
      <c r="F4" s="30">
        <v>305</v>
      </c>
      <c r="G4" s="30">
        <v>50</v>
      </c>
      <c r="H4" s="13">
        <f t="shared" si="1"/>
        <v>255</v>
      </c>
      <c r="I4" s="1" t="s">
        <v>1480</v>
      </c>
      <c r="J4" s="30">
        <v>220</v>
      </c>
      <c r="K4" s="30">
        <v>40</v>
      </c>
      <c r="L4" s="1" t="s">
        <v>223</v>
      </c>
      <c r="M4" s="30">
        <v>45</v>
      </c>
      <c r="N4" s="1" t="s">
        <v>16</v>
      </c>
      <c r="O4" s="1"/>
    </row>
    <row r="5" spans="1:15" x14ac:dyDescent="0.3">
      <c r="A5" s="95">
        <v>45444</v>
      </c>
      <c r="B5" s="10" t="s">
        <v>1303</v>
      </c>
      <c r="C5" s="10" t="s">
        <v>14</v>
      </c>
      <c r="D5" s="30">
        <f t="shared" si="2"/>
        <v>263.63636363636363</v>
      </c>
      <c r="E5" s="30">
        <f t="shared" si="0"/>
        <v>26.36363636363636</v>
      </c>
      <c r="F5" s="30">
        <v>290</v>
      </c>
      <c r="G5" s="30">
        <v>50</v>
      </c>
      <c r="H5" s="13">
        <f t="shared" si="1"/>
        <v>240</v>
      </c>
      <c r="I5" s="1" t="s">
        <v>1481</v>
      </c>
      <c r="J5" s="30">
        <v>270</v>
      </c>
      <c r="K5" s="30">
        <v>20</v>
      </c>
      <c r="L5" s="1" t="s">
        <v>223</v>
      </c>
      <c r="M5" s="30"/>
      <c r="N5" s="1"/>
      <c r="O5" s="1"/>
    </row>
    <row r="6" spans="1:15" x14ac:dyDescent="0.3">
      <c r="A6" s="95">
        <v>45444</v>
      </c>
      <c r="B6" s="10" t="s">
        <v>1304</v>
      </c>
      <c r="C6" s="10" t="s">
        <v>14</v>
      </c>
      <c r="D6" s="30">
        <f t="shared" si="2"/>
        <v>236.36363636363635</v>
      </c>
      <c r="E6" s="30">
        <f t="shared" si="0"/>
        <v>23.636363636363637</v>
      </c>
      <c r="F6" s="30">
        <v>260</v>
      </c>
      <c r="G6" s="30">
        <v>50</v>
      </c>
      <c r="H6" s="13">
        <f t="shared" si="1"/>
        <v>210</v>
      </c>
      <c r="I6" s="1" t="s">
        <v>1482</v>
      </c>
      <c r="J6" s="30">
        <v>220</v>
      </c>
      <c r="K6" s="30">
        <v>40</v>
      </c>
      <c r="L6" s="1" t="s">
        <v>223</v>
      </c>
      <c r="M6" s="30"/>
      <c r="N6" s="1"/>
      <c r="O6" s="1"/>
    </row>
    <row r="7" spans="1:15" x14ac:dyDescent="0.3">
      <c r="A7" s="95">
        <v>45444</v>
      </c>
      <c r="B7" s="10" t="s">
        <v>1305</v>
      </c>
      <c r="C7" s="10" t="s">
        <v>14</v>
      </c>
      <c r="D7" s="30">
        <f t="shared" si="2"/>
        <v>227.27272727272725</v>
      </c>
      <c r="E7" s="30">
        <f t="shared" si="0"/>
        <v>22.727272727272727</v>
      </c>
      <c r="F7" s="30">
        <v>250</v>
      </c>
      <c r="G7" s="30"/>
      <c r="H7" s="13">
        <f t="shared" si="1"/>
        <v>250</v>
      </c>
      <c r="I7" s="1" t="s">
        <v>1483</v>
      </c>
      <c r="J7" s="30">
        <v>250</v>
      </c>
      <c r="K7" s="30"/>
      <c r="L7" s="1"/>
      <c r="M7" s="30"/>
      <c r="N7" s="1"/>
      <c r="O7" s="1"/>
    </row>
    <row r="8" spans="1:15" x14ac:dyDescent="0.3">
      <c r="A8" s="95">
        <v>45444</v>
      </c>
      <c r="B8" s="10" t="s">
        <v>1306</v>
      </c>
      <c r="C8" s="10" t="s">
        <v>14</v>
      </c>
      <c r="D8" s="30">
        <f t="shared" si="2"/>
        <v>245.45454545454544</v>
      </c>
      <c r="E8" s="30">
        <f t="shared" si="0"/>
        <v>24.545454545454547</v>
      </c>
      <c r="F8" s="30">
        <v>270</v>
      </c>
      <c r="G8" s="30">
        <v>50</v>
      </c>
      <c r="H8" s="13">
        <f t="shared" si="1"/>
        <v>220</v>
      </c>
      <c r="I8" s="1" t="s">
        <v>1484</v>
      </c>
      <c r="J8" s="30">
        <v>270</v>
      </c>
      <c r="K8" s="30"/>
      <c r="L8" s="1"/>
      <c r="M8" s="30"/>
      <c r="N8" s="1"/>
      <c r="O8" s="1"/>
    </row>
    <row r="9" spans="1:15" x14ac:dyDescent="0.3">
      <c r="A9" s="95">
        <v>45444</v>
      </c>
      <c r="B9" s="10" t="s">
        <v>1307</v>
      </c>
      <c r="C9" s="10" t="s">
        <v>14</v>
      </c>
      <c r="D9" s="30">
        <f t="shared" si="2"/>
        <v>199.99999999999997</v>
      </c>
      <c r="E9" s="30">
        <f t="shared" si="0"/>
        <v>19.999999999999996</v>
      </c>
      <c r="F9" s="30">
        <v>220</v>
      </c>
      <c r="G9" s="30">
        <v>50</v>
      </c>
      <c r="H9" s="13">
        <f t="shared" si="1"/>
        <v>170</v>
      </c>
      <c r="I9" s="1" t="s">
        <v>1599</v>
      </c>
      <c r="J9" s="30">
        <v>170</v>
      </c>
      <c r="K9" s="30">
        <v>50</v>
      </c>
      <c r="L9" s="1" t="s">
        <v>223</v>
      </c>
      <c r="M9" s="30"/>
      <c r="N9" s="1"/>
      <c r="O9" s="1"/>
    </row>
    <row r="10" spans="1:15" x14ac:dyDescent="0.3">
      <c r="A10" s="95">
        <v>45444</v>
      </c>
      <c r="B10" s="10" t="s">
        <v>1308</v>
      </c>
      <c r="C10" s="10" t="s">
        <v>14</v>
      </c>
      <c r="D10" s="30">
        <f t="shared" si="2"/>
        <v>154.54545454545453</v>
      </c>
      <c r="E10" s="30">
        <f t="shared" si="0"/>
        <v>15.454545454545453</v>
      </c>
      <c r="F10" s="30">
        <v>170</v>
      </c>
      <c r="G10" s="30"/>
      <c r="H10" s="13">
        <f t="shared" si="1"/>
        <v>170</v>
      </c>
      <c r="I10" s="1" t="s">
        <v>1389</v>
      </c>
      <c r="J10" s="30">
        <v>170</v>
      </c>
      <c r="K10" s="30"/>
      <c r="L10" s="1"/>
      <c r="M10" s="30"/>
      <c r="N10" s="1"/>
      <c r="O10" s="1"/>
    </row>
    <row r="11" spans="1:15" x14ac:dyDescent="0.3">
      <c r="A11" s="95">
        <v>45444</v>
      </c>
      <c r="B11" s="10" t="s">
        <v>1309</v>
      </c>
      <c r="C11" s="10" t="s">
        <v>14</v>
      </c>
      <c r="D11" s="30">
        <f t="shared" si="2"/>
        <v>127.27272727272727</v>
      </c>
      <c r="E11" s="30">
        <f t="shared" si="0"/>
        <v>12.727272727272727</v>
      </c>
      <c r="F11" s="30">
        <v>140</v>
      </c>
      <c r="G11" s="30"/>
      <c r="H11" s="13">
        <f t="shared" si="1"/>
        <v>140</v>
      </c>
      <c r="I11" s="1" t="s">
        <v>1393</v>
      </c>
      <c r="J11" s="30">
        <v>140</v>
      </c>
      <c r="K11" s="30"/>
      <c r="L11" s="1"/>
      <c r="M11" s="30"/>
      <c r="N11" s="1"/>
      <c r="O11" s="1"/>
    </row>
    <row r="12" spans="1:15" x14ac:dyDescent="0.3">
      <c r="A12" s="95">
        <v>45444</v>
      </c>
      <c r="B12" s="10" t="s">
        <v>1310</v>
      </c>
      <c r="C12" s="10" t="s">
        <v>14</v>
      </c>
      <c r="D12" s="30">
        <f t="shared" si="2"/>
        <v>145.45454545454544</v>
      </c>
      <c r="E12" s="30">
        <f t="shared" si="0"/>
        <v>14.545454545454545</v>
      </c>
      <c r="F12" s="30">
        <v>160</v>
      </c>
      <c r="G12" s="30"/>
      <c r="H12" s="13">
        <f t="shared" si="1"/>
        <v>160</v>
      </c>
      <c r="I12" s="1" t="s">
        <v>403</v>
      </c>
      <c r="J12" s="30">
        <v>160</v>
      </c>
      <c r="K12" s="30"/>
      <c r="L12" s="1"/>
      <c r="M12" s="30"/>
      <c r="N12" s="1"/>
      <c r="O12" s="1"/>
    </row>
    <row r="13" spans="1:15" x14ac:dyDescent="0.3">
      <c r="A13" s="95">
        <v>45444</v>
      </c>
      <c r="B13" s="10" t="s">
        <v>1311</v>
      </c>
      <c r="C13" s="10" t="s">
        <v>14</v>
      </c>
      <c r="D13" s="30">
        <f t="shared" si="2"/>
        <v>109.09090909090908</v>
      </c>
      <c r="E13" s="30">
        <f t="shared" si="0"/>
        <v>10.909090909090908</v>
      </c>
      <c r="F13" s="30">
        <v>120</v>
      </c>
      <c r="G13" s="30"/>
      <c r="H13" s="13">
        <f t="shared" si="1"/>
        <v>120</v>
      </c>
      <c r="I13" s="1" t="s">
        <v>1389</v>
      </c>
      <c r="J13" s="30">
        <v>120</v>
      </c>
      <c r="K13" s="30"/>
      <c r="L13" s="1"/>
      <c r="M13" s="30"/>
      <c r="N13" s="1"/>
      <c r="O13" s="1"/>
    </row>
    <row r="14" spans="1:15" x14ac:dyDescent="0.3">
      <c r="A14" s="95">
        <v>45444</v>
      </c>
      <c r="B14" s="10" t="s">
        <v>1312</v>
      </c>
      <c r="C14" s="10" t="s">
        <v>14</v>
      </c>
      <c r="D14" s="30">
        <f t="shared" si="2"/>
        <v>172.72727272727272</v>
      </c>
      <c r="E14" s="30">
        <f t="shared" si="0"/>
        <v>17.272727272727273</v>
      </c>
      <c r="F14" s="30">
        <v>190</v>
      </c>
      <c r="G14" s="30">
        <v>50</v>
      </c>
      <c r="H14" s="13">
        <f t="shared" si="1"/>
        <v>140</v>
      </c>
      <c r="I14" s="1" t="s">
        <v>1600</v>
      </c>
      <c r="J14" s="30">
        <v>170</v>
      </c>
      <c r="K14" s="30">
        <v>20</v>
      </c>
      <c r="L14" s="1" t="s">
        <v>223</v>
      </c>
      <c r="M14" s="30"/>
      <c r="N14" s="1"/>
      <c r="O14" s="1"/>
    </row>
    <row r="15" spans="1:15" x14ac:dyDescent="0.3">
      <c r="A15" s="95">
        <v>45444</v>
      </c>
      <c r="B15" s="10" t="s">
        <v>1313</v>
      </c>
      <c r="C15" s="10" t="s">
        <v>14</v>
      </c>
      <c r="D15" s="30">
        <f t="shared" si="2"/>
        <v>190.90909090909091</v>
      </c>
      <c r="E15" s="30">
        <f t="shared" si="0"/>
        <v>19.09090909090909</v>
      </c>
      <c r="F15" s="30">
        <v>210</v>
      </c>
      <c r="G15" s="30">
        <v>50</v>
      </c>
      <c r="H15" s="13">
        <f t="shared" si="1"/>
        <v>160</v>
      </c>
      <c r="I15" s="1" t="s">
        <v>1601</v>
      </c>
      <c r="J15" s="30">
        <v>170</v>
      </c>
      <c r="K15" s="30">
        <v>40</v>
      </c>
      <c r="L15" s="1" t="s">
        <v>223</v>
      </c>
      <c r="M15" s="30"/>
      <c r="N15" s="1"/>
      <c r="O15" s="1"/>
    </row>
    <row r="16" spans="1:15" x14ac:dyDescent="0.3">
      <c r="A16" s="95">
        <v>45444</v>
      </c>
      <c r="B16" s="10" t="s">
        <v>1314</v>
      </c>
      <c r="C16" s="10" t="s">
        <v>14</v>
      </c>
      <c r="D16" s="30">
        <f t="shared" si="2"/>
        <v>163.63636363636363</v>
      </c>
      <c r="E16" s="30">
        <f t="shared" si="0"/>
        <v>16.363636363636363</v>
      </c>
      <c r="F16" s="30">
        <v>180</v>
      </c>
      <c r="G16" s="30"/>
      <c r="H16" s="13">
        <f t="shared" si="1"/>
        <v>180</v>
      </c>
      <c r="I16" s="1" t="s">
        <v>1393</v>
      </c>
      <c r="J16" s="30">
        <v>180</v>
      </c>
      <c r="K16" s="30"/>
      <c r="L16" s="1"/>
      <c r="M16" s="30"/>
      <c r="N16" s="1"/>
      <c r="O16" s="1"/>
    </row>
    <row r="17" spans="1:15" x14ac:dyDescent="0.3">
      <c r="A17" s="95">
        <v>45444</v>
      </c>
      <c r="B17" s="10" t="s">
        <v>1315</v>
      </c>
      <c r="C17" s="10" t="s">
        <v>14</v>
      </c>
      <c r="D17" s="30">
        <f t="shared" si="2"/>
        <v>127.27272727272727</v>
      </c>
      <c r="E17" s="30">
        <f t="shared" si="0"/>
        <v>12.727272727272727</v>
      </c>
      <c r="F17" s="30">
        <v>140</v>
      </c>
      <c r="G17" s="30"/>
      <c r="H17" s="13">
        <f t="shared" si="1"/>
        <v>140</v>
      </c>
      <c r="I17" s="1" t="s">
        <v>1602</v>
      </c>
      <c r="J17" s="30">
        <v>140</v>
      </c>
      <c r="K17" s="30"/>
      <c r="L17" s="1"/>
      <c r="M17" s="30"/>
      <c r="N17" s="1"/>
      <c r="O17" s="1"/>
    </row>
    <row r="18" spans="1:15" x14ac:dyDescent="0.3">
      <c r="A18" s="95">
        <v>45444</v>
      </c>
      <c r="B18" s="10" t="s">
        <v>1316</v>
      </c>
      <c r="C18" s="10" t="s">
        <v>14</v>
      </c>
      <c r="D18" s="30">
        <f t="shared" si="2"/>
        <v>190.90909090909091</v>
      </c>
      <c r="E18" s="30">
        <f t="shared" si="0"/>
        <v>19.09090909090909</v>
      </c>
      <c r="F18" s="30">
        <v>210</v>
      </c>
      <c r="G18" s="30">
        <v>50</v>
      </c>
      <c r="H18" s="13">
        <f t="shared" si="1"/>
        <v>160</v>
      </c>
      <c r="I18" s="1" t="s">
        <v>1603</v>
      </c>
      <c r="J18" s="30">
        <v>170</v>
      </c>
      <c r="K18" s="30">
        <v>40</v>
      </c>
      <c r="L18" s="1" t="s">
        <v>223</v>
      </c>
      <c r="M18" s="30"/>
      <c r="N18" s="1"/>
      <c r="O18" s="1"/>
    </row>
    <row r="19" spans="1:15" x14ac:dyDescent="0.3">
      <c r="A19" s="95">
        <v>45444</v>
      </c>
      <c r="B19" s="10" t="s">
        <v>1317</v>
      </c>
      <c r="C19" s="10" t="s">
        <v>14</v>
      </c>
      <c r="D19" s="30">
        <f t="shared" si="2"/>
        <v>127.27272727272727</v>
      </c>
      <c r="E19" s="30">
        <f t="shared" si="0"/>
        <v>12.727272727272727</v>
      </c>
      <c r="F19" s="30">
        <v>140</v>
      </c>
      <c r="G19" s="30">
        <v>50</v>
      </c>
      <c r="H19" s="13">
        <f t="shared" si="1"/>
        <v>90</v>
      </c>
      <c r="I19" s="1" t="s">
        <v>1373</v>
      </c>
      <c r="J19" s="30">
        <v>170</v>
      </c>
      <c r="K19" s="30">
        <v>20</v>
      </c>
      <c r="L19" s="1" t="s">
        <v>223</v>
      </c>
      <c r="M19" s="30"/>
      <c r="N19" s="1"/>
      <c r="O19" s="1"/>
    </row>
    <row r="20" spans="1:15" x14ac:dyDescent="0.3">
      <c r="A20" s="95">
        <v>45444</v>
      </c>
      <c r="B20" s="10" t="s">
        <v>1318</v>
      </c>
      <c r="C20" s="10" t="s">
        <v>14</v>
      </c>
      <c r="D20" s="30">
        <f t="shared" si="2"/>
        <v>281.81818181818181</v>
      </c>
      <c r="E20" s="30">
        <f t="shared" si="0"/>
        <v>28.18181818181818</v>
      </c>
      <c r="F20" s="30">
        <v>310</v>
      </c>
      <c r="G20" s="30">
        <v>50</v>
      </c>
      <c r="H20" s="13">
        <f t="shared" si="1"/>
        <v>260</v>
      </c>
      <c r="I20" s="1" t="s">
        <v>1604</v>
      </c>
      <c r="J20" s="30">
        <v>270</v>
      </c>
      <c r="K20" s="30">
        <v>40</v>
      </c>
      <c r="L20" s="1" t="s">
        <v>223</v>
      </c>
      <c r="M20" s="30"/>
      <c r="N20" s="1"/>
      <c r="O20" s="1"/>
    </row>
    <row r="21" spans="1:15" x14ac:dyDescent="0.3">
      <c r="A21" s="95">
        <v>45444</v>
      </c>
      <c r="B21" s="10" t="s">
        <v>1319</v>
      </c>
      <c r="C21" s="10" t="s">
        <v>14</v>
      </c>
      <c r="D21" s="30">
        <f t="shared" si="2"/>
        <v>163.63636363636363</v>
      </c>
      <c r="E21" s="30">
        <f t="shared" si="0"/>
        <v>16.363636363636363</v>
      </c>
      <c r="F21" s="30">
        <v>180</v>
      </c>
      <c r="G21" s="30">
        <v>50</v>
      </c>
      <c r="H21" s="13">
        <f t="shared" si="1"/>
        <v>130</v>
      </c>
      <c r="I21" s="1" t="s">
        <v>1605</v>
      </c>
      <c r="J21" s="30">
        <v>180</v>
      </c>
      <c r="K21" s="30"/>
      <c r="L21" s="1"/>
      <c r="M21" s="30"/>
      <c r="N21" s="1"/>
      <c r="O21" s="1"/>
    </row>
    <row r="22" spans="1:15" x14ac:dyDescent="0.3">
      <c r="A22" s="95">
        <v>45444</v>
      </c>
      <c r="B22" s="10" t="s">
        <v>1320</v>
      </c>
      <c r="C22" s="10" t="s">
        <v>14</v>
      </c>
      <c r="D22" s="30">
        <f t="shared" si="2"/>
        <v>227.27272727272725</v>
      </c>
      <c r="E22" s="30">
        <f t="shared" si="0"/>
        <v>22.727272727272727</v>
      </c>
      <c r="F22" s="30">
        <v>250</v>
      </c>
      <c r="G22" s="30">
        <v>50</v>
      </c>
      <c r="H22" s="13">
        <f t="shared" si="1"/>
        <v>200</v>
      </c>
      <c r="I22" s="1" t="s">
        <v>1606</v>
      </c>
      <c r="J22" s="30">
        <v>250</v>
      </c>
      <c r="K22" s="30"/>
      <c r="L22" s="1"/>
      <c r="M22" s="30"/>
      <c r="N22" s="1"/>
      <c r="O22" s="1"/>
    </row>
    <row r="23" spans="1:15" x14ac:dyDescent="0.3">
      <c r="A23" s="95">
        <v>45444</v>
      </c>
      <c r="B23" s="10" t="s">
        <v>1321</v>
      </c>
      <c r="C23" s="10" t="s">
        <v>14</v>
      </c>
      <c r="D23" s="30">
        <f t="shared" si="2"/>
        <v>154.54545454545453</v>
      </c>
      <c r="E23" s="30">
        <f t="shared" si="0"/>
        <v>15.454545454545453</v>
      </c>
      <c r="F23" s="30">
        <v>170</v>
      </c>
      <c r="G23" s="30">
        <v>50</v>
      </c>
      <c r="H23" s="13">
        <f t="shared" si="1"/>
        <v>120</v>
      </c>
      <c r="I23" s="1" t="s">
        <v>1607</v>
      </c>
      <c r="J23" s="30">
        <v>170</v>
      </c>
      <c r="K23" s="30"/>
      <c r="L23" s="1"/>
      <c r="M23" s="30"/>
      <c r="N23" s="1"/>
      <c r="O23" s="1"/>
    </row>
    <row r="24" spans="1:15" x14ac:dyDescent="0.3">
      <c r="A24" s="95">
        <v>45444</v>
      </c>
      <c r="B24" s="10" t="s">
        <v>1322</v>
      </c>
      <c r="C24" s="10" t="s">
        <v>14</v>
      </c>
      <c r="D24" s="30">
        <f t="shared" si="2"/>
        <v>272.72727272727269</v>
      </c>
      <c r="E24" s="30">
        <f t="shared" si="0"/>
        <v>27.27272727272727</v>
      </c>
      <c r="F24" s="30">
        <v>300</v>
      </c>
      <c r="G24" s="30">
        <v>50</v>
      </c>
      <c r="H24" s="13">
        <f t="shared" si="1"/>
        <v>250</v>
      </c>
      <c r="I24" s="1" t="s">
        <v>1608</v>
      </c>
      <c r="J24" s="30">
        <v>270</v>
      </c>
      <c r="K24" s="30">
        <v>30</v>
      </c>
      <c r="L24" s="1" t="s">
        <v>223</v>
      </c>
      <c r="M24" s="30"/>
      <c r="N24" s="1"/>
      <c r="O24" s="1"/>
    </row>
    <row r="25" spans="1:15" x14ac:dyDescent="0.3">
      <c r="A25" s="95">
        <v>45444</v>
      </c>
      <c r="B25" s="10" t="s">
        <v>1323</v>
      </c>
      <c r="C25" s="10" t="s">
        <v>14</v>
      </c>
      <c r="D25" s="30">
        <f t="shared" si="2"/>
        <v>227.27272727272725</v>
      </c>
      <c r="E25" s="30">
        <f t="shared" si="0"/>
        <v>22.727272727272727</v>
      </c>
      <c r="F25" s="30">
        <v>250</v>
      </c>
      <c r="G25" s="30">
        <v>50</v>
      </c>
      <c r="H25" s="13">
        <f t="shared" si="1"/>
        <v>200</v>
      </c>
      <c r="I25" s="1" t="s">
        <v>1609</v>
      </c>
      <c r="J25" s="30">
        <v>220</v>
      </c>
      <c r="K25" s="30">
        <v>30</v>
      </c>
      <c r="L25" s="1" t="s">
        <v>223</v>
      </c>
      <c r="M25" s="30"/>
      <c r="N25" s="1"/>
      <c r="O25" s="1"/>
    </row>
    <row r="26" spans="1:15" x14ac:dyDescent="0.3">
      <c r="A26" s="41">
        <v>45446</v>
      </c>
      <c r="B26" s="10" t="s">
        <v>1324</v>
      </c>
      <c r="C26" s="10" t="s">
        <v>14</v>
      </c>
      <c r="D26" s="30">
        <f t="shared" si="2"/>
        <v>327.27272727272725</v>
      </c>
      <c r="E26" s="30">
        <f t="shared" si="0"/>
        <v>32.727272727272727</v>
      </c>
      <c r="F26" s="30">
        <v>360</v>
      </c>
      <c r="G26" s="30"/>
      <c r="H26" s="13">
        <f t="shared" si="1"/>
        <v>360</v>
      </c>
      <c r="I26" s="1" t="s">
        <v>402</v>
      </c>
      <c r="J26" s="30">
        <v>360</v>
      </c>
      <c r="K26" s="30"/>
      <c r="L26" s="1"/>
      <c r="M26" s="30"/>
      <c r="N26" s="1"/>
      <c r="O26" s="1"/>
    </row>
    <row r="27" spans="1:15" x14ac:dyDescent="0.3">
      <c r="A27" s="41">
        <v>45448</v>
      </c>
      <c r="B27" s="10" t="s">
        <v>1325</v>
      </c>
      <c r="C27" s="10" t="s">
        <v>14</v>
      </c>
      <c r="D27" s="30">
        <f t="shared" si="2"/>
        <v>199.99999999999997</v>
      </c>
      <c r="E27" s="30">
        <f t="shared" si="0"/>
        <v>19.999999999999996</v>
      </c>
      <c r="F27" s="30">
        <v>220</v>
      </c>
      <c r="G27" s="30">
        <v>50</v>
      </c>
      <c r="H27" s="13">
        <f t="shared" si="1"/>
        <v>170</v>
      </c>
      <c r="I27" s="1" t="s">
        <v>1610</v>
      </c>
      <c r="J27" s="30">
        <v>220</v>
      </c>
      <c r="K27" s="30"/>
      <c r="L27" s="1"/>
      <c r="M27" s="30"/>
      <c r="N27" s="1"/>
      <c r="O27" s="1"/>
    </row>
    <row r="28" spans="1:15" x14ac:dyDescent="0.3">
      <c r="A28" s="41">
        <v>45449</v>
      </c>
      <c r="B28" s="10" t="s">
        <v>1326</v>
      </c>
      <c r="C28" s="10" t="s">
        <v>14</v>
      </c>
      <c r="D28" s="30">
        <f t="shared" si="2"/>
        <v>181.81818181818181</v>
      </c>
      <c r="E28" s="30">
        <f t="shared" si="0"/>
        <v>18.18181818181818</v>
      </c>
      <c r="F28" s="30">
        <v>200</v>
      </c>
      <c r="G28" s="30">
        <v>50</v>
      </c>
      <c r="H28" s="13">
        <f t="shared" si="1"/>
        <v>150</v>
      </c>
      <c r="I28" s="1" t="s">
        <v>1611</v>
      </c>
      <c r="J28" s="30">
        <v>170</v>
      </c>
      <c r="K28" s="30">
        <v>30</v>
      </c>
      <c r="L28" s="1" t="s">
        <v>223</v>
      </c>
      <c r="M28" s="30"/>
      <c r="N28" s="1"/>
      <c r="O28" s="1"/>
    </row>
    <row r="29" spans="1:15" x14ac:dyDescent="0.3">
      <c r="A29" s="41">
        <v>45449</v>
      </c>
      <c r="B29" s="10" t="s">
        <v>1327</v>
      </c>
      <c r="C29" s="10" t="s">
        <v>14</v>
      </c>
      <c r="D29" s="30">
        <f t="shared" si="2"/>
        <v>145.45454545454544</v>
      </c>
      <c r="E29" s="30">
        <f t="shared" si="0"/>
        <v>14.545454545454545</v>
      </c>
      <c r="F29" s="30">
        <v>160</v>
      </c>
      <c r="G29" s="30"/>
      <c r="H29" s="13">
        <f t="shared" si="1"/>
        <v>160</v>
      </c>
      <c r="I29" s="1" t="s">
        <v>402</v>
      </c>
      <c r="J29" s="30">
        <v>160</v>
      </c>
      <c r="K29" s="30">
        <v>30</v>
      </c>
      <c r="L29" s="1" t="s">
        <v>223</v>
      </c>
      <c r="M29" s="30"/>
      <c r="N29" s="1"/>
      <c r="O29" s="1"/>
    </row>
    <row r="30" spans="1:15" x14ac:dyDescent="0.3">
      <c r="A30" s="41">
        <v>45450</v>
      </c>
      <c r="B30" s="10" t="s">
        <v>1328</v>
      </c>
      <c r="C30" s="10" t="s">
        <v>14</v>
      </c>
      <c r="D30" s="30">
        <f t="shared" si="2"/>
        <v>263.63636363636363</v>
      </c>
      <c r="E30" s="30">
        <f t="shared" si="0"/>
        <v>26.36363636363636</v>
      </c>
      <c r="F30" s="30">
        <v>290</v>
      </c>
      <c r="G30" s="30">
        <v>50</v>
      </c>
      <c r="H30" s="13">
        <f t="shared" si="1"/>
        <v>240</v>
      </c>
      <c r="I30" s="1" t="s">
        <v>1612</v>
      </c>
      <c r="J30" s="30">
        <v>270</v>
      </c>
      <c r="K30" s="30">
        <v>20</v>
      </c>
      <c r="L30" s="1" t="s">
        <v>223</v>
      </c>
      <c r="M30" s="30"/>
      <c r="N30" s="1"/>
      <c r="O30" s="1"/>
    </row>
    <row r="31" spans="1:15" x14ac:dyDescent="0.3">
      <c r="A31" s="41">
        <v>45450</v>
      </c>
      <c r="B31" s="10" t="s">
        <v>1329</v>
      </c>
      <c r="C31" s="10" t="s">
        <v>14</v>
      </c>
      <c r="D31" s="30">
        <f t="shared" si="2"/>
        <v>154.54545454545453</v>
      </c>
      <c r="E31" s="30">
        <f t="shared" si="0"/>
        <v>15.454545454545453</v>
      </c>
      <c r="F31" s="30">
        <v>170</v>
      </c>
      <c r="G31" s="30">
        <v>50</v>
      </c>
      <c r="H31" s="13">
        <f t="shared" si="1"/>
        <v>120</v>
      </c>
      <c r="I31" s="1" t="s">
        <v>1613</v>
      </c>
      <c r="J31" s="30">
        <v>170</v>
      </c>
      <c r="K31" s="30"/>
      <c r="L31" s="1"/>
      <c r="M31" s="30"/>
      <c r="N31" s="1"/>
      <c r="O31" s="1"/>
    </row>
    <row r="32" spans="1:15" x14ac:dyDescent="0.3">
      <c r="A32" s="41">
        <v>45450</v>
      </c>
      <c r="B32" s="10" t="s">
        <v>1330</v>
      </c>
      <c r="C32" s="10" t="s">
        <v>14</v>
      </c>
      <c r="D32" s="30">
        <f t="shared" si="2"/>
        <v>172.72727272727272</v>
      </c>
      <c r="E32" s="30">
        <f t="shared" si="0"/>
        <v>17.272727272727273</v>
      </c>
      <c r="F32" s="30">
        <v>190</v>
      </c>
      <c r="G32" s="30">
        <v>50</v>
      </c>
      <c r="H32" s="13">
        <f t="shared" si="1"/>
        <v>140</v>
      </c>
      <c r="I32" s="1" t="s">
        <v>1614</v>
      </c>
      <c r="J32" s="30">
        <v>170</v>
      </c>
      <c r="K32" s="30">
        <v>20</v>
      </c>
      <c r="L32" s="1" t="s">
        <v>223</v>
      </c>
      <c r="M32" s="30"/>
      <c r="N32" s="1"/>
      <c r="O32" s="1"/>
    </row>
    <row r="33" spans="1:15" x14ac:dyDescent="0.3">
      <c r="A33" s="41">
        <v>45450</v>
      </c>
      <c r="B33" s="10" t="s">
        <v>1331</v>
      </c>
      <c r="C33" s="10" t="s">
        <v>14</v>
      </c>
      <c r="D33" s="30">
        <f t="shared" si="2"/>
        <v>163.63636363636363</v>
      </c>
      <c r="E33" s="30">
        <f t="shared" si="0"/>
        <v>16.363636363636363</v>
      </c>
      <c r="F33" s="30">
        <v>180</v>
      </c>
      <c r="G33" s="30"/>
      <c r="H33" s="13">
        <f t="shared" si="1"/>
        <v>180</v>
      </c>
      <c r="I33" s="1" t="s">
        <v>402</v>
      </c>
      <c r="J33" s="30">
        <v>180</v>
      </c>
      <c r="K33" s="30"/>
      <c r="L33" s="1"/>
      <c r="M33" s="30"/>
      <c r="N33" s="1"/>
      <c r="O33" s="1"/>
    </row>
    <row r="34" spans="1:15" x14ac:dyDescent="0.3">
      <c r="A34" s="41">
        <v>45450</v>
      </c>
      <c r="B34" s="10" t="s">
        <v>1332</v>
      </c>
      <c r="C34" s="10" t="s">
        <v>14</v>
      </c>
      <c r="D34" s="30">
        <f t="shared" si="2"/>
        <v>199.99999999999997</v>
      </c>
      <c r="E34" s="30">
        <f t="shared" si="0"/>
        <v>19.999999999999996</v>
      </c>
      <c r="F34" s="30">
        <v>220</v>
      </c>
      <c r="G34" s="30">
        <v>50</v>
      </c>
      <c r="H34" s="13">
        <f t="shared" si="1"/>
        <v>170</v>
      </c>
      <c r="I34" s="1" t="s">
        <v>1615</v>
      </c>
      <c r="J34" s="30">
        <v>220</v>
      </c>
      <c r="K34" s="30"/>
      <c r="L34" s="1"/>
      <c r="M34" s="30"/>
      <c r="N34" s="1"/>
      <c r="O34" s="1"/>
    </row>
    <row r="35" spans="1:15" x14ac:dyDescent="0.3">
      <c r="A35" s="41">
        <v>45450</v>
      </c>
      <c r="B35" s="10" t="s">
        <v>1333</v>
      </c>
      <c r="C35" s="10" t="s">
        <v>14</v>
      </c>
      <c r="D35" s="30">
        <f t="shared" si="2"/>
        <v>199.99999999999997</v>
      </c>
      <c r="E35" s="30">
        <f t="shared" si="0"/>
        <v>19.999999999999996</v>
      </c>
      <c r="F35" s="30">
        <v>220</v>
      </c>
      <c r="G35" s="30">
        <v>50</v>
      </c>
      <c r="H35" s="13">
        <f t="shared" si="1"/>
        <v>170</v>
      </c>
      <c r="I35" s="1" t="s">
        <v>1616</v>
      </c>
      <c r="J35" s="30">
        <v>220</v>
      </c>
      <c r="K35" s="30"/>
      <c r="L35" s="1"/>
      <c r="M35" s="30"/>
      <c r="N35" s="1"/>
      <c r="O35" s="1"/>
    </row>
    <row r="36" spans="1:15" x14ac:dyDescent="0.3">
      <c r="A36" s="41">
        <v>45450</v>
      </c>
      <c r="B36" s="10" t="s">
        <v>1334</v>
      </c>
      <c r="C36" s="10" t="s">
        <v>14</v>
      </c>
      <c r="D36" s="30">
        <f t="shared" si="2"/>
        <v>354.5454545454545</v>
      </c>
      <c r="E36" s="30">
        <f t="shared" si="0"/>
        <v>35.454545454545453</v>
      </c>
      <c r="F36" s="30">
        <v>390</v>
      </c>
      <c r="G36" s="30"/>
      <c r="H36" s="13">
        <f t="shared" si="1"/>
        <v>390</v>
      </c>
      <c r="I36" s="1" t="s">
        <v>402</v>
      </c>
      <c r="J36" s="30">
        <v>180</v>
      </c>
      <c r="K36" s="30">
        <v>50</v>
      </c>
      <c r="L36" s="1" t="s">
        <v>223</v>
      </c>
      <c r="M36" s="30">
        <v>160</v>
      </c>
      <c r="N36" s="1" t="s">
        <v>1392</v>
      </c>
      <c r="O36" s="1"/>
    </row>
    <row r="37" spans="1:15" x14ac:dyDescent="0.3">
      <c r="A37" s="41">
        <v>45450</v>
      </c>
      <c r="B37" s="10" t="s">
        <v>1335</v>
      </c>
      <c r="C37" s="10" t="s">
        <v>14</v>
      </c>
      <c r="D37" s="30">
        <f t="shared" si="2"/>
        <v>390.90909090909088</v>
      </c>
      <c r="E37" s="30">
        <f t="shared" si="0"/>
        <v>39.090909090909093</v>
      </c>
      <c r="F37" s="30">
        <v>430</v>
      </c>
      <c r="G37" s="30">
        <v>50</v>
      </c>
      <c r="H37" s="13">
        <f t="shared" si="1"/>
        <v>380</v>
      </c>
      <c r="I37" s="1" t="s">
        <v>1617</v>
      </c>
      <c r="J37" s="30">
        <v>270</v>
      </c>
      <c r="K37" s="30"/>
      <c r="L37" s="1"/>
      <c r="M37" s="30">
        <v>160</v>
      </c>
      <c r="N37" s="1" t="s">
        <v>1392</v>
      </c>
      <c r="O37" s="1"/>
    </row>
    <row r="38" spans="1:15" x14ac:dyDescent="0.3">
      <c r="A38" s="41">
        <v>45450</v>
      </c>
      <c r="B38" s="10" t="s">
        <v>1336</v>
      </c>
      <c r="C38" s="10" t="s">
        <v>14</v>
      </c>
      <c r="D38" s="30">
        <f t="shared" si="2"/>
        <v>245.45454545454544</v>
      </c>
      <c r="E38" s="30">
        <f t="shared" si="0"/>
        <v>24.545454545454547</v>
      </c>
      <c r="F38" s="30">
        <v>270</v>
      </c>
      <c r="G38" s="30">
        <v>50</v>
      </c>
      <c r="H38" s="13">
        <f t="shared" si="1"/>
        <v>220</v>
      </c>
      <c r="I38" s="1" t="s">
        <v>1618</v>
      </c>
      <c r="J38" s="30">
        <v>270</v>
      </c>
      <c r="K38" s="30"/>
      <c r="L38" s="1"/>
      <c r="M38" s="30"/>
      <c r="N38" s="1"/>
      <c r="O38" s="1"/>
    </row>
    <row r="39" spans="1:15" x14ac:dyDescent="0.3">
      <c r="A39" s="41">
        <v>45450</v>
      </c>
      <c r="B39" s="10" t="s">
        <v>1337</v>
      </c>
      <c r="C39" s="10" t="s">
        <v>14</v>
      </c>
      <c r="D39" s="30">
        <f t="shared" si="2"/>
        <v>163.63636363636363</v>
      </c>
      <c r="E39" s="30">
        <f t="shared" si="0"/>
        <v>16.363636363636363</v>
      </c>
      <c r="F39" s="30">
        <v>180</v>
      </c>
      <c r="G39" s="30"/>
      <c r="H39" s="13">
        <f t="shared" si="1"/>
        <v>180</v>
      </c>
      <c r="I39" s="1" t="s">
        <v>402</v>
      </c>
      <c r="J39" s="30">
        <v>180</v>
      </c>
      <c r="K39" s="30"/>
      <c r="L39" s="1"/>
      <c r="M39" s="30"/>
      <c r="N39" s="1"/>
      <c r="O39" s="1"/>
    </row>
    <row r="40" spans="1:15" x14ac:dyDescent="0.3">
      <c r="A40" s="41">
        <v>45450</v>
      </c>
      <c r="B40" s="10" t="s">
        <v>1338</v>
      </c>
      <c r="C40" s="10" t="s">
        <v>14</v>
      </c>
      <c r="D40" s="30">
        <f t="shared" si="2"/>
        <v>190.90909090909091</v>
      </c>
      <c r="E40" s="30">
        <f t="shared" si="0"/>
        <v>19.09090909090909</v>
      </c>
      <c r="F40" s="30">
        <v>210</v>
      </c>
      <c r="G40" s="30">
        <v>50</v>
      </c>
      <c r="H40" s="13">
        <f t="shared" si="1"/>
        <v>160</v>
      </c>
      <c r="I40" s="1" t="s">
        <v>1619</v>
      </c>
      <c r="J40" s="30">
        <v>170</v>
      </c>
      <c r="K40" s="30">
        <v>40</v>
      </c>
      <c r="L40" s="1" t="s">
        <v>223</v>
      </c>
      <c r="M40" s="30"/>
      <c r="N40" s="1"/>
      <c r="O40" s="1"/>
    </row>
    <row r="41" spans="1:15" x14ac:dyDescent="0.3">
      <c r="A41" s="41">
        <v>45450</v>
      </c>
      <c r="B41" s="10" t="s">
        <v>1339</v>
      </c>
      <c r="C41" s="10" t="s">
        <v>14</v>
      </c>
      <c r="D41" s="30">
        <f t="shared" si="2"/>
        <v>127.27272727272727</v>
      </c>
      <c r="E41" s="30">
        <f t="shared" si="0"/>
        <v>12.727272727272727</v>
      </c>
      <c r="F41" s="30">
        <v>140</v>
      </c>
      <c r="G41" s="30"/>
      <c r="H41" s="13">
        <f t="shared" si="1"/>
        <v>140</v>
      </c>
      <c r="I41" s="1" t="s">
        <v>402</v>
      </c>
      <c r="J41" s="30">
        <v>140</v>
      </c>
      <c r="K41" s="30"/>
      <c r="L41" s="1"/>
      <c r="M41" s="30"/>
      <c r="N41" s="1"/>
      <c r="O41" s="1"/>
    </row>
    <row r="42" spans="1:15" x14ac:dyDescent="0.3">
      <c r="A42" s="41">
        <v>45450</v>
      </c>
      <c r="B42" s="10" t="s">
        <v>1340</v>
      </c>
      <c r="C42" s="10" t="s">
        <v>14</v>
      </c>
      <c r="D42" s="30">
        <f t="shared" si="2"/>
        <v>127.27272727272727</v>
      </c>
      <c r="E42" s="30">
        <f t="shared" si="0"/>
        <v>12.727272727272727</v>
      </c>
      <c r="F42" s="30">
        <v>140</v>
      </c>
      <c r="G42" s="30"/>
      <c r="H42" s="13">
        <f t="shared" si="1"/>
        <v>140</v>
      </c>
      <c r="I42" s="1" t="s">
        <v>402</v>
      </c>
      <c r="J42" s="30">
        <v>140</v>
      </c>
      <c r="K42" s="30"/>
      <c r="L42" s="1"/>
      <c r="M42" s="30"/>
      <c r="N42" s="1"/>
      <c r="O42" s="1"/>
    </row>
    <row r="43" spans="1:15" x14ac:dyDescent="0.3">
      <c r="A43" s="41">
        <v>45451</v>
      </c>
      <c r="B43" s="10" t="s">
        <v>1341</v>
      </c>
      <c r="C43" s="10" t="s">
        <v>14</v>
      </c>
      <c r="D43" s="30">
        <f t="shared" si="2"/>
        <v>199.99999999999997</v>
      </c>
      <c r="E43" s="30">
        <f t="shared" si="0"/>
        <v>19.999999999999996</v>
      </c>
      <c r="F43" s="30">
        <v>220</v>
      </c>
      <c r="G43" s="30">
        <v>50</v>
      </c>
      <c r="H43" s="13">
        <f t="shared" si="1"/>
        <v>170</v>
      </c>
      <c r="I43" s="1" t="s">
        <v>1620</v>
      </c>
      <c r="J43" s="30">
        <v>170</v>
      </c>
      <c r="K43" s="30">
        <v>50</v>
      </c>
      <c r="L43" s="1" t="s">
        <v>223</v>
      </c>
      <c r="M43" s="30"/>
      <c r="N43" s="1"/>
      <c r="O43" s="1"/>
    </row>
    <row r="44" spans="1:15" x14ac:dyDescent="0.3">
      <c r="A44" s="41">
        <v>45451</v>
      </c>
      <c r="B44" s="10" t="s">
        <v>1342</v>
      </c>
      <c r="C44" s="10" t="s">
        <v>14</v>
      </c>
      <c r="D44" s="30">
        <f t="shared" si="2"/>
        <v>245.45454545454544</v>
      </c>
      <c r="E44" s="30">
        <f t="shared" si="0"/>
        <v>24.545454545454547</v>
      </c>
      <c r="F44" s="30">
        <v>270</v>
      </c>
      <c r="G44" s="30">
        <v>50</v>
      </c>
      <c r="H44" s="13">
        <f t="shared" si="1"/>
        <v>220</v>
      </c>
      <c r="I44" s="1" t="s">
        <v>1405</v>
      </c>
      <c r="J44" s="30">
        <v>270</v>
      </c>
      <c r="K44" s="30"/>
      <c r="L44" s="1"/>
      <c r="M44" s="30"/>
      <c r="N44" s="1"/>
      <c r="O44" s="1"/>
    </row>
    <row r="45" spans="1:15" x14ac:dyDescent="0.3">
      <c r="A45" s="41">
        <v>45451</v>
      </c>
      <c r="B45" s="10" t="s">
        <v>1343</v>
      </c>
      <c r="C45" s="10" t="s">
        <v>14</v>
      </c>
      <c r="D45" s="30">
        <f t="shared" si="2"/>
        <v>236.36363636363635</v>
      </c>
      <c r="E45" s="30">
        <f t="shared" si="0"/>
        <v>23.636363636363637</v>
      </c>
      <c r="F45" s="30">
        <v>260</v>
      </c>
      <c r="G45" s="30">
        <v>50</v>
      </c>
      <c r="H45" s="13">
        <f t="shared" si="1"/>
        <v>210</v>
      </c>
      <c r="I45" s="1" t="s">
        <v>1621</v>
      </c>
      <c r="J45" s="30">
        <v>260</v>
      </c>
      <c r="K45" s="30"/>
      <c r="L45" s="1"/>
      <c r="M45" s="30"/>
      <c r="N45" s="1"/>
      <c r="O45" s="1"/>
    </row>
    <row r="46" spans="1:15" x14ac:dyDescent="0.3">
      <c r="A46" s="41">
        <v>45451</v>
      </c>
      <c r="B46" s="10" t="s">
        <v>1344</v>
      </c>
      <c r="C46" s="10" t="s">
        <v>14</v>
      </c>
      <c r="D46" s="30">
        <f t="shared" si="2"/>
        <v>118.18181818181817</v>
      </c>
      <c r="E46" s="30">
        <f t="shared" si="0"/>
        <v>11.818181818181818</v>
      </c>
      <c r="F46" s="30">
        <v>130</v>
      </c>
      <c r="G46" s="30"/>
      <c r="H46" s="13">
        <f t="shared" si="1"/>
        <v>130</v>
      </c>
      <c r="I46" s="1" t="s">
        <v>403</v>
      </c>
      <c r="J46" s="30">
        <v>130</v>
      </c>
      <c r="K46" s="30"/>
      <c r="L46" s="1"/>
      <c r="M46" s="30"/>
      <c r="N46" s="1"/>
      <c r="O46" s="1"/>
    </row>
    <row r="47" spans="1:15" x14ac:dyDescent="0.3">
      <c r="A47" s="41">
        <v>45451</v>
      </c>
      <c r="B47" s="10" t="s">
        <v>1345</v>
      </c>
      <c r="C47" s="10" t="s">
        <v>14</v>
      </c>
      <c r="D47" s="30">
        <f t="shared" si="2"/>
        <v>245.45454545454544</v>
      </c>
      <c r="E47" s="30">
        <f t="shared" si="0"/>
        <v>24.545454545454547</v>
      </c>
      <c r="F47" s="30">
        <v>270</v>
      </c>
      <c r="G47" s="30">
        <v>50</v>
      </c>
      <c r="H47" s="13">
        <f t="shared" si="1"/>
        <v>220</v>
      </c>
      <c r="I47" s="1" t="s">
        <v>1622</v>
      </c>
      <c r="J47" s="30">
        <v>270</v>
      </c>
      <c r="K47" s="30"/>
      <c r="L47" s="1"/>
      <c r="M47" s="30"/>
      <c r="N47" s="1"/>
      <c r="O47" s="1"/>
    </row>
    <row r="48" spans="1:15" x14ac:dyDescent="0.3">
      <c r="A48" s="41">
        <v>45451</v>
      </c>
      <c r="B48" s="10" t="s">
        <v>1346</v>
      </c>
      <c r="C48" s="10" t="s">
        <v>14</v>
      </c>
      <c r="D48" s="30">
        <f t="shared" si="2"/>
        <v>154.54545454545453</v>
      </c>
      <c r="E48" s="30">
        <f t="shared" si="0"/>
        <v>15.454545454545453</v>
      </c>
      <c r="F48" s="30">
        <v>170</v>
      </c>
      <c r="G48" s="30">
        <v>50</v>
      </c>
      <c r="H48" s="13">
        <f t="shared" si="1"/>
        <v>120</v>
      </c>
      <c r="I48" s="1" t="s">
        <v>1623</v>
      </c>
      <c r="J48" s="30">
        <v>170</v>
      </c>
      <c r="K48" s="30"/>
      <c r="L48" s="1"/>
      <c r="M48" s="30"/>
      <c r="N48" s="1"/>
      <c r="O48" s="1"/>
    </row>
    <row r="49" spans="1:15" x14ac:dyDescent="0.3">
      <c r="A49" s="41">
        <v>45451</v>
      </c>
      <c r="B49" s="10" t="s">
        <v>1347</v>
      </c>
      <c r="C49" s="10" t="s">
        <v>14</v>
      </c>
      <c r="D49" s="30">
        <f t="shared" si="2"/>
        <v>154.54545454545453</v>
      </c>
      <c r="E49" s="30">
        <f t="shared" si="0"/>
        <v>15.454545454545453</v>
      </c>
      <c r="F49" s="30">
        <v>170</v>
      </c>
      <c r="G49" s="30">
        <v>50</v>
      </c>
      <c r="H49" s="13">
        <f t="shared" si="1"/>
        <v>120</v>
      </c>
      <c r="I49" s="1" t="s">
        <v>1624</v>
      </c>
      <c r="J49" s="30">
        <v>170</v>
      </c>
      <c r="K49" s="30"/>
      <c r="L49" s="1"/>
      <c r="M49" s="30"/>
      <c r="N49" s="1"/>
      <c r="O49" s="1"/>
    </row>
    <row r="50" spans="1:15" x14ac:dyDescent="0.3">
      <c r="A50" s="41">
        <v>45451</v>
      </c>
      <c r="B50" s="10" t="s">
        <v>1348</v>
      </c>
      <c r="C50" s="10" t="s">
        <v>14</v>
      </c>
      <c r="D50" s="30">
        <f t="shared" si="2"/>
        <v>190.90909090909091</v>
      </c>
      <c r="E50" s="30">
        <f t="shared" si="0"/>
        <v>19.09090909090909</v>
      </c>
      <c r="F50" s="30">
        <v>210</v>
      </c>
      <c r="G50" s="30">
        <v>50</v>
      </c>
      <c r="H50" s="13">
        <f t="shared" si="1"/>
        <v>160</v>
      </c>
      <c r="I50" s="1" t="s">
        <v>1625</v>
      </c>
      <c r="J50" s="30">
        <v>170</v>
      </c>
      <c r="K50" s="30">
        <v>30</v>
      </c>
      <c r="L50" s="1" t="s">
        <v>223</v>
      </c>
      <c r="M50" s="30"/>
      <c r="N50" s="1"/>
      <c r="O50" s="1"/>
    </row>
    <row r="51" spans="1:15" x14ac:dyDescent="0.3">
      <c r="A51" s="41">
        <v>45451</v>
      </c>
      <c r="B51" s="10" t="s">
        <v>1349</v>
      </c>
      <c r="C51" s="10" t="s">
        <v>14</v>
      </c>
      <c r="D51" s="30">
        <f t="shared" si="2"/>
        <v>190.90909090909091</v>
      </c>
      <c r="E51" s="30">
        <f t="shared" si="0"/>
        <v>19.09090909090909</v>
      </c>
      <c r="F51" s="30">
        <v>210</v>
      </c>
      <c r="G51" s="30">
        <v>210</v>
      </c>
      <c r="H51" s="13">
        <f t="shared" si="1"/>
        <v>0</v>
      </c>
      <c r="I51" s="1" t="s">
        <v>1626</v>
      </c>
      <c r="J51" s="30">
        <v>170</v>
      </c>
      <c r="K51" s="30">
        <v>40</v>
      </c>
      <c r="L51" s="1" t="s">
        <v>223</v>
      </c>
      <c r="M51" s="30"/>
      <c r="N51" s="1"/>
      <c r="O51" s="1"/>
    </row>
    <row r="52" spans="1:15" x14ac:dyDescent="0.3">
      <c r="A52" s="41">
        <v>45451</v>
      </c>
      <c r="B52" s="10" t="s">
        <v>1350</v>
      </c>
      <c r="C52" s="10" t="s">
        <v>14</v>
      </c>
      <c r="D52" s="30">
        <f t="shared" si="2"/>
        <v>190.90909090909091</v>
      </c>
      <c r="E52" s="30">
        <f t="shared" si="0"/>
        <v>19.09090909090909</v>
      </c>
      <c r="F52" s="30">
        <v>210</v>
      </c>
      <c r="G52" s="30">
        <v>50</v>
      </c>
      <c r="H52" s="13">
        <f t="shared" si="1"/>
        <v>160</v>
      </c>
      <c r="I52" s="1" t="s">
        <v>1627</v>
      </c>
      <c r="J52" s="30">
        <v>170</v>
      </c>
      <c r="K52" s="30">
        <v>30</v>
      </c>
      <c r="L52" s="1" t="s">
        <v>223</v>
      </c>
      <c r="M52" s="30"/>
      <c r="N52" s="1"/>
      <c r="O52" s="1"/>
    </row>
    <row r="53" spans="1:15" x14ac:dyDescent="0.3">
      <c r="A53" s="41">
        <v>45451</v>
      </c>
      <c r="B53" s="10" t="s">
        <v>1351</v>
      </c>
      <c r="C53" s="10" t="s">
        <v>14</v>
      </c>
      <c r="D53" s="30">
        <f t="shared" si="2"/>
        <v>154.54545454545453</v>
      </c>
      <c r="E53" s="30">
        <f t="shared" si="0"/>
        <v>15.454545454545453</v>
      </c>
      <c r="F53" s="30">
        <v>170</v>
      </c>
      <c r="G53" s="30">
        <v>50</v>
      </c>
      <c r="H53" s="13">
        <f t="shared" si="1"/>
        <v>120</v>
      </c>
      <c r="I53" s="1" t="s">
        <v>1628</v>
      </c>
      <c r="J53" s="30">
        <v>170</v>
      </c>
      <c r="K53" s="30"/>
      <c r="L53" s="1"/>
      <c r="M53" s="30"/>
      <c r="N53" s="1"/>
      <c r="O53" s="1"/>
    </row>
    <row r="54" spans="1:15" x14ac:dyDescent="0.3">
      <c r="A54" s="41">
        <v>45451</v>
      </c>
      <c r="B54" s="10" t="s">
        <v>1352</v>
      </c>
      <c r="C54" s="10" t="s">
        <v>14</v>
      </c>
      <c r="D54" s="30">
        <f t="shared" si="2"/>
        <v>154.54545454545453</v>
      </c>
      <c r="E54" s="30">
        <f t="shared" si="0"/>
        <v>15.454545454545453</v>
      </c>
      <c r="F54" s="30">
        <v>170</v>
      </c>
      <c r="G54" s="30">
        <v>50</v>
      </c>
      <c r="H54" s="13">
        <f t="shared" si="1"/>
        <v>120</v>
      </c>
      <c r="I54" s="1" t="s">
        <v>1629</v>
      </c>
      <c r="J54" s="30">
        <v>170</v>
      </c>
      <c r="K54" s="30"/>
      <c r="L54" s="1"/>
      <c r="M54" s="30"/>
      <c r="N54" s="1"/>
      <c r="O54" s="1"/>
    </row>
    <row r="55" spans="1:15" x14ac:dyDescent="0.3">
      <c r="A55" s="41">
        <v>45451</v>
      </c>
      <c r="B55" s="10" t="s">
        <v>1485</v>
      </c>
      <c r="C55" s="10" t="s">
        <v>14</v>
      </c>
      <c r="D55" s="30">
        <f t="shared" si="2"/>
        <v>218.18181818181816</v>
      </c>
      <c r="E55" s="30">
        <f t="shared" si="0"/>
        <v>21.818181818181817</v>
      </c>
      <c r="F55" s="30">
        <v>240</v>
      </c>
      <c r="G55" s="30">
        <v>240</v>
      </c>
      <c r="H55" s="13">
        <f t="shared" si="1"/>
        <v>0</v>
      </c>
      <c r="I55" s="1" t="s">
        <v>1630</v>
      </c>
      <c r="J55" s="30">
        <v>220</v>
      </c>
      <c r="K55" s="30">
        <v>20</v>
      </c>
      <c r="L55" s="1" t="s">
        <v>223</v>
      </c>
      <c r="M55" s="30"/>
      <c r="N55" s="1"/>
      <c r="O55" s="1"/>
    </row>
    <row r="56" spans="1:15" x14ac:dyDescent="0.3">
      <c r="A56" s="41">
        <v>45451</v>
      </c>
      <c r="B56" s="10" t="s">
        <v>1486</v>
      </c>
      <c r="C56" s="10" t="s">
        <v>14</v>
      </c>
      <c r="D56" s="30">
        <f t="shared" si="2"/>
        <v>181.81818181818181</v>
      </c>
      <c r="E56" s="30">
        <f t="shared" si="0"/>
        <v>18.18181818181818</v>
      </c>
      <c r="F56" s="30">
        <v>200</v>
      </c>
      <c r="G56" s="30">
        <v>50</v>
      </c>
      <c r="H56" s="13">
        <f t="shared" si="1"/>
        <v>150</v>
      </c>
      <c r="I56" s="1" t="s">
        <v>1631</v>
      </c>
      <c r="J56" s="30">
        <v>200</v>
      </c>
      <c r="K56" s="30"/>
      <c r="L56" s="1"/>
      <c r="M56" s="30"/>
      <c r="N56" s="1"/>
      <c r="O56" s="1"/>
    </row>
    <row r="57" spans="1:15" x14ac:dyDescent="0.3">
      <c r="A57" s="41">
        <v>45451</v>
      </c>
      <c r="B57" s="10" t="s">
        <v>1487</v>
      </c>
      <c r="C57" s="10" t="s">
        <v>14</v>
      </c>
      <c r="D57" s="30">
        <f t="shared" si="2"/>
        <v>245.45454545454544</v>
      </c>
      <c r="E57" s="30">
        <f t="shared" si="0"/>
        <v>24.545454545454547</v>
      </c>
      <c r="F57" s="30">
        <v>270</v>
      </c>
      <c r="G57" s="30">
        <v>50</v>
      </c>
      <c r="H57" s="13">
        <f t="shared" si="1"/>
        <v>220</v>
      </c>
      <c r="I57" s="1" t="s">
        <v>1632</v>
      </c>
      <c r="J57" s="30">
        <v>270</v>
      </c>
      <c r="K57" s="30"/>
      <c r="L57" s="1"/>
      <c r="M57" s="30"/>
      <c r="N57" s="1"/>
      <c r="O57" s="1"/>
    </row>
    <row r="58" spans="1:15" x14ac:dyDescent="0.3">
      <c r="A58" s="41">
        <v>45451</v>
      </c>
      <c r="B58" s="10" t="s">
        <v>1488</v>
      </c>
      <c r="C58" s="10" t="s">
        <v>14</v>
      </c>
      <c r="D58" s="30">
        <f t="shared" si="2"/>
        <v>172.72727272727272</v>
      </c>
      <c r="E58" s="30">
        <f t="shared" si="0"/>
        <v>17.272727272727273</v>
      </c>
      <c r="F58" s="30">
        <v>190</v>
      </c>
      <c r="G58" s="30"/>
      <c r="H58" s="13">
        <f t="shared" si="1"/>
        <v>190</v>
      </c>
      <c r="I58" s="1" t="s">
        <v>1633</v>
      </c>
      <c r="J58" s="30">
        <v>190</v>
      </c>
      <c r="K58" s="30"/>
      <c r="L58" s="1"/>
      <c r="M58" s="30"/>
      <c r="N58" s="1"/>
      <c r="O58" s="1"/>
    </row>
    <row r="59" spans="1:15" x14ac:dyDescent="0.3">
      <c r="A59" s="41">
        <v>45451</v>
      </c>
      <c r="B59" s="10" t="s">
        <v>1489</v>
      </c>
      <c r="C59" s="10" t="s">
        <v>14</v>
      </c>
      <c r="D59" s="30">
        <f t="shared" si="2"/>
        <v>199.99999999999997</v>
      </c>
      <c r="E59" s="30">
        <f t="shared" si="0"/>
        <v>19.999999999999996</v>
      </c>
      <c r="F59" s="30">
        <v>220</v>
      </c>
      <c r="G59" s="30">
        <v>50</v>
      </c>
      <c r="H59" s="13">
        <f t="shared" si="1"/>
        <v>170</v>
      </c>
      <c r="I59" s="1" t="s">
        <v>1634</v>
      </c>
      <c r="J59" s="30">
        <v>220</v>
      </c>
      <c r="K59" s="30"/>
      <c r="L59" s="1"/>
      <c r="M59" s="30"/>
      <c r="N59" s="1"/>
      <c r="O59" s="1"/>
    </row>
    <row r="60" spans="1:15" x14ac:dyDescent="0.3">
      <c r="A60" s="41">
        <v>45451</v>
      </c>
      <c r="B60" s="10" t="s">
        <v>1490</v>
      </c>
      <c r="C60" s="10" t="s">
        <v>14</v>
      </c>
      <c r="D60" s="30">
        <f t="shared" si="2"/>
        <v>199.99999999999997</v>
      </c>
      <c r="E60" s="30">
        <f t="shared" si="0"/>
        <v>19.999999999999996</v>
      </c>
      <c r="F60" s="30">
        <v>220</v>
      </c>
      <c r="G60" s="30">
        <v>50</v>
      </c>
      <c r="H60" s="13">
        <f t="shared" si="1"/>
        <v>170</v>
      </c>
      <c r="I60" s="1" t="s">
        <v>1623</v>
      </c>
      <c r="J60" s="30">
        <v>220</v>
      </c>
      <c r="K60" s="30"/>
      <c r="L60" s="1"/>
      <c r="M60" s="30"/>
      <c r="N60" s="1"/>
      <c r="O60" s="1"/>
    </row>
    <row r="61" spans="1:15" x14ac:dyDescent="0.3">
      <c r="A61" s="41">
        <v>45451</v>
      </c>
      <c r="B61" s="10" t="s">
        <v>1491</v>
      </c>
      <c r="C61" s="10" t="s">
        <v>14</v>
      </c>
      <c r="D61" s="30">
        <f t="shared" si="2"/>
        <v>213.63636363636363</v>
      </c>
      <c r="E61" s="30">
        <f t="shared" si="0"/>
        <v>21.36363636363636</v>
      </c>
      <c r="F61" s="30">
        <v>235</v>
      </c>
      <c r="G61" s="30">
        <v>50</v>
      </c>
      <c r="H61" s="13">
        <f t="shared" si="1"/>
        <v>185</v>
      </c>
      <c r="I61" s="1" t="s">
        <v>1635</v>
      </c>
      <c r="J61" s="30">
        <v>235</v>
      </c>
      <c r="K61" s="30"/>
      <c r="L61" s="1"/>
      <c r="M61" s="30"/>
      <c r="N61" s="1"/>
      <c r="O61" s="1"/>
    </row>
    <row r="62" spans="1:15" x14ac:dyDescent="0.3">
      <c r="A62" s="41">
        <v>45451</v>
      </c>
      <c r="B62" s="10" t="s">
        <v>1492</v>
      </c>
      <c r="C62" s="10" t="s">
        <v>14</v>
      </c>
      <c r="D62" s="30">
        <f t="shared" si="2"/>
        <v>263.63636363636363</v>
      </c>
      <c r="E62" s="30">
        <f t="shared" si="0"/>
        <v>26.36363636363636</v>
      </c>
      <c r="F62" s="30">
        <v>290</v>
      </c>
      <c r="G62" s="30">
        <v>50</v>
      </c>
      <c r="H62" s="13">
        <f t="shared" si="1"/>
        <v>240</v>
      </c>
      <c r="I62" s="1" t="s">
        <v>1636</v>
      </c>
      <c r="J62" s="30">
        <v>270</v>
      </c>
      <c r="K62" s="30">
        <v>20</v>
      </c>
      <c r="L62" s="1" t="s">
        <v>223</v>
      </c>
      <c r="M62" s="30"/>
      <c r="N62" s="1"/>
      <c r="O62" s="1"/>
    </row>
    <row r="63" spans="1:15" x14ac:dyDescent="0.3">
      <c r="A63" s="41">
        <v>45451</v>
      </c>
      <c r="B63" s="10" t="s">
        <v>1493</v>
      </c>
      <c r="C63" s="10" t="s">
        <v>14</v>
      </c>
      <c r="D63" s="30">
        <f t="shared" si="2"/>
        <v>199.99999999999997</v>
      </c>
      <c r="E63" s="30">
        <f t="shared" si="0"/>
        <v>19.999999999999996</v>
      </c>
      <c r="F63" s="30">
        <v>220</v>
      </c>
      <c r="G63" s="30">
        <v>50</v>
      </c>
      <c r="H63" s="13">
        <f t="shared" si="1"/>
        <v>170</v>
      </c>
      <c r="I63" s="1" t="s">
        <v>1637</v>
      </c>
      <c r="J63" s="30">
        <v>220</v>
      </c>
      <c r="K63" s="30"/>
      <c r="L63" s="1"/>
      <c r="M63" s="30"/>
      <c r="N63" s="1"/>
      <c r="O63" s="1"/>
    </row>
    <row r="64" spans="1:15" x14ac:dyDescent="0.3">
      <c r="A64" s="41">
        <v>45451</v>
      </c>
      <c r="B64" s="10" t="s">
        <v>1494</v>
      </c>
      <c r="C64" s="10" t="s">
        <v>14</v>
      </c>
      <c r="D64" s="30">
        <f t="shared" si="2"/>
        <v>245.45454545454544</v>
      </c>
      <c r="E64" s="30">
        <f t="shared" si="0"/>
        <v>24.545454545454547</v>
      </c>
      <c r="F64" s="30">
        <v>270</v>
      </c>
      <c r="G64" s="30">
        <v>50</v>
      </c>
      <c r="H64" s="13">
        <f t="shared" si="1"/>
        <v>220</v>
      </c>
      <c r="I64" s="1" t="s">
        <v>1638</v>
      </c>
      <c r="J64" s="30">
        <v>270</v>
      </c>
      <c r="K64" s="30"/>
      <c r="L64" s="1"/>
      <c r="M64" s="30"/>
      <c r="N64" s="1"/>
      <c r="O64" s="1"/>
    </row>
    <row r="65" spans="1:15" x14ac:dyDescent="0.3">
      <c r="A65" s="41">
        <v>45451</v>
      </c>
      <c r="B65" s="10" t="s">
        <v>1495</v>
      </c>
      <c r="C65" s="10" t="s">
        <v>14</v>
      </c>
      <c r="D65" s="30">
        <f t="shared" si="2"/>
        <v>263.63636363636363</v>
      </c>
      <c r="E65" s="30">
        <f t="shared" si="0"/>
        <v>26.36363636363636</v>
      </c>
      <c r="F65" s="30">
        <v>290</v>
      </c>
      <c r="G65" s="30">
        <v>130</v>
      </c>
      <c r="H65" s="13">
        <f t="shared" si="1"/>
        <v>160</v>
      </c>
      <c r="I65" s="1" t="s">
        <v>1639</v>
      </c>
      <c r="J65" s="30">
        <v>210</v>
      </c>
      <c r="K65" s="30"/>
      <c r="L65" s="1"/>
      <c r="M65" s="30"/>
      <c r="N65" s="1"/>
      <c r="O65" s="1"/>
    </row>
    <row r="66" spans="1:15" x14ac:dyDescent="0.3">
      <c r="A66" s="41">
        <v>45451</v>
      </c>
      <c r="B66" s="10" t="s">
        <v>1496</v>
      </c>
      <c r="C66" s="10" t="s">
        <v>14</v>
      </c>
      <c r="D66" s="30">
        <f t="shared" si="2"/>
        <v>245.45454545454544</v>
      </c>
      <c r="E66" s="30">
        <f t="shared" si="0"/>
        <v>24.545454545454547</v>
      </c>
      <c r="F66" s="30">
        <v>270</v>
      </c>
      <c r="G66" s="30">
        <v>50</v>
      </c>
      <c r="H66" s="13">
        <f t="shared" si="1"/>
        <v>220</v>
      </c>
      <c r="I66" s="1" t="s">
        <v>1640</v>
      </c>
      <c r="J66" s="30">
        <v>270</v>
      </c>
      <c r="K66" s="30"/>
      <c r="L66" s="1"/>
      <c r="M66" s="30"/>
      <c r="N66" s="1"/>
      <c r="O66" s="1"/>
    </row>
    <row r="67" spans="1:15" x14ac:dyDescent="0.3">
      <c r="A67" s="41">
        <v>45451</v>
      </c>
      <c r="B67" s="10" t="s">
        <v>1497</v>
      </c>
      <c r="C67" s="10" t="s">
        <v>14</v>
      </c>
      <c r="D67" s="30">
        <f t="shared" si="2"/>
        <v>199.99999999999997</v>
      </c>
      <c r="E67" s="30">
        <f t="shared" ref="E67:E130" si="3">D67*10/100</f>
        <v>19.999999999999996</v>
      </c>
      <c r="F67" s="30">
        <v>220</v>
      </c>
      <c r="G67" s="30">
        <v>50</v>
      </c>
      <c r="H67" s="13">
        <f t="shared" ref="H67:H130" si="4">F67-G67</f>
        <v>170</v>
      </c>
      <c r="I67" s="1" t="s">
        <v>1641</v>
      </c>
      <c r="J67" s="30">
        <v>220</v>
      </c>
      <c r="K67" s="30"/>
      <c r="L67" s="1"/>
      <c r="M67" s="30"/>
      <c r="N67" s="1"/>
      <c r="O67" s="1"/>
    </row>
    <row r="68" spans="1:15" x14ac:dyDescent="0.3">
      <c r="A68" s="41">
        <v>45451</v>
      </c>
      <c r="B68" s="10" t="s">
        <v>1498</v>
      </c>
      <c r="C68" s="10" t="s">
        <v>14</v>
      </c>
      <c r="D68" s="30">
        <f t="shared" ref="D68:D131" si="5">F68/1.1</f>
        <v>199.99999999999997</v>
      </c>
      <c r="E68" s="30">
        <f t="shared" si="3"/>
        <v>19.999999999999996</v>
      </c>
      <c r="F68" s="30">
        <v>220</v>
      </c>
      <c r="G68" s="30"/>
      <c r="H68" s="13">
        <f t="shared" si="4"/>
        <v>220</v>
      </c>
      <c r="I68" s="1" t="s">
        <v>1407</v>
      </c>
      <c r="J68" s="30">
        <v>220</v>
      </c>
      <c r="K68" s="30"/>
      <c r="L68" s="1"/>
      <c r="M68" s="30"/>
      <c r="N68" s="1"/>
      <c r="O68" s="1"/>
    </row>
    <row r="69" spans="1:15" x14ac:dyDescent="0.3">
      <c r="A69" s="41">
        <v>45451</v>
      </c>
      <c r="B69" s="10" t="s">
        <v>1499</v>
      </c>
      <c r="C69" s="10" t="s">
        <v>14</v>
      </c>
      <c r="D69" s="30">
        <f t="shared" si="5"/>
        <v>290.90909090909088</v>
      </c>
      <c r="E69" s="30">
        <f t="shared" si="3"/>
        <v>29.09090909090909</v>
      </c>
      <c r="F69" s="30">
        <v>320</v>
      </c>
      <c r="G69" s="30">
        <v>50</v>
      </c>
      <c r="H69" s="13">
        <f t="shared" si="4"/>
        <v>270</v>
      </c>
      <c r="I69" s="1" t="s">
        <v>1642</v>
      </c>
      <c r="J69" s="30">
        <v>270</v>
      </c>
      <c r="K69" s="30">
        <v>50</v>
      </c>
      <c r="L69" s="1" t="s">
        <v>223</v>
      </c>
      <c r="M69" s="30"/>
      <c r="N69" s="1"/>
      <c r="O69" s="1"/>
    </row>
    <row r="70" spans="1:15" x14ac:dyDescent="0.3">
      <c r="A70" s="41">
        <v>45451</v>
      </c>
      <c r="B70" s="10" t="s">
        <v>1500</v>
      </c>
      <c r="C70" s="10" t="s">
        <v>14</v>
      </c>
      <c r="D70" s="30">
        <f t="shared" si="5"/>
        <v>245.45454545454544</v>
      </c>
      <c r="E70" s="30">
        <f t="shared" si="3"/>
        <v>24.545454545454547</v>
      </c>
      <c r="F70" s="30">
        <v>270</v>
      </c>
      <c r="G70" s="30">
        <v>50</v>
      </c>
      <c r="H70" s="13">
        <f t="shared" si="4"/>
        <v>220</v>
      </c>
      <c r="I70" s="1" t="s">
        <v>1643</v>
      </c>
      <c r="J70" s="30">
        <v>270</v>
      </c>
      <c r="K70" s="30"/>
      <c r="L70" s="1"/>
      <c r="M70" s="30"/>
      <c r="N70" s="1"/>
      <c r="O70" s="1"/>
    </row>
    <row r="71" spans="1:15" x14ac:dyDescent="0.3">
      <c r="A71" s="41">
        <v>45451</v>
      </c>
      <c r="B71" s="10" t="s">
        <v>1501</v>
      </c>
      <c r="C71" s="10" t="s">
        <v>14</v>
      </c>
      <c r="D71" s="30">
        <f t="shared" si="5"/>
        <v>245.45454545454544</v>
      </c>
      <c r="E71" s="30">
        <f t="shared" si="3"/>
        <v>24.545454545454547</v>
      </c>
      <c r="F71" s="30">
        <v>270</v>
      </c>
      <c r="G71" s="30">
        <v>50</v>
      </c>
      <c r="H71" s="13">
        <f t="shared" si="4"/>
        <v>220</v>
      </c>
      <c r="I71" s="1" t="s">
        <v>1644</v>
      </c>
      <c r="J71" s="30">
        <v>270</v>
      </c>
      <c r="K71" s="30"/>
      <c r="L71" s="1"/>
      <c r="M71" s="30"/>
      <c r="N71" s="1"/>
      <c r="O71" s="1"/>
    </row>
    <row r="72" spans="1:15" x14ac:dyDescent="0.3">
      <c r="A72" s="41">
        <v>45451</v>
      </c>
      <c r="B72" s="10" t="s">
        <v>1502</v>
      </c>
      <c r="C72" s="10" t="s">
        <v>14</v>
      </c>
      <c r="D72" s="30">
        <f t="shared" si="5"/>
        <v>172.72727272727272</v>
      </c>
      <c r="E72" s="30">
        <f t="shared" si="3"/>
        <v>17.272727272727273</v>
      </c>
      <c r="F72" s="30">
        <v>190</v>
      </c>
      <c r="G72" s="30"/>
      <c r="H72" s="13">
        <f t="shared" si="4"/>
        <v>190</v>
      </c>
      <c r="I72" s="1" t="s">
        <v>1645</v>
      </c>
      <c r="J72" s="30">
        <v>190</v>
      </c>
      <c r="K72" s="30"/>
      <c r="L72" s="1"/>
      <c r="M72" s="30"/>
      <c r="N72" s="1"/>
      <c r="O72" s="1"/>
    </row>
    <row r="73" spans="1:15" x14ac:dyDescent="0.3">
      <c r="A73" s="41">
        <v>45451</v>
      </c>
      <c r="B73" s="10" t="s">
        <v>1503</v>
      </c>
      <c r="C73" s="10" t="s">
        <v>14</v>
      </c>
      <c r="D73" s="30">
        <f t="shared" si="5"/>
        <v>199.99999999999997</v>
      </c>
      <c r="E73" s="30">
        <f t="shared" si="3"/>
        <v>19.999999999999996</v>
      </c>
      <c r="F73" s="30">
        <v>220</v>
      </c>
      <c r="G73" s="30">
        <v>50</v>
      </c>
      <c r="H73" s="13">
        <f t="shared" si="4"/>
        <v>170</v>
      </c>
      <c r="I73" s="1" t="s">
        <v>1646</v>
      </c>
      <c r="J73" s="30">
        <v>220</v>
      </c>
      <c r="K73" s="30"/>
      <c r="L73" s="1"/>
      <c r="M73" s="30"/>
      <c r="N73" s="1"/>
      <c r="O73" s="1"/>
    </row>
    <row r="74" spans="1:15" x14ac:dyDescent="0.3">
      <c r="A74" s="41">
        <v>45451</v>
      </c>
      <c r="B74" s="10" t="s">
        <v>1504</v>
      </c>
      <c r="C74" s="10" t="s">
        <v>14</v>
      </c>
      <c r="D74" s="30">
        <f t="shared" si="5"/>
        <v>199.99999999999997</v>
      </c>
      <c r="E74" s="30">
        <f t="shared" si="3"/>
        <v>19.999999999999996</v>
      </c>
      <c r="F74" s="30">
        <v>220</v>
      </c>
      <c r="G74" s="30">
        <v>50</v>
      </c>
      <c r="H74" s="13">
        <f t="shared" si="4"/>
        <v>170</v>
      </c>
      <c r="I74" s="1" t="s">
        <v>1647</v>
      </c>
      <c r="J74" s="30">
        <v>220</v>
      </c>
      <c r="K74" s="30"/>
      <c r="L74" s="1"/>
      <c r="M74" s="30"/>
      <c r="N74" s="1"/>
      <c r="O74" s="1"/>
    </row>
    <row r="75" spans="1:15" x14ac:dyDescent="0.3">
      <c r="A75" s="41">
        <v>45452</v>
      </c>
      <c r="B75" s="10" t="s">
        <v>1505</v>
      </c>
      <c r="C75" s="10" t="s">
        <v>14</v>
      </c>
      <c r="D75" s="30">
        <f t="shared" si="5"/>
        <v>178.18181818181816</v>
      </c>
      <c r="E75" s="30">
        <f t="shared" si="3"/>
        <v>17.818181818181817</v>
      </c>
      <c r="F75" s="30">
        <v>196</v>
      </c>
      <c r="G75" s="30"/>
      <c r="H75" s="13">
        <f t="shared" si="4"/>
        <v>196</v>
      </c>
      <c r="I75" s="1" t="s">
        <v>402</v>
      </c>
      <c r="J75" s="30">
        <v>196</v>
      </c>
      <c r="K75" s="30"/>
      <c r="L75" s="1"/>
      <c r="M75" s="30"/>
      <c r="N75" s="1"/>
      <c r="O75" s="1"/>
    </row>
    <row r="76" spans="1:15" x14ac:dyDescent="0.3">
      <c r="A76" s="41">
        <v>45452</v>
      </c>
      <c r="B76" s="10" t="s">
        <v>1506</v>
      </c>
      <c r="C76" s="10" t="s">
        <v>14</v>
      </c>
      <c r="D76" s="30">
        <f t="shared" si="5"/>
        <v>163.63636363636363</v>
      </c>
      <c r="E76" s="30">
        <f t="shared" si="3"/>
        <v>16.363636363636363</v>
      </c>
      <c r="F76" s="30">
        <v>180</v>
      </c>
      <c r="G76" s="30"/>
      <c r="H76" s="13">
        <f t="shared" si="4"/>
        <v>180</v>
      </c>
      <c r="I76" s="1" t="s">
        <v>402</v>
      </c>
      <c r="J76" s="30">
        <v>180</v>
      </c>
      <c r="K76" s="30"/>
      <c r="L76" s="1"/>
      <c r="M76" s="30"/>
      <c r="N76" s="1"/>
      <c r="O76" s="1"/>
    </row>
    <row r="77" spans="1:15" x14ac:dyDescent="0.3">
      <c r="A77" s="41">
        <v>45452</v>
      </c>
      <c r="B77" s="10" t="s">
        <v>1507</v>
      </c>
      <c r="C77" s="10" t="s">
        <v>14</v>
      </c>
      <c r="D77" s="30">
        <f t="shared" si="5"/>
        <v>272.72727272727269</v>
      </c>
      <c r="E77" s="30">
        <f t="shared" si="3"/>
        <v>27.27272727272727</v>
      </c>
      <c r="F77" s="30">
        <v>300</v>
      </c>
      <c r="G77" s="30">
        <v>50</v>
      </c>
      <c r="H77" s="13">
        <f t="shared" si="4"/>
        <v>250</v>
      </c>
      <c r="I77" s="1" t="s">
        <v>1648</v>
      </c>
      <c r="J77" s="30">
        <v>270</v>
      </c>
      <c r="K77" s="30">
        <v>30</v>
      </c>
      <c r="L77" s="1" t="s">
        <v>223</v>
      </c>
      <c r="M77" s="30"/>
      <c r="N77" s="1"/>
      <c r="O77" s="1"/>
    </row>
    <row r="78" spans="1:15" x14ac:dyDescent="0.3">
      <c r="A78" s="41">
        <v>45452</v>
      </c>
      <c r="B78" s="10" t="s">
        <v>1508</v>
      </c>
      <c r="C78" s="10" t="s">
        <v>14</v>
      </c>
      <c r="D78" s="30">
        <f t="shared" si="5"/>
        <v>145.45454545454544</v>
      </c>
      <c r="E78" s="30">
        <f t="shared" si="3"/>
        <v>14.545454545454545</v>
      </c>
      <c r="F78" s="30">
        <v>160</v>
      </c>
      <c r="G78" s="30"/>
      <c r="H78" s="13">
        <f t="shared" si="4"/>
        <v>160</v>
      </c>
      <c r="I78" s="1" t="s">
        <v>402</v>
      </c>
      <c r="J78" s="30">
        <v>160</v>
      </c>
      <c r="K78" s="30"/>
      <c r="L78" s="1"/>
      <c r="M78" s="30"/>
      <c r="N78" s="1"/>
      <c r="O78" s="1"/>
    </row>
    <row r="79" spans="1:15" x14ac:dyDescent="0.3">
      <c r="A79" s="41">
        <v>45453</v>
      </c>
      <c r="B79" s="10" t="s">
        <v>1509</v>
      </c>
      <c r="C79" s="10" t="s">
        <v>14</v>
      </c>
      <c r="D79" s="30">
        <f t="shared" si="5"/>
        <v>245.45454545454544</v>
      </c>
      <c r="E79" s="30">
        <f t="shared" si="3"/>
        <v>24.545454545454547</v>
      </c>
      <c r="F79" s="30">
        <v>270</v>
      </c>
      <c r="G79" s="30"/>
      <c r="H79" s="13">
        <f t="shared" si="4"/>
        <v>270</v>
      </c>
      <c r="I79" s="1" t="s">
        <v>1649</v>
      </c>
      <c r="J79" s="30">
        <v>270</v>
      </c>
      <c r="K79" s="30"/>
      <c r="L79" s="1"/>
      <c r="M79" s="30"/>
      <c r="N79" s="1"/>
      <c r="O79" s="1"/>
    </row>
    <row r="80" spans="1:15" x14ac:dyDescent="0.3">
      <c r="A80" s="41">
        <v>45453</v>
      </c>
      <c r="B80" s="10" t="s">
        <v>1510</v>
      </c>
      <c r="C80" s="10" t="s">
        <v>14</v>
      </c>
      <c r="D80" s="30">
        <f t="shared" si="5"/>
        <v>245.45454545454544</v>
      </c>
      <c r="E80" s="30">
        <f t="shared" si="3"/>
        <v>24.545454545454547</v>
      </c>
      <c r="F80" s="30">
        <v>270</v>
      </c>
      <c r="G80" s="30"/>
      <c r="H80" s="13">
        <f t="shared" si="4"/>
        <v>270</v>
      </c>
      <c r="I80" s="1" t="s">
        <v>1649</v>
      </c>
      <c r="J80" s="30">
        <v>270</v>
      </c>
      <c r="K80" s="30"/>
      <c r="L80" s="1"/>
      <c r="M80" s="30"/>
      <c r="N80" s="1"/>
      <c r="O80" s="1"/>
    </row>
    <row r="81" spans="1:15" x14ac:dyDescent="0.3">
      <c r="A81" s="41">
        <v>45453</v>
      </c>
      <c r="B81" s="10" t="s">
        <v>1511</v>
      </c>
      <c r="C81" s="10" t="s">
        <v>14</v>
      </c>
      <c r="D81" s="30">
        <f t="shared" si="5"/>
        <v>154.54545454545453</v>
      </c>
      <c r="E81" s="30">
        <f t="shared" si="3"/>
        <v>15.454545454545453</v>
      </c>
      <c r="F81" s="30">
        <v>170</v>
      </c>
      <c r="G81" s="30"/>
      <c r="H81" s="13">
        <f t="shared" si="4"/>
        <v>170</v>
      </c>
      <c r="I81" s="1" t="s">
        <v>1649</v>
      </c>
      <c r="J81" s="30">
        <v>170</v>
      </c>
      <c r="K81" s="30"/>
      <c r="L81" s="1"/>
      <c r="M81" s="30"/>
      <c r="N81" s="1"/>
      <c r="O81" s="1"/>
    </row>
    <row r="82" spans="1:15" x14ac:dyDescent="0.3">
      <c r="A82" s="41">
        <v>45453</v>
      </c>
      <c r="B82" s="10" t="s">
        <v>1512</v>
      </c>
      <c r="C82" s="10" t="s">
        <v>14</v>
      </c>
      <c r="D82" s="30">
        <f t="shared" si="5"/>
        <v>154.54545454545453</v>
      </c>
      <c r="E82" s="30">
        <f t="shared" si="3"/>
        <v>15.454545454545453</v>
      </c>
      <c r="F82" s="30">
        <v>170</v>
      </c>
      <c r="G82" s="30"/>
      <c r="H82" s="13">
        <f t="shared" si="4"/>
        <v>170</v>
      </c>
      <c r="I82" s="1" t="s">
        <v>1649</v>
      </c>
      <c r="J82" s="30">
        <v>170</v>
      </c>
      <c r="K82" s="30"/>
      <c r="L82" s="1"/>
      <c r="M82" s="30"/>
      <c r="N82" s="1"/>
      <c r="O82" s="1"/>
    </row>
    <row r="83" spans="1:15" x14ac:dyDescent="0.3">
      <c r="A83" s="41">
        <v>45453</v>
      </c>
      <c r="B83" s="10" t="s">
        <v>1513</v>
      </c>
      <c r="C83" s="10" t="s">
        <v>14</v>
      </c>
      <c r="D83" s="30">
        <f t="shared" si="5"/>
        <v>154.54545454545453</v>
      </c>
      <c r="E83" s="30">
        <f t="shared" si="3"/>
        <v>15.454545454545453</v>
      </c>
      <c r="F83" s="30">
        <v>170</v>
      </c>
      <c r="G83" s="30">
        <v>50</v>
      </c>
      <c r="H83" s="13">
        <f t="shared" si="4"/>
        <v>120</v>
      </c>
      <c r="I83" s="1" t="s">
        <v>1650</v>
      </c>
      <c r="J83" s="30">
        <v>170</v>
      </c>
      <c r="K83" s="30"/>
      <c r="L83" s="1"/>
      <c r="M83" s="30"/>
      <c r="N83" s="1"/>
      <c r="O83" s="1"/>
    </row>
    <row r="84" spans="1:15" x14ac:dyDescent="0.3">
      <c r="A84" s="41">
        <v>45455</v>
      </c>
      <c r="B84" s="10" t="s">
        <v>1514</v>
      </c>
      <c r="C84" s="10" t="s">
        <v>14</v>
      </c>
      <c r="D84" s="30">
        <f t="shared" si="5"/>
        <v>222.72727272727272</v>
      </c>
      <c r="E84" s="30">
        <f t="shared" si="3"/>
        <v>22.27272727272727</v>
      </c>
      <c r="F84" s="30">
        <v>245</v>
      </c>
      <c r="G84" s="30">
        <v>50</v>
      </c>
      <c r="H84" s="13">
        <f t="shared" si="4"/>
        <v>195</v>
      </c>
      <c r="I84" s="1" t="s">
        <v>1651</v>
      </c>
      <c r="J84" s="30">
        <v>170</v>
      </c>
      <c r="K84" s="30">
        <v>30</v>
      </c>
      <c r="L84" s="1" t="s">
        <v>223</v>
      </c>
      <c r="M84" s="30">
        <v>45</v>
      </c>
      <c r="N84" s="1" t="s">
        <v>16</v>
      </c>
      <c r="O84" s="1"/>
    </row>
    <row r="85" spans="1:15" x14ac:dyDescent="0.3">
      <c r="A85" s="41">
        <v>45455</v>
      </c>
      <c r="B85" s="10" t="s">
        <v>1515</v>
      </c>
      <c r="C85" s="10" t="s">
        <v>14</v>
      </c>
      <c r="D85" s="30">
        <f t="shared" si="5"/>
        <v>209.09090909090907</v>
      </c>
      <c r="E85" s="30">
        <f t="shared" si="3"/>
        <v>20.909090909090907</v>
      </c>
      <c r="F85" s="30">
        <v>230</v>
      </c>
      <c r="G85" s="30"/>
      <c r="H85" s="13">
        <f t="shared" si="4"/>
        <v>230</v>
      </c>
      <c r="I85" s="1" t="s">
        <v>402</v>
      </c>
      <c r="J85" s="30">
        <v>230</v>
      </c>
      <c r="K85" s="30"/>
      <c r="L85" s="1"/>
      <c r="M85" s="30"/>
      <c r="N85" s="1"/>
      <c r="O85" s="1"/>
    </row>
    <row r="86" spans="1:15" x14ac:dyDescent="0.3">
      <c r="A86" s="41">
        <v>45455</v>
      </c>
      <c r="B86" s="10" t="s">
        <v>1516</v>
      </c>
      <c r="C86" s="10" t="s">
        <v>14</v>
      </c>
      <c r="D86" s="30">
        <f t="shared" si="5"/>
        <v>199.99999999999997</v>
      </c>
      <c r="E86" s="30">
        <f t="shared" si="3"/>
        <v>19.999999999999996</v>
      </c>
      <c r="F86" s="30">
        <v>220</v>
      </c>
      <c r="G86" s="30">
        <v>50</v>
      </c>
      <c r="H86" s="13">
        <f t="shared" si="4"/>
        <v>170</v>
      </c>
      <c r="I86" s="1" t="s">
        <v>1652</v>
      </c>
      <c r="J86" s="30">
        <v>220</v>
      </c>
      <c r="K86" s="30"/>
      <c r="L86" s="1"/>
      <c r="M86" s="30"/>
      <c r="N86" s="1"/>
      <c r="O86" s="1"/>
    </row>
    <row r="87" spans="1:15" x14ac:dyDescent="0.3">
      <c r="A87" s="41">
        <v>45455</v>
      </c>
      <c r="B87" s="10" t="s">
        <v>1517</v>
      </c>
      <c r="C87" s="10" t="s">
        <v>14</v>
      </c>
      <c r="D87" s="30">
        <f t="shared" si="5"/>
        <v>245.45454545454544</v>
      </c>
      <c r="E87" s="30">
        <f t="shared" si="3"/>
        <v>24.545454545454547</v>
      </c>
      <c r="F87" s="30">
        <v>270</v>
      </c>
      <c r="G87" s="30">
        <v>50</v>
      </c>
      <c r="H87" s="13">
        <f t="shared" si="4"/>
        <v>220</v>
      </c>
      <c r="I87" s="1" t="s">
        <v>1623</v>
      </c>
      <c r="J87" s="30">
        <v>220</v>
      </c>
      <c r="K87" s="30">
        <v>50</v>
      </c>
      <c r="L87" s="1" t="s">
        <v>223</v>
      </c>
      <c r="M87" s="30"/>
      <c r="N87" s="1"/>
      <c r="O87" s="1"/>
    </row>
    <row r="88" spans="1:15" x14ac:dyDescent="0.3">
      <c r="A88" s="41">
        <v>45456</v>
      </c>
      <c r="B88" s="10" t="s">
        <v>1518</v>
      </c>
      <c r="C88" s="10" t="s">
        <v>14</v>
      </c>
      <c r="D88" s="30">
        <f t="shared" si="5"/>
        <v>163.63636363636363</v>
      </c>
      <c r="E88" s="30">
        <f t="shared" si="3"/>
        <v>16.363636363636363</v>
      </c>
      <c r="F88" s="30">
        <v>180</v>
      </c>
      <c r="G88" s="30"/>
      <c r="H88" s="13">
        <f t="shared" si="4"/>
        <v>180</v>
      </c>
      <c r="I88" s="1" t="s">
        <v>1653</v>
      </c>
      <c r="J88" s="30">
        <v>180</v>
      </c>
      <c r="K88" s="30"/>
      <c r="L88" s="1"/>
      <c r="M88" s="30"/>
      <c r="N88" s="1"/>
      <c r="O88" s="1"/>
    </row>
    <row r="89" spans="1:15" x14ac:dyDescent="0.3">
      <c r="A89" s="41">
        <v>45456</v>
      </c>
      <c r="B89" s="10" t="s">
        <v>1519</v>
      </c>
      <c r="C89" s="10" t="s">
        <v>14</v>
      </c>
      <c r="D89" s="30">
        <f t="shared" si="5"/>
        <v>154.54545454545453</v>
      </c>
      <c r="E89" s="30">
        <f t="shared" si="3"/>
        <v>15.454545454545453</v>
      </c>
      <c r="F89" s="30">
        <v>170</v>
      </c>
      <c r="G89" s="30">
        <v>50</v>
      </c>
      <c r="H89" s="13">
        <f t="shared" si="4"/>
        <v>120</v>
      </c>
      <c r="I89" s="1" t="s">
        <v>1654</v>
      </c>
      <c r="J89" s="30">
        <v>170</v>
      </c>
      <c r="K89" s="30"/>
      <c r="L89" s="1"/>
      <c r="M89" s="30"/>
      <c r="N89" s="1"/>
      <c r="O89" s="1"/>
    </row>
    <row r="90" spans="1:15" x14ac:dyDescent="0.3">
      <c r="A90" s="41">
        <v>45456</v>
      </c>
      <c r="B90" s="10" t="s">
        <v>1520</v>
      </c>
      <c r="C90" s="10" t="s">
        <v>14</v>
      </c>
      <c r="D90" s="30">
        <f t="shared" si="5"/>
        <v>99.999999999999986</v>
      </c>
      <c r="E90" s="30">
        <f t="shared" si="3"/>
        <v>9.9999999999999982</v>
      </c>
      <c r="F90" s="30">
        <v>110</v>
      </c>
      <c r="G90" s="30"/>
      <c r="H90" s="13">
        <f t="shared" si="4"/>
        <v>110</v>
      </c>
      <c r="I90" s="1" t="s">
        <v>402</v>
      </c>
      <c r="J90" s="30">
        <v>110</v>
      </c>
      <c r="K90" s="30"/>
      <c r="L90" s="1"/>
      <c r="M90" s="30"/>
      <c r="N90" s="1"/>
      <c r="O90" s="1"/>
    </row>
    <row r="91" spans="1:15" x14ac:dyDescent="0.3">
      <c r="A91" s="41">
        <v>45456</v>
      </c>
      <c r="B91" s="10" t="s">
        <v>1521</v>
      </c>
      <c r="C91" s="10" t="s">
        <v>14</v>
      </c>
      <c r="D91" s="30">
        <f t="shared" si="5"/>
        <v>172.72727272727272</v>
      </c>
      <c r="E91" s="30">
        <f t="shared" si="3"/>
        <v>17.272727272727273</v>
      </c>
      <c r="F91" s="30">
        <v>190</v>
      </c>
      <c r="G91" s="30">
        <v>50</v>
      </c>
      <c r="H91" s="13">
        <f t="shared" si="4"/>
        <v>140</v>
      </c>
      <c r="I91" s="1" t="s">
        <v>1655</v>
      </c>
      <c r="J91" s="30">
        <v>170</v>
      </c>
      <c r="K91" s="30">
        <v>20</v>
      </c>
      <c r="L91" s="1" t="s">
        <v>223</v>
      </c>
      <c r="M91" s="30"/>
      <c r="N91" s="1"/>
      <c r="O91" s="1"/>
    </row>
    <row r="92" spans="1:15" x14ac:dyDescent="0.3">
      <c r="A92" s="41">
        <v>45457</v>
      </c>
      <c r="B92" s="10" t="s">
        <v>1522</v>
      </c>
      <c r="C92" s="10" t="s">
        <v>14</v>
      </c>
      <c r="D92" s="30">
        <f t="shared" si="5"/>
        <v>172.72727272727272</v>
      </c>
      <c r="E92" s="30">
        <f t="shared" si="3"/>
        <v>17.272727272727273</v>
      </c>
      <c r="F92" s="30">
        <v>190</v>
      </c>
      <c r="G92" s="30"/>
      <c r="H92" s="13">
        <f t="shared" si="4"/>
        <v>190</v>
      </c>
      <c r="I92" s="1" t="s">
        <v>1623</v>
      </c>
      <c r="J92" s="30">
        <v>190</v>
      </c>
      <c r="K92" s="30"/>
      <c r="L92" s="1"/>
      <c r="M92" s="30"/>
      <c r="N92" s="1"/>
      <c r="O92" s="1"/>
    </row>
    <row r="93" spans="1:15" x14ac:dyDescent="0.3">
      <c r="A93" s="41">
        <v>45457</v>
      </c>
      <c r="B93" s="10" t="s">
        <v>1523</v>
      </c>
      <c r="C93" s="10" t="s">
        <v>14</v>
      </c>
      <c r="D93" s="30">
        <f t="shared" si="5"/>
        <v>472.72727272727269</v>
      </c>
      <c r="E93" s="30">
        <f t="shared" si="3"/>
        <v>47.272727272727273</v>
      </c>
      <c r="F93" s="30">
        <v>520</v>
      </c>
      <c r="G93" s="30">
        <v>50</v>
      </c>
      <c r="H93" s="13">
        <f t="shared" si="4"/>
        <v>470</v>
      </c>
      <c r="I93" s="1" t="s">
        <v>1656</v>
      </c>
      <c r="J93" s="30">
        <v>520</v>
      </c>
      <c r="K93" s="30"/>
      <c r="L93" s="1"/>
      <c r="M93" s="30"/>
      <c r="N93" s="1"/>
      <c r="O93" s="1"/>
    </row>
    <row r="94" spans="1:15" x14ac:dyDescent="0.3">
      <c r="A94" s="41">
        <v>45457</v>
      </c>
      <c r="B94" s="10" t="s">
        <v>1524</v>
      </c>
      <c r="C94" s="10" t="s">
        <v>14</v>
      </c>
      <c r="D94" s="30">
        <f t="shared" si="5"/>
        <v>263.63636363636363</v>
      </c>
      <c r="E94" s="30">
        <f t="shared" si="3"/>
        <v>26.36363636363636</v>
      </c>
      <c r="F94" s="30">
        <v>290</v>
      </c>
      <c r="G94" s="30">
        <v>50</v>
      </c>
      <c r="H94" s="13">
        <f t="shared" si="4"/>
        <v>240</v>
      </c>
      <c r="I94" s="1" t="s">
        <v>1657</v>
      </c>
      <c r="J94" s="30">
        <v>270</v>
      </c>
      <c r="K94" s="30">
        <v>20</v>
      </c>
      <c r="L94" s="1" t="s">
        <v>223</v>
      </c>
      <c r="M94" s="30"/>
      <c r="N94" s="1"/>
      <c r="O94" s="1"/>
    </row>
    <row r="95" spans="1:15" x14ac:dyDescent="0.3">
      <c r="A95" s="41">
        <v>45457</v>
      </c>
      <c r="B95" s="10" t="s">
        <v>1525</v>
      </c>
      <c r="C95" s="10" t="s">
        <v>14</v>
      </c>
      <c r="D95" s="30">
        <f t="shared" si="5"/>
        <v>199.99999999999997</v>
      </c>
      <c r="E95" s="30">
        <f t="shared" si="3"/>
        <v>19.999999999999996</v>
      </c>
      <c r="F95" s="30">
        <v>220</v>
      </c>
      <c r="G95" s="30"/>
      <c r="H95" s="13">
        <f t="shared" si="4"/>
        <v>220</v>
      </c>
      <c r="I95" s="1" t="s">
        <v>1028</v>
      </c>
      <c r="J95" s="30">
        <v>220</v>
      </c>
      <c r="K95" s="30"/>
      <c r="L95" s="1"/>
      <c r="M95" s="30"/>
      <c r="N95" s="1"/>
      <c r="O95" s="1"/>
    </row>
    <row r="96" spans="1:15" x14ac:dyDescent="0.3">
      <c r="A96" s="41">
        <v>45457</v>
      </c>
      <c r="B96" s="10" t="s">
        <v>1526</v>
      </c>
      <c r="C96" s="10" t="s">
        <v>14</v>
      </c>
      <c r="D96" s="30">
        <f t="shared" si="5"/>
        <v>118.18181818181817</v>
      </c>
      <c r="E96" s="30">
        <f t="shared" si="3"/>
        <v>11.818181818181818</v>
      </c>
      <c r="F96" s="30">
        <v>130</v>
      </c>
      <c r="G96" s="30"/>
      <c r="H96" s="13">
        <f t="shared" si="4"/>
        <v>130</v>
      </c>
      <c r="I96" s="1" t="s">
        <v>403</v>
      </c>
      <c r="J96" s="30">
        <v>130</v>
      </c>
      <c r="K96" s="30"/>
      <c r="L96" s="1"/>
      <c r="M96" s="30"/>
      <c r="N96" s="1"/>
      <c r="O96" s="1"/>
    </row>
    <row r="97" spans="1:15" x14ac:dyDescent="0.3">
      <c r="A97" s="41">
        <v>45457</v>
      </c>
      <c r="B97" s="10" t="s">
        <v>1527</v>
      </c>
      <c r="C97" s="10" t="s">
        <v>14</v>
      </c>
      <c r="D97" s="30">
        <f t="shared" si="5"/>
        <v>245.45454545454544</v>
      </c>
      <c r="E97" s="30">
        <f t="shared" si="3"/>
        <v>24.545454545454547</v>
      </c>
      <c r="F97" s="30">
        <v>270</v>
      </c>
      <c r="G97" s="30">
        <v>270</v>
      </c>
      <c r="H97" s="13">
        <f t="shared" si="4"/>
        <v>0</v>
      </c>
      <c r="I97" s="1" t="s">
        <v>1658</v>
      </c>
      <c r="J97" s="30">
        <v>270</v>
      </c>
      <c r="K97" s="30"/>
      <c r="L97" s="1"/>
      <c r="M97" s="30"/>
      <c r="N97" s="1"/>
      <c r="O97" s="1"/>
    </row>
    <row r="98" spans="1:15" x14ac:dyDescent="0.3">
      <c r="A98" s="41">
        <v>45457</v>
      </c>
      <c r="B98" s="10" t="s">
        <v>1528</v>
      </c>
      <c r="C98" s="10" t="s">
        <v>14</v>
      </c>
      <c r="D98" s="30">
        <f t="shared" si="5"/>
        <v>245.45454545454544</v>
      </c>
      <c r="E98" s="30">
        <f t="shared" si="3"/>
        <v>24.545454545454547</v>
      </c>
      <c r="F98" s="30">
        <v>270</v>
      </c>
      <c r="G98" s="30">
        <v>50</v>
      </c>
      <c r="H98" s="13">
        <f t="shared" si="4"/>
        <v>220</v>
      </c>
      <c r="I98" s="1" t="s">
        <v>1659</v>
      </c>
      <c r="J98" s="30">
        <v>270</v>
      </c>
      <c r="K98" s="30"/>
      <c r="L98" s="1"/>
      <c r="M98" s="30"/>
      <c r="N98" s="1"/>
      <c r="O98" s="1"/>
    </row>
    <row r="99" spans="1:15" x14ac:dyDescent="0.3">
      <c r="A99" s="41">
        <v>45457</v>
      </c>
      <c r="B99" s="10" t="s">
        <v>1529</v>
      </c>
      <c r="C99" s="10" t="s">
        <v>14</v>
      </c>
      <c r="D99" s="30">
        <f t="shared" si="5"/>
        <v>245.45454545454544</v>
      </c>
      <c r="E99" s="30">
        <f t="shared" si="3"/>
        <v>24.545454545454547</v>
      </c>
      <c r="F99" s="30">
        <v>270</v>
      </c>
      <c r="G99" s="30">
        <v>50</v>
      </c>
      <c r="H99" s="13">
        <f t="shared" si="4"/>
        <v>220</v>
      </c>
      <c r="I99" s="1" t="s">
        <v>1660</v>
      </c>
      <c r="J99" s="30">
        <v>270</v>
      </c>
      <c r="K99" s="30"/>
      <c r="L99" s="1"/>
      <c r="M99" s="30"/>
      <c r="N99" s="1"/>
      <c r="O99" s="1"/>
    </row>
    <row r="100" spans="1:15" x14ac:dyDescent="0.3">
      <c r="A100" s="41">
        <v>45457</v>
      </c>
      <c r="B100" s="10" t="s">
        <v>1530</v>
      </c>
      <c r="C100" s="10" t="s">
        <v>14</v>
      </c>
      <c r="D100" s="30">
        <f t="shared" si="5"/>
        <v>245.45454545454544</v>
      </c>
      <c r="E100" s="30">
        <f t="shared" si="3"/>
        <v>24.545454545454547</v>
      </c>
      <c r="F100" s="30">
        <v>270</v>
      </c>
      <c r="G100" s="30">
        <v>50</v>
      </c>
      <c r="H100" s="13">
        <f t="shared" si="4"/>
        <v>220</v>
      </c>
      <c r="I100" s="1" t="s">
        <v>1661</v>
      </c>
      <c r="J100" s="30">
        <v>270</v>
      </c>
      <c r="K100" s="30"/>
      <c r="L100" s="1"/>
      <c r="M100" s="30"/>
      <c r="N100" s="1"/>
      <c r="O100" s="1"/>
    </row>
    <row r="101" spans="1:15" x14ac:dyDescent="0.3">
      <c r="A101" s="41">
        <v>45457</v>
      </c>
      <c r="B101" s="10" t="s">
        <v>1531</v>
      </c>
      <c r="C101" s="10" t="s">
        <v>14</v>
      </c>
      <c r="D101" s="30">
        <f t="shared" si="5"/>
        <v>218.18181818181816</v>
      </c>
      <c r="E101" s="30">
        <f t="shared" si="3"/>
        <v>21.818181818181817</v>
      </c>
      <c r="F101" s="30">
        <v>240</v>
      </c>
      <c r="G101" s="30"/>
      <c r="H101" s="13">
        <f t="shared" si="4"/>
        <v>240</v>
      </c>
      <c r="I101" s="1" t="s">
        <v>1623</v>
      </c>
      <c r="J101" s="30">
        <v>240</v>
      </c>
      <c r="K101" s="30"/>
      <c r="L101" s="1"/>
      <c r="M101" s="30"/>
      <c r="N101" s="1"/>
      <c r="O101" s="1"/>
    </row>
    <row r="102" spans="1:15" x14ac:dyDescent="0.3">
      <c r="A102" s="41">
        <v>45457</v>
      </c>
      <c r="B102" s="10" t="s">
        <v>1532</v>
      </c>
      <c r="C102" s="10" t="s">
        <v>14</v>
      </c>
      <c r="D102" s="30">
        <f t="shared" si="5"/>
        <v>227.27272727272725</v>
      </c>
      <c r="E102" s="30">
        <f t="shared" si="3"/>
        <v>22.727272727272727</v>
      </c>
      <c r="F102" s="30">
        <v>250</v>
      </c>
      <c r="G102" s="30"/>
      <c r="H102" s="13">
        <f t="shared" si="4"/>
        <v>250</v>
      </c>
      <c r="I102" s="1" t="s">
        <v>1623</v>
      </c>
      <c r="J102" s="30">
        <v>250</v>
      </c>
      <c r="K102" s="30"/>
      <c r="L102" s="1"/>
      <c r="M102" s="30"/>
      <c r="N102" s="1"/>
      <c r="O102" s="1"/>
    </row>
    <row r="103" spans="1:15" x14ac:dyDescent="0.3">
      <c r="A103" s="41">
        <v>45458</v>
      </c>
      <c r="B103" s="10" t="s">
        <v>1533</v>
      </c>
      <c r="C103" s="10" t="s">
        <v>14</v>
      </c>
      <c r="D103" s="30">
        <f t="shared" si="5"/>
        <v>245.45454545454544</v>
      </c>
      <c r="E103" s="30">
        <f t="shared" si="3"/>
        <v>24.545454545454547</v>
      </c>
      <c r="F103" s="30">
        <v>270</v>
      </c>
      <c r="G103" s="30">
        <v>50</v>
      </c>
      <c r="H103" s="13">
        <f t="shared" si="4"/>
        <v>220</v>
      </c>
      <c r="I103" s="1" t="s">
        <v>1662</v>
      </c>
      <c r="J103" s="30">
        <v>270</v>
      </c>
      <c r="K103" s="30"/>
      <c r="L103" s="1"/>
      <c r="M103" s="30"/>
      <c r="N103" s="1"/>
      <c r="O103" s="1"/>
    </row>
    <row r="104" spans="1:15" x14ac:dyDescent="0.3">
      <c r="A104" s="41">
        <v>45458</v>
      </c>
      <c r="B104" s="10" t="s">
        <v>1534</v>
      </c>
      <c r="C104" s="10" t="s">
        <v>14</v>
      </c>
      <c r="D104" s="30">
        <f t="shared" si="5"/>
        <v>272.72727272727269</v>
      </c>
      <c r="E104" s="30">
        <f t="shared" si="3"/>
        <v>27.27272727272727</v>
      </c>
      <c r="F104" s="30">
        <v>300</v>
      </c>
      <c r="G104" s="30">
        <v>50</v>
      </c>
      <c r="H104" s="13">
        <f t="shared" si="4"/>
        <v>250</v>
      </c>
      <c r="I104" s="1" t="s">
        <v>899</v>
      </c>
      <c r="J104" s="30">
        <v>300</v>
      </c>
      <c r="K104" s="30"/>
      <c r="L104" s="1"/>
      <c r="M104" s="30"/>
      <c r="N104" s="1"/>
      <c r="O104" s="1"/>
    </row>
    <row r="105" spans="1:15" x14ac:dyDescent="0.3">
      <c r="A105" s="41">
        <v>45458</v>
      </c>
      <c r="B105" s="10" t="s">
        <v>1535</v>
      </c>
      <c r="C105" s="10" t="s">
        <v>14</v>
      </c>
      <c r="D105" s="30">
        <f t="shared" si="5"/>
        <v>163.63636363636363</v>
      </c>
      <c r="E105" s="30">
        <f t="shared" si="3"/>
        <v>16.363636363636363</v>
      </c>
      <c r="F105" s="30">
        <v>180</v>
      </c>
      <c r="G105" s="30"/>
      <c r="H105" s="13">
        <f t="shared" si="4"/>
        <v>180</v>
      </c>
      <c r="I105" s="1" t="s">
        <v>403</v>
      </c>
      <c r="J105" s="30">
        <v>180</v>
      </c>
      <c r="K105" s="30"/>
      <c r="L105" s="1"/>
      <c r="M105" s="30"/>
      <c r="N105" s="1"/>
      <c r="O105" s="1"/>
    </row>
    <row r="106" spans="1:15" x14ac:dyDescent="0.3">
      <c r="A106" s="41">
        <v>45458</v>
      </c>
      <c r="B106" s="10" t="s">
        <v>1536</v>
      </c>
      <c r="C106" s="10" t="s">
        <v>14</v>
      </c>
      <c r="D106" s="30">
        <f t="shared" si="5"/>
        <v>199.99999999999997</v>
      </c>
      <c r="E106" s="30">
        <f t="shared" si="3"/>
        <v>19.999999999999996</v>
      </c>
      <c r="F106" s="30">
        <v>220</v>
      </c>
      <c r="G106" s="30">
        <v>50</v>
      </c>
      <c r="H106" s="13">
        <f t="shared" si="4"/>
        <v>170</v>
      </c>
      <c r="I106" s="1" t="s">
        <v>1663</v>
      </c>
      <c r="J106" s="30">
        <v>220</v>
      </c>
      <c r="K106" s="30"/>
      <c r="L106" s="1"/>
      <c r="M106" s="30"/>
      <c r="N106" s="1"/>
      <c r="O106" s="1"/>
    </row>
    <row r="107" spans="1:15" x14ac:dyDescent="0.3">
      <c r="A107" s="41">
        <v>45458</v>
      </c>
      <c r="B107" s="10" t="s">
        <v>1537</v>
      </c>
      <c r="C107" s="10" t="s">
        <v>14</v>
      </c>
      <c r="D107" s="30">
        <f t="shared" si="5"/>
        <v>245.45454545454544</v>
      </c>
      <c r="E107" s="30">
        <f t="shared" si="3"/>
        <v>24.545454545454547</v>
      </c>
      <c r="F107" s="30">
        <v>270</v>
      </c>
      <c r="G107" s="30">
        <v>50</v>
      </c>
      <c r="H107" s="13">
        <f t="shared" si="4"/>
        <v>220</v>
      </c>
      <c r="I107" s="1" t="s">
        <v>1664</v>
      </c>
      <c r="J107" s="30">
        <v>270</v>
      </c>
      <c r="K107" s="30"/>
      <c r="L107" s="1"/>
      <c r="M107" s="30"/>
      <c r="N107" s="1"/>
      <c r="O107" s="1"/>
    </row>
    <row r="108" spans="1:15" x14ac:dyDescent="0.3">
      <c r="A108" s="41">
        <v>45458</v>
      </c>
      <c r="B108" s="10" t="s">
        <v>1538</v>
      </c>
      <c r="C108" s="10" t="s">
        <v>14</v>
      </c>
      <c r="D108" s="30">
        <f t="shared" si="5"/>
        <v>218.18181818181816</v>
      </c>
      <c r="E108" s="30">
        <f t="shared" si="3"/>
        <v>21.818181818181817</v>
      </c>
      <c r="F108" s="30">
        <v>240</v>
      </c>
      <c r="G108" s="30">
        <v>50</v>
      </c>
      <c r="H108" s="13">
        <f t="shared" si="4"/>
        <v>190</v>
      </c>
      <c r="I108" s="1" t="s">
        <v>1665</v>
      </c>
      <c r="J108" s="30">
        <v>220</v>
      </c>
      <c r="K108" s="30">
        <v>20</v>
      </c>
      <c r="L108" s="1" t="s">
        <v>223</v>
      </c>
      <c r="M108" s="30"/>
      <c r="N108" s="1"/>
      <c r="O108" s="1"/>
    </row>
    <row r="109" spans="1:15" x14ac:dyDescent="0.3">
      <c r="A109" s="41">
        <v>45458</v>
      </c>
      <c r="B109" s="10" t="s">
        <v>1539</v>
      </c>
      <c r="C109" s="10" t="s">
        <v>14</v>
      </c>
      <c r="D109" s="30">
        <f t="shared" si="5"/>
        <v>245.45454545454544</v>
      </c>
      <c r="E109" s="30">
        <f t="shared" si="3"/>
        <v>24.545454545454547</v>
      </c>
      <c r="F109" s="30">
        <v>270</v>
      </c>
      <c r="G109" s="30">
        <v>50</v>
      </c>
      <c r="H109" s="13">
        <f t="shared" si="4"/>
        <v>220</v>
      </c>
      <c r="I109" s="1" t="s">
        <v>1667</v>
      </c>
      <c r="J109" s="30">
        <v>270</v>
      </c>
      <c r="K109" s="30"/>
      <c r="L109" s="1"/>
      <c r="M109" s="30"/>
      <c r="N109" s="1"/>
      <c r="O109" s="1"/>
    </row>
    <row r="110" spans="1:15" x14ac:dyDescent="0.3">
      <c r="A110" s="41">
        <v>45458</v>
      </c>
      <c r="B110" s="10" t="s">
        <v>1540</v>
      </c>
      <c r="C110" s="10" t="s">
        <v>14</v>
      </c>
      <c r="D110" s="30">
        <f t="shared" si="5"/>
        <v>199.99999999999997</v>
      </c>
      <c r="E110" s="30">
        <f t="shared" si="3"/>
        <v>19.999999999999996</v>
      </c>
      <c r="F110" s="30">
        <v>220</v>
      </c>
      <c r="G110" s="30">
        <v>50</v>
      </c>
      <c r="H110" s="13">
        <f t="shared" si="4"/>
        <v>170</v>
      </c>
      <c r="I110" s="1" t="s">
        <v>1668</v>
      </c>
      <c r="J110" s="30">
        <v>220</v>
      </c>
      <c r="K110" s="30"/>
      <c r="L110" s="1"/>
      <c r="M110" s="30"/>
      <c r="N110" s="1"/>
      <c r="O110" s="1"/>
    </row>
    <row r="111" spans="1:15" x14ac:dyDescent="0.3">
      <c r="A111" s="41">
        <v>45458</v>
      </c>
      <c r="B111" s="10" t="s">
        <v>1541</v>
      </c>
      <c r="C111" s="10" t="s">
        <v>14</v>
      </c>
      <c r="D111" s="30">
        <f t="shared" si="5"/>
        <v>199.99999999999997</v>
      </c>
      <c r="E111" s="30">
        <f t="shared" si="3"/>
        <v>19.999999999999996</v>
      </c>
      <c r="F111" s="30">
        <v>220</v>
      </c>
      <c r="G111" s="30">
        <v>50</v>
      </c>
      <c r="H111" s="13">
        <f t="shared" si="4"/>
        <v>170</v>
      </c>
      <c r="I111" s="1" t="s">
        <v>1669</v>
      </c>
      <c r="J111" s="30">
        <v>220</v>
      </c>
      <c r="K111" s="30"/>
      <c r="L111" s="1"/>
      <c r="M111" s="30"/>
      <c r="N111" s="1"/>
      <c r="O111" s="1"/>
    </row>
    <row r="112" spans="1:15" x14ac:dyDescent="0.3">
      <c r="A112" s="41">
        <v>45458</v>
      </c>
      <c r="B112" s="10" t="s">
        <v>1542</v>
      </c>
      <c r="C112" s="10" t="s">
        <v>14</v>
      </c>
      <c r="D112" s="30">
        <f t="shared" si="5"/>
        <v>199.99999999999997</v>
      </c>
      <c r="E112" s="30">
        <f t="shared" si="3"/>
        <v>19.999999999999996</v>
      </c>
      <c r="F112" s="30">
        <v>220</v>
      </c>
      <c r="G112" s="30">
        <v>50</v>
      </c>
      <c r="H112" s="13">
        <f t="shared" si="4"/>
        <v>170</v>
      </c>
      <c r="I112" s="1" t="s">
        <v>1670</v>
      </c>
      <c r="J112" s="30">
        <v>220</v>
      </c>
      <c r="K112" s="30"/>
      <c r="L112" s="1"/>
      <c r="M112" s="30"/>
      <c r="N112" s="1"/>
      <c r="O112" s="1"/>
    </row>
    <row r="113" spans="1:15" x14ac:dyDescent="0.3">
      <c r="A113" s="41">
        <v>45458</v>
      </c>
      <c r="B113" s="10" t="s">
        <v>1543</v>
      </c>
      <c r="C113" s="10" t="s">
        <v>14</v>
      </c>
      <c r="D113" s="30">
        <f t="shared" si="5"/>
        <v>199.99999999999997</v>
      </c>
      <c r="E113" s="30">
        <f t="shared" si="3"/>
        <v>19.999999999999996</v>
      </c>
      <c r="F113" s="30">
        <v>220</v>
      </c>
      <c r="G113" s="30">
        <v>50</v>
      </c>
      <c r="H113" s="13">
        <f t="shared" si="4"/>
        <v>170</v>
      </c>
      <c r="I113" s="1" t="s">
        <v>1671</v>
      </c>
      <c r="J113" s="30">
        <v>220</v>
      </c>
      <c r="K113" s="30"/>
      <c r="L113" s="1"/>
      <c r="M113" s="30"/>
      <c r="N113" s="1"/>
      <c r="O113" s="1"/>
    </row>
    <row r="114" spans="1:15" x14ac:dyDescent="0.3">
      <c r="A114" s="41">
        <v>45458</v>
      </c>
      <c r="B114" s="10" t="s">
        <v>1544</v>
      </c>
      <c r="C114" s="10" t="s">
        <v>14</v>
      </c>
      <c r="D114" s="30">
        <f t="shared" si="5"/>
        <v>313.63636363636363</v>
      </c>
      <c r="E114" s="30">
        <f t="shared" si="3"/>
        <v>31.36363636363636</v>
      </c>
      <c r="F114" s="30">
        <v>345</v>
      </c>
      <c r="G114" s="30">
        <v>50</v>
      </c>
      <c r="H114" s="13">
        <f t="shared" si="4"/>
        <v>295</v>
      </c>
      <c r="I114" s="1" t="s">
        <v>1672</v>
      </c>
      <c r="J114" s="30">
        <v>270</v>
      </c>
      <c r="K114" s="30">
        <v>30</v>
      </c>
      <c r="L114" s="1" t="s">
        <v>223</v>
      </c>
      <c r="M114" s="30">
        <v>45</v>
      </c>
      <c r="N114" s="1" t="s">
        <v>16</v>
      </c>
      <c r="O114" s="1"/>
    </row>
    <row r="115" spans="1:15" x14ac:dyDescent="0.3">
      <c r="A115" s="41">
        <v>45458</v>
      </c>
      <c r="B115" s="10" t="s">
        <v>1545</v>
      </c>
      <c r="C115" s="10" t="s">
        <v>14</v>
      </c>
      <c r="D115" s="30">
        <f t="shared" si="5"/>
        <v>236.36363636363635</v>
      </c>
      <c r="E115" s="30">
        <f t="shared" si="3"/>
        <v>23.636363636363637</v>
      </c>
      <c r="F115" s="30">
        <v>260</v>
      </c>
      <c r="G115" s="30">
        <v>50</v>
      </c>
      <c r="H115" s="13">
        <f t="shared" si="4"/>
        <v>210</v>
      </c>
      <c r="I115" s="1" t="s">
        <v>1673</v>
      </c>
      <c r="J115" s="30">
        <v>220</v>
      </c>
      <c r="K115" s="30">
        <v>40</v>
      </c>
      <c r="L115" s="1" t="s">
        <v>223</v>
      </c>
      <c r="M115" s="30"/>
      <c r="N115" s="1"/>
      <c r="O115" s="1"/>
    </row>
    <row r="116" spans="1:15" x14ac:dyDescent="0.3">
      <c r="A116" s="41">
        <v>45458</v>
      </c>
      <c r="B116" s="10" t="s">
        <v>1546</v>
      </c>
      <c r="C116" s="10" t="s">
        <v>14</v>
      </c>
      <c r="D116" s="30">
        <f t="shared" si="5"/>
        <v>318.18181818181813</v>
      </c>
      <c r="E116" s="30">
        <f t="shared" si="3"/>
        <v>31.818181818181809</v>
      </c>
      <c r="F116" s="30">
        <v>350</v>
      </c>
      <c r="G116" s="30">
        <v>50</v>
      </c>
      <c r="H116" s="13">
        <f t="shared" si="4"/>
        <v>300</v>
      </c>
      <c r="I116" s="1" t="s">
        <v>1411</v>
      </c>
      <c r="J116" s="30">
        <v>270</v>
      </c>
      <c r="K116" s="30">
        <v>80</v>
      </c>
      <c r="L116" s="1" t="s">
        <v>223</v>
      </c>
      <c r="M116" s="30"/>
      <c r="N116" s="1"/>
      <c r="O116" s="1"/>
    </row>
    <row r="117" spans="1:15" x14ac:dyDescent="0.3">
      <c r="A117" s="41">
        <v>45458</v>
      </c>
      <c r="B117" s="10" t="s">
        <v>1547</v>
      </c>
      <c r="C117" s="10" t="s">
        <v>14</v>
      </c>
      <c r="D117" s="30">
        <f t="shared" si="5"/>
        <v>245.45454545454544</v>
      </c>
      <c r="E117" s="30">
        <f t="shared" si="3"/>
        <v>24.545454545454547</v>
      </c>
      <c r="F117" s="30">
        <v>270</v>
      </c>
      <c r="G117" s="30">
        <v>50</v>
      </c>
      <c r="H117" s="13">
        <f t="shared" si="4"/>
        <v>220</v>
      </c>
      <c r="I117" s="1" t="s">
        <v>1674</v>
      </c>
      <c r="J117" s="30">
        <v>270</v>
      </c>
      <c r="K117" s="30"/>
      <c r="L117" s="1"/>
      <c r="M117" s="30"/>
      <c r="N117" s="1"/>
      <c r="O117" s="1"/>
    </row>
    <row r="118" spans="1:15" x14ac:dyDescent="0.3">
      <c r="A118" s="41">
        <v>45458</v>
      </c>
      <c r="B118" s="10" t="s">
        <v>1548</v>
      </c>
      <c r="C118" s="10" t="s">
        <v>14</v>
      </c>
      <c r="D118" s="30">
        <f t="shared" si="5"/>
        <v>172.72727272727272</v>
      </c>
      <c r="E118" s="30">
        <f t="shared" si="3"/>
        <v>17.272727272727273</v>
      </c>
      <c r="F118" s="30">
        <v>190</v>
      </c>
      <c r="G118" s="30">
        <v>50</v>
      </c>
      <c r="H118" s="13">
        <f t="shared" si="4"/>
        <v>140</v>
      </c>
      <c r="I118" s="1" t="s">
        <v>1675</v>
      </c>
      <c r="J118" s="30">
        <v>170</v>
      </c>
      <c r="K118" s="30">
        <v>20</v>
      </c>
      <c r="L118" s="1" t="s">
        <v>223</v>
      </c>
      <c r="M118" s="30"/>
      <c r="N118" s="1"/>
      <c r="O118" s="1"/>
    </row>
    <row r="119" spans="1:15" x14ac:dyDescent="0.3">
      <c r="A119" s="41">
        <v>45458</v>
      </c>
      <c r="B119" s="10" t="s">
        <v>1549</v>
      </c>
      <c r="C119" s="10" t="s">
        <v>14</v>
      </c>
      <c r="D119" s="30">
        <f t="shared" si="5"/>
        <v>127.27272727272727</v>
      </c>
      <c r="E119" s="30">
        <f t="shared" si="3"/>
        <v>12.727272727272727</v>
      </c>
      <c r="F119" s="30">
        <v>140</v>
      </c>
      <c r="G119" s="30"/>
      <c r="H119" s="13">
        <f t="shared" si="4"/>
        <v>140</v>
      </c>
      <c r="I119" s="1" t="s">
        <v>1676</v>
      </c>
      <c r="J119" s="30">
        <v>140</v>
      </c>
      <c r="K119" s="30"/>
      <c r="L119" s="1"/>
      <c r="M119" s="30"/>
      <c r="N119" s="1"/>
      <c r="O119" s="1"/>
    </row>
    <row r="120" spans="1:15" x14ac:dyDescent="0.3">
      <c r="A120" s="41">
        <v>45458</v>
      </c>
      <c r="B120" s="10" t="s">
        <v>1550</v>
      </c>
      <c r="C120" s="10" t="s">
        <v>14</v>
      </c>
      <c r="D120" s="30">
        <f t="shared" si="5"/>
        <v>195.45454545454544</v>
      </c>
      <c r="E120" s="30">
        <f t="shared" si="3"/>
        <v>19.545454545454547</v>
      </c>
      <c r="F120" s="30">
        <v>215</v>
      </c>
      <c r="G120" s="30">
        <v>50</v>
      </c>
      <c r="H120" s="13">
        <f t="shared" si="4"/>
        <v>165</v>
      </c>
      <c r="I120" s="1" t="s">
        <v>1677</v>
      </c>
      <c r="J120" s="30">
        <v>170</v>
      </c>
      <c r="K120" s="30"/>
      <c r="L120" s="1"/>
      <c r="M120" s="30">
        <v>45</v>
      </c>
      <c r="N120" s="1" t="s">
        <v>16</v>
      </c>
      <c r="O120" s="1"/>
    </row>
    <row r="121" spans="1:15" x14ac:dyDescent="0.3">
      <c r="A121" s="41">
        <v>45458</v>
      </c>
      <c r="B121" s="10" t="s">
        <v>1551</v>
      </c>
      <c r="C121" s="10" t="s">
        <v>14</v>
      </c>
      <c r="D121" s="30">
        <f t="shared" si="5"/>
        <v>172.72727272727272</v>
      </c>
      <c r="E121" s="30">
        <f t="shared" si="3"/>
        <v>17.272727272727273</v>
      </c>
      <c r="F121" s="30">
        <v>190</v>
      </c>
      <c r="G121" s="30">
        <v>50</v>
      </c>
      <c r="H121" s="13">
        <f t="shared" si="4"/>
        <v>140</v>
      </c>
      <c r="I121" s="1" t="s">
        <v>1678</v>
      </c>
      <c r="J121" s="30">
        <v>170</v>
      </c>
      <c r="K121" s="30">
        <v>20</v>
      </c>
      <c r="L121" s="1" t="s">
        <v>223</v>
      </c>
      <c r="M121" s="30"/>
      <c r="N121" s="1"/>
      <c r="O121" s="1"/>
    </row>
    <row r="122" spans="1:15" x14ac:dyDescent="0.3">
      <c r="A122" s="41">
        <v>45458</v>
      </c>
      <c r="B122" s="10" t="s">
        <v>1552</v>
      </c>
      <c r="C122" s="10" t="s">
        <v>14</v>
      </c>
      <c r="D122" s="30">
        <f t="shared" si="5"/>
        <v>181.81818181818181</v>
      </c>
      <c r="E122" s="30">
        <f t="shared" si="3"/>
        <v>18.18181818181818</v>
      </c>
      <c r="F122" s="30">
        <v>200</v>
      </c>
      <c r="G122" s="30">
        <v>50</v>
      </c>
      <c r="H122" s="13">
        <f t="shared" si="4"/>
        <v>150</v>
      </c>
      <c r="I122" s="1" t="s">
        <v>1679</v>
      </c>
      <c r="J122" s="30">
        <v>170</v>
      </c>
      <c r="K122" s="30">
        <v>30</v>
      </c>
      <c r="L122" s="1" t="s">
        <v>223</v>
      </c>
      <c r="M122" s="30"/>
      <c r="N122" s="1"/>
      <c r="O122" s="1"/>
    </row>
    <row r="123" spans="1:15" x14ac:dyDescent="0.3">
      <c r="A123" s="41">
        <v>45458</v>
      </c>
      <c r="B123" s="10" t="s">
        <v>1553</v>
      </c>
      <c r="C123" s="10" t="s">
        <v>14</v>
      </c>
      <c r="D123" s="30">
        <f t="shared" si="5"/>
        <v>154.54545454545453</v>
      </c>
      <c r="E123" s="30">
        <f t="shared" si="3"/>
        <v>15.454545454545453</v>
      </c>
      <c r="F123" s="30">
        <v>170</v>
      </c>
      <c r="G123" s="30">
        <v>50</v>
      </c>
      <c r="H123" s="13">
        <f t="shared" si="4"/>
        <v>120</v>
      </c>
      <c r="I123" s="1" t="s">
        <v>1680</v>
      </c>
      <c r="J123" s="30">
        <v>170</v>
      </c>
      <c r="K123" s="30"/>
      <c r="L123" s="1"/>
      <c r="M123" s="30"/>
      <c r="N123" s="1"/>
      <c r="O123" s="1"/>
    </row>
    <row r="124" spans="1:15" x14ac:dyDescent="0.3">
      <c r="A124" s="41">
        <v>45458</v>
      </c>
      <c r="B124" s="10" t="s">
        <v>1554</v>
      </c>
      <c r="C124" s="10" t="s">
        <v>14</v>
      </c>
      <c r="D124" s="30">
        <f t="shared" si="5"/>
        <v>154.54545454545453</v>
      </c>
      <c r="E124" s="30">
        <f t="shared" si="3"/>
        <v>15.454545454545453</v>
      </c>
      <c r="F124" s="30">
        <v>170</v>
      </c>
      <c r="G124" s="30">
        <v>50</v>
      </c>
      <c r="H124" s="13">
        <f t="shared" si="4"/>
        <v>120</v>
      </c>
      <c r="I124" s="1" t="s">
        <v>1649</v>
      </c>
      <c r="J124" s="30">
        <v>170</v>
      </c>
      <c r="K124" s="30"/>
      <c r="L124" s="1"/>
      <c r="M124" s="30"/>
      <c r="N124" s="1"/>
      <c r="O124" s="1"/>
    </row>
    <row r="125" spans="1:15" x14ac:dyDescent="0.3">
      <c r="A125" s="41">
        <v>45458</v>
      </c>
      <c r="B125" s="10" t="s">
        <v>1555</v>
      </c>
      <c r="C125" s="10" t="s">
        <v>14</v>
      </c>
      <c r="D125" s="30">
        <f t="shared" si="5"/>
        <v>172.72727272727272</v>
      </c>
      <c r="E125" s="30">
        <f t="shared" si="3"/>
        <v>17.272727272727273</v>
      </c>
      <c r="F125" s="30">
        <v>190</v>
      </c>
      <c r="G125" s="30">
        <v>50</v>
      </c>
      <c r="H125" s="13">
        <f t="shared" si="4"/>
        <v>140</v>
      </c>
      <c r="I125" s="1" t="s">
        <v>1683</v>
      </c>
      <c r="J125" s="30">
        <v>170</v>
      </c>
      <c r="K125" s="30">
        <v>20</v>
      </c>
      <c r="L125" s="1" t="s">
        <v>223</v>
      </c>
      <c r="M125" s="30"/>
      <c r="N125" s="1"/>
      <c r="O125" s="1"/>
    </row>
    <row r="126" spans="1:15" x14ac:dyDescent="0.3">
      <c r="A126" s="41">
        <v>45458</v>
      </c>
      <c r="B126" s="10" t="s">
        <v>1556</v>
      </c>
      <c r="C126" s="10" t="s">
        <v>14</v>
      </c>
      <c r="D126" s="30">
        <f t="shared" si="5"/>
        <v>209.09090909090907</v>
      </c>
      <c r="E126" s="30">
        <f t="shared" si="3"/>
        <v>20.909090909090907</v>
      </c>
      <c r="F126" s="30">
        <v>230</v>
      </c>
      <c r="G126" s="30"/>
      <c r="H126" s="13">
        <f t="shared" si="4"/>
        <v>230</v>
      </c>
      <c r="I126" t="s">
        <v>1682</v>
      </c>
      <c r="J126" s="30">
        <v>230</v>
      </c>
      <c r="K126" s="30"/>
      <c r="L126" s="1"/>
      <c r="M126" s="30"/>
      <c r="N126" s="1"/>
      <c r="O126" s="1"/>
    </row>
    <row r="127" spans="1:15" x14ac:dyDescent="0.3">
      <c r="A127" s="41">
        <v>45458</v>
      </c>
      <c r="B127" s="10" t="s">
        <v>1557</v>
      </c>
      <c r="C127" s="10" t="s">
        <v>14</v>
      </c>
      <c r="D127" s="30">
        <f t="shared" si="5"/>
        <v>127.27272727272727</v>
      </c>
      <c r="E127" s="30">
        <f t="shared" si="3"/>
        <v>12.727272727272727</v>
      </c>
      <c r="F127" s="30">
        <v>140</v>
      </c>
      <c r="G127" s="30"/>
      <c r="H127" s="13">
        <f t="shared" si="4"/>
        <v>140</v>
      </c>
      <c r="I127" s="1" t="s">
        <v>1389</v>
      </c>
      <c r="J127" s="30">
        <v>140</v>
      </c>
      <c r="K127" s="30"/>
      <c r="L127" s="1"/>
      <c r="M127" s="30"/>
      <c r="N127" s="1"/>
      <c r="O127" s="1"/>
    </row>
    <row r="128" spans="1:15" x14ac:dyDescent="0.3">
      <c r="A128" s="41">
        <v>45458</v>
      </c>
      <c r="B128" s="10" t="s">
        <v>1558</v>
      </c>
      <c r="C128" s="10" t="s">
        <v>14</v>
      </c>
      <c r="D128" s="30">
        <f t="shared" si="5"/>
        <v>109.09090909090908</v>
      </c>
      <c r="E128" s="30">
        <f t="shared" si="3"/>
        <v>10.909090909090908</v>
      </c>
      <c r="F128" s="30">
        <v>120</v>
      </c>
      <c r="G128" s="30"/>
      <c r="H128" s="13">
        <f t="shared" si="4"/>
        <v>120</v>
      </c>
      <c r="I128" s="1" t="s">
        <v>1681</v>
      </c>
      <c r="J128" s="30">
        <v>120</v>
      </c>
      <c r="K128" s="30"/>
      <c r="L128" s="1"/>
      <c r="M128" s="30"/>
      <c r="N128" s="1"/>
      <c r="O128" s="1"/>
    </row>
    <row r="129" spans="1:15" x14ac:dyDescent="0.3">
      <c r="A129" s="41">
        <v>45458</v>
      </c>
      <c r="B129" s="10" t="s">
        <v>1559</v>
      </c>
      <c r="C129" s="10" t="s">
        <v>14</v>
      </c>
      <c r="D129" s="30">
        <f t="shared" si="5"/>
        <v>154.54545454545453</v>
      </c>
      <c r="E129" s="30">
        <f t="shared" si="3"/>
        <v>15.454545454545453</v>
      </c>
      <c r="F129" s="30">
        <v>170</v>
      </c>
      <c r="G129" s="30">
        <v>50</v>
      </c>
      <c r="H129" s="13">
        <f t="shared" si="4"/>
        <v>120</v>
      </c>
      <c r="I129" s="1" t="s">
        <v>1684</v>
      </c>
      <c r="J129" s="30">
        <v>170</v>
      </c>
      <c r="K129" s="30"/>
      <c r="L129" s="1"/>
      <c r="M129" s="30"/>
      <c r="N129" s="1"/>
      <c r="O129" s="1"/>
    </row>
    <row r="130" spans="1:15" x14ac:dyDescent="0.3">
      <c r="A130" s="41">
        <v>45458</v>
      </c>
      <c r="B130" s="10" t="s">
        <v>1560</v>
      </c>
      <c r="C130" s="10" t="s">
        <v>14</v>
      </c>
      <c r="D130" s="30">
        <f t="shared" si="5"/>
        <v>154.54545454545453</v>
      </c>
      <c r="E130" s="30">
        <f t="shared" si="3"/>
        <v>15.454545454545453</v>
      </c>
      <c r="F130" s="30">
        <v>170</v>
      </c>
      <c r="G130" s="30">
        <v>50</v>
      </c>
      <c r="H130" s="13">
        <f t="shared" si="4"/>
        <v>120</v>
      </c>
      <c r="I130" s="1" t="s">
        <v>1623</v>
      </c>
      <c r="J130" s="30">
        <v>170</v>
      </c>
      <c r="K130" s="30"/>
      <c r="L130" s="1"/>
      <c r="M130" s="30"/>
      <c r="N130" s="1"/>
      <c r="O130" s="1"/>
    </row>
    <row r="131" spans="1:15" x14ac:dyDescent="0.3">
      <c r="A131" s="41">
        <v>45459</v>
      </c>
      <c r="B131" s="10" t="s">
        <v>1561</v>
      </c>
      <c r="C131" s="10" t="s">
        <v>14</v>
      </c>
      <c r="D131" s="30">
        <f t="shared" si="5"/>
        <v>199.99999999999997</v>
      </c>
      <c r="E131" s="30">
        <f t="shared" ref="E131:E194" si="6">D131*10/100</f>
        <v>19.999999999999996</v>
      </c>
      <c r="F131" s="30">
        <v>220</v>
      </c>
      <c r="G131" s="30">
        <v>50</v>
      </c>
      <c r="H131" s="13">
        <f t="shared" ref="H131:H194" si="7">F131-G131</f>
        <v>170</v>
      </c>
      <c r="I131" s="1" t="s">
        <v>1685</v>
      </c>
      <c r="J131" s="30">
        <v>220</v>
      </c>
      <c r="K131" s="30"/>
      <c r="L131" s="1"/>
      <c r="M131" s="30"/>
      <c r="N131" s="1"/>
      <c r="O131" s="1"/>
    </row>
    <row r="132" spans="1:15" x14ac:dyDescent="0.3">
      <c r="A132" s="41">
        <v>45459</v>
      </c>
      <c r="B132" s="10" t="s">
        <v>1562</v>
      </c>
      <c r="C132" s="10" t="s">
        <v>14</v>
      </c>
      <c r="D132" s="30">
        <f t="shared" ref="D132:D195" si="8">F132/1.1</f>
        <v>154.54545454545453</v>
      </c>
      <c r="E132" s="30">
        <f t="shared" si="6"/>
        <v>15.454545454545453</v>
      </c>
      <c r="F132" s="30">
        <v>170</v>
      </c>
      <c r="G132" s="30">
        <v>50</v>
      </c>
      <c r="H132" s="13">
        <f t="shared" si="7"/>
        <v>120</v>
      </c>
      <c r="I132" s="1" t="s">
        <v>1623</v>
      </c>
      <c r="J132" s="30">
        <v>170</v>
      </c>
      <c r="K132" s="30"/>
      <c r="L132" s="1"/>
      <c r="M132" s="30"/>
      <c r="N132" s="1"/>
      <c r="O132" s="1"/>
    </row>
    <row r="133" spans="1:15" x14ac:dyDescent="0.3">
      <c r="A133" s="41">
        <v>45459</v>
      </c>
      <c r="B133" s="10" t="s">
        <v>1563</v>
      </c>
      <c r="C133" s="10" t="s">
        <v>14</v>
      </c>
      <c r="D133" s="30">
        <f t="shared" si="8"/>
        <v>172.72727272727272</v>
      </c>
      <c r="E133" s="30">
        <f t="shared" si="6"/>
        <v>17.272727272727273</v>
      </c>
      <c r="F133" s="30">
        <v>190</v>
      </c>
      <c r="G133" s="30">
        <v>50</v>
      </c>
      <c r="H133" s="13">
        <f t="shared" si="7"/>
        <v>140</v>
      </c>
      <c r="I133" s="1" t="s">
        <v>1623</v>
      </c>
      <c r="J133" s="30">
        <v>170</v>
      </c>
      <c r="K133" s="30">
        <v>20</v>
      </c>
      <c r="L133" s="1" t="s">
        <v>223</v>
      </c>
      <c r="M133" s="30"/>
      <c r="N133" s="1"/>
      <c r="O133" s="1"/>
    </row>
    <row r="134" spans="1:15" x14ac:dyDescent="0.3">
      <c r="A134" s="41">
        <v>45459</v>
      </c>
      <c r="B134" s="10" t="s">
        <v>1564</v>
      </c>
      <c r="C134" s="10" t="s">
        <v>14</v>
      </c>
      <c r="D134" s="30">
        <f t="shared" si="8"/>
        <v>236.36363636363635</v>
      </c>
      <c r="E134" s="30">
        <f t="shared" si="6"/>
        <v>23.636363636363637</v>
      </c>
      <c r="F134" s="30">
        <v>260</v>
      </c>
      <c r="G134" s="30">
        <v>50</v>
      </c>
      <c r="H134" s="13">
        <f t="shared" si="7"/>
        <v>210</v>
      </c>
      <c r="I134" s="1" t="s">
        <v>1623</v>
      </c>
      <c r="J134" s="30">
        <v>260</v>
      </c>
      <c r="K134" s="30"/>
      <c r="L134" s="1"/>
      <c r="M134" s="30"/>
      <c r="N134" s="1"/>
      <c r="O134" s="1"/>
    </row>
    <row r="135" spans="1:15" x14ac:dyDescent="0.3">
      <c r="A135" s="41">
        <v>45459</v>
      </c>
      <c r="B135" s="10" t="s">
        <v>1565</v>
      </c>
      <c r="C135" s="10" t="s">
        <v>14</v>
      </c>
      <c r="D135" s="30">
        <f t="shared" si="8"/>
        <v>227.27272727272725</v>
      </c>
      <c r="E135" s="30">
        <f t="shared" si="6"/>
        <v>22.727272727272727</v>
      </c>
      <c r="F135" s="30">
        <v>250</v>
      </c>
      <c r="G135" s="30">
        <v>50</v>
      </c>
      <c r="H135" s="13">
        <f t="shared" si="7"/>
        <v>200</v>
      </c>
      <c r="I135" s="1" t="s">
        <v>1686</v>
      </c>
      <c r="J135" s="30">
        <v>260</v>
      </c>
      <c r="K135" s="30"/>
      <c r="L135" s="1"/>
      <c r="M135" s="30"/>
      <c r="N135" s="1"/>
      <c r="O135" s="1"/>
    </row>
    <row r="136" spans="1:15" x14ac:dyDescent="0.3">
      <c r="A136" s="41">
        <v>45459</v>
      </c>
      <c r="B136" s="10" t="s">
        <v>1566</v>
      </c>
      <c r="C136" s="10" t="s">
        <v>14</v>
      </c>
      <c r="D136" s="30">
        <f t="shared" si="8"/>
        <v>263.63636363636363</v>
      </c>
      <c r="E136" s="30">
        <f t="shared" si="6"/>
        <v>26.36363636363636</v>
      </c>
      <c r="F136" s="30">
        <v>290</v>
      </c>
      <c r="G136" s="30">
        <v>50</v>
      </c>
      <c r="H136" s="13">
        <f t="shared" si="7"/>
        <v>240</v>
      </c>
      <c r="I136" s="1" t="s">
        <v>1623</v>
      </c>
      <c r="J136" s="30">
        <v>270</v>
      </c>
      <c r="K136" s="30">
        <v>20</v>
      </c>
      <c r="L136" s="1" t="s">
        <v>223</v>
      </c>
      <c r="M136" s="30"/>
      <c r="N136" s="1"/>
      <c r="O136" s="1"/>
    </row>
    <row r="137" spans="1:15" x14ac:dyDescent="0.3">
      <c r="A137" s="41">
        <v>45460</v>
      </c>
      <c r="B137" s="10" t="s">
        <v>1567</v>
      </c>
      <c r="C137" s="10" t="s">
        <v>14</v>
      </c>
      <c r="D137" s="30">
        <f t="shared" si="8"/>
        <v>218.18181818181816</v>
      </c>
      <c r="E137" s="30">
        <f t="shared" si="6"/>
        <v>21.818181818181817</v>
      </c>
      <c r="F137" s="30">
        <v>240</v>
      </c>
      <c r="G137" s="30">
        <v>50</v>
      </c>
      <c r="H137" s="13">
        <f t="shared" si="7"/>
        <v>190</v>
      </c>
      <c r="I137" s="1" t="s">
        <v>1623</v>
      </c>
      <c r="J137" s="30">
        <v>220</v>
      </c>
      <c r="K137" s="30">
        <v>20</v>
      </c>
      <c r="L137" s="1" t="s">
        <v>223</v>
      </c>
      <c r="M137" s="30"/>
      <c r="N137" s="1"/>
      <c r="O137" s="1"/>
    </row>
    <row r="138" spans="1:15" x14ac:dyDescent="0.3">
      <c r="A138" s="41">
        <v>45461</v>
      </c>
      <c r="B138" s="10" t="s">
        <v>1568</v>
      </c>
      <c r="C138" s="10" t="s">
        <v>14</v>
      </c>
      <c r="D138" s="30">
        <f t="shared" si="8"/>
        <v>286.36363636363632</v>
      </c>
      <c r="E138" s="30">
        <f t="shared" si="6"/>
        <v>28.63636363636363</v>
      </c>
      <c r="F138" s="30">
        <v>315</v>
      </c>
      <c r="G138" s="30">
        <v>50</v>
      </c>
      <c r="H138" s="13">
        <f t="shared" si="7"/>
        <v>265</v>
      </c>
      <c r="I138" s="1" t="s">
        <v>1687</v>
      </c>
      <c r="J138" s="30">
        <v>270</v>
      </c>
      <c r="K138" s="30"/>
      <c r="L138" s="1"/>
      <c r="M138" s="30">
        <v>45</v>
      </c>
      <c r="N138" s="1" t="s">
        <v>16</v>
      </c>
      <c r="O138" s="1"/>
    </row>
    <row r="139" spans="1:15" x14ac:dyDescent="0.3">
      <c r="A139" s="41">
        <v>45462</v>
      </c>
      <c r="B139" s="10" t="s">
        <v>1569</v>
      </c>
      <c r="C139" s="10" t="s">
        <v>14</v>
      </c>
      <c r="D139" s="30">
        <f t="shared" si="8"/>
        <v>172.72727272727272</v>
      </c>
      <c r="E139" s="30">
        <f t="shared" si="6"/>
        <v>17.272727272727273</v>
      </c>
      <c r="F139" s="30">
        <v>190</v>
      </c>
      <c r="G139" s="30">
        <v>50</v>
      </c>
      <c r="H139" s="13">
        <f t="shared" si="7"/>
        <v>140</v>
      </c>
      <c r="I139" s="1" t="s">
        <v>1688</v>
      </c>
      <c r="J139" s="30">
        <v>170</v>
      </c>
      <c r="K139" s="30">
        <v>20</v>
      </c>
      <c r="L139" s="1" t="s">
        <v>223</v>
      </c>
      <c r="M139" s="30"/>
      <c r="N139" s="1"/>
      <c r="O139" s="1"/>
    </row>
    <row r="140" spans="1:15" x14ac:dyDescent="0.3">
      <c r="A140" s="41">
        <v>45463</v>
      </c>
      <c r="B140" s="10" t="s">
        <v>1570</v>
      </c>
      <c r="C140" s="10" t="s">
        <v>14</v>
      </c>
      <c r="D140" s="30">
        <f t="shared" si="8"/>
        <v>199.99999999999997</v>
      </c>
      <c r="E140" s="30">
        <f t="shared" si="6"/>
        <v>19.999999999999996</v>
      </c>
      <c r="F140" s="30">
        <v>220</v>
      </c>
      <c r="G140" s="30">
        <v>50</v>
      </c>
      <c r="H140" s="13">
        <f t="shared" si="7"/>
        <v>170</v>
      </c>
      <c r="I140" s="1" t="s">
        <v>1689</v>
      </c>
      <c r="J140" s="30">
        <v>220</v>
      </c>
      <c r="K140" s="30"/>
      <c r="L140" s="1"/>
      <c r="M140" s="30"/>
      <c r="N140" s="1"/>
      <c r="O140" s="1"/>
    </row>
    <row r="141" spans="1:15" x14ac:dyDescent="0.3">
      <c r="A141" s="41">
        <v>45463</v>
      </c>
      <c r="B141" s="10" t="s">
        <v>1571</v>
      </c>
      <c r="C141" s="10" t="s">
        <v>14</v>
      </c>
      <c r="D141" s="30">
        <f t="shared" si="8"/>
        <v>199.99999999999997</v>
      </c>
      <c r="E141" s="30">
        <f t="shared" si="6"/>
        <v>19.999999999999996</v>
      </c>
      <c r="F141" s="30">
        <v>220</v>
      </c>
      <c r="G141" s="30">
        <v>50</v>
      </c>
      <c r="H141" s="13">
        <f t="shared" si="7"/>
        <v>170</v>
      </c>
      <c r="I141" s="1" t="s">
        <v>1690</v>
      </c>
      <c r="J141" s="30">
        <v>220</v>
      </c>
      <c r="K141" s="30"/>
      <c r="L141" s="1"/>
      <c r="M141" s="30"/>
      <c r="N141" s="1"/>
      <c r="O141" s="1"/>
    </row>
    <row r="142" spans="1:15" x14ac:dyDescent="0.3">
      <c r="A142" s="41">
        <v>45463</v>
      </c>
      <c r="B142" s="10" t="s">
        <v>1572</v>
      </c>
      <c r="C142" s="10" t="s">
        <v>14</v>
      </c>
      <c r="D142" s="30">
        <f t="shared" si="8"/>
        <v>245.45454545454544</v>
      </c>
      <c r="E142" s="30">
        <f t="shared" si="6"/>
        <v>24.545454545454547</v>
      </c>
      <c r="F142" s="30">
        <v>270</v>
      </c>
      <c r="G142" s="30">
        <v>50</v>
      </c>
      <c r="H142" s="13">
        <f t="shared" si="7"/>
        <v>220</v>
      </c>
      <c r="I142" s="1" t="s">
        <v>1691</v>
      </c>
      <c r="J142" s="30">
        <v>270</v>
      </c>
      <c r="K142" s="30"/>
      <c r="L142" s="1"/>
      <c r="M142" s="30"/>
      <c r="N142" s="1"/>
      <c r="O142" s="1"/>
    </row>
    <row r="143" spans="1:15" x14ac:dyDescent="0.3">
      <c r="A143" s="41">
        <v>45463</v>
      </c>
      <c r="B143" s="10" t="s">
        <v>1573</v>
      </c>
      <c r="C143" s="10" t="s">
        <v>14</v>
      </c>
      <c r="D143" s="30">
        <f t="shared" si="8"/>
        <v>127.27272727272727</v>
      </c>
      <c r="E143" s="30">
        <f t="shared" si="6"/>
        <v>12.727272727272727</v>
      </c>
      <c r="F143" s="30">
        <v>140</v>
      </c>
      <c r="G143" s="30"/>
      <c r="H143" s="13">
        <f t="shared" si="7"/>
        <v>140</v>
      </c>
      <c r="I143" s="1" t="s">
        <v>402</v>
      </c>
      <c r="J143" s="30">
        <v>140</v>
      </c>
      <c r="K143" s="30"/>
      <c r="L143" s="1"/>
      <c r="M143" s="30"/>
      <c r="N143" s="1"/>
      <c r="O143" s="1"/>
    </row>
    <row r="144" spans="1:15" x14ac:dyDescent="0.3">
      <c r="A144" s="41">
        <v>45464</v>
      </c>
      <c r="B144" s="10" t="s">
        <v>1574</v>
      </c>
      <c r="C144" s="10" t="s">
        <v>14</v>
      </c>
      <c r="D144" s="30">
        <f t="shared" si="8"/>
        <v>190.90909090909091</v>
      </c>
      <c r="E144" s="30">
        <f t="shared" si="6"/>
        <v>19.09090909090909</v>
      </c>
      <c r="F144" s="30">
        <v>210</v>
      </c>
      <c r="G144" s="30">
        <v>50</v>
      </c>
      <c r="H144" s="13">
        <f t="shared" si="7"/>
        <v>160</v>
      </c>
      <c r="I144" s="1" t="s">
        <v>1692</v>
      </c>
      <c r="J144" s="30">
        <v>170</v>
      </c>
      <c r="K144" s="30">
        <v>40</v>
      </c>
      <c r="L144" s="1" t="s">
        <v>223</v>
      </c>
      <c r="M144" s="30"/>
      <c r="N144" s="1"/>
      <c r="O144" s="1"/>
    </row>
    <row r="145" spans="1:15" x14ac:dyDescent="0.3">
      <c r="A145" s="41">
        <v>45464</v>
      </c>
      <c r="B145" s="10" t="s">
        <v>1575</v>
      </c>
      <c r="C145" s="10" t="s">
        <v>14</v>
      </c>
      <c r="D145" s="30">
        <f t="shared" si="8"/>
        <v>172.72727272727272</v>
      </c>
      <c r="E145" s="30">
        <f t="shared" si="6"/>
        <v>17.272727272727273</v>
      </c>
      <c r="F145" s="30">
        <v>190</v>
      </c>
      <c r="G145" s="30">
        <v>50</v>
      </c>
      <c r="H145" s="13">
        <f t="shared" si="7"/>
        <v>140</v>
      </c>
      <c r="I145" s="1" t="s">
        <v>1693</v>
      </c>
      <c r="J145" s="30">
        <v>170</v>
      </c>
      <c r="K145" s="30">
        <v>20</v>
      </c>
      <c r="L145" s="1" t="s">
        <v>223</v>
      </c>
      <c r="M145" s="30"/>
      <c r="N145" s="1"/>
      <c r="O145" s="1"/>
    </row>
    <row r="146" spans="1:15" x14ac:dyDescent="0.3">
      <c r="A146" s="41">
        <v>45464</v>
      </c>
      <c r="B146" s="10" t="s">
        <v>1576</v>
      </c>
      <c r="C146" s="10" t="s">
        <v>14</v>
      </c>
      <c r="D146" s="30">
        <f t="shared" si="8"/>
        <v>222.72727272727272</v>
      </c>
      <c r="E146" s="30">
        <f t="shared" si="6"/>
        <v>22.27272727272727</v>
      </c>
      <c r="F146" s="30">
        <v>245</v>
      </c>
      <c r="G146" s="30">
        <v>50</v>
      </c>
      <c r="H146" s="13">
        <f t="shared" si="7"/>
        <v>195</v>
      </c>
      <c r="I146" s="1" t="s">
        <v>1694</v>
      </c>
      <c r="J146" s="30">
        <v>170</v>
      </c>
      <c r="K146" s="30">
        <v>30</v>
      </c>
      <c r="L146" s="1" t="s">
        <v>223</v>
      </c>
      <c r="M146" s="30">
        <v>45</v>
      </c>
      <c r="N146" s="1" t="s">
        <v>16</v>
      </c>
      <c r="O146" s="1"/>
    </row>
    <row r="147" spans="1:15" x14ac:dyDescent="0.3">
      <c r="A147" s="41">
        <v>45464</v>
      </c>
      <c r="B147" s="10" t="s">
        <v>1577</v>
      </c>
      <c r="C147" s="10" t="s">
        <v>14</v>
      </c>
      <c r="D147" s="30">
        <f t="shared" si="8"/>
        <v>236.36363636363635</v>
      </c>
      <c r="E147" s="30">
        <f t="shared" si="6"/>
        <v>23.636363636363637</v>
      </c>
      <c r="F147" s="30">
        <v>260</v>
      </c>
      <c r="G147" s="30">
        <v>50</v>
      </c>
      <c r="H147" s="13">
        <f t="shared" si="7"/>
        <v>210</v>
      </c>
      <c r="I147" s="1" t="s">
        <v>1695</v>
      </c>
      <c r="J147" s="30">
        <v>260</v>
      </c>
      <c r="K147" s="30"/>
      <c r="L147" s="1"/>
      <c r="M147" s="30"/>
      <c r="N147" s="1"/>
      <c r="O147" s="1"/>
    </row>
    <row r="148" spans="1:15" x14ac:dyDescent="0.3">
      <c r="A148" s="41">
        <v>45464</v>
      </c>
      <c r="B148" s="10" t="s">
        <v>1578</v>
      </c>
      <c r="C148" s="10" t="s">
        <v>14</v>
      </c>
      <c r="D148" s="30">
        <f t="shared" si="8"/>
        <v>209.09090909090907</v>
      </c>
      <c r="E148" s="30">
        <f t="shared" si="6"/>
        <v>20.909090909090907</v>
      </c>
      <c r="F148" s="30">
        <v>230</v>
      </c>
      <c r="G148" s="30"/>
      <c r="H148" s="13">
        <f t="shared" si="7"/>
        <v>230</v>
      </c>
      <c r="I148" s="1" t="s">
        <v>402</v>
      </c>
      <c r="J148" s="30">
        <v>230</v>
      </c>
      <c r="K148" s="30"/>
      <c r="L148" s="1"/>
      <c r="M148" s="30"/>
      <c r="N148" s="1"/>
      <c r="O148" s="1"/>
    </row>
    <row r="149" spans="1:15" x14ac:dyDescent="0.3">
      <c r="A149" s="41">
        <v>45464</v>
      </c>
      <c r="B149" s="10" t="s">
        <v>1579</v>
      </c>
      <c r="C149" s="10" t="s">
        <v>14</v>
      </c>
      <c r="D149" s="30">
        <f t="shared" si="8"/>
        <v>245.45454545454544</v>
      </c>
      <c r="E149" s="30">
        <f t="shared" si="6"/>
        <v>24.545454545454547</v>
      </c>
      <c r="F149" s="30">
        <v>270</v>
      </c>
      <c r="G149" s="30">
        <v>50</v>
      </c>
      <c r="H149" s="13">
        <f t="shared" si="7"/>
        <v>220</v>
      </c>
      <c r="I149" s="1" t="s">
        <v>1696</v>
      </c>
      <c r="J149" s="30">
        <v>270</v>
      </c>
      <c r="K149" s="30"/>
      <c r="L149" s="1"/>
      <c r="M149" s="30"/>
      <c r="N149" s="1"/>
      <c r="O149" s="1"/>
    </row>
    <row r="150" spans="1:15" x14ac:dyDescent="0.3">
      <c r="A150" s="41">
        <v>45464</v>
      </c>
      <c r="B150" s="10" t="s">
        <v>1580</v>
      </c>
      <c r="C150" s="10" t="s">
        <v>14</v>
      </c>
      <c r="D150" s="30">
        <f t="shared" si="8"/>
        <v>245.45454545454544</v>
      </c>
      <c r="E150" s="30">
        <f t="shared" si="6"/>
        <v>24.545454545454547</v>
      </c>
      <c r="F150" s="30">
        <v>270</v>
      </c>
      <c r="G150" s="30">
        <v>50</v>
      </c>
      <c r="H150" s="13">
        <f t="shared" si="7"/>
        <v>220</v>
      </c>
      <c r="I150" s="1" t="s">
        <v>1697</v>
      </c>
      <c r="J150" s="30">
        <v>270</v>
      </c>
      <c r="K150" s="30"/>
      <c r="L150" s="1"/>
      <c r="M150" s="30"/>
      <c r="N150" s="1"/>
      <c r="O150" s="1"/>
    </row>
    <row r="151" spans="1:15" x14ac:dyDescent="0.3">
      <c r="A151" s="41">
        <v>45464</v>
      </c>
      <c r="B151" s="10" t="s">
        <v>1581</v>
      </c>
      <c r="C151" s="10" t="s">
        <v>14</v>
      </c>
      <c r="D151" s="30">
        <f t="shared" si="8"/>
        <v>195.45454545454544</v>
      </c>
      <c r="E151" s="30">
        <f t="shared" si="6"/>
        <v>19.545454545454547</v>
      </c>
      <c r="F151" s="30">
        <v>215</v>
      </c>
      <c r="G151" s="30">
        <v>50</v>
      </c>
      <c r="H151" s="13">
        <f t="shared" si="7"/>
        <v>165</v>
      </c>
      <c r="I151" s="1" t="s">
        <v>1698</v>
      </c>
      <c r="J151" s="30">
        <v>170</v>
      </c>
      <c r="K151" s="30"/>
      <c r="L151" s="1"/>
      <c r="M151" s="30">
        <v>45</v>
      </c>
      <c r="N151" s="1" t="s">
        <v>16</v>
      </c>
      <c r="O151" s="1"/>
    </row>
    <row r="152" spans="1:15" x14ac:dyDescent="0.3">
      <c r="A152" s="41">
        <v>45464</v>
      </c>
      <c r="B152" s="10" t="s">
        <v>1582</v>
      </c>
      <c r="C152" s="10" t="s">
        <v>14</v>
      </c>
      <c r="D152" s="30">
        <f t="shared" si="8"/>
        <v>199.99999999999997</v>
      </c>
      <c r="E152" s="30">
        <f t="shared" si="6"/>
        <v>19.999999999999996</v>
      </c>
      <c r="F152" s="30">
        <v>220</v>
      </c>
      <c r="G152" s="30">
        <v>50</v>
      </c>
      <c r="H152" s="13">
        <f t="shared" si="7"/>
        <v>170</v>
      </c>
      <c r="I152" s="1" t="s">
        <v>1699</v>
      </c>
      <c r="J152" s="30">
        <v>170</v>
      </c>
      <c r="K152" s="30">
        <v>50</v>
      </c>
      <c r="L152" s="1" t="s">
        <v>223</v>
      </c>
      <c r="M152" s="30"/>
      <c r="N152" s="1"/>
      <c r="O152" s="1"/>
    </row>
    <row r="153" spans="1:15" x14ac:dyDescent="0.3">
      <c r="A153" s="41">
        <v>45464</v>
      </c>
      <c r="B153" s="10" t="s">
        <v>1583</v>
      </c>
      <c r="C153" s="10" t="s">
        <v>14</v>
      </c>
      <c r="D153" s="30">
        <f t="shared" si="8"/>
        <v>163.63636363636363</v>
      </c>
      <c r="E153" s="30">
        <f t="shared" si="6"/>
        <v>16.363636363636363</v>
      </c>
      <c r="F153" s="30">
        <v>180</v>
      </c>
      <c r="G153" s="30"/>
      <c r="H153" s="13">
        <f t="shared" si="7"/>
        <v>180</v>
      </c>
      <c r="I153" s="1"/>
      <c r="J153" s="30">
        <v>180</v>
      </c>
      <c r="K153" s="30"/>
      <c r="L153" s="1"/>
      <c r="M153" s="30"/>
      <c r="N153" s="1"/>
      <c r="O153" s="1"/>
    </row>
    <row r="154" spans="1:15" x14ac:dyDescent="0.3">
      <c r="A154" s="41">
        <v>45465</v>
      </c>
      <c r="B154" s="10" t="s">
        <v>1584</v>
      </c>
      <c r="C154" s="10" t="s">
        <v>14</v>
      </c>
      <c r="D154" s="30">
        <f t="shared" si="8"/>
        <v>263.63636363636363</v>
      </c>
      <c r="E154" s="30">
        <f t="shared" si="6"/>
        <v>26.36363636363636</v>
      </c>
      <c r="F154" s="30">
        <v>290</v>
      </c>
      <c r="G154" s="30">
        <v>50</v>
      </c>
      <c r="H154" s="13">
        <f t="shared" si="7"/>
        <v>240</v>
      </c>
      <c r="I154" s="1" t="s">
        <v>1700</v>
      </c>
      <c r="J154" s="30">
        <v>270</v>
      </c>
      <c r="K154" s="30">
        <v>20</v>
      </c>
      <c r="L154" s="1" t="s">
        <v>223</v>
      </c>
      <c r="M154" s="30"/>
      <c r="N154" s="1"/>
      <c r="O154" s="1"/>
    </row>
    <row r="155" spans="1:15" x14ac:dyDescent="0.3">
      <c r="A155" s="41">
        <v>45465</v>
      </c>
      <c r="B155" s="10" t="s">
        <v>1585</v>
      </c>
      <c r="C155" s="10" t="s">
        <v>14</v>
      </c>
      <c r="D155" s="30">
        <f t="shared" si="8"/>
        <v>272.72727272727269</v>
      </c>
      <c r="E155" s="30">
        <f t="shared" si="6"/>
        <v>27.27272727272727</v>
      </c>
      <c r="F155" s="30">
        <v>300</v>
      </c>
      <c r="G155" s="30">
        <v>50</v>
      </c>
      <c r="H155" s="13">
        <f t="shared" si="7"/>
        <v>250</v>
      </c>
      <c r="I155" s="1" t="s">
        <v>1701</v>
      </c>
      <c r="J155" s="30">
        <v>270</v>
      </c>
      <c r="K155" s="30">
        <v>30</v>
      </c>
      <c r="L155" s="1" t="s">
        <v>223</v>
      </c>
      <c r="M155" s="30"/>
      <c r="N155" s="1"/>
      <c r="O155" s="1"/>
    </row>
    <row r="156" spans="1:15" x14ac:dyDescent="0.3">
      <c r="A156" s="41">
        <v>45465</v>
      </c>
      <c r="B156" s="10" t="s">
        <v>1586</v>
      </c>
      <c r="C156" s="10" t="s">
        <v>14</v>
      </c>
      <c r="D156" s="30">
        <f t="shared" si="8"/>
        <v>199.99999999999997</v>
      </c>
      <c r="E156" s="30">
        <f t="shared" si="6"/>
        <v>19.999999999999996</v>
      </c>
      <c r="F156" s="30">
        <v>220</v>
      </c>
      <c r="G156" s="30">
        <v>50</v>
      </c>
      <c r="H156" s="13">
        <f t="shared" si="7"/>
        <v>170</v>
      </c>
      <c r="I156" s="1" t="s">
        <v>1702</v>
      </c>
      <c r="J156" s="30">
        <v>220</v>
      </c>
      <c r="K156" s="30"/>
      <c r="L156" s="1"/>
      <c r="M156" s="30"/>
      <c r="N156" s="1"/>
      <c r="O156" s="1"/>
    </row>
    <row r="157" spans="1:15" x14ac:dyDescent="0.3">
      <c r="A157" s="41">
        <v>45465</v>
      </c>
      <c r="B157" s="10" t="s">
        <v>1587</v>
      </c>
      <c r="C157" s="10" t="s">
        <v>14</v>
      </c>
      <c r="D157" s="30">
        <f t="shared" si="8"/>
        <v>199.99999999999997</v>
      </c>
      <c r="E157" s="30">
        <f t="shared" si="6"/>
        <v>19.999999999999996</v>
      </c>
      <c r="F157" s="30">
        <v>220</v>
      </c>
      <c r="G157" s="30">
        <v>50</v>
      </c>
      <c r="H157" s="13">
        <f t="shared" si="7"/>
        <v>170</v>
      </c>
      <c r="I157" s="1" t="s">
        <v>1623</v>
      </c>
      <c r="J157" s="30">
        <v>220</v>
      </c>
      <c r="K157" s="30"/>
      <c r="L157" s="1"/>
      <c r="M157" s="30"/>
      <c r="N157" s="1"/>
      <c r="O157" s="1"/>
    </row>
    <row r="158" spans="1:15" x14ac:dyDescent="0.3">
      <c r="A158" s="41">
        <v>45465</v>
      </c>
      <c r="B158" s="10" t="s">
        <v>1588</v>
      </c>
      <c r="C158" s="10" t="s">
        <v>14</v>
      </c>
      <c r="D158" s="30">
        <f t="shared" si="8"/>
        <v>172.72727272727272</v>
      </c>
      <c r="E158" s="30">
        <f t="shared" si="6"/>
        <v>17.272727272727273</v>
      </c>
      <c r="F158" s="30">
        <v>190</v>
      </c>
      <c r="G158" s="30">
        <v>50</v>
      </c>
      <c r="H158" s="13">
        <f t="shared" si="7"/>
        <v>140</v>
      </c>
      <c r="I158" s="1" t="s">
        <v>1703</v>
      </c>
      <c r="J158" s="30">
        <v>170</v>
      </c>
      <c r="K158" s="30">
        <v>20</v>
      </c>
      <c r="L158" s="1" t="s">
        <v>223</v>
      </c>
      <c r="M158" s="30"/>
      <c r="N158" s="1"/>
      <c r="O158" s="1"/>
    </row>
    <row r="159" spans="1:15" x14ac:dyDescent="0.3">
      <c r="A159" s="41">
        <v>45465</v>
      </c>
      <c r="B159" s="10" t="s">
        <v>1589</v>
      </c>
      <c r="C159" s="10" t="s">
        <v>14</v>
      </c>
      <c r="D159" s="30">
        <f t="shared" si="8"/>
        <v>154.54545454545453</v>
      </c>
      <c r="E159" s="30">
        <f t="shared" si="6"/>
        <v>15.454545454545453</v>
      </c>
      <c r="F159" s="30">
        <v>170</v>
      </c>
      <c r="G159" s="30">
        <v>50</v>
      </c>
      <c r="H159" s="13">
        <f t="shared" si="7"/>
        <v>120</v>
      </c>
      <c r="I159" s="1" t="s">
        <v>1704</v>
      </c>
      <c r="J159" s="30">
        <v>170</v>
      </c>
      <c r="K159" s="30"/>
      <c r="L159" s="1"/>
      <c r="M159" s="30"/>
      <c r="N159" s="1"/>
      <c r="O159" s="1"/>
    </row>
    <row r="160" spans="1:15" x14ac:dyDescent="0.3">
      <c r="A160" s="41">
        <v>45465</v>
      </c>
      <c r="B160" s="10" t="s">
        <v>1590</v>
      </c>
      <c r="C160" s="10" t="s">
        <v>14</v>
      </c>
      <c r="D160" s="30">
        <f t="shared" si="8"/>
        <v>190.90909090909091</v>
      </c>
      <c r="E160" s="30">
        <f t="shared" si="6"/>
        <v>19.09090909090909</v>
      </c>
      <c r="F160" s="30">
        <v>210</v>
      </c>
      <c r="G160" s="30">
        <v>50</v>
      </c>
      <c r="H160" s="13">
        <f t="shared" si="7"/>
        <v>160</v>
      </c>
      <c r="I160" s="1" t="s">
        <v>1705</v>
      </c>
      <c r="J160" s="30">
        <v>170</v>
      </c>
      <c r="K160" s="30">
        <v>40</v>
      </c>
      <c r="L160" s="1" t="s">
        <v>223</v>
      </c>
      <c r="M160" s="30"/>
      <c r="N160" s="1"/>
      <c r="O160" s="1"/>
    </row>
    <row r="161" spans="1:15" x14ac:dyDescent="0.3">
      <c r="A161" s="41">
        <v>45465</v>
      </c>
      <c r="B161" s="10" t="s">
        <v>1591</v>
      </c>
      <c r="C161" s="10" t="s">
        <v>14</v>
      </c>
      <c r="D161" s="30">
        <f t="shared" si="8"/>
        <v>181.81818181818181</v>
      </c>
      <c r="E161" s="30">
        <f t="shared" si="6"/>
        <v>18.18181818181818</v>
      </c>
      <c r="F161" s="30">
        <v>200</v>
      </c>
      <c r="G161" s="30">
        <v>50</v>
      </c>
      <c r="H161" s="13">
        <f t="shared" si="7"/>
        <v>150</v>
      </c>
      <c r="I161" s="1" t="s">
        <v>1706</v>
      </c>
      <c r="J161" s="30">
        <v>170</v>
      </c>
      <c r="K161" s="30">
        <v>30</v>
      </c>
      <c r="L161" s="1" t="s">
        <v>223</v>
      </c>
      <c r="M161" s="30"/>
      <c r="N161" s="1"/>
      <c r="O161" s="1"/>
    </row>
    <row r="162" spans="1:15" x14ac:dyDescent="0.3">
      <c r="A162" s="41">
        <v>45465</v>
      </c>
      <c r="B162" s="10" t="s">
        <v>1592</v>
      </c>
      <c r="C162" s="10" t="s">
        <v>14</v>
      </c>
      <c r="D162" s="30">
        <f t="shared" si="8"/>
        <v>154.54545454545453</v>
      </c>
      <c r="E162" s="30">
        <f t="shared" si="6"/>
        <v>15.454545454545453</v>
      </c>
      <c r="F162" s="30">
        <v>170</v>
      </c>
      <c r="G162" s="30">
        <v>50</v>
      </c>
      <c r="H162" s="13">
        <f t="shared" si="7"/>
        <v>120</v>
      </c>
      <c r="I162" s="1" t="s">
        <v>1707</v>
      </c>
      <c r="J162" s="30">
        <v>170</v>
      </c>
      <c r="K162" s="30"/>
      <c r="L162" s="1"/>
      <c r="M162" s="30"/>
      <c r="N162" s="1"/>
      <c r="O162" s="1"/>
    </row>
    <row r="163" spans="1:15" x14ac:dyDescent="0.3">
      <c r="A163" s="41">
        <v>45465</v>
      </c>
      <c r="B163" s="10" t="s">
        <v>1593</v>
      </c>
      <c r="C163" s="10" t="s">
        <v>14</v>
      </c>
      <c r="D163" s="30">
        <f t="shared" si="8"/>
        <v>181.81818181818181</v>
      </c>
      <c r="E163" s="30">
        <f t="shared" si="6"/>
        <v>18.18181818181818</v>
      </c>
      <c r="F163" s="30">
        <v>200</v>
      </c>
      <c r="G163" s="30">
        <v>50</v>
      </c>
      <c r="H163" s="13">
        <f t="shared" si="7"/>
        <v>150</v>
      </c>
      <c r="I163" s="1" t="s">
        <v>1708</v>
      </c>
      <c r="J163" s="30">
        <v>170</v>
      </c>
      <c r="K163" s="30">
        <v>30</v>
      </c>
      <c r="L163" s="1" t="s">
        <v>223</v>
      </c>
      <c r="M163" s="30"/>
      <c r="N163" s="1"/>
      <c r="O163" s="1"/>
    </row>
    <row r="164" spans="1:15" x14ac:dyDescent="0.3">
      <c r="A164" s="41">
        <v>45465</v>
      </c>
      <c r="B164" s="10" t="s">
        <v>1594</v>
      </c>
      <c r="C164" s="10" t="s">
        <v>14</v>
      </c>
      <c r="D164" s="30">
        <f t="shared" si="8"/>
        <v>81.818181818181813</v>
      </c>
      <c r="E164" s="30">
        <f t="shared" si="6"/>
        <v>8.1818181818181817</v>
      </c>
      <c r="F164" s="30">
        <v>90</v>
      </c>
      <c r="G164" s="30">
        <v>50</v>
      </c>
      <c r="H164" s="13">
        <f t="shared" si="7"/>
        <v>40</v>
      </c>
      <c r="I164" s="1" t="s">
        <v>1709</v>
      </c>
      <c r="J164" s="30">
        <v>90</v>
      </c>
      <c r="K164" s="30"/>
      <c r="L164" s="1"/>
      <c r="M164" s="30"/>
      <c r="N164" s="1"/>
      <c r="O164" s="1"/>
    </row>
    <row r="165" spans="1:15" x14ac:dyDescent="0.3">
      <c r="A165" s="41">
        <v>45465</v>
      </c>
      <c r="B165" s="10" t="s">
        <v>1595</v>
      </c>
      <c r="C165" s="10" t="s">
        <v>14</v>
      </c>
      <c r="D165" s="30">
        <f t="shared" si="8"/>
        <v>154.54545454545453</v>
      </c>
      <c r="E165" s="30">
        <f t="shared" si="6"/>
        <v>15.454545454545453</v>
      </c>
      <c r="F165" s="30">
        <v>170</v>
      </c>
      <c r="G165" s="30">
        <v>50</v>
      </c>
      <c r="H165" s="13">
        <f t="shared" si="7"/>
        <v>120</v>
      </c>
      <c r="I165" s="1" t="s">
        <v>1710</v>
      </c>
      <c r="J165" s="30">
        <v>170</v>
      </c>
      <c r="K165" s="30"/>
      <c r="L165" s="1"/>
      <c r="M165" s="30"/>
      <c r="N165" s="1"/>
      <c r="O165" s="1"/>
    </row>
    <row r="166" spans="1:15" x14ac:dyDescent="0.3">
      <c r="A166" s="41">
        <v>45465</v>
      </c>
      <c r="B166" s="10" t="s">
        <v>1596</v>
      </c>
      <c r="C166" s="10" t="s">
        <v>14</v>
      </c>
      <c r="D166" s="30">
        <f t="shared" si="8"/>
        <v>181.81818181818181</v>
      </c>
      <c r="E166" s="30">
        <f t="shared" si="6"/>
        <v>18.18181818181818</v>
      </c>
      <c r="F166" s="30">
        <v>200</v>
      </c>
      <c r="G166" s="30">
        <v>50</v>
      </c>
      <c r="H166" s="13">
        <f t="shared" si="7"/>
        <v>150</v>
      </c>
      <c r="I166" s="1" t="s">
        <v>1772</v>
      </c>
      <c r="J166" s="30">
        <v>170</v>
      </c>
      <c r="K166" s="30">
        <v>30</v>
      </c>
      <c r="L166" s="1" t="s">
        <v>223</v>
      </c>
      <c r="M166" s="30"/>
      <c r="N166" s="1"/>
      <c r="O166" s="1"/>
    </row>
    <row r="167" spans="1:15" x14ac:dyDescent="0.3">
      <c r="A167" s="41">
        <v>45465</v>
      </c>
      <c r="B167" s="10" t="s">
        <v>1597</v>
      </c>
      <c r="C167" s="10" t="s">
        <v>14</v>
      </c>
      <c r="D167" s="30">
        <f t="shared" si="8"/>
        <v>245.45454545454544</v>
      </c>
      <c r="E167" s="30">
        <f t="shared" si="6"/>
        <v>24.545454545454547</v>
      </c>
      <c r="F167" s="30">
        <v>270</v>
      </c>
      <c r="G167" s="30">
        <v>50</v>
      </c>
      <c r="H167" s="13">
        <f t="shared" si="7"/>
        <v>220</v>
      </c>
      <c r="I167" s="1" t="s">
        <v>1666</v>
      </c>
      <c r="J167" s="30">
        <v>270</v>
      </c>
      <c r="K167" s="30"/>
      <c r="L167" s="1"/>
      <c r="M167" s="30"/>
      <c r="N167" s="1"/>
      <c r="O167" s="1"/>
    </row>
    <row r="168" spans="1:15" x14ac:dyDescent="0.3">
      <c r="A168" s="41">
        <v>45465</v>
      </c>
      <c r="B168" s="10" t="s">
        <v>1598</v>
      </c>
      <c r="C168" s="10" t="s">
        <v>14</v>
      </c>
      <c r="D168" s="30">
        <f t="shared" si="8"/>
        <v>245.45454545454544</v>
      </c>
      <c r="E168" s="30">
        <f t="shared" si="6"/>
        <v>24.545454545454547</v>
      </c>
      <c r="F168" s="30">
        <v>270</v>
      </c>
      <c r="G168" s="30">
        <v>50</v>
      </c>
      <c r="H168" s="13">
        <f t="shared" si="7"/>
        <v>220</v>
      </c>
      <c r="I168" s="1" t="s">
        <v>1773</v>
      </c>
      <c r="J168" s="30">
        <v>270</v>
      </c>
      <c r="K168" s="30"/>
      <c r="L168" s="1"/>
      <c r="M168" s="30"/>
      <c r="N168" s="1"/>
      <c r="O168" s="1"/>
    </row>
    <row r="169" spans="1:15" x14ac:dyDescent="0.3">
      <c r="A169" s="41">
        <v>45465</v>
      </c>
      <c r="B169" s="10" t="s">
        <v>1711</v>
      </c>
      <c r="C169" s="10" t="s">
        <v>14</v>
      </c>
      <c r="D169" s="30">
        <f t="shared" si="8"/>
        <v>177.27272727272725</v>
      </c>
      <c r="E169" s="30">
        <f t="shared" si="6"/>
        <v>17.727272727272727</v>
      </c>
      <c r="F169" s="30">
        <v>195</v>
      </c>
      <c r="G169" s="30">
        <v>50</v>
      </c>
      <c r="H169" s="30">
        <f t="shared" si="7"/>
        <v>145</v>
      </c>
      <c r="I169" s="1" t="s">
        <v>1774</v>
      </c>
      <c r="J169" s="30">
        <v>195</v>
      </c>
      <c r="K169" s="30"/>
      <c r="L169" s="1"/>
      <c r="M169" s="1"/>
      <c r="N169" s="1"/>
      <c r="O169" s="1"/>
    </row>
    <row r="170" spans="1:15" x14ac:dyDescent="0.3">
      <c r="A170" s="41">
        <v>45465</v>
      </c>
      <c r="B170" s="10" t="s">
        <v>1712</v>
      </c>
      <c r="C170" s="10" t="s">
        <v>14</v>
      </c>
      <c r="D170" s="30">
        <f t="shared" si="8"/>
        <v>245.45454545454544</v>
      </c>
      <c r="E170" s="30">
        <f t="shared" si="6"/>
        <v>24.545454545454547</v>
      </c>
      <c r="F170" s="30">
        <v>270</v>
      </c>
      <c r="G170" s="30">
        <v>50</v>
      </c>
      <c r="H170" s="30">
        <f t="shared" si="7"/>
        <v>220</v>
      </c>
      <c r="I170" s="1" t="s">
        <v>1775</v>
      </c>
      <c r="J170" s="30">
        <v>270</v>
      </c>
      <c r="K170" s="30"/>
      <c r="L170" s="1"/>
      <c r="M170" s="1"/>
      <c r="N170" s="1"/>
      <c r="O170" s="1"/>
    </row>
    <row r="171" spans="1:15" x14ac:dyDescent="0.3">
      <c r="A171" s="41">
        <v>45465</v>
      </c>
      <c r="B171" s="10" t="s">
        <v>1713</v>
      </c>
      <c r="C171" s="10" t="s">
        <v>14</v>
      </c>
      <c r="D171" s="30">
        <f t="shared" si="8"/>
        <v>245.45454545454544</v>
      </c>
      <c r="E171" s="30">
        <f t="shared" si="6"/>
        <v>24.545454545454547</v>
      </c>
      <c r="F171" s="30">
        <v>270</v>
      </c>
      <c r="G171" s="30">
        <v>270</v>
      </c>
      <c r="H171" s="30">
        <f t="shared" si="7"/>
        <v>0</v>
      </c>
      <c r="I171" s="1" t="s">
        <v>1776</v>
      </c>
      <c r="J171" s="30">
        <v>270</v>
      </c>
      <c r="K171" s="30"/>
      <c r="L171" s="1"/>
      <c r="M171" s="1"/>
      <c r="N171" s="1"/>
      <c r="O171" s="1"/>
    </row>
    <row r="172" spans="1:15" x14ac:dyDescent="0.3">
      <c r="A172" s="41">
        <v>45465</v>
      </c>
      <c r="B172" s="10" t="s">
        <v>1714</v>
      </c>
      <c r="C172" s="10" t="s">
        <v>14</v>
      </c>
      <c r="D172" s="30">
        <f t="shared" si="8"/>
        <v>172.72727272727272</v>
      </c>
      <c r="E172" s="30">
        <f t="shared" si="6"/>
        <v>17.272727272727273</v>
      </c>
      <c r="F172" s="30">
        <v>190</v>
      </c>
      <c r="G172" s="30">
        <v>50</v>
      </c>
      <c r="H172" s="30">
        <f t="shared" si="7"/>
        <v>140</v>
      </c>
      <c r="I172" s="1" t="s">
        <v>1623</v>
      </c>
      <c r="J172" s="30">
        <v>190</v>
      </c>
      <c r="K172" s="30"/>
      <c r="L172" s="1"/>
      <c r="M172" s="1"/>
      <c r="N172" s="1"/>
      <c r="O172" s="1"/>
    </row>
    <row r="173" spans="1:15" x14ac:dyDescent="0.3">
      <c r="A173" s="41">
        <v>45465</v>
      </c>
      <c r="B173" s="10" t="s">
        <v>1715</v>
      </c>
      <c r="C173" s="10" t="s">
        <v>14</v>
      </c>
      <c r="D173" s="30">
        <f t="shared" si="8"/>
        <v>199.99999999999997</v>
      </c>
      <c r="E173" s="30">
        <f t="shared" si="6"/>
        <v>19.999999999999996</v>
      </c>
      <c r="F173" s="30">
        <v>220</v>
      </c>
      <c r="G173" s="30">
        <v>50</v>
      </c>
      <c r="H173" s="30">
        <f t="shared" si="7"/>
        <v>170</v>
      </c>
      <c r="I173" s="1" t="s">
        <v>1777</v>
      </c>
      <c r="J173" s="30">
        <v>220</v>
      </c>
      <c r="K173" s="30"/>
      <c r="L173" s="1"/>
      <c r="M173" s="1"/>
      <c r="N173" s="1"/>
      <c r="O173" s="1"/>
    </row>
    <row r="174" spans="1:15" x14ac:dyDescent="0.3">
      <c r="A174" s="41">
        <v>45465</v>
      </c>
      <c r="B174" s="10" t="s">
        <v>1716</v>
      </c>
      <c r="C174" s="10" t="s">
        <v>14</v>
      </c>
      <c r="D174" s="30">
        <f t="shared" si="8"/>
        <v>199.99999999999997</v>
      </c>
      <c r="E174" s="30">
        <f t="shared" si="6"/>
        <v>19.999999999999996</v>
      </c>
      <c r="F174" s="30">
        <v>220</v>
      </c>
      <c r="G174" s="30">
        <v>50</v>
      </c>
      <c r="H174" s="30">
        <f t="shared" si="7"/>
        <v>170</v>
      </c>
      <c r="I174" s="1" t="s">
        <v>1428</v>
      </c>
      <c r="J174" s="30">
        <v>220</v>
      </c>
      <c r="K174" s="30"/>
      <c r="L174" s="1"/>
      <c r="M174" s="1"/>
      <c r="N174" s="1"/>
      <c r="O174" s="1"/>
    </row>
    <row r="175" spans="1:15" x14ac:dyDescent="0.3">
      <c r="A175" s="41">
        <v>45465</v>
      </c>
      <c r="B175" s="10" t="s">
        <v>1717</v>
      </c>
      <c r="C175" s="10" t="s">
        <v>14</v>
      </c>
      <c r="D175" s="30">
        <f t="shared" si="8"/>
        <v>227.27272727272725</v>
      </c>
      <c r="E175" s="30">
        <f t="shared" si="6"/>
        <v>22.727272727272727</v>
      </c>
      <c r="F175" s="30">
        <v>250</v>
      </c>
      <c r="G175" s="30">
        <v>50</v>
      </c>
      <c r="H175" s="30">
        <f t="shared" si="7"/>
        <v>200</v>
      </c>
      <c r="I175" s="1" t="s">
        <v>1778</v>
      </c>
      <c r="J175" s="30">
        <v>220</v>
      </c>
      <c r="K175" s="30">
        <v>30</v>
      </c>
      <c r="L175" s="1" t="s">
        <v>223</v>
      </c>
      <c r="M175" s="1"/>
      <c r="N175" s="1"/>
      <c r="O175" s="1"/>
    </row>
    <row r="176" spans="1:15" x14ac:dyDescent="0.3">
      <c r="A176" s="41">
        <v>45465</v>
      </c>
      <c r="B176" s="10" t="s">
        <v>1718</v>
      </c>
      <c r="C176" s="10" t="s">
        <v>14</v>
      </c>
      <c r="D176" s="30">
        <f t="shared" si="8"/>
        <v>199.99999999999997</v>
      </c>
      <c r="E176" s="30">
        <f t="shared" si="6"/>
        <v>19.999999999999996</v>
      </c>
      <c r="F176" s="30">
        <v>220</v>
      </c>
      <c r="G176" s="30">
        <v>50</v>
      </c>
      <c r="H176" s="30">
        <f t="shared" si="7"/>
        <v>170</v>
      </c>
      <c r="I176" s="1" t="s">
        <v>1779</v>
      </c>
      <c r="J176" s="30">
        <v>220</v>
      </c>
      <c r="K176" s="30"/>
      <c r="L176" s="1"/>
      <c r="M176" s="1"/>
      <c r="N176" s="1"/>
      <c r="O176" s="1"/>
    </row>
    <row r="177" spans="1:15" x14ac:dyDescent="0.3">
      <c r="A177" s="41">
        <v>45465</v>
      </c>
      <c r="B177" s="10" t="s">
        <v>1719</v>
      </c>
      <c r="C177" s="10" t="s">
        <v>14</v>
      </c>
      <c r="D177" s="30">
        <f t="shared" si="8"/>
        <v>245.45454545454544</v>
      </c>
      <c r="E177" s="30">
        <f t="shared" si="6"/>
        <v>24.545454545454547</v>
      </c>
      <c r="F177" s="30">
        <v>270</v>
      </c>
      <c r="G177" s="30">
        <v>50</v>
      </c>
      <c r="H177" s="30">
        <f t="shared" si="7"/>
        <v>220</v>
      </c>
      <c r="I177" s="1" t="s">
        <v>1623</v>
      </c>
      <c r="J177" s="30">
        <v>270</v>
      </c>
      <c r="K177" s="30"/>
      <c r="L177" s="1"/>
      <c r="M177" s="1"/>
      <c r="N177" s="1"/>
      <c r="O177" s="1"/>
    </row>
    <row r="178" spans="1:15" x14ac:dyDescent="0.3">
      <c r="A178" s="41">
        <v>45466</v>
      </c>
      <c r="B178" s="10" t="s">
        <v>1720</v>
      </c>
      <c r="C178" s="10" t="s">
        <v>14</v>
      </c>
      <c r="D178" s="30">
        <f t="shared" si="8"/>
        <v>181.81818181818181</v>
      </c>
      <c r="E178" s="30">
        <f t="shared" si="6"/>
        <v>18.18181818181818</v>
      </c>
      <c r="F178" s="30">
        <v>200</v>
      </c>
      <c r="G178" s="30">
        <v>50</v>
      </c>
      <c r="H178" s="30">
        <f t="shared" si="7"/>
        <v>150</v>
      </c>
      <c r="I178" s="1" t="s">
        <v>1780</v>
      </c>
      <c r="J178" s="30">
        <v>170</v>
      </c>
      <c r="K178" s="30">
        <v>30</v>
      </c>
      <c r="L178" s="1" t="s">
        <v>223</v>
      </c>
      <c r="M178" s="1"/>
      <c r="N178" s="1"/>
      <c r="O178" s="1"/>
    </row>
    <row r="179" spans="1:15" x14ac:dyDescent="0.3">
      <c r="A179" s="41">
        <v>45466</v>
      </c>
      <c r="B179" s="10" t="s">
        <v>1721</v>
      </c>
      <c r="C179" s="10" t="s">
        <v>14</v>
      </c>
      <c r="D179" s="30">
        <f t="shared" si="8"/>
        <v>127.27272727272727</v>
      </c>
      <c r="E179" s="30">
        <f t="shared" si="6"/>
        <v>12.727272727272727</v>
      </c>
      <c r="F179" s="30">
        <v>140</v>
      </c>
      <c r="G179" s="30"/>
      <c r="H179" s="30">
        <f t="shared" si="7"/>
        <v>140</v>
      </c>
      <c r="I179" s="1" t="s">
        <v>402</v>
      </c>
      <c r="J179" s="30">
        <v>140</v>
      </c>
      <c r="K179" s="30"/>
      <c r="L179" s="1"/>
      <c r="M179" s="1"/>
      <c r="N179" s="1"/>
      <c r="O179" s="1"/>
    </row>
    <row r="180" spans="1:15" x14ac:dyDescent="0.3">
      <c r="A180" s="41">
        <v>45466</v>
      </c>
      <c r="B180" s="10" t="s">
        <v>1722</v>
      </c>
      <c r="C180" s="10" t="s">
        <v>14</v>
      </c>
      <c r="D180" s="30">
        <f t="shared" si="8"/>
        <v>281.81818181818181</v>
      </c>
      <c r="E180" s="30">
        <f t="shared" si="6"/>
        <v>28.18181818181818</v>
      </c>
      <c r="F180" s="30">
        <v>310</v>
      </c>
      <c r="G180" s="30">
        <v>50</v>
      </c>
      <c r="H180" s="30">
        <f t="shared" si="7"/>
        <v>260</v>
      </c>
      <c r="I180" s="1" t="s">
        <v>1781</v>
      </c>
      <c r="J180" s="30">
        <v>270</v>
      </c>
      <c r="K180" s="30">
        <v>40</v>
      </c>
      <c r="L180" s="1" t="s">
        <v>223</v>
      </c>
      <c r="M180" s="1"/>
      <c r="N180" s="1"/>
      <c r="O180" s="1"/>
    </row>
    <row r="181" spans="1:15" x14ac:dyDescent="0.3">
      <c r="A181" s="41">
        <v>45467</v>
      </c>
      <c r="B181" s="10" t="s">
        <v>1723</v>
      </c>
      <c r="C181" s="10" t="s">
        <v>14</v>
      </c>
      <c r="D181" s="30">
        <f t="shared" si="8"/>
        <v>127.27272727272727</v>
      </c>
      <c r="E181" s="30">
        <f t="shared" si="6"/>
        <v>12.727272727272727</v>
      </c>
      <c r="F181" s="30">
        <v>140</v>
      </c>
      <c r="G181" s="30"/>
      <c r="H181" s="30">
        <f t="shared" si="7"/>
        <v>140</v>
      </c>
      <c r="I181" s="1" t="s">
        <v>402</v>
      </c>
      <c r="J181" s="30">
        <v>140</v>
      </c>
      <c r="K181" s="30"/>
      <c r="L181" s="1"/>
      <c r="M181" s="1"/>
      <c r="N181" s="1"/>
      <c r="O181" s="1"/>
    </row>
    <row r="182" spans="1:15" x14ac:dyDescent="0.3">
      <c r="A182" s="41">
        <v>45467</v>
      </c>
      <c r="B182" s="10" t="s">
        <v>1724</v>
      </c>
      <c r="C182" s="10" t="s">
        <v>14</v>
      </c>
      <c r="D182" s="30">
        <f t="shared" si="8"/>
        <v>163.63636363636363</v>
      </c>
      <c r="E182" s="30">
        <f t="shared" si="6"/>
        <v>16.363636363636363</v>
      </c>
      <c r="F182" s="30">
        <v>180</v>
      </c>
      <c r="G182" s="30">
        <v>50</v>
      </c>
      <c r="H182" s="30">
        <f t="shared" si="7"/>
        <v>130</v>
      </c>
      <c r="I182" s="1" t="s">
        <v>1782</v>
      </c>
      <c r="J182" s="30">
        <v>180</v>
      </c>
      <c r="K182" s="30"/>
      <c r="L182" s="1"/>
      <c r="M182" s="1"/>
      <c r="N182" s="1"/>
      <c r="O182" s="1"/>
    </row>
    <row r="183" spans="1:15" x14ac:dyDescent="0.3">
      <c r="A183" s="41">
        <v>45467</v>
      </c>
      <c r="B183" s="10" t="s">
        <v>1725</v>
      </c>
      <c r="C183" s="10" t="s">
        <v>14</v>
      </c>
      <c r="D183" s="30">
        <f t="shared" si="8"/>
        <v>109.09090909090908</v>
      </c>
      <c r="E183" s="30">
        <f t="shared" si="6"/>
        <v>10.909090909090908</v>
      </c>
      <c r="F183" s="30">
        <v>120</v>
      </c>
      <c r="G183" s="30"/>
      <c r="H183" s="30">
        <f t="shared" si="7"/>
        <v>120</v>
      </c>
      <c r="I183" s="1" t="s">
        <v>403</v>
      </c>
      <c r="J183" s="30">
        <v>120</v>
      </c>
      <c r="K183" s="30"/>
      <c r="L183" s="1"/>
      <c r="M183" s="1"/>
      <c r="N183" s="1"/>
      <c r="O183" s="1"/>
    </row>
    <row r="184" spans="1:15" x14ac:dyDescent="0.3">
      <c r="A184" s="41">
        <v>45467</v>
      </c>
      <c r="B184" s="10" t="s">
        <v>1726</v>
      </c>
      <c r="C184" s="10" t="s">
        <v>14</v>
      </c>
      <c r="D184" s="30">
        <f t="shared" si="8"/>
        <v>154.54545454545453</v>
      </c>
      <c r="E184" s="30">
        <f t="shared" si="6"/>
        <v>15.454545454545453</v>
      </c>
      <c r="F184" s="30">
        <v>170</v>
      </c>
      <c r="G184" s="30"/>
      <c r="H184" s="30">
        <f t="shared" si="7"/>
        <v>170</v>
      </c>
      <c r="I184" s="1" t="s">
        <v>1783</v>
      </c>
      <c r="J184" s="30">
        <v>170</v>
      </c>
      <c r="K184" s="30"/>
      <c r="L184" s="1"/>
      <c r="M184" s="1"/>
      <c r="N184" s="1"/>
      <c r="O184" s="1"/>
    </row>
    <row r="185" spans="1:15" x14ac:dyDescent="0.3">
      <c r="A185" s="41">
        <v>45467</v>
      </c>
      <c r="B185" s="10" t="s">
        <v>1727</v>
      </c>
      <c r="C185" s="10" t="s">
        <v>14</v>
      </c>
      <c r="D185" s="30">
        <f t="shared" si="8"/>
        <v>181.81818181818181</v>
      </c>
      <c r="E185" s="30">
        <f t="shared" si="6"/>
        <v>18.18181818181818</v>
      </c>
      <c r="F185" s="30">
        <v>200</v>
      </c>
      <c r="G185" s="30"/>
      <c r="H185" s="30">
        <f t="shared" si="7"/>
        <v>200</v>
      </c>
      <c r="I185" s="1" t="s">
        <v>402</v>
      </c>
      <c r="J185" s="30">
        <v>200</v>
      </c>
      <c r="K185" s="30"/>
      <c r="L185" s="1"/>
      <c r="M185" s="1"/>
      <c r="N185" s="1"/>
      <c r="O185" s="1"/>
    </row>
    <row r="186" spans="1:15" x14ac:dyDescent="0.3">
      <c r="A186" s="41">
        <v>45467</v>
      </c>
      <c r="B186" s="10" t="s">
        <v>1728</v>
      </c>
      <c r="C186" s="10" t="s">
        <v>14</v>
      </c>
      <c r="D186" s="30">
        <f t="shared" si="8"/>
        <v>245.45454545454544</v>
      </c>
      <c r="E186" s="30">
        <f t="shared" si="6"/>
        <v>24.545454545454547</v>
      </c>
      <c r="F186" s="30">
        <v>270</v>
      </c>
      <c r="G186" s="30"/>
      <c r="H186" s="30">
        <f t="shared" si="7"/>
        <v>270</v>
      </c>
      <c r="I186" s="1" t="s">
        <v>1784</v>
      </c>
      <c r="J186" s="30">
        <v>270</v>
      </c>
      <c r="K186" s="30"/>
      <c r="L186" s="1"/>
      <c r="M186" s="1"/>
      <c r="N186" s="1"/>
      <c r="O186" s="1"/>
    </row>
    <row r="187" spans="1:15" x14ac:dyDescent="0.3">
      <c r="A187" s="41">
        <v>45469</v>
      </c>
      <c r="B187" s="10" t="s">
        <v>1729</v>
      </c>
      <c r="C187" s="10" t="s">
        <v>14</v>
      </c>
      <c r="D187" s="30">
        <f t="shared" si="8"/>
        <v>172.72727272727272</v>
      </c>
      <c r="E187" s="30">
        <f t="shared" si="6"/>
        <v>17.272727272727273</v>
      </c>
      <c r="F187" s="30">
        <v>190</v>
      </c>
      <c r="G187" s="30"/>
      <c r="H187" s="30">
        <f t="shared" si="7"/>
        <v>190</v>
      </c>
      <c r="I187" s="1" t="s">
        <v>1785</v>
      </c>
      <c r="J187" s="30">
        <v>190</v>
      </c>
      <c r="K187" s="30"/>
      <c r="L187" s="1"/>
      <c r="M187" s="1"/>
      <c r="N187" s="1"/>
      <c r="O187" s="1"/>
    </row>
    <row r="188" spans="1:15" x14ac:dyDescent="0.3">
      <c r="A188" s="41">
        <v>45470</v>
      </c>
      <c r="B188" s="10" t="s">
        <v>1730</v>
      </c>
      <c r="C188" s="10" t="s">
        <v>14</v>
      </c>
      <c r="D188" s="30">
        <f t="shared" si="8"/>
        <v>245.45454545454544</v>
      </c>
      <c r="E188" s="30">
        <f t="shared" si="6"/>
        <v>24.545454545454547</v>
      </c>
      <c r="F188" s="30">
        <v>270</v>
      </c>
      <c r="G188" s="30">
        <v>50</v>
      </c>
      <c r="H188" s="30">
        <f t="shared" si="7"/>
        <v>220</v>
      </c>
      <c r="I188" s="1" t="s">
        <v>1786</v>
      </c>
      <c r="J188" s="30">
        <v>270</v>
      </c>
      <c r="K188" s="30"/>
      <c r="L188" s="1"/>
      <c r="M188" s="1"/>
      <c r="N188" s="1"/>
      <c r="O188" s="1"/>
    </row>
    <row r="189" spans="1:15" x14ac:dyDescent="0.3">
      <c r="A189" s="41">
        <v>45470</v>
      </c>
      <c r="B189" s="10" t="s">
        <v>1731</v>
      </c>
      <c r="C189" s="10" t="s">
        <v>14</v>
      </c>
      <c r="D189" s="30">
        <f t="shared" si="8"/>
        <v>163.63636363636363</v>
      </c>
      <c r="E189" s="30">
        <f t="shared" si="6"/>
        <v>16.363636363636363</v>
      </c>
      <c r="F189" s="30">
        <v>180</v>
      </c>
      <c r="G189" s="30"/>
      <c r="H189" s="30">
        <f t="shared" si="7"/>
        <v>180</v>
      </c>
      <c r="I189" s="1" t="s">
        <v>402</v>
      </c>
      <c r="J189" s="30">
        <v>180</v>
      </c>
      <c r="K189" s="30"/>
      <c r="L189" s="1"/>
      <c r="M189" s="1"/>
      <c r="N189" s="1"/>
      <c r="O189" s="1"/>
    </row>
    <row r="190" spans="1:15" x14ac:dyDescent="0.3">
      <c r="A190" s="41">
        <v>45470</v>
      </c>
      <c r="B190" s="10" t="s">
        <v>1732</v>
      </c>
      <c r="C190" s="10" t="s">
        <v>14</v>
      </c>
      <c r="D190" s="30">
        <f t="shared" si="8"/>
        <v>222.72727272727272</v>
      </c>
      <c r="E190" s="30">
        <f t="shared" si="6"/>
        <v>22.27272727272727</v>
      </c>
      <c r="F190" s="30">
        <v>245</v>
      </c>
      <c r="G190" s="30"/>
      <c r="H190" s="30">
        <f t="shared" si="7"/>
        <v>245</v>
      </c>
      <c r="I190" s="1" t="s">
        <v>1694</v>
      </c>
      <c r="J190" s="30">
        <v>270</v>
      </c>
      <c r="K190" s="30">
        <v>30</v>
      </c>
      <c r="L190" s="1" t="s">
        <v>223</v>
      </c>
      <c r="M190" s="30">
        <v>45</v>
      </c>
      <c r="N190" s="1" t="s">
        <v>16</v>
      </c>
      <c r="O190" s="1"/>
    </row>
    <row r="191" spans="1:15" x14ac:dyDescent="0.3">
      <c r="A191" s="41">
        <v>45470</v>
      </c>
      <c r="B191" s="10" t="s">
        <v>1733</v>
      </c>
      <c r="C191" s="10" t="s">
        <v>14</v>
      </c>
      <c r="D191" s="30">
        <f t="shared" si="8"/>
        <v>286.36363636363632</v>
      </c>
      <c r="E191" s="30">
        <f t="shared" si="6"/>
        <v>28.63636363636363</v>
      </c>
      <c r="F191" s="30">
        <v>315</v>
      </c>
      <c r="G191" s="30"/>
      <c r="H191" s="30">
        <f t="shared" si="7"/>
        <v>315</v>
      </c>
      <c r="I191" s="1" t="s">
        <v>1787</v>
      </c>
      <c r="J191" s="30">
        <v>270</v>
      </c>
      <c r="K191" s="30"/>
      <c r="L191" s="1"/>
      <c r="M191" s="30">
        <v>45</v>
      </c>
      <c r="N191" s="1" t="s">
        <v>16</v>
      </c>
      <c r="O191" s="1"/>
    </row>
    <row r="192" spans="1:15" x14ac:dyDescent="0.3">
      <c r="A192" s="41">
        <v>45471</v>
      </c>
      <c r="B192" s="10" t="s">
        <v>1734</v>
      </c>
      <c r="C192" s="10" t="s">
        <v>14</v>
      </c>
      <c r="D192" s="30">
        <f t="shared" si="8"/>
        <v>145.45454545454544</v>
      </c>
      <c r="E192" s="30">
        <f t="shared" si="6"/>
        <v>14.545454545454545</v>
      </c>
      <c r="F192" s="30">
        <v>160</v>
      </c>
      <c r="G192" s="30"/>
      <c r="H192" s="30">
        <f t="shared" si="7"/>
        <v>160</v>
      </c>
      <c r="I192" s="1" t="s">
        <v>402</v>
      </c>
      <c r="J192" s="30">
        <v>160</v>
      </c>
      <c r="K192" s="30"/>
      <c r="L192" s="1"/>
      <c r="M192" s="1"/>
      <c r="N192" s="1"/>
      <c r="O192" s="1"/>
    </row>
    <row r="193" spans="1:15" x14ac:dyDescent="0.3">
      <c r="A193" s="41">
        <v>45471</v>
      </c>
      <c r="B193" s="10" t="s">
        <v>1735</v>
      </c>
      <c r="C193" s="10" t="s">
        <v>14</v>
      </c>
      <c r="D193" s="30">
        <f t="shared" si="8"/>
        <v>154.54545454545453</v>
      </c>
      <c r="E193" s="30">
        <f t="shared" si="6"/>
        <v>15.454545454545453</v>
      </c>
      <c r="F193" s="30">
        <v>170</v>
      </c>
      <c r="G193" s="30">
        <v>50</v>
      </c>
      <c r="H193" s="30">
        <f t="shared" si="7"/>
        <v>120</v>
      </c>
      <c r="I193" s="1" t="s">
        <v>1788</v>
      </c>
      <c r="J193" s="30">
        <v>170</v>
      </c>
      <c r="K193" s="30"/>
      <c r="L193" s="1"/>
      <c r="M193" s="1"/>
      <c r="N193" s="1"/>
      <c r="O193" s="1"/>
    </row>
    <row r="194" spans="1:15" x14ac:dyDescent="0.3">
      <c r="A194" s="41">
        <v>45471</v>
      </c>
      <c r="B194" s="10" t="s">
        <v>1736</v>
      </c>
      <c r="C194" s="10" t="s">
        <v>14</v>
      </c>
      <c r="D194" s="30">
        <f t="shared" si="8"/>
        <v>209.09090909090907</v>
      </c>
      <c r="E194" s="30">
        <f t="shared" si="6"/>
        <v>20.909090909090907</v>
      </c>
      <c r="F194" s="30">
        <v>230</v>
      </c>
      <c r="G194" s="30">
        <v>50</v>
      </c>
      <c r="H194" s="30">
        <f t="shared" si="7"/>
        <v>180</v>
      </c>
      <c r="I194" s="1" t="s">
        <v>1789</v>
      </c>
      <c r="J194" s="30">
        <v>170</v>
      </c>
      <c r="K194" s="30">
        <v>70</v>
      </c>
      <c r="L194" s="1" t="s">
        <v>223</v>
      </c>
      <c r="M194" s="1"/>
      <c r="N194" s="1"/>
      <c r="O194" s="1"/>
    </row>
    <row r="195" spans="1:15" x14ac:dyDescent="0.3">
      <c r="A195" s="41">
        <v>45471</v>
      </c>
      <c r="B195" s="10" t="s">
        <v>1737</v>
      </c>
      <c r="C195" s="10" t="s">
        <v>14</v>
      </c>
      <c r="D195" s="30">
        <f t="shared" si="8"/>
        <v>154.54545454545453</v>
      </c>
      <c r="E195" s="30">
        <f t="shared" ref="E195:E229" si="9">D195*10/100</f>
        <v>15.454545454545453</v>
      </c>
      <c r="F195" s="30">
        <v>170</v>
      </c>
      <c r="G195" s="30">
        <v>50</v>
      </c>
      <c r="H195" s="30">
        <f t="shared" ref="H195:H229" si="10">F195-G195</f>
        <v>120</v>
      </c>
      <c r="I195" s="1" t="s">
        <v>1790</v>
      </c>
      <c r="J195" s="30">
        <v>170</v>
      </c>
      <c r="K195" s="30"/>
      <c r="L195" s="1"/>
      <c r="M195" s="1"/>
      <c r="N195" s="1"/>
      <c r="O195" s="1"/>
    </row>
    <row r="196" spans="1:15" x14ac:dyDescent="0.3">
      <c r="A196" s="41">
        <v>45471</v>
      </c>
      <c r="B196" s="10" t="s">
        <v>1738</v>
      </c>
      <c r="C196" s="10" t="s">
        <v>14</v>
      </c>
      <c r="D196" s="30">
        <f t="shared" ref="D196:D229" si="11">F196/1.1</f>
        <v>181.81818181818181</v>
      </c>
      <c r="E196" s="30">
        <f t="shared" si="9"/>
        <v>18.18181818181818</v>
      </c>
      <c r="F196" s="30">
        <v>200</v>
      </c>
      <c r="G196" s="30"/>
      <c r="H196" s="30">
        <f t="shared" si="10"/>
        <v>200</v>
      </c>
      <c r="I196" s="1" t="s">
        <v>1791</v>
      </c>
      <c r="J196" s="30">
        <v>200</v>
      </c>
      <c r="K196" s="30"/>
      <c r="L196" s="1"/>
      <c r="M196" s="1"/>
      <c r="N196" s="1"/>
      <c r="O196" s="1"/>
    </row>
    <row r="197" spans="1:15" x14ac:dyDescent="0.3">
      <c r="A197" s="41">
        <v>45471</v>
      </c>
      <c r="B197" s="10" t="s">
        <v>1739</v>
      </c>
      <c r="C197" s="10" t="s">
        <v>14</v>
      </c>
      <c r="D197" s="30">
        <f t="shared" si="11"/>
        <v>227.27272727272725</v>
      </c>
      <c r="E197" s="30">
        <f t="shared" si="9"/>
        <v>22.727272727272727</v>
      </c>
      <c r="F197" s="30">
        <v>250</v>
      </c>
      <c r="G197" s="30">
        <v>250</v>
      </c>
      <c r="H197" s="30">
        <f t="shared" si="10"/>
        <v>0</v>
      </c>
      <c r="I197" s="1" t="s">
        <v>1792</v>
      </c>
      <c r="J197" s="30">
        <v>220</v>
      </c>
      <c r="K197" s="30">
        <v>30</v>
      </c>
      <c r="L197" s="1" t="s">
        <v>223</v>
      </c>
      <c r="M197" s="1"/>
      <c r="N197" s="1"/>
      <c r="O197" s="1"/>
    </row>
    <row r="198" spans="1:15" x14ac:dyDescent="0.3">
      <c r="A198" s="41">
        <v>45471</v>
      </c>
      <c r="B198" s="10" t="s">
        <v>1740</v>
      </c>
      <c r="C198" s="10" t="s">
        <v>14</v>
      </c>
      <c r="D198" s="30">
        <f t="shared" si="11"/>
        <v>172.72727272727272</v>
      </c>
      <c r="E198" s="30">
        <f t="shared" si="9"/>
        <v>17.272727272727273</v>
      </c>
      <c r="F198" s="30">
        <v>190</v>
      </c>
      <c r="G198" s="30">
        <v>50</v>
      </c>
      <c r="H198" s="30">
        <f t="shared" si="10"/>
        <v>140</v>
      </c>
      <c r="I198" s="1" t="s">
        <v>1793</v>
      </c>
      <c r="J198" s="30">
        <v>190</v>
      </c>
      <c r="K198" s="30"/>
      <c r="L198" s="1"/>
      <c r="M198" s="1"/>
      <c r="N198" s="1"/>
      <c r="O198" s="1"/>
    </row>
    <row r="199" spans="1:15" x14ac:dyDescent="0.3">
      <c r="A199" s="41">
        <v>45471</v>
      </c>
      <c r="B199" s="10" t="s">
        <v>1741</v>
      </c>
      <c r="C199" s="10" t="s">
        <v>14</v>
      </c>
      <c r="D199" s="30">
        <f t="shared" si="11"/>
        <v>172.72727272727272</v>
      </c>
      <c r="E199" s="30">
        <f t="shared" si="9"/>
        <v>17.272727272727273</v>
      </c>
      <c r="F199" s="30">
        <v>190</v>
      </c>
      <c r="G199" s="30"/>
      <c r="H199" s="30">
        <f t="shared" si="10"/>
        <v>190</v>
      </c>
      <c r="I199" s="1" t="s">
        <v>1028</v>
      </c>
      <c r="J199" s="30">
        <v>190</v>
      </c>
      <c r="K199" s="30"/>
      <c r="L199" s="1"/>
      <c r="M199" s="1"/>
      <c r="N199" s="1"/>
      <c r="O199" s="1"/>
    </row>
    <row r="200" spans="1:15" x14ac:dyDescent="0.3">
      <c r="A200" s="41">
        <v>45471</v>
      </c>
      <c r="B200" s="10" t="s">
        <v>1742</v>
      </c>
      <c r="C200" s="10" t="s">
        <v>14</v>
      </c>
      <c r="D200" s="30">
        <f t="shared" si="11"/>
        <v>236.36363636363635</v>
      </c>
      <c r="E200" s="30">
        <f t="shared" si="9"/>
        <v>23.636363636363637</v>
      </c>
      <c r="F200" s="30">
        <v>260</v>
      </c>
      <c r="G200" s="30">
        <v>50</v>
      </c>
      <c r="H200" s="30">
        <f t="shared" si="10"/>
        <v>210</v>
      </c>
      <c r="I200" s="1" t="s">
        <v>1794</v>
      </c>
      <c r="J200" s="30">
        <v>220</v>
      </c>
      <c r="K200" s="30">
        <v>40</v>
      </c>
      <c r="L200" s="1" t="s">
        <v>223</v>
      </c>
      <c r="M200" s="1"/>
      <c r="N200" s="1"/>
      <c r="O200" s="1"/>
    </row>
    <row r="201" spans="1:15" x14ac:dyDescent="0.3">
      <c r="A201" s="41">
        <v>45471</v>
      </c>
      <c r="B201" s="10" t="s">
        <v>1743</v>
      </c>
      <c r="C201" s="10" t="s">
        <v>14</v>
      </c>
      <c r="D201" s="30">
        <f t="shared" si="11"/>
        <v>227.27272727272725</v>
      </c>
      <c r="E201" s="30">
        <f t="shared" si="9"/>
        <v>22.727272727272727</v>
      </c>
      <c r="F201" s="30">
        <v>250</v>
      </c>
      <c r="G201" s="30">
        <v>50</v>
      </c>
      <c r="H201" s="30">
        <f t="shared" si="10"/>
        <v>200</v>
      </c>
      <c r="I201" s="1" t="s">
        <v>1622</v>
      </c>
      <c r="J201" s="30">
        <v>220</v>
      </c>
      <c r="K201" s="30">
        <v>30</v>
      </c>
      <c r="L201" s="1" t="s">
        <v>223</v>
      </c>
      <c r="M201" s="1"/>
      <c r="N201" s="1"/>
      <c r="O201" s="1"/>
    </row>
    <row r="202" spans="1:15" x14ac:dyDescent="0.3">
      <c r="A202" s="41">
        <v>45471</v>
      </c>
      <c r="B202" s="10" t="s">
        <v>1744</v>
      </c>
      <c r="C202" s="10" t="s">
        <v>14</v>
      </c>
      <c r="D202" s="30">
        <f t="shared" si="11"/>
        <v>236.36363636363635</v>
      </c>
      <c r="E202" s="30">
        <f t="shared" si="9"/>
        <v>23.636363636363637</v>
      </c>
      <c r="F202" s="30">
        <v>260</v>
      </c>
      <c r="G202" s="30">
        <v>50</v>
      </c>
      <c r="H202" s="30">
        <f t="shared" si="10"/>
        <v>210</v>
      </c>
      <c r="I202" s="1" t="s">
        <v>1795</v>
      </c>
      <c r="J202" s="30">
        <v>220</v>
      </c>
      <c r="K202" s="30">
        <v>40</v>
      </c>
      <c r="L202" s="1" t="s">
        <v>223</v>
      </c>
      <c r="M202" s="1"/>
      <c r="N202" s="1"/>
      <c r="O202" s="1"/>
    </row>
    <row r="203" spans="1:15" x14ac:dyDescent="0.3">
      <c r="A203" s="41">
        <v>45471</v>
      </c>
      <c r="B203" s="10" t="s">
        <v>1745</v>
      </c>
      <c r="C203" s="10" t="s">
        <v>14</v>
      </c>
      <c r="D203" s="30">
        <f t="shared" si="11"/>
        <v>245.45454545454544</v>
      </c>
      <c r="E203" s="30">
        <f t="shared" si="9"/>
        <v>24.545454545454547</v>
      </c>
      <c r="F203" s="30">
        <v>270</v>
      </c>
      <c r="G203" s="30">
        <v>50</v>
      </c>
      <c r="H203" s="30">
        <f t="shared" si="10"/>
        <v>220</v>
      </c>
      <c r="I203" s="1" t="s">
        <v>1796</v>
      </c>
      <c r="J203" s="30">
        <v>270</v>
      </c>
      <c r="K203" s="30"/>
      <c r="L203" s="1"/>
      <c r="M203" s="1"/>
      <c r="N203" s="1"/>
      <c r="O203" s="1"/>
    </row>
    <row r="204" spans="1:15" x14ac:dyDescent="0.3">
      <c r="A204" s="41">
        <v>45471</v>
      </c>
      <c r="B204" s="10" t="s">
        <v>1746</v>
      </c>
      <c r="C204" s="10" t="s">
        <v>14</v>
      </c>
      <c r="D204" s="30">
        <f t="shared" si="11"/>
        <v>286.36363636363632</v>
      </c>
      <c r="E204" s="30">
        <f t="shared" si="9"/>
        <v>28.63636363636363</v>
      </c>
      <c r="F204" s="30">
        <v>315</v>
      </c>
      <c r="G204" s="30">
        <v>50</v>
      </c>
      <c r="H204" s="30">
        <f t="shared" si="10"/>
        <v>265</v>
      </c>
      <c r="I204" s="1" t="s">
        <v>1797</v>
      </c>
      <c r="J204" s="30">
        <v>270</v>
      </c>
      <c r="K204" s="30"/>
      <c r="L204" s="1"/>
      <c r="M204" s="30">
        <v>45</v>
      </c>
      <c r="N204" s="1" t="s">
        <v>16</v>
      </c>
      <c r="O204" s="1"/>
    </row>
    <row r="205" spans="1:15" x14ac:dyDescent="0.3">
      <c r="A205" s="41">
        <v>45472</v>
      </c>
      <c r="B205" s="10" t="s">
        <v>1747</v>
      </c>
      <c r="C205" s="10" t="s">
        <v>14</v>
      </c>
      <c r="D205" s="30">
        <f t="shared" si="11"/>
        <v>181.81818181818181</v>
      </c>
      <c r="E205" s="30">
        <f t="shared" si="9"/>
        <v>18.18181818181818</v>
      </c>
      <c r="F205" s="30">
        <v>200</v>
      </c>
      <c r="G205" s="30">
        <v>50</v>
      </c>
      <c r="H205" s="30">
        <f t="shared" si="10"/>
        <v>150</v>
      </c>
      <c r="I205" s="1" t="s">
        <v>1798</v>
      </c>
      <c r="J205" s="30">
        <v>170</v>
      </c>
      <c r="K205" s="30">
        <v>30</v>
      </c>
      <c r="L205" s="1" t="s">
        <v>223</v>
      </c>
      <c r="M205" s="1"/>
      <c r="N205" s="1"/>
      <c r="O205" s="1"/>
    </row>
    <row r="206" spans="1:15" x14ac:dyDescent="0.3">
      <c r="A206" s="41">
        <v>45472</v>
      </c>
      <c r="B206" s="10" t="s">
        <v>1748</v>
      </c>
      <c r="C206" s="10" t="s">
        <v>14</v>
      </c>
      <c r="D206" s="30">
        <f t="shared" si="11"/>
        <v>181.81818181818181</v>
      </c>
      <c r="E206" s="30">
        <f t="shared" si="9"/>
        <v>18.18181818181818</v>
      </c>
      <c r="F206" s="30">
        <v>200</v>
      </c>
      <c r="G206" s="30">
        <v>50</v>
      </c>
      <c r="H206" s="30">
        <f t="shared" si="10"/>
        <v>150</v>
      </c>
      <c r="I206" s="1" t="s">
        <v>1623</v>
      </c>
      <c r="J206" s="30">
        <v>170</v>
      </c>
      <c r="K206" s="30">
        <v>30</v>
      </c>
      <c r="L206" s="1" t="s">
        <v>223</v>
      </c>
      <c r="M206" s="1"/>
      <c r="N206" s="1"/>
      <c r="O206" s="1"/>
    </row>
    <row r="207" spans="1:15" x14ac:dyDescent="0.3">
      <c r="A207" s="41">
        <v>45472</v>
      </c>
      <c r="B207" s="10" t="s">
        <v>1749</v>
      </c>
      <c r="C207" s="10" t="s">
        <v>14</v>
      </c>
      <c r="D207" s="30">
        <f t="shared" si="11"/>
        <v>127.27272727272727</v>
      </c>
      <c r="E207" s="30">
        <f t="shared" si="9"/>
        <v>12.727272727272727</v>
      </c>
      <c r="F207" s="30">
        <v>140</v>
      </c>
      <c r="G207" s="30"/>
      <c r="H207" s="30">
        <f t="shared" si="10"/>
        <v>140</v>
      </c>
      <c r="I207" s="1" t="s">
        <v>1393</v>
      </c>
      <c r="J207" s="30">
        <v>140</v>
      </c>
      <c r="K207" s="30"/>
      <c r="L207" s="1"/>
      <c r="M207" s="1"/>
      <c r="N207" s="1"/>
      <c r="O207" s="1"/>
    </row>
    <row r="208" spans="1:15" x14ac:dyDescent="0.3">
      <c r="A208" s="41">
        <v>45472</v>
      </c>
      <c r="B208" s="10" t="s">
        <v>1750</v>
      </c>
      <c r="C208" s="10" t="s">
        <v>14</v>
      </c>
      <c r="D208" s="30">
        <f t="shared" si="11"/>
        <v>263.63636363636363</v>
      </c>
      <c r="E208" s="30">
        <f t="shared" si="9"/>
        <v>26.36363636363636</v>
      </c>
      <c r="F208" s="30">
        <v>290</v>
      </c>
      <c r="G208" s="30">
        <v>50</v>
      </c>
      <c r="H208" s="30">
        <f t="shared" si="10"/>
        <v>240</v>
      </c>
      <c r="I208" s="1" t="s">
        <v>1799</v>
      </c>
      <c r="J208" s="30">
        <v>290</v>
      </c>
      <c r="K208" s="30"/>
      <c r="L208" s="1"/>
      <c r="M208" s="1"/>
      <c r="N208" s="1"/>
      <c r="O208" s="1"/>
    </row>
    <row r="209" spans="1:15" x14ac:dyDescent="0.3">
      <c r="A209" s="41">
        <v>45472</v>
      </c>
      <c r="B209" s="10" t="s">
        <v>1751</v>
      </c>
      <c r="C209" s="10" t="s">
        <v>14</v>
      </c>
      <c r="D209" s="30">
        <f t="shared" si="11"/>
        <v>154.54545454545453</v>
      </c>
      <c r="E209" s="30">
        <f t="shared" si="9"/>
        <v>15.454545454545453</v>
      </c>
      <c r="F209" s="30">
        <v>170</v>
      </c>
      <c r="G209" s="30">
        <v>50</v>
      </c>
      <c r="H209" s="30">
        <f t="shared" si="10"/>
        <v>120</v>
      </c>
      <c r="I209" s="1" t="s">
        <v>1800</v>
      </c>
      <c r="J209" s="30">
        <v>170</v>
      </c>
      <c r="K209" s="30"/>
      <c r="L209" s="1"/>
      <c r="M209" s="1"/>
      <c r="N209" s="1"/>
      <c r="O209" s="1"/>
    </row>
    <row r="210" spans="1:15" x14ac:dyDescent="0.3">
      <c r="A210" s="41">
        <v>45472</v>
      </c>
      <c r="B210" s="10" t="s">
        <v>1752</v>
      </c>
      <c r="C210" s="10" t="s">
        <v>14</v>
      </c>
      <c r="D210" s="30">
        <f t="shared" si="11"/>
        <v>227.27272727272725</v>
      </c>
      <c r="E210" s="30">
        <f t="shared" si="9"/>
        <v>22.727272727272727</v>
      </c>
      <c r="F210" s="30">
        <v>250</v>
      </c>
      <c r="G210" s="30">
        <v>50</v>
      </c>
      <c r="H210" s="30">
        <f t="shared" si="10"/>
        <v>200</v>
      </c>
      <c r="I210" s="1" t="s">
        <v>1801</v>
      </c>
      <c r="J210" s="30">
        <v>220</v>
      </c>
      <c r="K210" s="30">
        <v>30</v>
      </c>
      <c r="L210" s="1" t="s">
        <v>223</v>
      </c>
      <c r="M210" s="1"/>
      <c r="N210" s="1"/>
      <c r="O210" s="1"/>
    </row>
    <row r="211" spans="1:15" x14ac:dyDescent="0.3">
      <c r="A211" s="41">
        <v>45472</v>
      </c>
      <c r="B211" s="10" t="s">
        <v>1753</v>
      </c>
      <c r="C211" s="10" t="s">
        <v>14</v>
      </c>
      <c r="D211" s="30">
        <f t="shared" si="11"/>
        <v>245.45454545454544</v>
      </c>
      <c r="E211" s="30">
        <f t="shared" si="9"/>
        <v>24.545454545454547</v>
      </c>
      <c r="F211" s="30">
        <v>270</v>
      </c>
      <c r="G211" s="30">
        <v>50</v>
      </c>
      <c r="H211" s="30">
        <f t="shared" si="10"/>
        <v>220</v>
      </c>
      <c r="I211" s="1" t="s">
        <v>1802</v>
      </c>
      <c r="J211" s="30">
        <v>270</v>
      </c>
      <c r="K211" s="30"/>
      <c r="L211" s="1"/>
      <c r="M211" s="1"/>
      <c r="N211" s="1"/>
      <c r="O211" s="1"/>
    </row>
    <row r="212" spans="1:15" x14ac:dyDescent="0.3">
      <c r="A212" s="41">
        <v>45472</v>
      </c>
      <c r="B212" s="10" t="s">
        <v>1754</v>
      </c>
      <c r="C212" s="10" t="s">
        <v>14</v>
      </c>
      <c r="D212" s="30">
        <f t="shared" si="11"/>
        <v>272.72727272727269</v>
      </c>
      <c r="E212" s="30">
        <f t="shared" si="9"/>
        <v>27.27272727272727</v>
      </c>
      <c r="F212" s="30">
        <v>300</v>
      </c>
      <c r="G212" s="30">
        <v>50</v>
      </c>
      <c r="H212" s="30">
        <f t="shared" si="10"/>
        <v>250</v>
      </c>
      <c r="I212" s="1" t="s">
        <v>1803</v>
      </c>
      <c r="J212" s="30">
        <v>270</v>
      </c>
      <c r="K212" s="30">
        <v>30</v>
      </c>
      <c r="L212" s="1" t="s">
        <v>223</v>
      </c>
      <c r="M212" s="1"/>
      <c r="N212" s="1"/>
      <c r="O212" s="1"/>
    </row>
    <row r="213" spans="1:15" x14ac:dyDescent="0.3">
      <c r="A213" s="41">
        <v>45472</v>
      </c>
      <c r="B213" s="10" t="s">
        <v>1755</v>
      </c>
      <c r="C213" s="10" t="s">
        <v>14</v>
      </c>
      <c r="D213" s="30">
        <f t="shared" si="11"/>
        <v>127.27272727272727</v>
      </c>
      <c r="E213" s="30">
        <f t="shared" si="9"/>
        <v>12.727272727272727</v>
      </c>
      <c r="F213" s="30">
        <v>140</v>
      </c>
      <c r="G213" s="30"/>
      <c r="H213" s="30">
        <f t="shared" si="10"/>
        <v>140</v>
      </c>
      <c r="I213" s="1" t="s">
        <v>403</v>
      </c>
      <c r="J213" s="30">
        <v>140</v>
      </c>
      <c r="K213" s="30"/>
      <c r="L213" s="1"/>
      <c r="M213" s="1"/>
      <c r="N213" s="1"/>
      <c r="O213" s="1"/>
    </row>
    <row r="214" spans="1:15" x14ac:dyDescent="0.3">
      <c r="A214" s="41">
        <v>45472</v>
      </c>
      <c r="B214" s="10" t="s">
        <v>1756</v>
      </c>
      <c r="C214" s="10" t="s">
        <v>14</v>
      </c>
      <c r="D214" s="30">
        <f t="shared" si="11"/>
        <v>236.36363636363635</v>
      </c>
      <c r="E214" s="30">
        <f t="shared" si="9"/>
        <v>23.636363636363637</v>
      </c>
      <c r="F214" s="30">
        <v>260</v>
      </c>
      <c r="G214" s="30">
        <v>50</v>
      </c>
      <c r="H214" s="30">
        <f t="shared" si="10"/>
        <v>210</v>
      </c>
      <c r="I214" s="1" t="s">
        <v>1804</v>
      </c>
      <c r="J214" s="30">
        <v>220</v>
      </c>
      <c r="K214" s="30">
        <v>40</v>
      </c>
      <c r="L214" s="1" t="s">
        <v>223</v>
      </c>
      <c r="M214" s="1"/>
      <c r="N214" s="1"/>
      <c r="O214" s="1"/>
    </row>
    <row r="215" spans="1:15" x14ac:dyDescent="0.3">
      <c r="A215" s="41">
        <v>45472</v>
      </c>
      <c r="B215" s="10" t="s">
        <v>1757</v>
      </c>
      <c r="C215" s="10" t="s">
        <v>14</v>
      </c>
      <c r="D215" s="30">
        <f t="shared" si="11"/>
        <v>218.18181818181816</v>
      </c>
      <c r="E215" s="30">
        <f t="shared" si="9"/>
        <v>21.818181818181817</v>
      </c>
      <c r="F215" s="30">
        <v>240</v>
      </c>
      <c r="G215" s="30"/>
      <c r="H215" s="30">
        <f t="shared" si="10"/>
        <v>240</v>
      </c>
      <c r="I215" s="1" t="s">
        <v>1805</v>
      </c>
      <c r="J215" s="30">
        <v>240</v>
      </c>
      <c r="K215" s="30"/>
      <c r="L215" s="1"/>
      <c r="M215" s="1"/>
      <c r="N215" s="1"/>
      <c r="O215" s="1"/>
    </row>
    <row r="216" spans="1:15" x14ac:dyDescent="0.3">
      <c r="A216" s="41">
        <v>45472</v>
      </c>
      <c r="B216" s="10" t="s">
        <v>1758</v>
      </c>
      <c r="C216" s="10" t="s">
        <v>14</v>
      </c>
      <c r="D216" s="30">
        <f t="shared" si="11"/>
        <v>199.99999999999997</v>
      </c>
      <c r="E216" s="30">
        <f t="shared" si="9"/>
        <v>19.999999999999996</v>
      </c>
      <c r="F216" s="30">
        <v>220</v>
      </c>
      <c r="G216" s="30">
        <v>50</v>
      </c>
      <c r="H216" s="30">
        <f t="shared" si="10"/>
        <v>170</v>
      </c>
      <c r="I216" s="1" t="s">
        <v>1806</v>
      </c>
      <c r="J216" s="30">
        <v>220</v>
      </c>
      <c r="K216" s="30"/>
      <c r="L216" s="1"/>
      <c r="M216" s="1"/>
      <c r="N216" s="1"/>
      <c r="O216" s="1"/>
    </row>
    <row r="217" spans="1:15" x14ac:dyDescent="0.3">
      <c r="A217" s="41">
        <v>45472</v>
      </c>
      <c r="B217" s="10" t="s">
        <v>1759</v>
      </c>
      <c r="C217" s="10" t="s">
        <v>14</v>
      </c>
      <c r="D217" s="30">
        <f t="shared" si="11"/>
        <v>199.99999999999997</v>
      </c>
      <c r="E217" s="30">
        <f t="shared" si="9"/>
        <v>19.999999999999996</v>
      </c>
      <c r="F217" s="30">
        <v>220</v>
      </c>
      <c r="G217" s="30">
        <v>50</v>
      </c>
      <c r="H217" s="30">
        <f t="shared" si="10"/>
        <v>170</v>
      </c>
      <c r="I217" s="1" t="s">
        <v>1807</v>
      </c>
      <c r="J217" s="30">
        <v>220</v>
      </c>
      <c r="K217" s="30"/>
      <c r="L217" s="1"/>
      <c r="M217" s="1"/>
      <c r="N217" s="1"/>
      <c r="O217" s="1"/>
    </row>
    <row r="218" spans="1:15" x14ac:dyDescent="0.3">
      <c r="A218" s="41">
        <v>45472</v>
      </c>
      <c r="B218" s="10" t="s">
        <v>1760</v>
      </c>
      <c r="C218" s="10" t="s">
        <v>14</v>
      </c>
      <c r="D218" s="30">
        <f t="shared" si="11"/>
        <v>163.63636363636363</v>
      </c>
      <c r="E218" s="30">
        <f t="shared" si="9"/>
        <v>16.363636363636363</v>
      </c>
      <c r="F218" s="30">
        <v>180</v>
      </c>
      <c r="G218" s="30"/>
      <c r="H218" s="30">
        <f t="shared" si="10"/>
        <v>180</v>
      </c>
      <c r="I218" s="1" t="s">
        <v>1393</v>
      </c>
      <c r="J218" s="30">
        <v>180</v>
      </c>
      <c r="K218" s="30"/>
      <c r="L218" s="1"/>
      <c r="M218" s="1"/>
      <c r="N218" s="1"/>
      <c r="O218" s="1"/>
    </row>
    <row r="219" spans="1:15" x14ac:dyDescent="0.3">
      <c r="A219" s="41">
        <v>45472</v>
      </c>
      <c r="B219" s="10" t="s">
        <v>1761</v>
      </c>
      <c r="C219" s="10" t="s">
        <v>14</v>
      </c>
      <c r="D219" s="30">
        <f t="shared" si="11"/>
        <v>154.54545454545453</v>
      </c>
      <c r="E219" s="30">
        <f t="shared" si="9"/>
        <v>15.454545454545453</v>
      </c>
      <c r="F219" s="30">
        <v>170</v>
      </c>
      <c r="G219" s="30">
        <v>50</v>
      </c>
      <c r="H219" s="30">
        <f t="shared" si="10"/>
        <v>120</v>
      </c>
      <c r="I219" s="1" t="s">
        <v>1808</v>
      </c>
      <c r="J219" s="30">
        <v>170</v>
      </c>
      <c r="K219" s="30"/>
      <c r="L219" s="1"/>
      <c r="M219" s="1"/>
      <c r="N219" s="1"/>
      <c r="O219" s="1"/>
    </row>
    <row r="220" spans="1:15" x14ac:dyDescent="0.3">
      <c r="A220" s="41">
        <v>45472</v>
      </c>
      <c r="B220" s="10" t="s">
        <v>1762</v>
      </c>
      <c r="C220" s="10" t="s">
        <v>14</v>
      </c>
      <c r="D220" s="30">
        <f t="shared" si="11"/>
        <v>190.90909090909091</v>
      </c>
      <c r="E220" s="30">
        <f t="shared" si="9"/>
        <v>19.09090909090909</v>
      </c>
      <c r="F220" s="30">
        <v>210</v>
      </c>
      <c r="G220" s="30">
        <v>50</v>
      </c>
      <c r="H220" s="30">
        <f t="shared" si="10"/>
        <v>160</v>
      </c>
      <c r="I220" s="1" t="s">
        <v>1809</v>
      </c>
      <c r="J220" s="30">
        <v>170</v>
      </c>
      <c r="K220" s="30">
        <v>40</v>
      </c>
      <c r="L220" s="1" t="s">
        <v>223</v>
      </c>
      <c r="M220" s="1"/>
      <c r="N220" s="1"/>
      <c r="O220" s="1"/>
    </row>
    <row r="221" spans="1:15" x14ac:dyDescent="0.3">
      <c r="A221" s="41">
        <v>45472</v>
      </c>
      <c r="B221" s="10" t="s">
        <v>1763</v>
      </c>
      <c r="C221" s="10" t="s">
        <v>14</v>
      </c>
      <c r="D221" s="30">
        <f t="shared" si="11"/>
        <v>154.54545454545453</v>
      </c>
      <c r="E221" s="30">
        <f t="shared" si="9"/>
        <v>15.454545454545453</v>
      </c>
      <c r="F221" s="30">
        <v>170</v>
      </c>
      <c r="G221" s="30">
        <v>50</v>
      </c>
      <c r="H221" s="30">
        <f t="shared" si="10"/>
        <v>120</v>
      </c>
      <c r="I221" s="1" t="s">
        <v>1810</v>
      </c>
      <c r="J221" s="30">
        <v>170</v>
      </c>
      <c r="K221" s="30"/>
      <c r="L221" s="1"/>
      <c r="M221" s="1"/>
      <c r="N221" s="1"/>
      <c r="O221" s="1"/>
    </row>
    <row r="222" spans="1:15" x14ac:dyDescent="0.3">
      <c r="A222" s="41">
        <v>45472</v>
      </c>
      <c r="B222" s="10" t="s">
        <v>1764</v>
      </c>
      <c r="C222" s="10" t="s">
        <v>14</v>
      </c>
      <c r="D222" s="30">
        <f t="shared" si="11"/>
        <v>199.99999999999997</v>
      </c>
      <c r="E222" s="30">
        <f t="shared" si="9"/>
        <v>19.999999999999996</v>
      </c>
      <c r="F222" s="30">
        <v>220</v>
      </c>
      <c r="G222" s="30">
        <v>50</v>
      </c>
      <c r="H222" s="30">
        <f t="shared" si="10"/>
        <v>170</v>
      </c>
      <c r="I222" s="1" t="s">
        <v>1811</v>
      </c>
      <c r="J222" s="30">
        <v>220</v>
      </c>
      <c r="K222" s="30"/>
      <c r="L222" s="1"/>
      <c r="M222" s="1"/>
      <c r="N222" s="1"/>
      <c r="O222" s="1"/>
    </row>
    <row r="223" spans="1:15" x14ac:dyDescent="0.3">
      <c r="A223" s="41">
        <v>45472</v>
      </c>
      <c r="B223" s="10" t="s">
        <v>1765</v>
      </c>
      <c r="C223" s="10" t="s">
        <v>14</v>
      </c>
      <c r="D223" s="30">
        <f t="shared" si="11"/>
        <v>199.99999999999997</v>
      </c>
      <c r="E223" s="30">
        <f t="shared" si="9"/>
        <v>19.999999999999996</v>
      </c>
      <c r="F223" s="30">
        <v>220</v>
      </c>
      <c r="G223" s="30">
        <v>50</v>
      </c>
      <c r="H223" s="30">
        <f t="shared" si="10"/>
        <v>170</v>
      </c>
      <c r="I223" s="1" t="s">
        <v>1812</v>
      </c>
      <c r="J223" s="30">
        <v>220</v>
      </c>
      <c r="K223" s="30"/>
      <c r="L223" s="1"/>
      <c r="M223" s="1"/>
      <c r="N223" s="1"/>
      <c r="O223" s="1"/>
    </row>
    <row r="224" spans="1:15" x14ac:dyDescent="0.3">
      <c r="A224" s="41">
        <v>45472</v>
      </c>
      <c r="B224" s="10" t="s">
        <v>1766</v>
      </c>
      <c r="C224" s="10" t="s">
        <v>14</v>
      </c>
      <c r="D224" s="30">
        <f t="shared" si="11"/>
        <v>236.36363636363635</v>
      </c>
      <c r="E224" s="30">
        <f t="shared" si="9"/>
        <v>23.636363636363637</v>
      </c>
      <c r="F224" s="30">
        <v>260</v>
      </c>
      <c r="G224" s="30">
        <v>50</v>
      </c>
      <c r="H224" s="30">
        <f t="shared" si="10"/>
        <v>210</v>
      </c>
      <c r="I224" s="1" t="s">
        <v>1813</v>
      </c>
      <c r="J224" s="30">
        <v>220</v>
      </c>
      <c r="K224" s="30">
        <v>40</v>
      </c>
      <c r="L224" s="1" t="s">
        <v>223</v>
      </c>
      <c r="M224" s="1"/>
      <c r="N224" s="1"/>
      <c r="O224" s="1"/>
    </row>
    <row r="225" spans="1:15" x14ac:dyDescent="0.3">
      <c r="A225" s="41">
        <v>45472</v>
      </c>
      <c r="B225" s="10" t="s">
        <v>1767</v>
      </c>
      <c r="C225" s="10" t="s">
        <v>14</v>
      </c>
      <c r="D225" s="30">
        <f t="shared" si="11"/>
        <v>259.09090909090907</v>
      </c>
      <c r="E225" s="30">
        <f t="shared" si="9"/>
        <v>25.909090909090907</v>
      </c>
      <c r="F225" s="30">
        <v>285</v>
      </c>
      <c r="G225" s="30">
        <v>50</v>
      </c>
      <c r="H225" s="30">
        <f t="shared" si="10"/>
        <v>235</v>
      </c>
      <c r="I225" s="1" t="s">
        <v>1814</v>
      </c>
      <c r="J225" s="30">
        <v>220</v>
      </c>
      <c r="K225" s="30">
        <v>20</v>
      </c>
      <c r="L225" s="1" t="s">
        <v>223</v>
      </c>
      <c r="M225" s="30">
        <v>45</v>
      </c>
      <c r="N225" s="1" t="s">
        <v>16</v>
      </c>
      <c r="O225" s="1"/>
    </row>
    <row r="226" spans="1:15" x14ac:dyDescent="0.3">
      <c r="A226" s="41">
        <v>45473</v>
      </c>
      <c r="B226" s="10" t="s">
        <v>1768</v>
      </c>
      <c r="C226" s="10" t="s">
        <v>14</v>
      </c>
      <c r="D226" s="30">
        <f t="shared" si="11"/>
        <v>199.99999999999997</v>
      </c>
      <c r="E226" s="30">
        <f t="shared" si="9"/>
        <v>19.999999999999996</v>
      </c>
      <c r="F226" s="30">
        <v>220</v>
      </c>
      <c r="G226" s="30">
        <v>50</v>
      </c>
      <c r="H226" s="30">
        <f t="shared" si="10"/>
        <v>170</v>
      </c>
      <c r="I226" s="1" t="s">
        <v>1623</v>
      </c>
      <c r="J226" s="30">
        <v>220</v>
      </c>
      <c r="K226" s="30"/>
      <c r="L226" s="1"/>
      <c r="M226" s="1"/>
      <c r="N226" s="1"/>
      <c r="O226" s="1"/>
    </row>
    <row r="227" spans="1:15" x14ac:dyDescent="0.3">
      <c r="A227" s="41">
        <v>45473</v>
      </c>
      <c r="B227" s="10" t="s">
        <v>1769</v>
      </c>
      <c r="C227" s="10" t="s">
        <v>14</v>
      </c>
      <c r="D227" s="30">
        <f t="shared" si="11"/>
        <v>231.81818181818181</v>
      </c>
      <c r="E227" s="30">
        <f t="shared" si="9"/>
        <v>23.18181818181818</v>
      </c>
      <c r="F227" s="30">
        <v>255</v>
      </c>
      <c r="G227" s="30">
        <v>50</v>
      </c>
      <c r="H227" s="30">
        <f t="shared" si="10"/>
        <v>205</v>
      </c>
      <c r="I227" s="1" t="s">
        <v>1623</v>
      </c>
      <c r="J227" s="30">
        <v>210</v>
      </c>
      <c r="K227" s="30"/>
      <c r="L227" s="1"/>
      <c r="M227" s="30">
        <v>45</v>
      </c>
      <c r="N227" s="1" t="s">
        <v>16</v>
      </c>
      <c r="O227" s="1"/>
    </row>
    <row r="228" spans="1:15" x14ac:dyDescent="0.3">
      <c r="A228" s="41">
        <v>45473</v>
      </c>
      <c r="B228" s="10" t="s">
        <v>1770</v>
      </c>
      <c r="C228" s="10" t="s">
        <v>14</v>
      </c>
      <c r="D228" s="30">
        <f t="shared" si="11"/>
        <v>259.09090909090907</v>
      </c>
      <c r="E228" s="30">
        <f t="shared" si="9"/>
        <v>25.909090909090907</v>
      </c>
      <c r="F228" s="30">
        <v>285</v>
      </c>
      <c r="G228" s="30">
        <v>50</v>
      </c>
      <c r="H228" s="30">
        <f t="shared" si="10"/>
        <v>235</v>
      </c>
      <c r="I228" s="1" t="s">
        <v>1815</v>
      </c>
      <c r="J228" s="30">
        <v>220</v>
      </c>
      <c r="K228" s="30">
        <v>20</v>
      </c>
      <c r="L228" s="1" t="s">
        <v>223</v>
      </c>
      <c r="M228" s="30">
        <v>45</v>
      </c>
      <c r="N228" s="1" t="s">
        <v>16</v>
      </c>
      <c r="O228" s="1"/>
    </row>
    <row r="229" spans="1:15" x14ac:dyDescent="0.3">
      <c r="A229" s="41">
        <v>45473</v>
      </c>
      <c r="B229" s="10" t="s">
        <v>1771</v>
      </c>
      <c r="C229" s="10" t="s">
        <v>14</v>
      </c>
      <c r="D229" s="30">
        <f t="shared" si="11"/>
        <v>218.18181818181816</v>
      </c>
      <c r="E229" s="30">
        <f t="shared" si="9"/>
        <v>21.818181818181817</v>
      </c>
      <c r="F229" s="30">
        <v>240</v>
      </c>
      <c r="G229" s="30">
        <v>50</v>
      </c>
      <c r="H229" s="30">
        <f t="shared" si="10"/>
        <v>190</v>
      </c>
      <c r="I229" s="1" t="s">
        <v>1816</v>
      </c>
      <c r="J229" s="30">
        <v>220</v>
      </c>
      <c r="K229" s="30">
        <v>20</v>
      </c>
      <c r="L229" s="1" t="s">
        <v>223</v>
      </c>
      <c r="M229" s="1"/>
      <c r="N229" s="1"/>
      <c r="O229" s="1"/>
    </row>
    <row r="230" spans="1:15" x14ac:dyDescent="0.3">
      <c r="A230" s="104">
        <v>45473</v>
      </c>
      <c r="B230" s="105" t="s">
        <v>1821</v>
      </c>
      <c r="C230" s="105" t="s">
        <v>2095</v>
      </c>
      <c r="D230" s="74">
        <v>1904.77</v>
      </c>
      <c r="E230" s="74">
        <f>D230*21/100</f>
        <v>400.00169999999997</v>
      </c>
      <c r="F230" s="74">
        <f>D230+E230</f>
        <v>2304.7716999999998</v>
      </c>
      <c r="G230" s="74"/>
      <c r="H230" s="74">
        <v>2304.77</v>
      </c>
      <c r="I230" s="106" t="s">
        <v>2096</v>
      </c>
      <c r="J230" s="107"/>
      <c r="K230" s="107"/>
      <c r="L230" s="101"/>
    </row>
    <row r="231" spans="1:15" x14ac:dyDescent="0.3">
      <c r="A231" s="116" t="s">
        <v>2</v>
      </c>
      <c r="B231" s="116"/>
      <c r="C231" s="116"/>
      <c r="D231" s="96">
        <f>SUM(D3:D229)</f>
        <v>46200.909090909103</v>
      </c>
      <c r="E231" s="30">
        <f>SUM(E3:E230)</f>
        <v>5020.092609090907</v>
      </c>
      <c r="F231" s="30">
        <f>SUM(F3:F229)</f>
        <v>50821</v>
      </c>
      <c r="G231" s="30">
        <f>SUM(G3:G229)</f>
        <v>9520</v>
      </c>
      <c r="H231" s="30">
        <f>SUM(H3:H229)</f>
        <v>41301</v>
      </c>
      <c r="I231" s="106" t="s">
        <v>2097</v>
      </c>
      <c r="J231" t="s">
        <v>2098</v>
      </c>
    </row>
    <row r="232" spans="1:15" x14ac:dyDescent="0.3">
      <c r="D232" t="s">
        <v>1817</v>
      </c>
      <c r="E232" t="s">
        <v>267</v>
      </c>
      <c r="F232" t="s">
        <v>2</v>
      </c>
      <c r="G232" t="s">
        <v>1819</v>
      </c>
      <c r="H232" t="s">
        <v>13</v>
      </c>
    </row>
  </sheetData>
  <mergeCells count="15">
    <mergeCell ref="N1:N2"/>
    <mergeCell ref="O1:O2"/>
    <mergeCell ref="G1:H1"/>
    <mergeCell ref="I1:I2"/>
    <mergeCell ref="J1:J2"/>
    <mergeCell ref="K1:K2"/>
    <mergeCell ref="L1:L2"/>
    <mergeCell ref="M1:M2"/>
    <mergeCell ref="A231:C231"/>
    <mergeCell ref="F1:F2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1AD0-D521-4784-8A54-710B62C9FA02}">
  <dimension ref="A1:O146"/>
  <sheetViews>
    <sheetView tabSelected="1" topLeftCell="A118" workbookViewId="0">
      <selection activeCell="F148" sqref="F148"/>
    </sheetView>
  </sheetViews>
  <sheetFormatPr baseColWidth="10" defaultRowHeight="14.4" x14ac:dyDescent="0.3"/>
  <cols>
    <col min="1" max="1" width="13.88671875" customWidth="1"/>
    <col min="2" max="2" width="21.88671875" customWidth="1"/>
    <col min="3" max="3" width="44.6640625" customWidth="1"/>
    <col min="4" max="4" width="14.6640625" customWidth="1"/>
    <col min="6" max="6" width="16.33203125" customWidth="1"/>
    <col min="8" max="8" width="17.88671875" customWidth="1"/>
    <col min="9" max="9" width="18.44140625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8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4"/>
      <c r="N2" s="117"/>
      <c r="O2" s="114"/>
    </row>
    <row r="3" spans="1:15" x14ac:dyDescent="0.3">
      <c r="A3" s="41">
        <v>45476</v>
      </c>
      <c r="B3" s="10" t="s">
        <v>1822</v>
      </c>
      <c r="C3" s="10" t="s">
        <v>14</v>
      </c>
      <c r="D3" s="30">
        <f>F3/1.1</f>
        <v>163.63636363636363</v>
      </c>
      <c r="E3" s="30">
        <f t="shared" ref="E3:E66" si="0">D3*10/100</f>
        <v>16.363636363636363</v>
      </c>
      <c r="F3" s="30">
        <v>180</v>
      </c>
      <c r="G3" s="30"/>
      <c r="H3" s="13">
        <f t="shared" ref="H3:H66" si="1">F3-G3</f>
        <v>180</v>
      </c>
      <c r="I3" s="1" t="s">
        <v>402</v>
      </c>
      <c r="J3" s="30">
        <v>180</v>
      </c>
      <c r="K3" s="30"/>
      <c r="L3" s="1"/>
      <c r="M3" s="1"/>
      <c r="N3" s="1"/>
      <c r="O3" s="1"/>
    </row>
    <row r="4" spans="1:15" x14ac:dyDescent="0.3">
      <c r="A4" s="41">
        <v>45476</v>
      </c>
      <c r="B4" s="10" t="s">
        <v>1823</v>
      </c>
      <c r="C4" s="10" t="s">
        <v>14</v>
      </c>
      <c r="D4" s="30">
        <f t="shared" ref="D4:D67" si="2">F4/1.1</f>
        <v>263.63636363636363</v>
      </c>
      <c r="E4" s="30">
        <f t="shared" si="0"/>
        <v>26.36363636363636</v>
      </c>
      <c r="F4" s="30">
        <v>290</v>
      </c>
      <c r="G4" s="30">
        <v>50</v>
      </c>
      <c r="H4" s="13">
        <f t="shared" si="1"/>
        <v>240</v>
      </c>
      <c r="I4" s="1" t="s">
        <v>2047</v>
      </c>
      <c r="J4" s="30">
        <v>270</v>
      </c>
      <c r="K4" s="30">
        <v>20</v>
      </c>
      <c r="L4" s="1" t="s">
        <v>223</v>
      </c>
      <c r="M4" s="30"/>
      <c r="N4" s="1"/>
      <c r="O4" s="1"/>
    </row>
    <row r="5" spans="1:15" x14ac:dyDescent="0.3">
      <c r="A5" s="41">
        <v>45476</v>
      </c>
      <c r="B5" s="10" t="s">
        <v>1824</v>
      </c>
      <c r="C5" s="10" t="s">
        <v>14</v>
      </c>
      <c r="D5" s="30">
        <f t="shared" si="2"/>
        <v>154.54545454545453</v>
      </c>
      <c r="E5" s="30">
        <f t="shared" si="0"/>
        <v>15.454545454545453</v>
      </c>
      <c r="F5" s="30">
        <v>170</v>
      </c>
      <c r="G5" s="30">
        <v>70</v>
      </c>
      <c r="H5" s="13">
        <f t="shared" si="1"/>
        <v>100</v>
      </c>
      <c r="I5" s="1" t="s">
        <v>2048</v>
      </c>
      <c r="J5" s="30">
        <v>170</v>
      </c>
      <c r="K5" s="30"/>
      <c r="L5" s="1"/>
      <c r="M5" s="30"/>
      <c r="N5" s="1"/>
      <c r="O5" s="1"/>
    </row>
    <row r="6" spans="1:15" x14ac:dyDescent="0.3">
      <c r="A6" s="41">
        <v>45476</v>
      </c>
      <c r="B6" s="10" t="s">
        <v>1825</v>
      </c>
      <c r="C6" s="10" t="s">
        <v>14</v>
      </c>
      <c r="D6" s="30">
        <f t="shared" si="2"/>
        <v>190.90909090909091</v>
      </c>
      <c r="E6" s="30">
        <f t="shared" si="0"/>
        <v>19.09090909090909</v>
      </c>
      <c r="F6" s="30">
        <v>210</v>
      </c>
      <c r="G6" s="30">
        <v>50</v>
      </c>
      <c r="H6" s="13">
        <f t="shared" si="1"/>
        <v>160</v>
      </c>
      <c r="I6" s="1" t="s">
        <v>2049</v>
      </c>
      <c r="J6" s="30">
        <v>170</v>
      </c>
      <c r="K6" s="30">
        <v>40</v>
      </c>
      <c r="L6" s="1" t="s">
        <v>223</v>
      </c>
      <c r="M6" s="30"/>
      <c r="N6" s="1"/>
      <c r="O6" s="1"/>
    </row>
    <row r="7" spans="1:15" x14ac:dyDescent="0.3">
      <c r="A7" s="41">
        <v>45476</v>
      </c>
      <c r="B7" s="10" t="s">
        <v>1826</v>
      </c>
      <c r="C7" s="10" t="s">
        <v>14</v>
      </c>
      <c r="D7" s="30">
        <f t="shared" si="2"/>
        <v>172.72727272727272</v>
      </c>
      <c r="E7" s="30">
        <f t="shared" si="0"/>
        <v>17.272727272727273</v>
      </c>
      <c r="F7" s="30">
        <v>190</v>
      </c>
      <c r="G7" s="30">
        <v>50</v>
      </c>
      <c r="H7" s="13">
        <f t="shared" si="1"/>
        <v>140</v>
      </c>
      <c r="I7" s="1" t="s">
        <v>2050</v>
      </c>
      <c r="J7" s="30">
        <v>170</v>
      </c>
      <c r="K7" s="30">
        <v>20</v>
      </c>
      <c r="L7" s="1" t="s">
        <v>223</v>
      </c>
      <c r="M7" s="30"/>
      <c r="N7" s="1"/>
      <c r="O7" s="1"/>
    </row>
    <row r="8" spans="1:15" x14ac:dyDescent="0.3">
      <c r="A8" s="41">
        <v>45476</v>
      </c>
      <c r="B8" s="10" t="s">
        <v>1827</v>
      </c>
      <c r="C8" s="10" t="s">
        <v>14</v>
      </c>
      <c r="D8" s="30">
        <f t="shared" si="2"/>
        <v>136.36363636363635</v>
      </c>
      <c r="E8" s="30">
        <f t="shared" si="0"/>
        <v>13.636363636363635</v>
      </c>
      <c r="F8" s="30">
        <v>150</v>
      </c>
      <c r="G8" s="30"/>
      <c r="H8" s="13">
        <f t="shared" si="1"/>
        <v>150</v>
      </c>
      <c r="I8" s="1" t="s">
        <v>1028</v>
      </c>
      <c r="J8" s="30">
        <v>150</v>
      </c>
      <c r="K8" s="30"/>
      <c r="L8" s="1"/>
      <c r="M8" s="30"/>
      <c r="N8" s="1"/>
      <c r="O8" s="1"/>
    </row>
    <row r="9" spans="1:15" x14ac:dyDescent="0.3">
      <c r="A9" s="41">
        <v>45477</v>
      </c>
      <c r="B9" s="10" t="s">
        <v>1828</v>
      </c>
      <c r="C9" s="10" t="s">
        <v>14</v>
      </c>
      <c r="D9" s="30">
        <f t="shared" si="2"/>
        <v>199.99999999999997</v>
      </c>
      <c r="E9" s="30">
        <f t="shared" si="0"/>
        <v>19.999999999999996</v>
      </c>
      <c r="F9" s="30">
        <v>220</v>
      </c>
      <c r="G9" s="30">
        <v>50</v>
      </c>
      <c r="H9" s="13">
        <f t="shared" si="1"/>
        <v>170</v>
      </c>
      <c r="I9" s="1" t="s">
        <v>2051</v>
      </c>
      <c r="J9" s="30">
        <v>220</v>
      </c>
      <c r="K9" s="30"/>
      <c r="L9" s="1"/>
      <c r="M9" s="30"/>
      <c r="N9" s="1"/>
      <c r="O9" s="1"/>
    </row>
    <row r="10" spans="1:15" x14ac:dyDescent="0.3">
      <c r="A10" s="41">
        <v>45477</v>
      </c>
      <c r="B10" s="10" t="s">
        <v>1829</v>
      </c>
      <c r="C10" s="10" t="s">
        <v>14</v>
      </c>
      <c r="D10" s="30">
        <f t="shared" si="2"/>
        <v>154.54545454545453</v>
      </c>
      <c r="E10" s="30">
        <f t="shared" si="0"/>
        <v>15.454545454545453</v>
      </c>
      <c r="F10" s="30">
        <v>170</v>
      </c>
      <c r="G10" s="30">
        <v>50</v>
      </c>
      <c r="H10" s="13">
        <f t="shared" si="1"/>
        <v>120</v>
      </c>
      <c r="I10" s="1" t="s">
        <v>2052</v>
      </c>
      <c r="J10" s="30">
        <v>170</v>
      </c>
      <c r="K10" s="30"/>
      <c r="L10" s="1"/>
      <c r="M10" s="30"/>
      <c r="N10" s="1"/>
      <c r="O10" s="1"/>
    </row>
    <row r="11" spans="1:15" x14ac:dyDescent="0.3">
      <c r="A11" s="41">
        <v>45478</v>
      </c>
      <c r="B11" s="10" t="s">
        <v>1830</v>
      </c>
      <c r="C11" s="10" t="s">
        <v>14</v>
      </c>
      <c r="D11" s="30">
        <f t="shared" si="2"/>
        <v>286.36363636363632</v>
      </c>
      <c r="E11" s="30">
        <f t="shared" si="0"/>
        <v>28.63636363636363</v>
      </c>
      <c r="F11" s="30">
        <v>315</v>
      </c>
      <c r="G11" s="30">
        <v>50</v>
      </c>
      <c r="H11" s="13">
        <f t="shared" si="1"/>
        <v>265</v>
      </c>
      <c r="I11" s="1" t="s">
        <v>2053</v>
      </c>
      <c r="J11" s="30">
        <v>270</v>
      </c>
      <c r="K11" s="30"/>
      <c r="L11" s="1"/>
      <c r="M11" s="30">
        <v>45</v>
      </c>
      <c r="N11" s="1" t="s">
        <v>16</v>
      </c>
      <c r="O11" s="1"/>
    </row>
    <row r="12" spans="1:15" x14ac:dyDescent="0.3">
      <c r="A12" s="41">
        <v>45478</v>
      </c>
      <c r="B12" s="10" t="s">
        <v>1831</v>
      </c>
      <c r="C12" s="10" t="s">
        <v>14</v>
      </c>
      <c r="D12" s="30">
        <f t="shared" si="2"/>
        <v>181.81818181818181</v>
      </c>
      <c r="E12" s="30">
        <f t="shared" si="0"/>
        <v>18.18181818181818</v>
      </c>
      <c r="F12" s="30">
        <v>200</v>
      </c>
      <c r="G12" s="30">
        <v>50</v>
      </c>
      <c r="H12" s="13">
        <f t="shared" si="1"/>
        <v>150</v>
      </c>
      <c r="I12" s="1" t="s">
        <v>2054</v>
      </c>
      <c r="J12" s="30">
        <v>220</v>
      </c>
      <c r="K12" s="30">
        <v>30</v>
      </c>
      <c r="L12" s="1" t="s">
        <v>223</v>
      </c>
      <c r="M12" s="30"/>
      <c r="N12" s="1"/>
      <c r="O12" s="1"/>
    </row>
    <row r="13" spans="1:15" x14ac:dyDescent="0.3">
      <c r="A13" s="41">
        <v>45478</v>
      </c>
      <c r="B13" s="10" t="s">
        <v>1832</v>
      </c>
      <c r="C13" s="10" t="s">
        <v>14</v>
      </c>
      <c r="D13" s="30">
        <f t="shared" si="2"/>
        <v>199.99999999999997</v>
      </c>
      <c r="E13" s="30">
        <f t="shared" si="0"/>
        <v>19.999999999999996</v>
      </c>
      <c r="F13" s="30">
        <v>220</v>
      </c>
      <c r="G13" s="30"/>
      <c r="H13" s="13">
        <f t="shared" si="1"/>
        <v>220</v>
      </c>
      <c r="I13" s="1" t="s">
        <v>402</v>
      </c>
      <c r="J13" s="30">
        <v>220</v>
      </c>
      <c r="K13" s="30"/>
      <c r="L13" s="1"/>
      <c r="M13" s="30"/>
      <c r="N13" s="1"/>
      <c r="O13" s="1"/>
    </row>
    <row r="14" spans="1:15" x14ac:dyDescent="0.3">
      <c r="A14" s="41">
        <v>45478</v>
      </c>
      <c r="B14" s="10" t="s">
        <v>1833</v>
      </c>
      <c r="C14" s="10" t="s">
        <v>14</v>
      </c>
      <c r="D14" s="30">
        <f t="shared" si="2"/>
        <v>199.99999999999997</v>
      </c>
      <c r="E14" s="30">
        <f t="shared" si="0"/>
        <v>19.999999999999996</v>
      </c>
      <c r="F14" s="30">
        <v>220</v>
      </c>
      <c r="G14" s="30">
        <v>50</v>
      </c>
      <c r="H14" s="13">
        <f t="shared" si="1"/>
        <v>170</v>
      </c>
      <c r="I14" s="1" t="s">
        <v>2055</v>
      </c>
      <c r="J14" s="30">
        <v>220</v>
      </c>
      <c r="K14" s="30"/>
      <c r="L14" s="1"/>
      <c r="M14" s="30"/>
      <c r="N14" s="1"/>
      <c r="O14" s="1"/>
    </row>
    <row r="15" spans="1:15" x14ac:dyDescent="0.3">
      <c r="A15" s="41">
        <v>45478</v>
      </c>
      <c r="B15" s="10" t="s">
        <v>1834</v>
      </c>
      <c r="C15" s="10" t="s">
        <v>14</v>
      </c>
      <c r="D15" s="30">
        <f t="shared" si="2"/>
        <v>154.54545454545453</v>
      </c>
      <c r="E15" s="30">
        <f t="shared" si="0"/>
        <v>15.454545454545453</v>
      </c>
      <c r="F15" s="30">
        <v>170</v>
      </c>
      <c r="G15" s="30">
        <v>50</v>
      </c>
      <c r="H15" s="13">
        <f t="shared" si="1"/>
        <v>120</v>
      </c>
      <c r="I15" s="1" t="s">
        <v>2056</v>
      </c>
      <c r="J15" s="30">
        <v>170</v>
      </c>
      <c r="K15" s="30"/>
      <c r="L15" s="1"/>
      <c r="M15" s="30"/>
      <c r="N15" s="1"/>
      <c r="O15" s="1"/>
    </row>
    <row r="16" spans="1:15" x14ac:dyDescent="0.3">
      <c r="A16" s="41">
        <v>45478</v>
      </c>
      <c r="B16" s="10" t="s">
        <v>1835</v>
      </c>
      <c r="C16" s="10" t="s">
        <v>14</v>
      </c>
      <c r="D16" s="30">
        <f t="shared" si="2"/>
        <v>136.36363636363635</v>
      </c>
      <c r="E16" s="30">
        <f t="shared" si="0"/>
        <v>13.636363636363635</v>
      </c>
      <c r="F16" s="30">
        <v>150</v>
      </c>
      <c r="G16" s="30"/>
      <c r="H16" s="13">
        <f t="shared" si="1"/>
        <v>150</v>
      </c>
      <c r="I16" s="1" t="s">
        <v>402</v>
      </c>
      <c r="J16" s="30">
        <v>150</v>
      </c>
      <c r="K16" s="30"/>
      <c r="L16" s="1"/>
      <c r="M16" s="30"/>
      <c r="N16" s="1"/>
      <c r="O16" s="1"/>
    </row>
    <row r="17" spans="1:15" x14ac:dyDescent="0.3">
      <c r="A17" s="41">
        <v>45478</v>
      </c>
      <c r="B17" s="10" t="s">
        <v>1836</v>
      </c>
      <c r="C17" s="10" t="s">
        <v>14</v>
      </c>
      <c r="D17" s="30">
        <f t="shared" si="2"/>
        <v>222.72727272727272</v>
      </c>
      <c r="E17" s="30">
        <f t="shared" si="0"/>
        <v>22.27272727272727</v>
      </c>
      <c r="F17" s="30">
        <v>245</v>
      </c>
      <c r="G17" s="30">
        <v>50</v>
      </c>
      <c r="H17" s="13">
        <f t="shared" si="1"/>
        <v>195</v>
      </c>
      <c r="I17" s="1" t="s">
        <v>2057</v>
      </c>
      <c r="J17" s="30">
        <v>170</v>
      </c>
      <c r="K17" s="30">
        <v>30</v>
      </c>
      <c r="L17" s="1" t="s">
        <v>223</v>
      </c>
      <c r="M17" s="30">
        <v>45</v>
      </c>
      <c r="N17" s="1" t="s">
        <v>16</v>
      </c>
      <c r="O17" s="1"/>
    </row>
    <row r="18" spans="1:15" x14ac:dyDescent="0.3">
      <c r="A18" s="41">
        <v>45479</v>
      </c>
      <c r="B18" s="10" t="s">
        <v>1837</v>
      </c>
      <c r="C18" s="10" t="s">
        <v>14</v>
      </c>
      <c r="D18" s="30">
        <f t="shared" si="2"/>
        <v>218.18181818181816</v>
      </c>
      <c r="E18" s="30">
        <f t="shared" si="0"/>
        <v>21.818181818181817</v>
      </c>
      <c r="F18" s="30">
        <v>240</v>
      </c>
      <c r="G18" s="30">
        <v>50</v>
      </c>
      <c r="H18" s="13">
        <f t="shared" si="1"/>
        <v>190</v>
      </c>
      <c r="I18" s="1" t="s">
        <v>2058</v>
      </c>
      <c r="J18" s="30">
        <v>170</v>
      </c>
      <c r="K18" s="30">
        <v>70</v>
      </c>
      <c r="L18" s="1" t="s">
        <v>223</v>
      </c>
      <c r="M18" s="30"/>
      <c r="N18" s="1"/>
      <c r="O18" s="1"/>
    </row>
    <row r="19" spans="1:15" x14ac:dyDescent="0.3">
      <c r="A19" s="41">
        <v>45479</v>
      </c>
      <c r="B19" s="10" t="s">
        <v>1838</v>
      </c>
      <c r="C19" s="10" t="s">
        <v>14</v>
      </c>
      <c r="D19" s="30">
        <f t="shared" si="2"/>
        <v>272.72727272727269</v>
      </c>
      <c r="E19" s="30">
        <f t="shared" si="0"/>
        <v>27.27272727272727</v>
      </c>
      <c r="F19" s="30">
        <v>300</v>
      </c>
      <c r="G19" s="30">
        <v>50</v>
      </c>
      <c r="H19" s="13">
        <f t="shared" si="1"/>
        <v>250</v>
      </c>
      <c r="I19" s="1" t="s">
        <v>1782</v>
      </c>
      <c r="J19" s="30">
        <v>270</v>
      </c>
      <c r="K19" s="30">
        <v>30</v>
      </c>
      <c r="L19" s="1" t="s">
        <v>223</v>
      </c>
      <c r="M19" s="30"/>
      <c r="N19" s="1"/>
      <c r="O19" s="1"/>
    </row>
    <row r="20" spans="1:15" x14ac:dyDescent="0.3">
      <c r="A20" s="41">
        <v>45479</v>
      </c>
      <c r="B20" s="10" t="s">
        <v>1839</v>
      </c>
      <c r="C20" s="10" t="s">
        <v>14</v>
      </c>
      <c r="D20" s="30">
        <f t="shared" si="2"/>
        <v>245.45454545454544</v>
      </c>
      <c r="E20" s="30">
        <f t="shared" si="0"/>
        <v>24.545454545454547</v>
      </c>
      <c r="F20" s="30">
        <v>270</v>
      </c>
      <c r="G20" s="30">
        <v>50</v>
      </c>
      <c r="H20" s="13">
        <f t="shared" si="1"/>
        <v>220</v>
      </c>
      <c r="I20" s="1" t="s">
        <v>2059</v>
      </c>
      <c r="J20" s="30">
        <v>270</v>
      </c>
      <c r="K20" s="30"/>
      <c r="L20" s="1"/>
      <c r="M20" s="30"/>
      <c r="N20" s="1"/>
      <c r="O20" s="1"/>
    </row>
    <row r="21" spans="1:15" x14ac:dyDescent="0.3">
      <c r="A21" s="41">
        <v>45479</v>
      </c>
      <c r="B21" s="10" t="s">
        <v>1840</v>
      </c>
      <c r="C21" s="10" t="s">
        <v>14</v>
      </c>
      <c r="D21" s="30">
        <f t="shared" si="2"/>
        <v>199.99999999999997</v>
      </c>
      <c r="E21" s="30">
        <f t="shared" si="0"/>
        <v>19.999999999999996</v>
      </c>
      <c r="F21" s="30">
        <v>220</v>
      </c>
      <c r="G21" s="30">
        <v>50</v>
      </c>
      <c r="H21" s="13">
        <f t="shared" si="1"/>
        <v>170</v>
      </c>
      <c r="I21" s="1" t="s">
        <v>2060</v>
      </c>
      <c r="J21" s="30">
        <v>220</v>
      </c>
      <c r="K21" s="30"/>
      <c r="L21" s="1"/>
      <c r="M21" s="30"/>
      <c r="N21" s="1"/>
      <c r="O21" s="1"/>
    </row>
    <row r="22" spans="1:15" x14ac:dyDescent="0.3">
      <c r="A22" s="41">
        <v>45479</v>
      </c>
      <c r="B22" s="10" t="s">
        <v>1841</v>
      </c>
      <c r="C22" s="10" t="s">
        <v>14</v>
      </c>
      <c r="D22" s="30">
        <f t="shared" si="2"/>
        <v>436.36363636363632</v>
      </c>
      <c r="E22" s="30">
        <f t="shared" si="0"/>
        <v>43.636363636363633</v>
      </c>
      <c r="F22" s="30">
        <v>480</v>
      </c>
      <c r="G22" s="30">
        <v>100</v>
      </c>
      <c r="H22" s="13">
        <f t="shared" si="1"/>
        <v>380</v>
      </c>
      <c r="I22" s="103" t="s">
        <v>2061</v>
      </c>
      <c r="J22" s="30">
        <v>480</v>
      </c>
      <c r="K22" s="30"/>
      <c r="L22" s="1"/>
      <c r="M22" s="30"/>
      <c r="N22" s="1"/>
      <c r="O22" s="1"/>
    </row>
    <row r="23" spans="1:15" x14ac:dyDescent="0.3">
      <c r="A23" s="41">
        <v>45479</v>
      </c>
      <c r="B23" s="10" t="s">
        <v>1842</v>
      </c>
      <c r="C23" s="10" t="s">
        <v>14</v>
      </c>
      <c r="D23" s="30">
        <f t="shared" si="2"/>
        <v>154.54545454545453</v>
      </c>
      <c r="E23" s="30">
        <f t="shared" si="0"/>
        <v>15.454545454545453</v>
      </c>
      <c r="F23" s="30">
        <v>170</v>
      </c>
      <c r="G23" s="30">
        <v>50</v>
      </c>
      <c r="H23" s="13">
        <f t="shared" si="1"/>
        <v>120</v>
      </c>
      <c r="I23" s="1" t="s">
        <v>2062</v>
      </c>
      <c r="J23" s="30">
        <v>170</v>
      </c>
      <c r="K23" s="30"/>
      <c r="L23" s="1"/>
      <c r="M23" s="30"/>
      <c r="N23" s="1"/>
      <c r="O23" s="1"/>
    </row>
    <row r="24" spans="1:15" x14ac:dyDescent="0.3">
      <c r="A24" s="41">
        <v>45479</v>
      </c>
      <c r="B24" s="10" t="s">
        <v>1843</v>
      </c>
      <c r="C24" s="10" t="s">
        <v>14</v>
      </c>
      <c r="D24" s="30">
        <f t="shared" si="2"/>
        <v>154.54545454545453</v>
      </c>
      <c r="E24" s="30">
        <f t="shared" si="0"/>
        <v>15.454545454545453</v>
      </c>
      <c r="F24" s="30">
        <v>170</v>
      </c>
      <c r="G24" s="30">
        <v>50</v>
      </c>
      <c r="H24" s="13">
        <f t="shared" si="1"/>
        <v>120</v>
      </c>
      <c r="I24" s="1" t="s">
        <v>2063</v>
      </c>
      <c r="J24" s="30">
        <v>170</v>
      </c>
      <c r="K24" s="30"/>
      <c r="L24" s="1"/>
      <c r="M24" s="30"/>
      <c r="N24" s="1"/>
      <c r="O24" s="1"/>
    </row>
    <row r="25" spans="1:15" x14ac:dyDescent="0.3">
      <c r="A25" s="41">
        <v>45479</v>
      </c>
      <c r="B25" s="10" t="s">
        <v>1844</v>
      </c>
      <c r="C25" s="10" t="s">
        <v>14</v>
      </c>
      <c r="D25" s="30">
        <f t="shared" si="2"/>
        <v>572.72727272727263</v>
      </c>
      <c r="E25" s="30">
        <f t="shared" si="0"/>
        <v>57.272727272727259</v>
      </c>
      <c r="F25" s="30">
        <v>630</v>
      </c>
      <c r="G25" s="30">
        <v>50</v>
      </c>
      <c r="H25" s="13">
        <f t="shared" si="1"/>
        <v>580</v>
      </c>
      <c r="I25" s="1" t="s">
        <v>2064</v>
      </c>
      <c r="J25" s="30">
        <v>590</v>
      </c>
      <c r="K25" s="30">
        <v>40</v>
      </c>
      <c r="L25" s="1" t="s">
        <v>223</v>
      </c>
      <c r="M25" s="30"/>
      <c r="N25" s="1"/>
      <c r="O25" s="1"/>
    </row>
    <row r="26" spans="1:15" x14ac:dyDescent="0.3">
      <c r="A26" s="41">
        <v>45479</v>
      </c>
      <c r="B26" s="10" t="s">
        <v>1845</v>
      </c>
      <c r="C26" s="10" t="s">
        <v>14</v>
      </c>
      <c r="D26" s="30">
        <f t="shared" si="2"/>
        <v>199.99999999999997</v>
      </c>
      <c r="E26" s="30">
        <f t="shared" si="0"/>
        <v>19.999999999999996</v>
      </c>
      <c r="F26" s="30">
        <v>220</v>
      </c>
      <c r="G26" s="30">
        <v>50</v>
      </c>
      <c r="H26" s="13">
        <f t="shared" si="1"/>
        <v>170</v>
      </c>
      <c r="I26" s="1" t="s">
        <v>2065</v>
      </c>
      <c r="J26" s="30">
        <v>220</v>
      </c>
      <c r="K26" s="30"/>
      <c r="L26" s="1"/>
      <c r="M26" s="30"/>
      <c r="N26" s="1"/>
      <c r="O26" s="1"/>
    </row>
    <row r="27" spans="1:15" x14ac:dyDescent="0.3">
      <c r="A27" s="41">
        <v>45479</v>
      </c>
      <c r="B27" s="10" t="s">
        <v>1846</v>
      </c>
      <c r="C27" s="10" t="s">
        <v>14</v>
      </c>
      <c r="D27" s="30">
        <f t="shared" si="2"/>
        <v>272.72727272727269</v>
      </c>
      <c r="E27" s="30">
        <f t="shared" si="0"/>
        <v>27.27272727272727</v>
      </c>
      <c r="F27" s="30">
        <v>300</v>
      </c>
      <c r="G27" s="30">
        <v>50</v>
      </c>
      <c r="H27" s="13">
        <f t="shared" si="1"/>
        <v>250</v>
      </c>
      <c r="I27" s="1" t="s">
        <v>2066</v>
      </c>
      <c r="J27" s="30">
        <v>270</v>
      </c>
      <c r="K27" s="30">
        <v>30</v>
      </c>
      <c r="L27" s="1" t="s">
        <v>223</v>
      </c>
      <c r="M27" s="30"/>
      <c r="N27" s="1"/>
      <c r="O27" s="1"/>
    </row>
    <row r="28" spans="1:15" x14ac:dyDescent="0.3">
      <c r="A28" s="41">
        <v>45480</v>
      </c>
      <c r="B28" s="10" t="s">
        <v>1847</v>
      </c>
      <c r="C28" s="10" t="s">
        <v>14</v>
      </c>
      <c r="D28" s="30">
        <f t="shared" si="2"/>
        <v>199.99999999999997</v>
      </c>
      <c r="E28" s="30">
        <f t="shared" si="0"/>
        <v>19.999999999999996</v>
      </c>
      <c r="F28" s="30">
        <v>220</v>
      </c>
      <c r="G28" s="30">
        <v>50</v>
      </c>
      <c r="H28" s="13">
        <f t="shared" si="1"/>
        <v>170</v>
      </c>
      <c r="I28" s="1" t="s">
        <v>2067</v>
      </c>
      <c r="J28" s="30">
        <v>220</v>
      </c>
      <c r="K28" s="30"/>
      <c r="L28" s="1"/>
      <c r="M28" s="30"/>
      <c r="N28" s="1"/>
      <c r="O28" s="1"/>
    </row>
    <row r="29" spans="1:15" x14ac:dyDescent="0.3">
      <c r="A29" s="41">
        <v>45480</v>
      </c>
      <c r="B29" s="10" t="s">
        <v>1848</v>
      </c>
      <c r="C29" s="10" t="s">
        <v>14</v>
      </c>
      <c r="D29" s="30">
        <f t="shared" si="2"/>
        <v>154.54545454545453</v>
      </c>
      <c r="E29" s="30">
        <f t="shared" si="0"/>
        <v>15.454545454545453</v>
      </c>
      <c r="F29" s="30">
        <v>170</v>
      </c>
      <c r="G29" s="30">
        <v>50</v>
      </c>
      <c r="H29" s="13">
        <f t="shared" si="1"/>
        <v>120</v>
      </c>
      <c r="I29" s="1" t="s">
        <v>2068</v>
      </c>
      <c r="J29" s="30">
        <v>170</v>
      </c>
      <c r="K29" s="30"/>
      <c r="L29" s="1"/>
      <c r="M29" s="30"/>
      <c r="N29" s="1"/>
      <c r="O29" s="1"/>
    </row>
    <row r="30" spans="1:15" x14ac:dyDescent="0.3">
      <c r="A30" s="41">
        <v>45481</v>
      </c>
      <c r="B30" s="10" t="s">
        <v>1849</v>
      </c>
      <c r="C30" s="10" t="s">
        <v>14</v>
      </c>
      <c r="D30" s="30">
        <f t="shared" si="2"/>
        <v>181.81818181818181</v>
      </c>
      <c r="E30" s="30">
        <f t="shared" si="0"/>
        <v>18.18181818181818</v>
      </c>
      <c r="F30" s="30">
        <v>200</v>
      </c>
      <c r="G30" s="30">
        <v>50</v>
      </c>
      <c r="H30" s="13">
        <f t="shared" si="1"/>
        <v>150</v>
      </c>
      <c r="I30" s="1" t="s">
        <v>2069</v>
      </c>
      <c r="J30" s="30">
        <v>170</v>
      </c>
      <c r="K30" s="30">
        <v>30</v>
      </c>
      <c r="L30" s="1" t="s">
        <v>223</v>
      </c>
      <c r="M30" s="30"/>
      <c r="N30" s="1"/>
      <c r="O30" s="1"/>
    </row>
    <row r="31" spans="1:15" x14ac:dyDescent="0.3">
      <c r="A31" s="41">
        <v>45481</v>
      </c>
      <c r="B31" s="10" t="s">
        <v>1850</v>
      </c>
      <c r="C31" s="10" t="s">
        <v>14</v>
      </c>
      <c r="D31" s="30">
        <f t="shared" si="2"/>
        <v>199.99999999999997</v>
      </c>
      <c r="E31" s="30">
        <f t="shared" si="0"/>
        <v>19.999999999999996</v>
      </c>
      <c r="F31" s="30">
        <v>220</v>
      </c>
      <c r="G31" s="30">
        <v>50</v>
      </c>
      <c r="H31" s="13">
        <f t="shared" si="1"/>
        <v>170</v>
      </c>
      <c r="I31" s="1" t="s">
        <v>2070</v>
      </c>
      <c r="J31" s="30">
        <v>220</v>
      </c>
      <c r="K31" s="30"/>
      <c r="L31" s="1"/>
      <c r="M31" s="30"/>
      <c r="N31" s="1"/>
      <c r="O31" s="1"/>
    </row>
    <row r="32" spans="1:15" x14ac:dyDescent="0.3">
      <c r="A32" s="41">
        <v>45482</v>
      </c>
      <c r="B32" s="10" t="s">
        <v>1851</v>
      </c>
      <c r="C32" s="10" t="s">
        <v>14</v>
      </c>
      <c r="D32" s="30">
        <f t="shared" si="2"/>
        <v>154.54545454545453</v>
      </c>
      <c r="E32" s="30">
        <f t="shared" si="0"/>
        <v>15.454545454545453</v>
      </c>
      <c r="F32" s="30">
        <v>170</v>
      </c>
      <c r="G32" s="30">
        <v>50</v>
      </c>
      <c r="H32" s="13">
        <f t="shared" si="1"/>
        <v>120</v>
      </c>
      <c r="I32" s="1" t="s">
        <v>2071</v>
      </c>
      <c r="J32" s="30">
        <v>170</v>
      </c>
      <c r="K32" s="30"/>
      <c r="L32" s="1"/>
      <c r="M32" s="30"/>
      <c r="N32" s="1"/>
      <c r="O32" s="1"/>
    </row>
    <row r="33" spans="1:15" x14ac:dyDescent="0.3">
      <c r="A33" s="41">
        <v>45483</v>
      </c>
      <c r="B33" s="10" t="s">
        <v>1852</v>
      </c>
      <c r="C33" s="10" t="s">
        <v>14</v>
      </c>
      <c r="D33" s="30">
        <f t="shared" si="2"/>
        <v>172.72727272727272</v>
      </c>
      <c r="E33" s="30">
        <f t="shared" si="0"/>
        <v>17.272727272727273</v>
      </c>
      <c r="F33" s="30">
        <v>190</v>
      </c>
      <c r="G33" s="30">
        <v>50</v>
      </c>
      <c r="H33" s="13">
        <f t="shared" si="1"/>
        <v>140</v>
      </c>
      <c r="I33" s="1" t="s">
        <v>2072</v>
      </c>
      <c r="J33" s="30">
        <v>170</v>
      </c>
      <c r="K33" s="30">
        <v>20</v>
      </c>
      <c r="L33" s="1" t="s">
        <v>223</v>
      </c>
      <c r="M33" s="30"/>
      <c r="N33" s="1"/>
      <c r="O33" s="1"/>
    </row>
    <row r="34" spans="1:15" x14ac:dyDescent="0.3">
      <c r="A34" s="41">
        <v>45483</v>
      </c>
      <c r="B34" s="10" t="s">
        <v>1853</v>
      </c>
      <c r="C34" s="10" t="s">
        <v>14</v>
      </c>
      <c r="D34" s="30">
        <f t="shared" si="2"/>
        <v>254.54545454545453</v>
      </c>
      <c r="E34" s="30">
        <f t="shared" si="0"/>
        <v>25.454545454545453</v>
      </c>
      <c r="F34" s="30">
        <v>280</v>
      </c>
      <c r="G34" s="30">
        <v>50</v>
      </c>
      <c r="H34" s="13">
        <f t="shared" si="1"/>
        <v>230</v>
      </c>
      <c r="I34" s="1" t="s">
        <v>2073</v>
      </c>
      <c r="J34" s="30">
        <v>280</v>
      </c>
      <c r="K34" s="30"/>
      <c r="L34" s="1"/>
      <c r="M34" s="30"/>
      <c r="N34" s="1"/>
      <c r="O34" s="1"/>
    </row>
    <row r="35" spans="1:15" x14ac:dyDescent="0.3">
      <c r="A35" s="41">
        <v>45484</v>
      </c>
      <c r="B35" s="10" t="s">
        <v>1854</v>
      </c>
      <c r="C35" s="10" t="s">
        <v>14</v>
      </c>
      <c r="D35" s="30">
        <f t="shared" si="2"/>
        <v>172.72727272727272</v>
      </c>
      <c r="E35" s="30">
        <f t="shared" si="0"/>
        <v>17.272727272727273</v>
      </c>
      <c r="F35" s="30">
        <v>190</v>
      </c>
      <c r="G35" s="30"/>
      <c r="H35" s="13">
        <f t="shared" si="1"/>
        <v>190</v>
      </c>
      <c r="I35" s="1" t="s">
        <v>1028</v>
      </c>
      <c r="J35" s="30">
        <v>190</v>
      </c>
      <c r="K35" s="30"/>
      <c r="L35" s="1"/>
      <c r="M35" s="30"/>
      <c r="N35" s="1"/>
      <c r="O35" s="1"/>
    </row>
    <row r="36" spans="1:15" x14ac:dyDescent="0.3">
      <c r="A36" s="41">
        <v>45484</v>
      </c>
      <c r="B36" s="10" t="s">
        <v>1855</v>
      </c>
      <c r="C36" s="10" t="s">
        <v>14</v>
      </c>
      <c r="D36" s="30">
        <f t="shared" si="2"/>
        <v>181.81818181818181</v>
      </c>
      <c r="E36" s="30">
        <f t="shared" si="0"/>
        <v>18.18181818181818</v>
      </c>
      <c r="F36" s="30">
        <v>200</v>
      </c>
      <c r="G36" s="30"/>
      <c r="H36" s="13">
        <f t="shared" si="1"/>
        <v>200</v>
      </c>
      <c r="I36" s="1" t="s">
        <v>402</v>
      </c>
      <c r="J36" s="30">
        <v>200</v>
      </c>
      <c r="K36" s="30"/>
      <c r="L36" s="1"/>
      <c r="M36" s="30"/>
      <c r="N36" s="1"/>
      <c r="O36" s="1"/>
    </row>
    <row r="37" spans="1:15" x14ac:dyDescent="0.3">
      <c r="A37" s="41">
        <v>45484</v>
      </c>
      <c r="B37" s="10" t="s">
        <v>1856</v>
      </c>
      <c r="C37" s="10" t="s">
        <v>14</v>
      </c>
      <c r="D37" s="30">
        <f t="shared" si="2"/>
        <v>163.63636363636363</v>
      </c>
      <c r="E37" s="30">
        <f t="shared" si="0"/>
        <v>16.363636363636363</v>
      </c>
      <c r="F37" s="30">
        <v>180</v>
      </c>
      <c r="G37" s="30"/>
      <c r="H37" s="13">
        <f t="shared" si="1"/>
        <v>180</v>
      </c>
      <c r="I37" s="1" t="s">
        <v>402</v>
      </c>
      <c r="J37" s="30">
        <v>180</v>
      </c>
      <c r="K37" s="30"/>
      <c r="L37" s="1"/>
      <c r="M37" s="30"/>
      <c r="N37" s="1"/>
      <c r="O37" s="1"/>
    </row>
    <row r="38" spans="1:15" x14ac:dyDescent="0.3">
      <c r="A38" s="41">
        <v>45484</v>
      </c>
      <c r="B38" s="10" t="s">
        <v>1857</v>
      </c>
      <c r="C38" s="10" t="s">
        <v>14</v>
      </c>
      <c r="D38" s="30">
        <f t="shared" si="2"/>
        <v>245.45454545454544</v>
      </c>
      <c r="E38" s="30">
        <f t="shared" si="0"/>
        <v>24.545454545454547</v>
      </c>
      <c r="F38" s="30">
        <v>270</v>
      </c>
      <c r="G38" s="30">
        <v>50</v>
      </c>
      <c r="H38" s="13">
        <f t="shared" si="1"/>
        <v>220</v>
      </c>
      <c r="I38" s="1" t="s">
        <v>1706</v>
      </c>
      <c r="J38" s="30">
        <v>270</v>
      </c>
      <c r="K38" s="30"/>
      <c r="L38" s="1"/>
      <c r="M38" s="30"/>
      <c r="N38" s="1"/>
      <c r="O38" s="1"/>
    </row>
    <row r="39" spans="1:15" x14ac:dyDescent="0.3">
      <c r="A39" s="41">
        <v>45485</v>
      </c>
      <c r="B39" s="10" t="s">
        <v>1858</v>
      </c>
      <c r="C39" s="10" t="s">
        <v>14</v>
      </c>
      <c r="D39" s="30">
        <f t="shared" si="2"/>
        <v>172.72727272727272</v>
      </c>
      <c r="E39" s="30">
        <f t="shared" si="0"/>
        <v>17.272727272727273</v>
      </c>
      <c r="F39" s="30">
        <v>190</v>
      </c>
      <c r="G39" s="30">
        <v>50</v>
      </c>
      <c r="H39" s="13">
        <f t="shared" si="1"/>
        <v>140</v>
      </c>
      <c r="I39" s="1" t="s">
        <v>2074</v>
      </c>
      <c r="J39" s="30">
        <v>170</v>
      </c>
      <c r="K39" s="30">
        <v>20</v>
      </c>
      <c r="L39" s="1" t="s">
        <v>223</v>
      </c>
      <c r="M39" s="30"/>
      <c r="N39" s="1"/>
      <c r="O39" s="1"/>
    </row>
    <row r="40" spans="1:15" x14ac:dyDescent="0.3">
      <c r="A40" s="41">
        <v>45485</v>
      </c>
      <c r="B40" s="10" t="s">
        <v>1859</v>
      </c>
      <c r="C40" s="10" t="s">
        <v>14</v>
      </c>
      <c r="D40" s="30">
        <f t="shared" si="2"/>
        <v>181.81818181818181</v>
      </c>
      <c r="E40" s="30">
        <f t="shared" si="0"/>
        <v>18.18181818181818</v>
      </c>
      <c r="F40" s="30">
        <v>200</v>
      </c>
      <c r="G40" s="30">
        <v>50</v>
      </c>
      <c r="H40" s="13">
        <f t="shared" si="1"/>
        <v>150</v>
      </c>
      <c r="I40" s="1" t="s">
        <v>2075</v>
      </c>
      <c r="J40" s="30">
        <v>170</v>
      </c>
      <c r="K40" s="30">
        <v>300</v>
      </c>
      <c r="L40" s="1"/>
      <c r="M40" s="30"/>
      <c r="N40" s="1"/>
      <c r="O40" s="1"/>
    </row>
    <row r="41" spans="1:15" x14ac:dyDescent="0.3">
      <c r="A41" s="41">
        <v>45485</v>
      </c>
      <c r="B41" s="10" t="s">
        <v>1860</v>
      </c>
      <c r="C41" s="10" t="s">
        <v>14</v>
      </c>
      <c r="D41" s="30">
        <f t="shared" si="2"/>
        <v>154.54545454545453</v>
      </c>
      <c r="E41" s="30">
        <f t="shared" si="0"/>
        <v>15.454545454545453</v>
      </c>
      <c r="F41" s="30">
        <v>170</v>
      </c>
      <c r="G41" s="30">
        <v>50</v>
      </c>
      <c r="H41" s="13">
        <f t="shared" si="1"/>
        <v>120</v>
      </c>
      <c r="I41" s="1" t="s">
        <v>2076</v>
      </c>
      <c r="J41" s="30">
        <v>170</v>
      </c>
      <c r="K41" s="30"/>
      <c r="L41" s="1"/>
      <c r="M41" s="30"/>
      <c r="N41" s="1"/>
      <c r="O41" s="1"/>
    </row>
    <row r="42" spans="1:15" x14ac:dyDescent="0.3">
      <c r="A42" s="41">
        <v>45485</v>
      </c>
      <c r="B42" s="10" t="s">
        <v>1861</v>
      </c>
      <c r="C42" s="10" t="s">
        <v>14</v>
      </c>
      <c r="D42" s="30">
        <f t="shared" si="2"/>
        <v>127.27272727272727</v>
      </c>
      <c r="E42" s="30">
        <f t="shared" si="0"/>
        <v>12.727272727272727</v>
      </c>
      <c r="F42" s="30">
        <v>140</v>
      </c>
      <c r="G42" s="30"/>
      <c r="H42" s="13">
        <f t="shared" si="1"/>
        <v>140</v>
      </c>
      <c r="I42" s="1" t="s">
        <v>402</v>
      </c>
      <c r="J42" s="30">
        <v>140</v>
      </c>
      <c r="K42" s="30"/>
      <c r="L42" s="1"/>
      <c r="M42" s="30"/>
      <c r="N42" s="1"/>
      <c r="O42" s="1"/>
    </row>
    <row r="43" spans="1:15" x14ac:dyDescent="0.3">
      <c r="A43" s="41">
        <v>45485</v>
      </c>
      <c r="B43" s="10" t="s">
        <v>1862</v>
      </c>
      <c r="C43" s="10" t="s">
        <v>14</v>
      </c>
      <c r="D43" s="30">
        <f t="shared" si="2"/>
        <v>245.45454545454544</v>
      </c>
      <c r="E43" s="30">
        <f t="shared" si="0"/>
        <v>24.545454545454547</v>
      </c>
      <c r="F43" s="30">
        <v>270</v>
      </c>
      <c r="G43" s="30">
        <v>50</v>
      </c>
      <c r="H43" s="13">
        <f t="shared" si="1"/>
        <v>220</v>
      </c>
      <c r="I43" s="1" t="s">
        <v>2077</v>
      </c>
      <c r="J43" s="30">
        <v>270</v>
      </c>
      <c r="K43" s="30"/>
      <c r="L43" s="1"/>
      <c r="M43" s="30"/>
      <c r="N43" s="1"/>
      <c r="O43" s="1"/>
    </row>
    <row r="44" spans="1:15" x14ac:dyDescent="0.3">
      <c r="A44" s="41">
        <v>45485</v>
      </c>
      <c r="B44" s="10" t="s">
        <v>1863</v>
      </c>
      <c r="C44" s="10" t="s">
        <v>14</v>
      </c>
      <c r="D44" s="30">
        <f t="shared" si="2"/>
        <v>163.63636363636363</v>
      </c>
      <c r="E44" s="30">
        <f t="shared" si="0"/>
        <v>16.363636363636363</v>
      </c>
      <c r="F44" s="30">
        <v>180</v>
      </c>
      <c r="G44" s="30">
        <v>50</v>
      </c>
      <c r="H44" s="13">
        <f t="shared" si="1"/>
        <v>130</v>
      </c>
      <c r="I44" s="1" t="s">
        <v>2055</v>
      </c>
      <c r="J44" s="30">
        <v>180</v>
      </c>
      <c r="K44" s="30"/>
      <c r="L44" s="1"/>
      <c r="M44" s="30"/>
      <c r="N44" s="1"/>
      <c r="O44" s="1"/>
    </row>
    <row r="45" spans="1:15" x14ac:dyDescent="0.3">
      <c r="A45" s="41">
        <v>45485</v>
      </c>
      <c r="B45" s="10" t="s">
        <v>1864</v>
      </c>
      <c r="C45" s="10" t="s">
        <v>14</v>
      </c>
      <c r="D45" s="30">
        <f t="shared" si="2"/>
        <v>245.45454545454544</v>
      </c>
      <c r="E45" s="30">
        <f t="shared" si="0"/>
        <v>24.545454545454547</v>
      </c>
      <c r="F45" s="30">
        <v>270</v>
      </c>
      <c r="G45" s="30">
        <v>50</v>
      </c>
      <c r="H45" s="13">
        <f t="shared" si="1"/>
        <v>220</v>
      </c>
      <c r="I45" s="1" t="s">
        <v>2078</v>
      </c>
      <c r="J45" s="30">
        <v>270</v>
      </c>
      <c r="K45" s="30"/>
      <c r="L45" s="1"/>
      <c r="M45" s="30"/>
      <c r="N45" s="1"/>
      <c r="O45" s="1"/>
    </row>
    <row r="46" spans="1:15" x14ac:dyDescent="0.3">
      <c r="A46" s="41">
        <v>45485</v>
      </c>
      <c r="B46" s="10" t="s">
        <v>1865</v>
      </c>
      <c r="C46" s="10" t="s">
        <v>14</v>
      </c>
      <c r="D46" s="30">
        <f t="shared" si="2"/>
        <v>245.45454545454544</v>
      </c>
      <c r="E46" s="30">
        <f t="shared" si="0"/>
        <v>24.545454545454547</v>
      </c>
      <c r="F46" s="30">
        <v>270</v>
      </c>
      <c r="G46" s="30">
        <v>50</v>
      </c>
      <c r="H46" s="13">
        <f t="shared" si="1"/>
        <v>220</v>
      </c>
      <c r="I46" s="1" t="s">
        <v>2076</v>
      </c>
      <c r="J46" s="30">
        <v>270</v>
      </c>
      <c r="K46" s="30"/>
      <c r="L46" s="1"/>
      <c r="M46" s="30"/>
      <c r="N46" s="1"/>
      <c r="O46" s="1"/>
    </row>
    <row r="47" spans="1:15" x14ac:dyDescent="0.3">
      <c r="A47" s="41">
        <v>46580</v>
      </c>
      <c r="B47" s="10" t="s">
        <v>1866</v>
      </c>
      <c r="C47" s="10" t="s">
        <v>14</v>
      </c>
      <c r="D47" s="30">
        <f t="shared" si="2"/>
        <v>199.99999999999997</v>
      </c>
      <c r="E47" s="30">
        <f t="shared" si="0"/>
        <v>19.999999999999996</v>
      </c>
      <c r="F47" s="30">
        <v>220</v>
      </c>
      <c r="G47" s="30">
        <v>50</v>
      </c>
      <c r="H47" s="13">
        <f t="shared" si="1"/>
        <v>170</v>
      </c>
      <c r="I47" s="1" t="s">
        <v>2055</v>
      </c>
      <c r="J47" s="30">
        <v>220</v>
      </c>
      <c r="K47" s="30"/>
      <c r="L47" s="1"/>
      <c r="M47" s="30"/>
      <c r="N47" s="1"/>
      <c r="O47" s="1"/>
    </row>
    <row r="48" spans="1:15" x14ac:dyDescent="0.3">
      <c r="A48" s="41">
        <v>45486</v>
      </c>
      <c r="B48" s="10" t="s">
        <v>1867</v>
      </c>
      <c r="C48" s="10" t="s">
        <v>14</v>
      </c>
      <c r="D48" s="30">
        <f t="shared" si="2"/>
        <v>172.72727272727272</v>
      </c>
      <c r="E48" s="30">
        <f t="shared" si="0"/>
        <v>17.272727272727273</v>
      </c>
      <c r="F48" s="30">
        <v>190</v>
      </c>
      <c r="G48" s="30">
        <v>50</v>
      </c>
      <c r="H48" s="13">
        <f t="shared" si="1"/>
        <v>140</v>
      </c>
      <c r="I48" s="1" t="s">
        <v>2079</v>
      </c>
      <c r="J48" s="30">
        <v>170</v>
      </c>
      <c r="K48" s="30">
        <v>20</v>
      </c>
      <c r="L48" s="1" t="s">
        <v>223</v>
      </c>
      <c r="M48" s="30"/>
      <c r="N48" s="1"/>
      <c r="O48" s="1"/>
    </row>
    <row r="49" spans="1:15" x14ac:dyDescent="0.3">
      <c r="A49" s="41">
        <v>45486</v>
      </c>
      <c r="B49" s="10" t="s">
        <v>1868</v>
      </c>
      <c r="C49" s="10" t="s">
        <v>14</v>
      </c>
      <c r="D49" s="30">
        <f t="shared" si="2"/>
        <v>181.81818181818181</v>
      </c>
      <c r="E49" s="30">
        <f t="shared" si="0"/>
        <v>18.18181818181818</v>
      </c>
      <c r="F49" s="30">
        <v>200</v>
      </c>
      <c r="G49" s="30">
        <v>50</v>
      </c>
      <c r="H49" s="13">
        <f t="shared" si="1"/>
        <v>150</v>
      </c>
      <c r="I49" s="1" t="s">
        <v>2080</v>
      </c>
      <c r="J49" s="30">
        <v>170</v>
      </c>
      <c r="K49" s="30">
        <v>30</v>
      </c>
      <c r="L49" s="1" t="s">
        <v>223</v>
      </c>
      <c r="M49" s="30"/>
      <c r="N49" s="1"/>
      <c r="O49" s="1"/>
    </row>
    <row r="50" spans="1:15" x14ac:dyDescent="0.3">
      <c r="A50" s="41">
        <v>45486</v>
      </c>
      <c r="B50" s="10" t="s">
        <v>1869</v>
      </c>
      <c r="C50" s="10" t="s">
        <v>14</v>
      </c>
      <c r="D50" s="30">
        <f t="shared" si="2"/>
        <v>190.90909090909091</v>
      </c>
      <c r="E50" s="30">
        <f t="shared" si="0"/>
        <v>19.09090909090909</v>
      </c>
      <c r="F50" s="30">
        <v>210</v>
      </c>
      <c r="G50" s="30">
        <v>50</v>
      </c>
      <c r="H50" s="13">
        <f t="shared" si="1"/>
        <v>160</v>
      </c>
      <c r="I50" s="1" t="s">
        <v>2055</v>
      </c>
      <c r="J50" s="30">
        <v>170</v>
      </c>
      <c r="K50" s="30">
        <v>40</v>
      </c>
      <c r="L50" s="1" t="s">
        <v>223</v>
      </c>
      <c r="M50" s="30"/>
      <c r="N50" s="1"/>
      <c r="O50" s="1"/>
    </row>
    <row r="51" spans="1:15" x14ac:dyDescent="0.3">
      <c r="A51" s="41">
        <v>45486</v>
      </c>
      <c r="B51" s="10" t="s">
        <v>1870</v>
      </c>
      <c r="C51" s="10" t="s">
        <v>14</v>
      </c>
      <c r="D51" s="30">
        <f t="shared" si="2"/>
        <v>127.27272727272727</v>
      </c>
      <c r="E51" s="30">
        <f t="shared" si="0"/>
        <v>12.727272727272727</v>
      </c>
      <c r="F51" s="30">
        <v>140</v>
      </c>
      <c r="G51" s="30"/>
      <c r="H51" s="13">
        <f t="shared" si="1"/>
        <v>140</v>
      </c>
      <c r="I51" s="1" t="s">
        <v>2081</v>
      </c>
      <c r="J51" s="30">
        <v>140</v>
      </c>
      <c r="K51" s="30"/>
      <c r="L51" s="1"/>
      <c r="M51" s="30"/>
      <c r="N51" s="1"/>
      <c r="O51" s="1"/>
    </row>
    <row r="52" spans="1:15" x14ac:dyDescent="0.3">
      <c r="A52" s="41">
        <v>45486</v>
      </c>
      <c r="B52" s="10" t="s">
        <v>1871</v>
      </c>
      <c r="C52" s="10" t="s">
        <v>14</v>
      </c>
      <c r="D52" s="30">
        <f t="shared" si="2"/>
        <v>145.45454545454544</v>
      </c>
      <c r="E52" s="30">
        <f t="shared" si="0"/>
        <v>14.545454545454545</v>
      </c>
      <c r="F52" s="30">
        <v>160</v>
      </c>
      <c r="G52" s="30"/>
      <c r="H52" s="13">
        <f t="shared" si="1"/>
        <v>160</v>
      </c>
      <c r="I52" s="1" t="s">
        <v>402</v>
      </c>
      <c r="J52" s="30">
        <v>160</v>
      </c>
      <c r="K52" s="30"/>
      <c r="L52" s="1"/>
      <c r="M52" s="30"/>
      <c r="N52" s="1"/>
      <c r="O52" s="1"/>
    </row>
    <row r="53" spans="1:15" x14ac:dyDescent="0.3">
      <c r="A53" s="41">
        <v>45486</v>
      </c>
      <c r="B53" s="10" t="s">
        <v>1872</v>
      </c>
      <c r="C53" s="10" t="s">
        <v>14</v>
      </c>
      <c r="D53" s="30">
        <f t="shared" si="2"/>
        <v>154.54545454545453</v>
      </c>
      <c r="E53" s="30">
        <f t="shared" si="0"/>
        <v>15.454545454545453</v>
      </c>
      <c r="F53" s="30">
        <v>170</v>
      </c>
      <c r="G53" s="30">
        <v>50</v>
      </c>
      <c r="H53" s="13">
        <f t="shared" si="1"/>
        <v>120</v>
      </c>
      <c r="I53" s="1" t="s">
        <v>2082</v>
      </c>
      <c r="J53" s="30">
        <v>170</v>
      </c>
      <c r="K53" s="30"/>
      <c r="L53" s="1"/>
      <c r="M53" s="30"/>
      <c r="N53" s="1"/>
      <c r="O53" s="1"/>
    </row>
    <row r="54" spans="1:15" x14ac:dyDescent="0.3">
      <c r="A54" s="41">
        <v>45486</v>
      </c>
      <c r="B54" s="10" t="s">
        <v>1873</v>
      </c>
      <c r="C54" s="10" t="s">
        <v>14</v>
      </c>
      <c r="D54" s="30">
        <f t="shared" si="2"/>
        <v>154.54545454545453</v>
      </c>
      <c r="E54" s="30">
        <f t="shared" si="0"/>
        <v>15.454545454545453</v>
      </c>
      <c r="F54" s="30">
        <v>170</v>
      </c>
      <c r="G54" s="30">
        <v>50</v>
      </c>
      <c r="H54" s="13">
        <f t="shared" si="1"/>
        <v>120</v>
      </c>
      <c r="I54" s="1" t="s">
        <v>2083</v>
      </c>
      <c r="J54" s="30">
        <v>170</v>
      </c>
      <c r="K54" s="30"/>
      <c r="L54" s="1"/>
      <c r="M54" s="30"/>
      <c r="N54" s="1"/>
      <c r="O54" s="1"/>
    </row>
    <row r="55" spans="1:15" x14ac:dyDescent="0.3">
      <c r="A55" s="41">
        <v>45486</v>
      </c>
      <c r="B55" s="10" t="s">
        <v>1874</v>
      </c>
      <c r="C55" s="10" t="s">
        <v>14</v>
      </c>
      <c r="D55" s="30">
        <f t="shared" si="2"/>
        <v>127.27272727272727</v>
      </c>
      <c r="E55" s="30">
        <f t="shared" si="0"/>
        <v>12.727272727272727</v>
      </c>
      <c r="F55" s="30">
        <v>140</v>
      </c>
      <c r="G55" s="30"/>
      <c r="H55" s="13">
        <f t="shared" si="1"/>
        <v>140</v>
      </c>
      <c r="I55" s="1" t="s">
        <v>721</v>
      </c>
      <c r="J55" s="30">
        <v>140</v>
      </c>
      <c r="K55" s="30"/>
      <c r="L55" s="1"/>
      <c r="M55" s="30"/>
      <c r="N55" s="1"/>
      <c r="O55" s="1"/>
    </row>
    <row r="56" spans="1:15" x14ac:dyDescent="0.3">
      <c r="A56" s="41">
        <v>45486</v>
      </c>
      <c r="B56" s="10" t="s">
        <v>1875</v>
      </c>
      <c r="C56" s="10" t="s">
        <v>14</v>
      </c>
      <c r="D56" s="30">
        <f t="shared" si="2"/>
        <v>154.54545454545453</v>
      </c>
      <c r="E56" s="30">
        <f t="shared" si="0"/>
        <v>15.454545454545453</v>
      </c>
      <c r="F56" s="30">
        <v>170</v>
      </c>
      <c r="G56" s="30">
        <v>50</v>
      </c>
      <c r="H56" s="13">
        <f t="shared" si="1"/>
        <v>120</v>
      </c>
      <c r="I56" s="1" t="s">
        <v>2084</v>
      </c>
      <c r="J56" s="30">
        <v>170</v>
      </c>
      <c r="K56" s="30"/>
      <c r="L56" s="1"/>
      <c r="M56" s="30"/>
      <c r="N56" s="1"/>
      <c r="O56" s="1"/>
    </row>
    <row r="57" spans="1:15" x14ac:dyDescent="0.3">
      <c r="A57" s="41">
        <v>45486</v>
      </c>
      <c r="B57" s="10" t="s">
        <v>1876</v>
      </c>
      <c r="C57" s="10" t="s">
        <v>14</v>
      </c>
      <c r="D57" s="30">
        <f t="shared" si="2"/>
        <v>199.99999999999997</v>
      </c>
      <c r="E57" s="30">
        <f t="shared" si="0"/>
        <v>19.999999999999996</v>
      </c>
      <c r="F57" s="30">
        <v>220</v>
      </c>
      <c r="G57" s="30"/>
      <c r="H57" s="13">
        <f t="shared" si="1"/>
        <v>220</v>
      </c>
      <c r="I57" s="1" t="s">
        <v>402</v>
      </c>
      <c r="J57" s="30">
        <v>220</v>
      </c>
      <c r="K57" s="30"/>
      <c r="L57" s="1"/>
      <c r="M57" s="30"/>
      <c r="N57" s="1"/>
      <c r="O57" s="1"/>
    </row>
    <row r="58" spans="1:15" x14ac:dyDescent="0.3">
      <c r="A58" s="41">
        <v>45486</v>
      </c>
      <c r="B58" s="10" t="s">
        <v>1877</v>
      </c>
      <c r="C58" s="10" t="s">
        <v>14</v>
      </c>
      <c r="D58" s="30">
        <f t="shared" si="2"/>
        <v>163.63636363636363</v>
      </c>
      <c r="E58" s="30">
        <f t="shared" si="0"/>
        <v>16.363636363636363</v>
      </c>
      <c r="F58" s="30">
        <v>180</v>
      </c>
      <c r="G58" s="30"/>
      <c r="H58" s="13">
        <f t="shared" si="1"/>
        <v>180</v>
      </c>
      <c r="I58" s="1" t="s">
        <v>2085</v>
      </c>
      <c r="J58" s="30">
        <v>180</v>
      </c>
      <c r="K58" s="30"/>
      <c r="L58" s="1"/>
      <c r="M58" s="30"/>
      <c r="N58" s="1"/>
      <c r="O58" s="1"/>
    </row>
    <row r="59" spans="1:15" x14ac:dyDescent="0.3">
      <c r="A59" s="41">
        <v>45486</v>
      </c>
      <c r="B59" s="10" t="s">
        <v>1878</v>
      </c>
      <c r="C59" s="10" t="s">
        <v>14</v>
      </c>
      <c r="D59" s="30">
        <f t="shared" si="2"/>
        <v>245.45454545454544</v>
      </c>
      <c r="E59" s="30">
        <f t="shared" si="0"/>
        <v>24.545454545454547</v>
      </c>
      <c r="F59" s="30">
        <v>270</v>
      </c>
      <c r="G59" s="30">
        <v>50</v>
      </c>
      <c r="H59" s="13">
        <f t="shared" si="1"/>
        <v>220</v>
      </c>
      <c r="I59" s="1" t="s">
        <v>2086</v>
      </c>
      <c r="J59" s="30">
        <v>270</v>
      </c>
      <c r="K59" s="30"/>
      <c r="L59" s="1"/>
      <c r="M59" s="30"/>
      <c r="N59" s="1"/>
      <c r="O59" s="1"/>
    </row>
    <row r="60" spans="1:15" x14ac:dyDescent="0.3">
      <c r="A60" s="41">
        <v>45486</v>
      </c>
      <c r="B60" s="10" t="s">
        <v>1879</v>
      </c>
      <c r="C60" s="10" t="s">
        <v>14</v>
      </c>
      <c r="D60" s="30">
        <f t="shared" si="2"/>
        <v>245.45454545454544</v>
      </c>
      <c r="E60" s="30">
        <f t="shared" si="0"/>
        <v>24.545454545454547</v>
      </c>
      <c r="F60" s="30">
        <v>270</v>
      </c>
      <c r="G60" s="30">
        <v>50</v>
      </c>
      <c r="H60" s="13">
        <f t="shared" si="1"/>
        <v>220</v>
      </c>
      <c r="I60" s="1" t="s">
        <v>2087</v>
      </c>
      <c r="J60" s="30">
        <v>270</v>
      </c>
      <c r="K60" s="30"/>
      <c r="L60" s="1"/>
      <c r="M60" s="30"/>
      <c r="N60" s="1"/>
      <c r="O60" s="1"/>
    </row>
    <row r="61" spans="1:15" x14ac:dyDescent="0.3">
      <c r="A61" s="41">
        <v>45486</v>
      </c>
      <c r="B61" s="10" t="s">
        <v>1880</v>
      </c>
      <c r="C61" s="10" t="s">
        <v>14</v>
      </c>
      <c r="D61" s="30">
        <f t="shared" si="2"/>
        <v>372.72727272727269</v>
      </c>
      <c r="E61" s="30">
        <f t="shared" si="0"/>
        <v>37.272727272727273</v>
      </c>
      <c r="F61" s="30">
        <v>410</v>
      </c>
      <c r="G61" s="30">
        <v>50</v>
      </c>
      <c r="H61" s="13">
        <f t="shared" si="1"/>
        <v>360</v>
      </c>
      <c r="I61" s="1" t="s">
        <v>2088</v>
      </c>
      <c r="J61" s="30">
        <v>220</v>
      </c>
      <c r="K61" s="30"/>
      <c r="L61" s="1"/>
      <c r="M61" s="30">
        <v>190</v>
      </c>
      <c r="N61" s="1" t="s">
        <v>380</v>
      </c>
      <c r="O61" s="1"/>
    </row>
    <row r="62" spans="1:15" x14ac:dyDescent="0.3">
      <c r="A62" s="41">
        <v>45486</v>
      </c>
      <c r="B62" s="10" t="s">
        <v>1881</v>
      </c>
      <c r="C62" s="10" t="s">
        <v>14</v>
      </c>
      <c r="D62" s="30">
        <f t="shared" si="2"/>
        <v>313.63636363636363</v>
      </c>
      <c r="E62" s="30">
        <f t="shared" si="0"/>
        <v>31.36363636363636</v>
      </c>
      <c r="F62" s="30">
        <v>345</v>
      </c>
      <c r="G62" s="30">
        <v>50</v>
      </c>
      <c r="H62" s="13">
        <f t="shared" si="1"/>
        <v>295</v>
      </c>
      <c r="I62" s="1" t="s">
        <v>2089</v>
      </c>
      <c r="J62" s="30">
        <v>270</v>
      </c>
      <c r="K62" s="30">
        <v>30</v>
      </c>
      <c r="L62" s="1" t="s">
        <v>223</v>
      </c>
      <c r="M62" s="30">
        <v>45</v>
      </c>
      <c r="N62" s="1" t="s">
        <v>16</v>
      </c>
      <c r="O62" s="1"/>
    </row>
    <row r="63" spans="1:15" x14ac:dyDescent="0.3">
      <c r="A63" s="41">
        <v>45486</v>
      </c>
      <c r="B63" s="10" t="s">
        <v>1882</v>
      </c>
      <c r="C63" s="10" t="s">
        <v>14</v>
      </c>
      <c r="D63" s="30">
        <f t="shared" si="2"/>
        <v>259.09090909090907</v>
      </c>
      <c r="E63" s="30">
        <f t="shared" si="0"/>
        <v>25.909090909090907</v>
      </c>
      <c r="F63" s="30">
        <v>285</v>
      </c>
      <c r="G63" s="30">
        <v>50</v>
      </c>
      <c r="H63" s="13">
        <f t="shared" si="1"/>
        <v>235</v>
      </c>
      <c r="I63" s="1" t="s">
        <v>2090</v>
      </c>
      <c r="J63" s="30">
        <v>220</v>
      </c>
      <c r="K63" s="30">
        <v>20</v>
      </c>
      <c r="L63" s="1" t="s">
        <v>223</v>
      </c>
      <c r="M63" s="30">
        <v>45</v>
      </c>
      <c r="N63" s="1" t="s">
        <v>16</v>
      </c>
      <c r="O63" s="1"/>
    </row>
    <row r="64" spans="1:15" x14ac:dyDescent="0.3">
      <c r="A64" s="41">
        <v>45486</v>
      </c>
      <c r="B64" s="10" t="s">
        <v>1883</v>
      </c>
      <c r="C64" s="10" t="s">
        <v>14</v>
      </c>
      <c r="D64" s="30">
        <f t="shared" si="2"/>
        <v>218.18181818181816</v>
      </c>
      <c r="E64" s="30">
        <f t="shared" si="0"/>
        <v>21.818181818181817</v>
      </c>
      <c r="F64" s="30">
        <v>240</v>
      </c>
      <c r="G64" s="30"/>
      <c r="H64" s="13">
        <f t="shared" si="1"/>
        <v>240</v>
      </c>
      <c r="I64" s="1" t="s">
        <v>1028</v>
      </c>
      <c r="J64" s="30">
        <v>270</v>
      </c>
      <c r="K64" s="30"/>
      <c r="L64" s="1"/>
      <c r="M64" s="30"/>
      <c r="N64" s="1"/>
      <c r="O64" s="1"/>
    </row>
    <row r="65" spans="1:15" x14ac:dyDescent="0.3">
      <c r="A65" s="41">
        <v>45486</v>
      </c>
      <c r="B65" s="10" t="s">
        <v>1884</v>
      </c>
      <c r="C65" s="10" t="s">
        <v>14</v>
      </c>
      <c r="D65" s="30">
        <f t="shared" si="2"/>
        <v>199.99999999999997</v>
      </c>
      <c r="E65" s="30">
        <f t="shared" si="0"/>
        <v>19.999999999999996</v>
      </c>
      <c r="F65" s="30">
        <v>220</v>
      </c>
      <c r="G65" s="30">
        <v>50</v>
      </c>
      <c r="H65" s="13">
        <f t="shared" si="1"/>
        <v>170</v>
      </c>
      <c r="I65" s="1" t="s">
        <v>2091</v>
      </c>
      <c r="J65" s="30">
        <v>220</v>
      </c>
      <c r="K65" s="30"/>
      <c r="L65" s="1"/>
      <c r="M65" s="30"/>
      <c r="N65" s="1"/>
      <c r="O65" s="1"/>
    </row>
    <row r="66" spans="1:15" x14ac:dyDescent="0.3">
      <c r="A66" s="41">
        <v>45487</v>
      </c>
      <c r="B66" s="10" t="s">
        <v>1885</v>
      </c>
      <c r="C66" s="10" t="s">
        <v>14</v>
      </c>
      <c r="D66" s="30">
        <f t="shared" si="2"/>
        <v>172.72727272727272</v>
      </c>
      <c r="E66" s="30">
        <f t="shared" si="0"/>
        <v>17.272727272727273</v>
      </c>
      <c r="F66" s="30">
        <v>190</v>
      </c>
      <c r="G66" s="30">
        <v>50</v>
      </c>
      <c r="H66" s="13">
        <f t="shared" si="1"/>
        <v>140</v>
      </c>
      <c r="I66" s="1" t="s">
        <v>2055</v>
      </c>
      <c r="J66" s="30">
        <v>170</v>
      </c>
      <c r="K66" s="30">
        <v>20</v>
      </c>
      <c r="L66" s="1" t="s">
        <v>223</v>
      </c>
      <c r="M66" s="30"/>
      <c r="N66" s="1"/>
      <c r="O66" s="1"/>
    </row>
    <row r="67" spans="1:15" x14ac:dyDescent="0.3">
      <c r="A67" s="41">
        <v>45487</v>
      </c>
      <c r="B67" s="10" t="s">
        <v>1886</v>
      </c>
      <c r="C67" s="10" t="s">
        <v>14</v>
      </c>
      <c r="D67" s="30">
        <f t="shared" si="2"/>
        <v>245.45454545454544</v>
      </c>
      <c r="E67" s="30">
        <f t="shared" ref="E67:E130" si="3">D67*10/100</f>
        <v>24.545454545454547</v>
      </c>
      <c r="F67" s="30">
        <v>270</v>
      </c>
      <c r="G67" s="30"/>
      <c r="H67" s="13">
        <f t="shared" ref="H67:H130" si="4">F67-G67</f>
        <v>270</v>
      </c>
      <c r="I67" s="1" t="s">
        <v>1028</v>
      </c>
      <c r="J67" s="30">
        <v>270</v>
      </c>
      <c r="K67" s="30"/>
      <c r="L67" s="1"/>
      <c r="M67" s="30"/>
      <c r="N67" s="1"/>
      <c r="O67" s="1"/>
    </row>
    <row r="68" spans="1:15" x14ac:dyDescent="0.3">
      <c r="A68" s="41">
        <v>45489</v>
      </c>
      <c r="B68" s="10" t="s">
        <v>1887</v>
      </c>
      <c r="C68" s="10" t="s">
        <v>14</v>
      </c>
      <c r="D68" s="30">
        <f t="shared" ref="D68:D131" si="5">F68/1.1</f>
        <v>154.54545454545453</v>
      </c>
      <c r="E68" s="30">
        <f t="shared" si="3"/>
        <v>15.454545454545453</v>
      </c>
      <c r="F68" s="30">
        <v>170</v>
      </c>
      <c r="G68" s="30">
        <v>50</v>
      </c>
      <c r="H68" s="13">
        <f t="shared" si="4"/>
        <v>120</v>
      </c>
      <c r="I68" s="1" t="s">
        <v>2092</v>
      </c>
      <c r="J68" s="30">
        <v>170</v>
      </c>
      <c r="K68" s="30"/>
      <c r="L68" s="1"/>
      <c r="M68" s="30"/>
      <c r="N68" s="1"/>
      <c r="O68" s="1"/>
    </row>
    <row r="69" spans="1:15" x14ac:dyDescent="0.3">
      <c r="A69" s="41">
        <v>45489</v>
      </c>
      <c r="B69" s="10" t="s">
        <v>1888</v>
      </c>
      <c r="C69" s="10" t="s">
        <v>14</v>
      </c>
      <c r="D69" s="30">
        <f t="shared" si="5"/>
        <v>481.81818181818176</v>
      </c>
      <c r="E69" s="30">
        <f t="shared" si="3"/>
        <v>48.18181818181818</v>
      </c>
      <c r="F69" s="30">
        <v>530</v>
      </c>
      <c r="G69" s="30">
        <v>50</v>
      </c>
      <c r="H69" s="13">
        <f t="shared" si="4"/>
        <v>480</v>
      </c>
      <c r="I69" s="1" t="s">
        <v>2093</v>
      </c>
      <c r="J69" s="30">
        <v>530</v>
      </c>
      <c r="K69" s="30"/>
      <c r="L69" s="1"/>
      <c r="M69" s="30"/>
      <c r="N69" s="1"/>
      <c r="O69" s="1"/>
    </row>
    <row r="70" spans="1:15" x14ac:dyDescent="0.3">
      <c r="A70" s="41">
        <v>45490</v>
      </c>
      <c r="B70" s="10" t="s">
        <v>1889</v>
      </c>
      <c r="C70" s="10" t="s">
        <v>14</v>
      </c>
      <c r="D70" s="30">
        <f t="shared" si="5"/>
        <v>118.18181818181817</v>
      </c>
      <c r="E70" s="30">
        <f t="shared" si="3"/>
        <v>11.818181818181818</v>
      </c>
      <c r="F70" s="30">
        <v>130</v>
      </c>
      <c r="G70" s="30"/>
      <c r="H70" s="13">
        <f t="shared" si="4"/>
        <v>130</v>
      </c>
      <c r="I70" s="1" t="s">
        <v>403</v>
      </c>
      <c r="J70" s="30">
        <v>130</v>
      </c>
      <c r="K70" s="30"/>
      <c r="L70" s="1"/>
      <c r="M70" s="30"/>
      <c r="N70" s="1"/>
      <c r="O70" s="1"/>
    </row>
    <row r="71" spans="1:15" x14ac:dyDescent="0.3">
      <c r="A71" s="41">
        <v>46585</v>
      </c>
      <c r="B71" s="10" t="s">
        <v>1890</v>
      </c>
      <c r="C71" s="10" t="s">
        <v>14</v>
      </c>
      <c r="D71" s="30">
        <f t="shared" si="5"/>
        <v>218.18181818181816</v>
      </c>
      <c r="E71" s="30">
        <f t="shared" si="3"/>
        <v>21.818181818181817</v>
      </c>
      <c r="F71" s="30">
        <v>240</v>
      </c>
      <c r="G71" s="30">
        <v>50</v>
      </c>
      <c r="H71" s="13">
        <f t="shared" si="4"/>
        <v>190</v>
      </c>
      <c r="I71" s="1" t="s">
        <v>2094</v>
      </c>
      <c r="J71" s="30">
        <v>220</v>
      </c>
      <c r="K71" s="30">
        <v>20</v>
      </c>
      <c r="L71" s="1" t="s">
        <v>223</v>
      </c>
      <c r="M71" s="30"/>
      <c r="N71" s="1"/>
      <c r="O71" s="1"/>
    </row>
    <row r="72" spans="1:15" x14ac:dyDescent="0.3">
      <c r="A72" s="41">
        <v>45491</v>
      </c>
      <c r="B72" s="10" t="s">
        <v>1891</v>
      </c>
      <c r="C72" s="10" t="s">
        <v>14</v>
      </c>
      <c r="D72" s="30">
        <f t="shared" si="5"/>
        <v>236.36363636363635</v>
      </c>
      <c r="E72" s="30">
        <f t="shared" si="3"/>
        <v>23.636363636363637</v>
      </c>
      <c r="F72" s="30">
        <v>260</v>
      </c>
      <c r="G72" s="30">
        <v>50</v>
      </c>
      <c r="H72" s="13">
        <f t="shared" si="4"/>
        <v>210</v>
      </c>
      <c r="I72" s="1" t="s">
        <v>2101</v>
      </c>
      <c r="J72" s="30">
        <v>220</v>
      </c>
      <c r="K72" s="30">
        <v>40</v>
      </c>
      <c r="L72" s="1" t="s">
        <v>223</v>
      </c>
      <c r="M72" s="30"/>
      <c r="N72" s="1"/>
      <c r="O72" s="1"/>
    </row>
    <row r="73" spans="1:15" x14ac:dyDescent="0.3">
      <c r="A73" s="41">
        <v>45491</v>
      </c>
      <c r="B73" s="10" t="s">
        <v>1892</v>
      </c>
      <c r="C73" s="10" t="s">
        <v>14</v>
      </c>
      <c r="D73" s="30">
        <f t="shared" si="5"/>
        <v>236.36363636363635</v>
      </c>
      <c r="E73" s="30">
        <f t="shared" si="3"/>
        <v>23.636363636363637</v>
      </c>
      <c r="F73" s="30">
        <v>260</v>
      </c>
      <c r="G73" s="30">
        <v>50</v>
      </c>
      <c r="H73" s="13">
        <f t="shared" si="4"/>
        <v>210</v>
      </c>
      <c r="I73" s="1" t="s">
        <v>2102</v>
      </c>
      <c r="J73" s="30">
        <v>220</v>
      </c>
      <c r="K73" s="30">
        <v>40</v>
      </c>
      <c r="L73" s="1" t="s">
        <v>223</v>
      </c>
      <c r="M73" s="30"/>
      <c r="N73" s="1"/>
      <c r="O73" s="1"/>
    </row>
    <row r="74" spans="1:15" x14ac:dyDescent="0.3">
      <c r="A74" s="41">
        <v>45491</v>
      </c>
      <c r="B74" s="10" t="s">
        <v>1893</v>
      </c>
      <c r="C74" s="10" t="s">
        <v>14</v>
      </c>
      <c r="D74" s="30">
        <f t="shared" si="5"/>
        <v>199.99999999999997</v>
      </c>
      <c r="E74" s="30">
        <f t="shared" si="3"/>
        <v>19.999999999999996</v>
      </c>
      <c r="F74" s="30">
        <v>220</v>
      </c>
      <c r="G74" s="30">
        <v>50</v>
      </c>
      <c r="H74" s="13">
        <f t="shared" si="4"/>
        <v>170</v>
      </c>
      <c r="I74" s="1" t="s">
        <v>2103</v>
      </c>
      <c r="J74" s="30">
        <v>220</v>
      </c>
      <c r="K74" s="30"/>
      <c r="L74" s="1"/>
      <c r="M74" s="30"/>
      <c r="N74" s="1"/>
      <c r="O74" s="1"/>
    </row>
    <row r="75" spans="1:15" x14ac:dyDescent="0.3">
      <c r="A75" s="41">
        <v>45492</v>
      </c>
      <c r="B75" s="10" t="s">
        <v>1894</v>
      </c>
      <c r="C75" s="10" t="s">
        <v>14</v>
      </c>
      <c r="D75" s="30">
        <f t="shared" si="5"/>
        <v>190.90909090909091</v>
      </c>
      <c r="E75" s="30">
        <f t="shared" si="3"/>
        <v>19.09090909090909</v>
      </c>
      <c r="F75" s="30">
        <v>210</v>
      </c>
      <c r="G75" s="30">
        <v>50</v>
      </c>
      <c r="H75" s="13">
        <f t="shared" si="4"/>
        <v>160</v>
      </c>
      <c r="I75" s="1" t="s">
        <v>2104</v>
      </c>
      <c r="J75" s="30">
        <v>170</v>
      </c>
      <c r="K75" s="30">
        <v>40</v>
      </c>
      <c r="L75" s="1" t="s">
        <v>223</v>
      </c>
      <c r="M75" s="30"/>
      <c r="N75" s="1"/>
      <c r="O75" s="1"/>
    </row>
    <row r="76" spans="1:15" x14ac:dyDescent="0.3">
      <c r="A76" s="41">
        <v>45492</v>
      </c>
      <c r="B76" s="10" t="s">
        <v>1895</v>
      </c>
      <c r="C76" s="10" t="s">
        <v>14</v>
      </c>
      <c r="D76" s="30">
        <f t="shared" si="5"/>
        <v>190.90909090909091</v>
      </c>
      <c r="E76" s="30">
        <f t="shared" si="3"/>
        <v>19.09090909090909</v>
      </c>
      <c r="F76" s="30">
        <v>210</v>
      </c>
      <c r="G76" s="30">
        <v>50</v>
      </c>
      <c r="H76" s="13">
        <f t="shared" si="4"/>
        <v>160</v>
      </c>
      <c r="I76" s="1" t="s">
        <v>2105</v>
      </c>
      <c r="J76" s="30">
        <v>170</v>
      </c>
      <c r="K76" s="30">
        <v>40</v>
      </c>
      <c r="L76" s="1" t="s">
        <v>223</v>
      </c>
      <c r="M76" s="30"/>
      <c r="N76" s="1"/>
      <c r="O76" s="1"/>
    </row>
    <row r="77" spans="1:15" x14ac:dyDescent="0.3">
      <c r="A77" s="41">
        <v>45492</v>
      </c>
      <c r="B77" s="10" t="s">
        <v>1896</v>
      </c>
      <c r="C77" s="10" t="s">
        <v>14</v>
      </c>
      <c r="D77" s="30">
        <f t="shared" si="5"/>
        <v>218.18181818181816</v>
      </c>
      <c r="E77" s="30">
        <f t="shared" si="3"/>
        <v>21.818181818181817</v>
      </c>
      <c r="F77" s="30">
        <v>240</v>
      </c>
      <c r="G77" s="30">
        <v>50</v>
      </c>
      <c r="H77" s="13">
        <f t="shared" si="4"/>
        <v>190</v>
      </c>
      <c r="I77" s="1" t="s">
        <v>2106</v>
      </c>
      <c r="J77" s="30">
        <v>240</v>
      </c>
      <c r="K77" s="30"/>
      <c r="L77" s="1"/>
      <c r="M77" s="30"/>
      <c r="N77" s="1"/>
      <c r="O77" s="1"/>
    </row>
    <row r="78" spans="1:15" x14ac:dyDescent="0.3">
      <c r="A78" s="41">
        <v>45492</v>
      </c>
      <c r="B78" s="10" t="s">
        <v>1897</v>
      </c>
      <c r="C78" s="10" t="s">
        <v>14</v>
      </c>
      <c r="D78" s="30">
        <f t="shared" si="5"/>
        <v>181.81818181818181</v>
      </c>
      <c r="E78" s="30">
        <f t="shared" si="3"/>
        <v>18.18181818181818</v>
      </c>
      <c r="F78" s="30">
        <v>200</v>
      </c>
      <c r="G78" s="30">
        <v>50</v>
      </c>
      <c r="H78" s="13">
        <f t="shared" si="4"/>
        <v>150</v>
      </c>
      <c r="I78" s="1" t="s">
        <v>2107</v>
      </c>
      <c r="J78" s="30">
        <v>170</v>
      </c>
      <c r="K78" s="30">
        <v>30</v>
      </c>
      <c r="L78" s="1" t="s">
        <v>223</v>
      </c>
      <c r="M78" s="30"/>
      <c r="N78" s="1"/>
      <c r="O78" s="1"/>
    </row>
    <row r="79" spans="1:15" x14ac:dyDescent="0.3">
      <c r="A79" s="41">
        <v>45492</v>
      </c>
      <c r="B79" s="10" t="s">
        <v>1898</v>
      </c>
      <c r="C79" s="10" t="s">
        <v>14</v>
      </c>
      <c r="D79" s="30">
        <f t="shared" si="5"/>
        <v>154.54545454545453</v>
      </c>
      <c r="E79" s="30">
        <f t="shared" si="3"/>
        <v>15.454545454545453</v>
      </c>
      <c r="F79" s="30">
        <v>170</v>
      </c>
      <c r="G79" s="30"/>
      <c r="H79" s="13">
        <f t="shared" si="4"/>
        <v>170</v>
      </c>
      <c r="I79" s="1" t="s">
        <v>402</v>
      </c>
      <c r="J79" s="30">
        <v>170</v>
      </c>
      <c r="K79" s="30"/>
      <c r="L79" s="1"/>
      <c r="M79" s="30"/>
      <c r="N79" s="1"/>
      <c r="O79" s="1"/>
    </row>
    <row r="80" spans="1:15" x14ac:dyDescent="0.3">
      <c r="A80" s="41">
        <v>45492</v>
      </c>
      <c r="B80" s="10" t="s">
        <v>1899</v>
      </c>
      <c r="C80" s="10" t="s">
        <v>14</v>
      </c>
      <c r="D80" s="30">
        <f t="shared" si="5"/>
        <v>218.18181818181816</v>
      </c>
      <c r="E80" s="30">
        <f t="shared" si="3"/>
        <v>21.818181818181817</v>
      </c>
      <c r="F80" s="30">
        <v>240</v>
      </c>
      <c r="G80" s="30">
        <v>50</v>
      </c>
      <c r="H80" s="13">
        <f t="shared" si="4"/>
        <v>190</v>
      </c>
      <c r="I80" s="1" t="s">
        <v>2108</v>
      </c>
      <c r="J80" s="30">
        <v>220</v>
      </c>
      <c r="K80" s="30">
        <v>20</v>
      </c>
      <c r="L80" s="1" t="s">
        <v>223</v>
      </c>
      <c r="M80" s="30"/>
      <c r="N80" s="1"/>
      <c r="O80" s="1"/>
    </row>
    <row r="81" spans="1:15" x14ac:dyDescent="0.3">
      <c r="A81" s="41">
        <v>45493</v>
      </c>
      <c r="B81" s="10" t="s">
        <v>1900</v>
      </c>
      <c r="C81" s="10" t="s">
        <v>14</v>
      </c>
      <c r="D81" s="30">
        <f t="shared" si="5"/>
        <v>236.36363636363635</v>
      </c>
      <c r="E81" s="30">
        <f t="shared" si="3"/>
        <v>23.636363636363637</v>
      </c>
      <c r="F81" s="30">
        <v>260</v>
      </c>
      <c r="G81" s="30">
        <v>50</v>
      </c>
      <c r="H81" s="13">
        <f t="shared" si="4"/>
        <v>210</v>
      </c>
      <c r="I81" s="1" t="s">
        <v>2109</v>
      </c>
      <c r="J81" s="30">
        <v>220</v>
      </c>
      <c r="K81" s="30">
        <v>40</v>
      </c>
      <c r="L81" s="1"/>
      <c r="M81" s="30"/>
      <c r="N81" s="1"/>
      <c r="O81" s="1"/>
    </row>
    <row r="82" spans="1:15" x14ac:dyDescent="0.3">
      <c r="A82" s="41">
        <v>45493</v>
      </c>
      <c r="B82" s="10" t="s">
        <v>1901</v>
      </c>
      <c r="C82" s="10" t="s">
        <v>14</v>
      </c>
      <c r="D82" s="30">
        <f t="shared" si="5"/>
        <v>236.36363636363635</v>
      </c>
      <c r="E82" s="30">
        <f t="shared" si="3"/>
        <v>23.636363636363637</v>
      </c>
      <c r="F82" s="30">
        <v>260</v>
      </c>
      <c r="G82" s="30">
        <v>50</v>
      </c>
      <c r="H82" s="13">
        <f t="shared" si="4"/>
        <v>210</v>
      </c>
      <c r="I82" s="1" t="s">
        <v>2110</v>
      </c>
      <c r="J82" s="30">
        <v>220</v>
      </c>
      <c r="K82" s="30">
        <v>40</v>
      </c>
      <c r="L82" s="1"/>
      <c r="M82" s="30"/>
      <c r="N82" s="1"/>
      <c r="O82" s="1"/>
    </row>
    <row r="83" spans="1:15" x14ac:dyDescent="0.3">
      <c r="A83" s="41">
        <v>45493</v>
      </c>
      <c r="B83" s="10" t="s">
        <v>1902</v>
      </c>
      <c r="C83" s="10" t="s">
        <v>14</v>
      </c>
      <c r="D83" s="30">
        <f t="shared" si="5"/>
        <v>227.27272727272725</v>
      </c>
      <c r="E83" s="30">
        <f t="shared" si="3"/>
        <v>22.727272727272727</v>
      </c>
      <c r="F83" s="30">
        <v>250</v>
      </c>
      <c r="G83" s="30">
        <v>50</v>
      </c>
      <c r="H83" s="13">
        <f t="shared" si="4"/>
        <v>200</v>
      </c>
      <c r="I83" s="1" t="s">
        <v>2111</v>
      </c>
      <c r="J83" s="30">
        <v>220</v>
      </c>
      <c r="K83" s="30">
        <v>30</v>
      </c>
      <c r="L83" s="1"/>
      <c r="M83" s="30"/>
      <c r="N83" s="1"/>
      <c r="O83" s="1"/>
    </row>
    <row r="84" spans="1:15" x14ac:dyDescent="0.3">
      <c r="A84" s="41">
        <v>45493</v>
      </c>
      <c r="B84" s="10" t="s">
        <v>1903</v>
      </c>
      <c r="C84" s="10" t="s">
        <v>14</v>
      </c>
      <c r="D84" s="30">
        <f t="shared" si="5"/>
        <v>159.09090909090907</v>
      </c>
      <c r="E84" s="30">
        <f t="shared" si="3"/>
        <v>15.909090909090905</v>
      </c>
      <c r="F84" s="30">
        <v>175</v>
      </c>
      <c r="G84" s="30"/>
      <c r="H84" s="13">
        <f t="shared" si="4"/>
        <v>175</v>
      </c>
      <c r="I84" s="1" t="s">
        <v>403</v>
      </c>
      <c r="J84" s="30">
        <v>175</v>
      </c>
      <c r="K84" s="30"/>
      <c r="L84" s="1"/>
      <c r="M84" s="30"/>
      <c r="N84" s="1"/>
      <c r="O84" s="1"/>
    </row>
    <row r="85" spans="1:15" x14ac:dyDescent="0.3">
      <c r="A85" s="41">
        <v>45493</v>
      </c>
      <c r="B85" s="10" t="s">
        <v>1904</v>
      </c>
      <c r="C85" s="10" t="s">
        <v>14</v>
      </c>
      <c r="D85" s="30">
        <f t="shared" si="5"/>
        <v>163.63636363636363</v>
      </c>
      <c r="E85" s="30">
        <f t="shared" si="3"/>
        <v>16.363636363636363</v>
      </c>
      <c r="F85" s="30">
        <v>180</v>
      </c>
      <c r="G85" s="30"/>
      <c r="H85" s="13">
        <f t="shared" si="4"/>
        <v>180</v>
      </c>
      <c r="I85" s="1" t="s">
        <v>403</v>
      </c>
      <c r="J85" s="30">
        <v>180</v>
      </c>
      <c r="K85" s="30"/>
      <c r="L85" s="1"/>
      <c r="M85" s="30"/>
      <c r="N85" s="1"/>
      <c r="O85" s="1"/>
    </row>
    <row r="86" spans="1:15" x14ac:dyDescent="0.3">
      <c r="A86" s="41">
        <v>45493</v>
      </c>
      <c r="B86" s="10" t="s">
        <v>1905</v>
      </c>
      <c r="C86" s="10" t="s">
        <v>14</v>
      </c>
      <c r="D86" s="30">
        <f t="shared" si="5"/>
        <v>163.63636363636363</v>
      </c>
      <c r="E86" s="30">
        <f t="shared" si="3"/>
        <v>16.363636363636363</v>
      </c>
      <c r="F86" s="30">
        <v>180</v>
      </c>
      <c r="G86" s="30"/>
      <c r="H86" s="13">
        <f t="shared" si="4"/>
        <v>180</v>
      </c>
      <c r="I86" s="1" t="s">
        <v>403</v>
      </c>
      <c r="J86" s="30">
        <v>180</v>
      </c>
      <c r="K86" s="30"/>
      <c r="L86" s="1"/>
      <c r="M86" s="30"/>
      <c r="N86" s="1"/>
      <c r="O86" s="1"/>
    </row>
    <row r="87" spans="1:15" x14ac:dyDescent="0.3">
      <c r="A87" s="41">
        <v>45493</v>
      </c>
      <c r="B87" s="10" t="s">
        <v>1906</v>
      </c>
      <c r="C87" s="10" t="s">
        <v>14</v>
      </c>
      <c r="D87" s="30">
        <f t="shared" si="5"/>
        <v>245.45454545454544</v>
      </c>
      <c r="E87" s="30">
        <f t="shared" si="3"/>
        <v>24.545454545454547</v>
      </c>
      <c r="F87" s="30">
        <v>270</v>
      </c>
      <c r="G87" s="30">
        <v>50</v>
      </c>
      <c r="H87" s="13">
        <f t="shared" si="4"/>
        <v>220</v>
      </c>
      <c r="I87" s="1" t="s">
        <v>2112</v>
      </c>
      <c r="J87" s="30">
        <v>270</v>
      </c>
      <c r="K87" s="30"/>
      <c r="L87" s="1"/>
      <c r="M87" s="30"/>
      <c r="N87" s="1"/>
      <c r="O87" s="1"/>
    </row>
    <row r="88" spans="1:15" x14ac:dyDescent="0.3">
      <c r="A88" s="41">
        <v>45493</v>
      </c>
      <c r="B88" s="10" t="s">
        <v>1907</v>
      </c>
      <c r="C88" s="10" t="s">
        <v>14</v>
      </c>
      <c r="D88" s="30">
        <f t="shared" si="5"/>
        <v>245.45454545454544</v>
      </c>
      <c r="E88" s="30">
        <f t="shared" si="3"/>
        <v>24.545454545454547</v>
      </c>
      <c r="F88" s="30">
        <v>270</v>
      </c>
      <c r="G88" s="30">
        <v>50</v>
      </c>
      <c r="H88" s="13">
        <f t="shared" si="4"/>
        <v>220</v>
      </c>
      <c r="I88" s="1" t="s">
        <v>2113</v>
      </c>
      <c r="J88" s="30">
        <v>270</v>
      </c>
      <c r="K88" s="30"/>
      <c r="L88" s="1"/>
      <c r="M88" s="30"/>
      <c r="N88" s="1"/>
      <c r="O88" s="1"/>
    </row>
    <row r="89" spans="1:15" x14ac:dyDescent="0.3">
      <c r="A89" s="41">
        <v>45493</v>
      </c>
      <c r="B89" s="10" t="s">
        <v>1908</v>
      </c>
      <c r="C89" s="10" t="s">
        <v>14</v>
      </c>
      <c r="D89" s="30">
        <f t="shared" si="5"/>
        <v>199.99999999999997</v>
      </c>
      <c r="E89" s="30">
        <f t="shared" si="3"/>
        <v>19.999999999999996</v>
      </c>
      <c r="F89" s="30">
        <v>220</v>
      </c>
      <c r="G89" s="30">
        <v>50</v>
      </c>
      <c r="H89" s="13">
        <f t="shared" si="4"/>
        <v>170</v>
      </c>
      <c r="I89" s="1" t="s">
        <v>2114</v>
      </c>
      <c r="J89" s="30">
        <v>220</v>
      </c>
      <c r="K89" s="30"/>
      <c r="L89" s="1"/>
      <c r="M89" s="30"/>
      <c r="N89" s="1"/>
      <c r="O89" s="1"/>
    </row>
    <row r="90" spans="1:15" x14ac:dyDescent="0.3">
      <c r="A90" s="41">
        <v>45493</v>
      </c>
      <c r="B90" s="10" t="s">
        <v>1909</v>
      </c>
      <c r="C90" s="10" t="s">
        <v>14</v>
      </c>
      <c r="D90" s="30">
        <f t="shared" si="5"/>
        <v>481.81818181818176</v>
      </c>
      <c r="E90" s="30">
        <f t="shared" si="3"/>
        <v>48.18181818181818</v>
      </c>
      <c r="F90" s="30">
        <v>530</v>
      </c>
      <c r="G90" s="30">
        <v>200</v>
      </c>
      <c r="H90" s="13">
        <f t="shared" si="4"/>
        <v>330</v>
      </c>
      <c r="I90" s="1" t="s">
        <v>2115</v>
      </c>
      <c r="J90" s="30">
        <v>530</v>
      </c>
      <c r="K90" s="30"/>
      <c r="L90" s="1"/>
      <c r="M90" s="30"/>
      <c r="N90" s="1"/>
      <c r="O90" s="1"/>
    </row>
    <row r="91" spans="1:15" x14ac:dyDescent="0.3">
      <c r="A91" s="41">
        <v>45493</v>
      </c>
      <c r="B91" s="10" t="s">
        <v>1910</v>
      </c>
      <c r="C91" s="10" t="s">
        <v>14</v>
      </c>
      <c r="D91" s="30">
        <f t="shared" si="5"/>
        <v>199.99999999999997</v>
      </c>
      <c r="E91" s="30">
        <f t="shared" si="3"/>
        <v>19.999999999999996</v>
      </c>
      <c r="F91" s="30">
        <v>220</v>
      </c>
      <c r="G91" s="30">
        <v>50</v>
      </c>
      <c r="H91" s="13">
        <f t="shared" si="4"/>
        <v>170</v>
      </c>
      <c r="I91" s="1" t="s">
        <v>2116</v>
      </c>
      <c r="J91" s="30">
        <v>220</v>
      </c>
      <c r="K91" s="30"/>
      <c r="L91" s="1"/>
      <c r="M91" s="30"/>
      <c r="N91" s="1"/>
      <c r="O91" s="1"/>
    </row>
    <row r="92" spans="1:15" x14ac:dyDescent="0.3">
      <c r="A92" s="41">
        <v>45493</v>
      </c>
      <c r="B92" s="10" t="s">
        <v>1911</v>
      </c>
      <c r="C92" s="10" t="s">
        <v>14</v>
      </c>
      <c r="D92" s="30">
        <f t="shared" si="5"/>
        <v>127.27272727272727</v>
      </c>
      <c r="E92" s="30">
        <f t="shared" si="3"/>
        <v>12.727272727272727</v>
      </c>
      <c r="F92" s="30">
        <v>140</v>
      </c>
      <c r="G92" s="30"/>
      <c r="H92" s="13">
        <f t="shared" si="4"/>
        <v>140</v>
      </c>
      <c r="I92" s="1" t="s">
        <v>944</v>
      </c>
      <c r="J92" s="30">
        <v>140</v>
      </c>
      <c r="K92" s="30"/>
      <c r="L92" s="1"/>
      <c r="M92" s="30"/>
      <c r="N92" s="1"/>
      <c r="O92" s="1"/>
    </row>
    <row r="93" spans="1:15" x14ac:dyDescent="0.3">
      <c r="A93" s="41">
        <v>45493</v>
      </c>
      <c r="B93" s="10" t="s">
        <v>1912</v>
      </c>
      <c r="C93" s="10" t="s">
        <v>14</v>
      </c>
      <c r="D93" s="30">
        <f t="shared" si="5"/>
        <v>118.18181818181817</v>
      </c>
      <c r="E93" s="30">
        <f t="shared" si="3"/>
        <v>11.818181818181818</v>
      </c>
      <c r="F93" s="30">
        <v>130</v>
      </c>
      <c r="G93" s="30"/>
      <c r="H93" s="13">
        <f t="shared" si="4"/>
        <v>130</v>
      </c>
      <c r="I93" s="1" t="s">
        <v>403</v>
      </c>
      <c r="J93" s="30">
        <v>130</v>
      </c>
      <c r="K93" s="30"/>
      <c r="L93" s="1"/>
      <c r="M93" s="30"/>
      <c r="N93" s="1"/>
      <c r="O93" s="1"/>
    </row>
    <row r="94" spans="1:15" x14ac:dyDescent="0.3">
      <c r="A94" s="41">
        <v>45493</v>
      </c>
      <c r="B94" s="10" t="s">
        <v>1913</v>
      </c>
      <c r="C94" s="10" t="s">
        <v>14</v>
      </c>
      <c r="D94" s="30">
        <f t="shared" si="5"/>
        <v>172.72727272727272</v>
      </c>
      <c r="E94" s="30">
        <f t="shared" si="3"/>
        <v>17.272727272727273</v>
      </c>
      <c r="F94" s="30">
        <v>190</v>
      </c>
      <c r="G94" s="30">
        <v>50</v>
      </c>
      <c r="H94" s="13">
        <f t="shared" si="4"/>
        <v>140</v>
      </c>
      <c r="I94" s="1" t="s">
        <v>2117</v>
      </c>
      <c r="J94" s="30">
        <v>170</v>
      </c>
      <c r="K94" s="30">
        <v>20</v>
      </c>
      <c r="L94" s="1" t="s">
        <v>223</v>
      </c>
      <c r="M94" s="30"/>
      <c r="N94" s="1"/>
      <c r="O94" s="1"/>
    </row>
    <row r="95" spans="1:15" x14ac:dyDescent="0.3">
      <c r="A95" s="41">
        <v>45493</v>
      </c>
      <c r="B95" s="10" t="s">
        <v>1914</v>
      </c>
      <c r="C95" s="10" t="s">
        <v>14</v>
      </c>
      <c r="D95" s="30">
        <f t="shared" si="5"/>
        <v>195.45454545454544</v>
      </c>
      <c r="E95" s="30">
        <f t="shared" si="3"/>
        <v>19.545454545454547</v>
      </c>
      <c r="F95" s="30">
        <v>215</v>
      </c>
      <c r="G95" s="30">
        <v>50</v>
      </c>
      <c r="H95" s="13">
        <f t="shared" si="4"/>
        <v>165</v>
      </c>
      <c r="I95" s="1" t="s">
        <v>2118</v>
      </c>
      <c r="J95" s="30">
        <v>170</v>
      </c>
      <c r="K95" s="30"/>
      <c r="L95" s="1"/>
      <c r="M95" s="30">
        <v>45</v>
      </c>
      <c r="N95" s="1" t="s">
        <v>16</v>
      </c>
      <c r="O95" s="1"/>
    </row>
    <row r="96" spans="1:15" x14ac:dyDescent="0.3">
      <c r="A96" s="41">
        <v>45493</v>
      </c>
      <c r="B96" s="10" t="s">
        <v>1915</v>
      </c>
      <c r="C96" s="10" t="s">
        <v>14</v>
      </c>
      <c r="D96" s="30">
        <f t="shared" si="5"/>
        <v>154.54545454545453</v>
      </c>
      <c r="E96" s="30">
        <f t="shared" si="3"/>
        <v>15.454545454545453</v>
      </c>
      <c r="F96" s="30">
        <v>170</v>
      </c>
      <c r="G96" s="30">
        <v>50</v>
      </c>
      <c r="H96" s="13">
        <f t="shared" si="4"/>
        <v>120</v>
      </c>
      <c r="I96" s="1" t="s">
        <v>2055</v>
      </c>
      <c r="J96" s="30">
        <v>170</v>
      </c>
      <c r="K96" s="30"/>
      <c r="L96" s="1"/>
      <c r="M96" s="30"/>
      <c r="N96" s="1"/>
      <c r="O96" s="1"/>
    </row>
    <row r="97" spans="1:15" x14ac:dyDescent="0.3">
      <c r="A97" s="41">
        <v>45493</v>
      </c>
      <c r="B97" s="10" t="s">
        <v>1916</v>
      </c>
      <c r="C97" s="10" t="s">
        <v>14</v>
      </c>
      <c r="D97" s="30">
        <f t="shared" si="5"/>
        <v>154.54545454545453</v>
      </c>
      <c r="E97" s="30">
        <f t="shared" si="3"/>
        <v>15.454545454545453</v>
      </c>
      <c r="F97" s="30">
        <v>170</v>
      </c>
      <c r="G97" s="30">
        <v>50</v>
      </c>
      <c r="H97" s="13">
        <f t="shared" si="4"/>
        <v>120</v>
      </c>
      <c r="I97" s="1" t="s">
        <v>2119</v>
      </c>
      <c r="J97" s="30">
        <v>170</v>
      </c>
      <c r="K97" s="30"/>
      <c r="L97" s="1"/>
      <c r="M97" s="30"/>
      <c r="N97" s="1"/>
      <c r="O97" s="1"/>
    </row>
    <row r="98" spans="1:15" x14ac:dyDescent="0.3">
      <c r="A98" s="41">
        <v>45493</v>
      </c>
      <c r="B98" s="10" t="s">
        <v>1917</v>
      </c>
      <c r="C98" s="10" t="s">
        <v>14</v>
      </c>
      <c r="D98" s="30">
        <f t="shared" si="5"/>
        <v>154.54545454545453</v>
      </c>
      <c r="E98" s="30">
        <f t="shared" si="3"/>
        <v>15.454545454545453</v>
      </c>
      <c r="F98" s="30">
        <v>170</v>
      </c>
      <c r="G98" s="30">
        <v>50</v>
      </c>
      <c r="H98" s="13">
        <f t="shared" si="4"/>
        <v>120</v>
      </c>
      <c r="I98" s="1" t="s">
        <v>2055</v>
      </c>
      <c r="J98" s="30">
        <v>170</v>
      </c>
      <c r="K98" s="30"/>
      <c r="L98" s="1"/>
      <c r="M98" s="30"/>
      <c r="N98" s="1"/>
      <c r="O98" s="1"/>
    </row>
    <row r="99" spans="1:15" x14ac:dyDescent="0.3">
      <c r="A99" s="41">
        <v>45494</v>
      </c>
      <c r="B99" s="10" t="s">
        <v>1918</v>
      </c>
      <c r="C99" s="10" t="s">
        <v>14</v>
      </c>
      <c r="D99" s="30">
        <f t="shared" si="5"/>
        <v>218.18181818181816</v>
      </c>
      <c r="E99" s="30">
        <f t="shared" si="3"/>
        <v>21.818181818181817</v>
      </c>
      <c r="F99" s="30">
        <v>240</v>
      </c>
      <c r="G99" s="30">
        <v>50</v>
      </c>
      <c r="H99" s="13">
        <f t="shared" si="4"/>
        <v>190</v>
      </c>
      <c r="I99" s="1" t="s">
        <v>1460</v>
      </c>
      <c r="J99" s="30">
        <v>220</v>
      </c>
      <c r="K99" s="30">
        <v>20</v>
      </c>
      <c r="L99" s="1" t="s">
        <v>223</v>
      </c>
      <c r="M99" s="30"/>
      <c r="N99" s="1"/>
      <c r="O99" s="1"/>
    </row>
    <row r="100" spans="1:15" x14ac:dyDescent="0.3">
      <c r="A100" s="41">
        <v>45494</v>
      </c>
      <c r="B100" s="10" t="s">
        <v>1919</v>
      </c>
      <c r="C100" s="10" t="s">
        <v>14</v>
      </c>
      <c r="D100" s="30">
        <f t="shared" si="5"/>
        <v>227.27272727272725</v>
      </c>
      <c r="E100" s="30">
        <f t="shared" si="3"/>
        <v>22.727272727272727</v>
      </c>
      <c r="F100" s="30">
        <v>250</v>
      </c>
      <c r="G100" s="30">
        <v>50</v>
      </c>
      <c r="H100" s="13">
        <f t="shared" si="4"/>
        <v>200</v>
      </c>
      <c r="I100" s="1" t="s">
        <v>2055</v>
      </c>
      <c r="J100" s="30">
        <v>250</v>
      </c>
      <c r="K100" s="30"/>
      <c r="L100" s="1"/>
      <c r="M100" s="30"/>
      <c r="N100" s="1"/>
      <c r="O100" s="1"/>
    </row>
    <row r="101" spans="1:15" x14ac:dyDescent="0.3">
      <c r="A101" s="41">
        <v>45494</v>
      </c>
      <c r="B101" s="10" t="s">
        <v>1920</v>
      </c>
      <c r="C101" s="10" t="s">
        <v>14</v>
      </c>
      <c r="D101" s="30">
        <f t="shared" si="5"/>
        <v>172.72727272727272</v>
      </c>
      <c r="E101" s="30">
        <f t="shared" si="3"/>
        <v>17.272727272727273</v>
      </c>
      <c r="F101" s="30">
        <v>190</v>
      </c>
      <c r="G101" s="30">
        <v>50</v>
      </c>
      <c r="H101" s="13">
        <f t="shared" si="4"/>
        <v>140</v>
      </c>
      <c r="I101" s="1" t="s">
        <v>2120</v>
      </c>
      <c r="J101" s="30">
        <v>170</v>
      </c>
      <c r="K101" s="30">
        <v>20</v>
      </c>
      <c r="L101" s="1" t="s">
        <v>223</v>
      </c>
      <c r="M101" s="30"/>
      <c r="N101" s="1"/>
      <c r="O101" s="1"/>
    </row>
    <row r="102" spans="1:15" x14ac:dyDescent="0.3">
      <c r="A102" s="41">
        <v>45496</v>
      </c>
      <c r="B102" s="10" t="s">
        <v>1921</v>
      </c>
      <c r="C102" s="10" t="s">
        <v>14</v>
      </c>
      <c r="D102" s="30">
        <f t="shared" si="5"/>
        <v>154.54545454545453</v>
      </c>
      <c r="E102" s="30">
        <f t="shared" si="3"/>
        <v>15.454545454545453</v>
      </c>
      <c r="F102" s="30">
        <v>170</v>
      </c>
      <c r="G102" s="30">
        <v>50</v>
      </c>
      <c r="H102" s="13">
        <f t="shared" si="4"/>
        <v>120</v>
      </c>
      <c r="I102" s="1" t="s">
        <v>2121</v>
      </c>
      <c r="J102" s="30">
        <v>170</v>
      </c>
      <c r="K102" s="30"/>
      <c r="L102" s="1"/>
      <c r="M102" s="30"/>
      <c r="N102" s="1"/>
      <c r="O102" s="1"/>
    </row>
    <row r="103" spans="1:15" x14ac:dyDescent="0.3">
      <c r="A103" s="41">
        <v>45496</v>
      </c>
      <c r="B103" s="10" t="s">
        <v>1922</v>
      </c>
      <c r="C103" s="10" t="s">
        <v>14</v>
      </c>
      <c r="D103" s="30">
        <f t="shared" si="5"/>
        <v>254.54545454545453</v>
      </c>
      <c r="E103" s="30">
        <f t="shared" si="3"/>
        <v>25.454545454545453</v>
      </c>
      <c r="F103" s="30">
        <v>280</v>
      </c>
      <c r="G103" s="30">
        <v>50</v>
      </c>
      <c r="H103" s="13">
        <f t="shared" si="4"/>
        <v>230</v>
      </c>
      <c r="I103" s="1" t="s">
        <v>2122</v>
      </c>
      <c r="J103" s="30">
        <v>280</v>
      </c>
      <c r="K103" s="30"/>
      <c r="L103" s="1"/>
      <c r="M103" s="30"/>
      <c r="N103" s="1"/>
      <c r="O103" s="1"/>
    </row>
    <row r="104" spans="1:15" x14ac:dyDescent="0.3">
      <c r="A104" s="41">
        <v>45497</v>
      </c>
      <c r="B104" s="10" t="s">
        <v>1923</v>
      </c>
      <c r="C104" s="10" t="s">
        <v>14</v>
      </c>
      <c r="D104" s="30">
        <f t="shared" si="5"/>
        <v>218.18181818181816</v>
      </c>
      <c r="E104" s="30">
        <f t="shared" si="3"/>
        <v>21.818181818181817</v>
      </c>
      <c r="F104" s="30">
        <v>240</v>
      </c>
      <c r="G104" s="30"/>
      <c r="H104" s="13">
        <f t="shared" si="4"/>
        <v>240</v>
      </c>
      <c r="I104" s="1" t="s">
        <v>2123</v>
      </c>
      <c r="J104" s="30">
        <v>240</v>
      </c>
      <c r="K104" s="30"/>
      <c r="L104" s="1"/>
      <c r="M104" s="30"/>
      <c r="N104" s="1"/>
      <c r="O104" s="1"/>
    </row>
    <row r="105" spans="1:15" x14ac:dyDescent="0.3">
      <c r="A105" s="41">
        <v>45497</v>
      </c>
      <c r="B105" s="10" t="s">
        <v>1924</v>
      </c>
      <c r="C105" s="10" t="s">
        <v>14</v>
      </c>
      <c r="D105" s="30">
        <f t="shared" si="5"/>
        <v>154.54545454545453</v>
      </c>
      <c r="E105" s="30">
        <f t="shared" si="3"/>
        <v>15.454545454545453</v>
      </c>
      <c r="F105" s="30">
        <v>170</v>
      </c>
      <c r="G105" s="30">
        <v>50</v>
      </c>
      <c r="H105" s="13">
        <f t="shared" si="4"/>
        <v>120</v>
      </c>
      <c r="I105" s="1" t="s">
        <v>2124</v>
      </c>
      <c r="J105" s="30">
        <v>170</v>
      </c>
      <c r="K105" s="30"/>
      <c r="L105" s="1"/>
      <c r="M105" s="30"/>
      <c r="N105" s="1"/>
      <c r="O105" s="1"/>
    </row>
    <row r="106" spans="1:15" x14ac:dyDescent="0.3">
      <c r="A106" s="41">
        <v>45497</v>
      </c>
      <c r="B106" s="10" t="s">
        <v>1925</v>
      </c>
      <c r="C106" s="10" t="s">
        <v>14</v>
      </c>
      <c r="D106" s="30">
        <f t="shared" si="5"/>
        <v>245.45454545454544</v>
      </c>
      <c r="E106" s="30">
        <f t="shared" si="3"/>
        <v>24.545454545454547</v>
      </c>
      <c r="F106" s="30">
        <v>270</v>
      </c>
      <c r="G106" s="30">
        <v>50</v>
      </c>
      <c r="H106" s="13">
        <f t="shared" si="4"/>
        <v>220</v>
      </c>
      <c r="I106" s="1" t="s">
        <v>2122</v>
      </c>
      <c r="J106" s="30">
        <v>270</v>
      </c>
      <c r="K106" s="30"/>
      <c r="L106" s="1"/>
      <c r="M106" s="30"/>
      <c r="N106" s="1"/>
      <c r="O106" s="1"/>
    </row>
    <row r="107" spans="1:15" x14ac:dyDescent="0.3">
      <c r="A107" s="41">
        <v>45497</v>
      </c>
      <c r="B107" s="10" t="s">
        <v>1926</v>
      </c>
      <c r="C107" s="10" t="s">
        <v>14</v>
      </c>
      <c r="D107" s="30">
        <f t="shared" si="5"/>
        <v>199.99999999999997</v>
      </c>
      <c r="E107" s="30">
        <f t="shared" si="3"/>
        <v>19.999999999999996</v>
      </c>
      <c r="F107" s="30">
        <v>220</v>
      </c>
      <c r="G107" s="30">
        <v>50</v>
      </c>
      <c r="H107" s="13">
        <f t="shared" si="4"/>
        <v>170</v>
      </c>
      <c r="I107" s="1" t="s">
        <v>2055</v>
      </c>
      <c r="J107" s="30">
        <v>220</v>
      </c>
      <c r="K107" s="30"/>
      <c r="L107" s="1"/>
      <c r="M107" s="30"/>
      <c r="N107" s="1"/>
      <c r="O107" s="1"/>
    </row>
    <row r="108" spans="1:15" x14ac:dyDescent="0.3">
      <c r="A108" s="41">
        <v>45497</v>
      </c>
      <c r="B108" s="10" t="s">
        <v>1927</v>
      </c>
      <c r="C108" s="10" t="s">
        <v>14</v>
      </c>
      <c r="D108" s="30">
        <f t="shared" si="5"/>
        <v>154.54545454545453</v>
      </c>
      <c r="E108" s="30">
        <f t="shared" si="3"/>
        <v>15.454545454545453</v>
      </c>
      <c r="F108" s="30">
        <v>170</v>
      </c>
      <c r="G108" s="30">
        <v>50</v>
      </c>
      <c r="H108" s="13">
        <f t="shared" si="4"/>
        <v>120</v>
      </c>
      <c r="I108" s="1" t="s">
        <v>2125</v>
      </c>
      <c r="J108" s="30">
        <v>170</v>
      </c>
      <c r="K108" s="30"/>
      <c r="L108" s="1"/>
      <c r="M108" s="30"/>
      <c r="N108" s="1"/>
      <c r="O108" s="1"/>
    </row>
    <row r="109" spans="1:15" x14ac:dyDescent="0.3">
      <c r="A109" s="41">
        <v>45497</v>
      </c>
      <c r="B109" s="10" t="s">
        <v>1928</v>
      </c>
      <c r="C109" s="10" t="s">
        <v>14</v>
      </c>
      <c r="D109" s="30">
        <f t="shared" si="5"/>
        <v>154.54545454545453</v>
      </c>
      <c r="E109" s="30">
        <f t="shared" si="3"/>
        <v>15.454545454545453</v>
      </c>
      <c r="F109" s="30">
        <v>170</v>
      </c>
      <c r="G109" s="30">
        <v>50</v>
      </c>
      <c r="H109" s="13">
        <f t="shared" si="4"/>
        <v>120</v>
      </c>
      <c r="I109" s="1" t="s">
        <v>2088</v>
      </c>
      <c r="J109" s="30">
        <v>170</v>
      </c>
      <c r="K109" s="30"/>
      <c r="L109" s="1"/>
      <c r="M109" s="30"/>
      <c r="N109" s="1"/>
      <c r="O109" s="1"/>
    </row>
    <row r="110" spans="1:15" x14ac:dyDescent="0.3">
      <c r="A110" s="41">
        <v>45498</v>
      </c>
      <c r="B110" s="10" t="s">
        <v>1929</v>
      </c>
      <c r="C110" s="10" t="s">
        <v>14</v>
      </c>
      <c r="D110" s="30">
        <f t="shared" si="5"/>
        <v>372.72727272727269</v>
      </c>
      <c r="E110" s="30">
        <f t="shared" si="3"/>
        <v>37.272727272727273</v>
      </c>
      <c r="F110" s="30">
        <v>410</v>
      </c>
      <c r="G110" s="30">
        <v>50</v>
      </c>
      <c r="H110" s="13">
        <f t="shared" si="4"/>
        <v>360</v>
      </c>
      <c r="I110" s="1" t="s">
        <v>2126</v>
      </c>
      <c r="J110" s="30">
        <v>460</v>
      </c>
      <c r="K110" s="30"/>
      <c r="L110" s="1"/>
      <c r="M110" s="30"/>
      <c r="N110" s="1"/>
      <c r="O110" s="1"/>
    </row>
    <row r="111" spans="1:15" x14ac:dyDescent="0.3">
      <c r="A111" s="41">
        <v>45498</v>
      </c>
      <c r="B111" s="10" t="s">
        <v>1930</v>
      </c>
      <c r="C111" s="10" t="s">
        <v>14</v>
      </c>
      <c r="D111" s="30">
        <f t="shared" si="5"/>
        <v>154.54545454545453</v>
      </c>
      <c r="E111" s="30">
        <f t="shared" si="3"/>
        <v>15.454545454545453</v>
      </c>
      <c r="F111" s="30">
        <v>170</v>
      </c>
      <c r="G111" s="30">
        <v>50</v>
      </c>
      <c r="H111" s="13">
        <f t="shared" si="4"/>
        <v>120</v>
      </c>
      <c r="I111" s="1" t="s">
        <v>2127</v>
      </c>
      <c r="J111" s="30">
        <v>170</v>
      </c>
      <c r="K111" s="30"/>
      <c r="L111" s="1"/>
      <c r="M111" s="30"/>
      <c r="N111" s="1"/>
      <c r="O111" s="1"/>
    </row>
    <row r="112" spans="1:15" x14ac:dyDescent="0.3">
      <c r="A112" s="41">
        <v>45498</v>
      </c>
      <c r="B112" s="10" t="s">
        <v>1931</v>
      </c>
      <c r="C112" s="10" t="s">
        <v>14</v>
      </c>
      <c r="D112" s="30">
        <f t="shared" si="5"/>
        <v>154.54545454545453</v>
      </c>
      <c r="E112" s="30">
        <f t="shared" si="3"/>
        <v>15.454545454545453</v>
      </c>
      <c r="F112" s="30">
        <v>170</v>
      </c>
      <c r="G112" s="30">
        <v>50</v>
      </c>
      <c r="H112" s="13">
        <f t="shared" si="4"/>
        <v>120</v>
      </c>
      <c r="I112" s="1" t="s">
        <v>2128</v>
      </c>
      <c r="J112" s="30">
        <v>170</v>
      </c>
      <c r="K112" s="30"/>
      <c r="L112" s="1"/>
      <c r="M112" s="30"/>
      <c r="N112" s="1"/>
      <c r="O112" s="1"/>
    </row>
    <row r="113" spans="1:15" x14ac:dyDescent="0.3">
      <c r="A113" s="41">
        <v>45499</v>
      </c>
      <c r="B113" s="10" t="s">
        <v>1932</v>
      </c>
      <c r="C113" s="10" t="s">
        <v>14</v>
      </c>
      <c r="D113" s="30">
        <f t="shared" si="5"/>
        <v>0</v>
      </c>
      <c r="E113" s="30">
        <f t="shared" si="3"/>
        <v>0</v>
      </c>
      <c r="F113" s="30"/>
      <c r="G113" s="30"/>
      <c r="H113" s="13">
        <f t="shared" si="4"/>
        <v>0</v>
      </c>
      <c r="I113" s="1"/>
      <c r="J113" s="30"/>
      <c r="K113" s="30"/>
      <c r="L113" s="1"/>
      <c r="M113" s="30"/>
      <c r="N113" s="1"/>
      <c r="O113" s="1"/>
    </row>
    <row r="114" spans="1:15" x14ac:dyDescent="0.3">
      <c r="A114" s="41">
        <v>46594</v>
      </c>
      <c r="B114" s="10" t="s">
        <v>1933</v>
      </c>
      <c r="C114" s="10" t="s">
        <v>14</v>
      </c>
      <c r="D114" s="30">
        <f t="shared" si="5"/>
        <v>0</v>
      </c>
      <c r="E114" s="30">
        <f t="shared" si="3"/>
        <v>0</v>
      </c>
      <c r="F114" s="30"/>
      <c r="G114" s="30"/>
      <c r="H114" s="13">
        <f t="shared" si="4"/>
        <v>0</v>
      </c>
      <c r="I114" s="1"/>
      <c r="J114" s="30"/>
      <c r="K114" s="30"/>
      <c r="L114" s="1"/>
      <c r="M114" s="30"/>
      <c r="N114" s="1"/>
      <c r="O114" s="1"/>
    </row>
    <row r="115" spans="1:15" x14ac:dyDescent="0.3">
      <c r="A115" s="41">
        <v>45500</v>
      </c>
      <c r="B115" s="10" t="s">
        <v>1934</v>
      </c>
      <c r="C115" s="10" t="s">
        <v>14</v>
      </c>
      <c r="D115" s="30">
        <f t="shared" si="5"/>
        <v>190.90909090909091</v>
      </c>
      <c r="E115" s="30">
        <f t="shared" si="3"/>
        <v>19.09090909090909</v>
      </c>
      <c r="F115" s="30">
        <v>210</v>
      </c>
      <c r="G115" s="30">
        <v>50</v>
      </c>
      <c r="H115" s="13">
        <f t="shared" si="4"/>
        <v>160</v>
      </c>
      <c r="I115" s="1" t="s">
        <v>2129</v>
      </c>
      <c r="J115" s="30">
        <v>170</v>
      </c>
      <c r="K115" s="30">
        <v>40</v>
      </c>
      <c r="L115" s="1" t="s">
        <v>223</v>
      </c>
      <c r="M115" s="30"/>
      <c r="N115" s="1"/>
      <c r="O115" s="1"/>
    </row>
    <row r="116" spans="1:15" x14ac:dyDescent="0.3">
      <c r="A116" s="41">
        <v>45500</v>
      </c>
      <c r="B116" s="10" t="s">
        <v>1935</v>
      </c>
      <c r="C116" s="10" t="s">
        <v>14</v>
      </c>
      <c r="D116" s="30">
        <f t="shared" si="5"/>
        <v>127.27272727272727</v>
      </c>
      <c r="E116" s="30">
        <f t="shared" si="3"/>
        <v>12.727272727272727</v>
      </c>
      <c r="F116" s="30">
        <v>140</v>
      </c>
      <c r="G116" s="30"/>
      <c r="H116" s="13">
        <f t="shared" si="4"/>
        <v>140</v>
      </c>
      <c r="I116" s="1" t="s">
        <v>721</v>
      </c>
      <c r="J116" s="30">
        <v>140</v>
      </c>
      <c r="K116" s="30"/>
      <c r="L116" s="1"/>
      <c r="M116" s="30"/>
      <c r="N116" s="1"/>
      <c r="O116" s="1"/>
    </row>
    <row r="117" spans="1:15" x14ac:dyDescent="0.3">
      <c r="A117" s="41">
        <v>45500</v>
      </c>
      <c r="B117" s="10" t="s">
        <v>1936</v>
      </c>
      <c r="C117" s="10" t="s">
        <v>14</v>
      </c>
      <c r="D117" s="30">
        <f t="shared" si="5"/>
        <v>90.909090909090907</v>
      </c>
      <c r="E117" s="30">
        <f t="shared" si="3"/>
        <v>9.0909090909090899</v>
      </c>
      <c r="F117" s="30">
        <v>100</v>
      </c>
      <c r="G117" s="30"/>
      <c r="H117" s="13">
        <f t="shared" si="4"/>
        <v>100</v>
      </c>
      <c r="I117" s="1" t="s">
        <v>402</v>
      </c>
      <c r="J117" s="30">
        <v>100</v>
      </c>
      <c r="K117" s="30"/>
      <c r="L117" s="1"/>
      <c r="M117" s="30"/>
      <c r="N117" s="1"/>
      <c r="O117" s="1"/>
    </row>
    <row r="118" spans="1:15" x14ac:dyDescent="0.3">
      <c r="A118" s="41">
        <v>45500</v>
      </c>
      <c r="B118" s="10" t="s">
        <v>1937</v>
      </c>
      <c r="C118" s="10" t="s">
        <v>14</v>
      </c>
      <c r="D118" s="30">
        <f t="shared" si="5"/>
        <v>154.54545454545453</v>
      </c>
      <c r="E118" s="30">
        <f t="shared" si="3"/>
        <v>15.454545454545453</v>
      </c>
      <c r="F118" s="30">
        <v>170</v>
      </c>
      <c r="G118" s="30">
        <v>50</v>
      </c>
      <c r="H118" s="13">
        <f t="shared" si="4"/>
        <v>120</v>
      </c>
      <c r="I118" s="1" t="s">
        <v>2130</v>
      </c>
      <c r="J118" s="30">
        <v>170</v>
      </c>
      <c r="K118" s="30"/>
      <c r="L118" s="1"/>
      <c r="M118" s="30"/>
      <c r="N118" s="1"/>
      <c r="O118" s="1"/>
    </row>
    <row r="119" spans="1:15" x14ac:dyDescent="0.3">
      <c r="A119" s="41">
        <v>46595</v>
      </c>
      <c r="B119" s="10" t="s">
        <v>1938</v>
      </c>
      <c r="C119" s="10" t="s">
        <v>14</v>
      </c>
      <c r="D119" s="30">
        <f t="shared" si="5"/>
        <v>545.45454545454538</v>
      </c>
      <c r="E119" s="30">
        <f t="shared" si="3"/>
        <v>54.54545454545454</v>
      </c>
      <c r="F119" s="30">
        <v>600</v>
      </c>
      <c r="G119" s="30">
        <v>100</v>
      </c>
      <c r="H119" s="13">
        <f t="shared" si="4"/>
        <v>500</v>
      </c>
      <c r="I119" s="1" t="s">
        <v>2131</v>
      </c>
      <c r="J119" s="30">
        <v>550</v>
      </c>
      <c r="K119" s="30"/>
      <c r="L119" s="1"/>
      <c r="M119" s="30"/>
      <c r="N119" s="1"/>
      <c r="O119" s="1"/>
    </row>
    <row r="120" spans="1:15" x14ac:dyDescent="0.3">
      <c r="A120" s="41">
        <v>46595</v>
      </c>
      <c r="B120" s="10" t="s">
        <v>1939</v>
      </c>
      <c r="C120" s="10" t="s">
        <v>14</v>
      </c>
      <c r="D120" s="30">
        <f t="shared" si="5"/>
        <v>263.63636363636363</v>
      </c>
      <c r="E120" s="30">
        <f t="shared" si="3"/>
        <v>26.36363636363636</v>
      </c>
      <c r="F120" s="30">
        <v>290</v>
      </c>
      <c r="G120" s="30">
        <v>50</v>
      </c>
      <c r="H120" s="13">
        <f t="shared" si="4"/>
        <v>240</v>
      </c>
      <c r="I120" s="1" t="s">
        <v>2132</v>
      </c>
      <c r="J120" s="30">
        <v>270</v>
      </c>
      <c r="K120" s="30">
        <v>20</v>
      </c>
      <c r="L120" s="1" t="s">
        <v>223</v>
      </c>
      <c r="M120" s="30"/>
      <c r="N120" s="1"/>
      <c r="O120" s="1"/>
    </row>
    <row r="121" spans="1:15" x14ac:dyDescent="0.3">
      <c r="A121" s="41">
        <v>45500</v>
      </c>
      <c r="B121" s="10" t="s">
        <v>1940</v>
      </c>
      <c r="C121" s="10" t="s">
        <v>14</v>
      </c>
      <c r="D121" s="30">
        <f t="shared" si="5"/>
        <v>154.54545454545453</v>
      </c>
      <c r="E121" s="30">
        <f t="shared" si="3"/>
        <v>15.454545454545453</v>
      </c>
      <c r="F121" s="30">
        <v>170</v>
      </c>
      <c r="G121" s="30">
        <v>50</v>
      </c>
      <c r="H121" s="13">
        <f t="shared" si="4"/>
        <v>120</v>
      </c>
      <c r="I121" s="1" t="s">
        <v>2133</v>
      </c>
      <c r="J121" s="30">
        <v>170</v>
      </c>
      <c r="K121" s="30"/>
      <c r="L121" s="1"/>
      <c r="M121" s="30"/>
      <c r="N121" s="1"/>
      <c r="O121" s="1"/>
    </row>
    <row r="122" spans="1:15" x14ac:dyDescent="0.3">
      <c r="A122" s="41">
        <v>45500</v>
      </c>
      <c r="B122" s="10" t="s">
        <v>1941</v>
      </c>
      <c r="C122" s="10" t="s">
        <v>14</v>
      </c>
      <c r="D122" s="30">
        <f t="shared" si="5"/>
        <v>227.27272727272725</v>
      </c>
      <c r="E122" s="30">
        <f t="shared" si="3"/>
        <v>22.727272727272727</v>
      </c>
      <c r="F122" s="30">
        <v>250</v>
      </c>
      <c r="G122" s="30">
        <v>50</v>
      </c>
      <c r="H122" s="13">
        <f t="shared" si="4"/>
        <v>200</v>
      </c>
      <c r="I122" s="1" t="s">
        <v>2134</v>
      </c>
      <c r="J122" s="30">
        <v>220</v>
      </c>
      <c r="K122" s="30">
        <v>30</v>
      </c>
      <c r="L122" s="1" t="s">
        <v>223</v>
      </c>
      <c r="M122" s="30"/>
      <c r="N122" s="1"/>
      <c r="O122" s="1"/>
    </row>
    <row r="123" spans="1:15" x14ac:dyDescent="0.3">
      <c r="A123" s="41">
        <v>45500</v>
      </c>
      <c r="B123" s="10" t="s">
        <v>1942</v>
      </c>
      <c r="C123" s="10" t="s">
        <v>14</v>
      </c>
      <c r="D123" s="30">
        <f t="shared" si="5"/>
        <v>154.54545454545453</v>
      </c>
      <c r="E123" s="30">
        <f t="shared" si="3"/>
        <v>15.454545454545453</v>
      </c>
      <c r="F123" s="30">
        <v>170</v>
      </c>
      <c r="G123" s="30">
        <v>50</v>
      </c>
      <c r="H123" s="13">
        <f t="shared" si="4"/>
        <v>120</v>
      </c>
      <c r="I123" s="1" t="s">
        <v>2055</v>
      </c>
      <c r="J123" s="30">
        <v>170</v>
      </c>
      <c r="K123" s="30"/>
      <c r="L123" s="1"/>
      <c r="M123" s="30"/>
      <c r="N123" s="1"/>
      <c r="O123" s="1"/>
    </row>
    <row r="124" spans="1:15" x14ac:dyDescent="0.3">
      <c r="A124" s="41">
        <v>45500</v>
      </c>
      <c r="B124" s="10" t="s">
        <v>1943</v>
      </c>
      <c r="C124" s="10" t="s">
        <v>14</v>
      </c>
      <c r="D124" s="30">
        <f t="shared" si="5"/>
        <v>345.45454545454544</v>
      </c>
      <c r="E124" s="30">
        <f t="shared" si="3"/>
        <v>34.545454545454547</v>
      </c>
      <c r="F124" s="30">
        <v>380</v>
      </c>
      <c r="G124" s="30"/>
      <c r="H124" s="13">
        <f t="shared" si="4"/>
        <v>380</v>
      </c>
      <c r="I124" s="1" t="s">
        <v>402</v>
      </c>
      <c r="J124" s="30">
        <v>380</v>
      </c>
      <c r="K124" s="30"/>
      <c r="L124" s="1"/>
      <c r="M124" s="30"/>
      <c r="N124" s="1"/>
      <c r="O124" s="1"/>
    </row>
    <row r="125" spans="1:15" x14ac:dyDescent="0.3">
      <c r="A125" s="41">
        <v>46595</v>
      </c>
      <c r="B125" s="10" t="s">
        <v>1944</v>
      </c>
      <c r="C125" s="10" t="s">
        <v>14</v>
      </c>
      <c r="D125" s="30">
        <f t="shared" si="5"/>
        <v>263.63636363636363</v>
      </c>
      <c r="E125" s="30">
        <f t="shared" si="3"/>
        <v>26.36363636363636</v>
      </c>
      <c r="F125" s="30">
        <v>290</v>
      </c>
      <c r="G125" s="30">
        <v>50</v>
      </c>
      <c r="H125" s="13">
        <f t="shared" si="4"/>
        <v>240</v>
      </c>
      <c r="I125" s="1" t="s">
        <v>2135</v>
      </c>
      <c r="J125" s="30">
        <v>270</v>
      </c>
      <c r="K125" s="30">
        <v>20</v>
      </c>
      <c r="L125" s="1" t="s">
        <v>223</v>
      </c>
      <c r="M125" s="30"/>
      <c r="N125" s="1"/>
      <c r="O125" s="1"/>
    </row>
    <row r="126" spans="1:15" x14ac:dyDescent="0.3">
      <c r="A126" s="41">
        <v>46595</v>
      </c>
      <c r="B126" s="10" t="s">
        <v>1945</v>
      </c>
      <c r="C126" s="10" t="s">
        <v>14</v>
      </c>
      <c r="D126" s="30">
        <f t="shared" si="5"/>
        <v>309.09090909090907</v>
      </c>
      <c r="E126" s="30">
        <f t="shared" si="3"/>
        <v>30.909090909090907</v>
      </c>
      <c r="F126" s="30">
        <v>340</v>
      </c>
      <c r="G126" s="30">
        <v>50</v>
      </c>
      <c r="H126" s="13">
        <f t="shared" si="4"/>
        <v>290</v>
      </c>
      <c r="I126" s="103" t="s">
        <v>2136</v>
      </c>
      <c r="J126" s="30">
        <v>270</v>
      </c>
      <c r="K126" s="30">
        <v>70</v>
      </c>
      <c r="L126" s="1" t="s">
        <v>223</v>
      </c>
      <c r="M126" s="30"/>
      <c r="N126" s="1"/>
      <c r="O126" s="1"/>
    </row>
    <row r="127" spans="1:15" x14ac:dyDescent="0.3">
      <c r="A127" s="41">
        <v>45500</v>
      </c>
      <c r="B127" s="10" t="s">
        <v>1946</v>
      </c>
      <c r="C127" s="10" t="s">
        <v>14</v>
      </c>
      <c r="D127" s="30">
        <f t="shared" si="5"/>
        <v>136.36363636363635</v>
      </c>
      <c r="E127" s="30">
        <f t="shared" si="3"/>
        <v>13.636363636363635</v>
      </c>
      <c r="F127" s="30">
        <v>150</v>
      </c>
      <c r="G127" s="30">
        <v>50</v>
      </c>
      <c r="H127" s="13">
        <f t="shared" si="4"/>
        <v>100</v>
      </c>
      <c r="I127" s="1" t="s">
        <v>2137</v>
      </c>
      <c r="J127" s="30">
        <v>150</v>
      </c>
      <c r="K127" s="30"/>
      <c r="L127" s="1"/>
      <c r="M127" s="30"/>
      <c r="N127" s="1"/>
      <c r="O127" s="1"/>
    </row>
    <row r="128" spans="1:15" x14ac:dyDescent="0.3">
      <c r="A128" s="41">
        <v>45500</v>
      </c>
      <c r="B128" s="10" t="s">
        <v>1947</v>
      </c>
      <c r="C128" s="10" t="s">
        <v>14</v>
      </c>
      <c r="D128" s="30">
        <f t="shared" si="5"/>
        <v>199.99999999999997</v>
      </c>
      <c r="E128" s="30">
        <f t="shared" si="3"/>
        <v>19.999999999999996</v>
      </c>
      <c r="F128" s="30">
        <v>220</v>
      </c>
      <c r="G128" s="30">
        <v>50</v>
      </c>
      <c r="H128" s="13">
        <f t="shared" si="4"/>
        <v>170</v>
      </c>
      <c r="I128" s="1" t="s">
        <v>2138</v>
      </c>
      <c r="J128" s="30">
        <v>220</v>
      </c>
      <c r="K128" s="30"/>
      <c r="L128" s="1"/>
      <c r="M128" s="30"/>
      <c r="N128" s="1"/>
      <c r="O128" s="1"/>
    </row>
    <row r="129" spans="1:15" x14ac:dyDescent="0.3">
      <c r="A129" s="41">
        <v>46595</v>
      </c>
      <c r="B129" s="10" t="s">
        <v>1948</v>
      </c>
      <c r="C129" s="10" t="s">
        <v>14</v>
      </c>
      <c r="D129" s="30">
        <f t="shared" si="5"/>
        <v>263.63636363636363</v>
      </c>
      <c r="E129" s="30">
        <f t="shared" si="3"/>
        <v>26.36363636363636</v>
      </c>
      <c r="F129" s="30">
        <v>290</v>
      </c>
      <c r="G129" s="30">
        <v>50</v>
      </c>
      <c r="H129" s="13">
        <f t="shared" si="4"/>
        <v>240</v>
      </c>
      <c r="I129" s="1" t="s">
        <v>2139</v>
      </c>
      <c r="J129" s="30">
        <v>270</v>
      </c>
      <c r="K129" s="30">
        <v>20</v>
      </c>
      <c r="L129" s="1" t="s">
        <v>223</v>
      </c>
      <c r="M129" s="30"/>
      <c r="N129" s="1"/>
      <c r="O129" s="1"/>
    </row>
    <row r="130" spans="1:15" x14ac:dyDescent="0.3">
      <c r="A130" s="41">
        <v>46595</v>
      </c>
      <c r="B130" s="10" t="s">
        <v>1949</v>
      </c>
      <c r="C130" s="10" t="s">
        <v>14</v>
      </c>
      <c r="D130" s="30">
        <f t="shared" si="5"/>
        <v>104.54545454545453</v>
      </c>
      <c r="E130" s="30">
        <f t="shared" si="3"/>
        <v>10.454545454545453</v>
      </c>
      <c r="F130" s="30">
        <v>115</v>
      </c>
      <c r="G130" s="30"/>
      <c r="H130" s="13">
        <f t="shared" si="4"/>
        <v>115</v>
      </c>
      <c r="I130" s="1" t="s">
        <v>403</v>
      </c>
      <c r="J130" s="30">
        <v>115</v>
      </c>
      <c r="K130" s="30"/>
      <c r="L130" s="1"/>
      <c r="M130" s="30"/>
      <c r="N130" s="1"/>
      <c r="O130" s="1"/>
    </row>
    <row r="131" spans="1:15" x14ac:dyDescent="0.3">
      <c r="A131" s="41">
        <v>45500</v>
      </c>
      <c r="B131" s="10" t="s">
        <v>1950</v>
      </c>
      <c r="C131" s="10" t="s">
        <v>14</v>
      </c>
      <c r="D131" s="30">
        <f t="shared" si="5"/>
        <v>150</v>
      </c>
      <c r="E131" s="30">
        <f t="shared" ref="E131:E144" si="6">D131*10/100</f>
        <v>15</v>
      </c>
      <c r="F131" s="30">
        <v>165</v>
      </c>
      <c r="G131" s="30"/>
      <c r="H131" s="13">
        <f t="shared" ref="H131:H144" si="7">F131-G131</f>
        <v>165</v>
      </c>
      <c r="I131" s="1" t="s">
        <v>403</v>
      </c>
      <c r="J131" s="30">
        <v>165</v>
      </c>
      <c r="K131" s="30"/>
      <c r="L131" s="1"/>
      <c r="M131" s="30"/>
      <c r="N131" s="1"/>
      <c r="O131" s="1"/>
    </row>
    <row r="132" spans="1:15" x14ac:dyDescent="0.3">
      <c r="A132" s="41">
        <v>45500</v>
      </c>
      <c r="B132" s="10" t="s">
        <v>1951</v>
      </c>
      <c r="C132" s="10" t="s">
        <v>14</v>
      </c>
      <c r="D132" s="30">
        <f t="shared" ref="D132:D144" si="8">F132/1.1</f>
        <v>336.36363636363632</v>
      </c>
      <c r="E132" s="30">
        <f t="shared" si="6"/>
        <v>33.636363636363633</v>
      </c>
      <c r="F132" s="30">
        <v>370</v>
      </c>
      <c r="G132" s="30">
        <v>50</v>
      </c>
      <c r="H132" s="13">
        <f t="shared" si="7"/>
        <v>320</v>
      </c>
      <c r="I132" s="1" t="s">
        <v>2140</v>
      </c>
      <c r="J132" s="30">
        <v>370</v>
      </c>
      <c r="K132" s="30"/>
      <c r="L132" s="1"/>
      <c r="M132" s="30"/>
      <c r="N132" s="1"/>
      <c r="O132" s="1"/>
    </row>
    <row r="133" spans="1:15" x14ac:dyDescent="0.3">
      <c r="A133" s="41">
        <v>45501</v>
      </c>
      <c r="B133" s="10" t="s">
        <v>1952</v>
      </c>
      <c r="C133" s="10" t="s">
        <v>14</v>
      </c>
      <c r="D133" s="30">
        <f t="shared" si="8"/>
        <v>199.99999999999997</v>
      </c>
      <c r="E133" s="30">
        <f t="shared" si="6"/>
        <v>19.999999999999996</v>
      </c>
      <c r="F133" s="30">
        <v>220</v>
      </c>
      <c r="G133" s="30">
        <v>50</v>
      </c>
      <c r="H133" s="13">
        <f t="shared" si="7"/>
        <v>170</v>
      </c>
      <c r="I133" s="1" t="s">
        <v>2141</v>
      </c>
      <c r="J133" s="30">
        <v>220</v>
      </c>
      <c r="K133" s="30"/>
      <c r="L133" s="1"/>
      <c r="M133" s="30"/>
      <c r="N133" s="1"/>
      <c r="O133" s="1"/>
    </row>
    <row r="134" spans="1:15" x14ac:dyDescent="0.3">
      <c r="A134" s="41">
        <v>45501</v>
      </c>
      <c r="B134" s="10" t="s">
        <v>1953</v>
      </c>
      <c r="C134" s="10" t="s">
        <v>14</v>
      </c>
      <c r="D134" s="30">
        <f t="shared" si="8"/>
        <v>90.909090909090907</v>
      </c>
      <c r="E134" s="30">
        <f t="shared" si="6"/>
        <v>9.0909090909090899</v>
      </c>
      <c r="F134" s="30">
        <v>100</v>
      </c>
      <c r="G134" s="30">
        <v>50</v>
      </c>
      <c r="H134" s="13">
        <f t="shared" si="7"/>
        <v>50</v>
      </c>
      <c r="I134" s="1" t="s">
        <v>2142</v>
      </c>
      <c r="J134" s="30">
        <v>100</v>
      </c>
      <c r="K134" s="30"/>
      <c r="L134" s="1"/>
      <c r="M134" s="30"/>
      <c r="N134" s="1"/>
      <c r="O134" s="1"/>
    </row>
    <row r="135" spans="1:15" x14ac:dyDescent="0.3">
      <c r="A135" s="41">
        <v>45501</v>
      </c>
      <c r="B135" s="10" t="s">
        <v>1954</v>
      </c>
      <c r="C135" s="10" t="s">
        <v>14</v>
      </c>
      <c r="D135" s="30">
        <f t="shared" si="8"/>
        <v>199.99999999999997</v>
      </c>
      <c r="E135" s="30">
        <f t="shared" si="6"/>
        <v>19.999999999999996</v>
      </c>
      <c r="F135" s="30">
        <v>220</v>
      </c>
      <c r="G135" s="30">
        <v>50</v>
      </c>
      <c r="H135" s="13">
        <f t="shared" si="7"/>
        <v>170</v>
      </c>
      <c r="I135" s="1" t="s">
        <v>2105</v>
      </c>
      <c r="J135" s="30">
        <v>170</v>
      </c>
      <c r="K135" s="30">
        <v>50</v>
      </c>
      <c r="L135" s="1" t="s">
        <v>223</v>
      </c>
      <c r="M135" s="30"/>
      <c r="N135" s="1"/>
      <c r="O135" s="1"/>
    </row>
    <row r="136" spans="1:15" x14ac:dyDescent="0.3">
      <c r="A136" s="41">
        <v>45502</v>
      </c>
      <c r="B136" s="10" t="s">
        <v>1955</v>
      </c>
      <c r="C136" s="10" t="s">
        <v>14</v>
      </c>
      <c r="D136" s="30">
        <f t="shared" si="8"/>
        <v>172.72727272727272</v>
      </c>
      <c r="E136" s="30">
        <f t="shared" si="6"/>
        <v>17.272727272727273</v>
      </c>
      <c r="F136" s="30">
        <v>190</v>
      </c>
      <c r="G136" s="30"/>
      <c r="H136" s="13">
        <f t="shared" si="7"/>
        <v>190</v>
      </c>
      <c r="I136" s="1" t="s">
        <v>1028</v>
      </c>
      <c r="J136" s="30">
        <v>190</v>
      </c>
      <c r="K136" s="30"/>
      <c r="L136" s="1"/>
      <c r="M136" s="30"/>
      <c r="N136" s="1"/>
      <c r="O136" s="1"/>
    </row>
    <row r="137" spans="1:15" x14ac:dyDescent="0.3">
      <c r="A137" s="41">
        <v>45502</v>
      </c>
      <c r="B137" s="10" t="s">
        <v>1956</v>
      </c>
      <c r="C137" s="10" t="s">
        <v>14</v>
      </c>
      <c r="D137" s="30">
        <f t="shared" si="8"/>
        <v>245.45454545454544</v>
      </c>
      <c r="E137" s="30">
        <f t="shared" si="6"/>
        <v>24.545454545454547</v>
      </c>
      <c r="F137" s="30">
        <v>270</v>
      </c>
      <c r="G137" s="30">
        <v>50</v>
      </c>
      <c r="H137" s="13">
        <f t="shared" si="7"/>
        <v>220</v>
      </c>
      <c r="I137" s="1" t="s">
        <v>2143</v>
      </c>
      <c r="J137" s="30">
        <v>270</v>
      </c>
      <c r="K137" s="30"/>
      <c r="L137" s="1"/>
      <c r="M137" s="30"/>
      <c r="N137" s="1"/>
      <c r="O137" s="1"/>
    </row>
    <row r="138" spans="1:15" x14ac:dyDescent="0.3">
      <c r="A138" s="41">
        <v>45503</v>
      </c>
      <c r="B138" s="10" t="s">
        <v>1957</v>
      </c>
      <c r="C138" s="10" t="s">
        <v>14</v>
      </c>
      <c r="D138" s="30">
        <f t="shared" si="8"/>
        <v>154.54545454545453</v>
      </c>
      <c r="E138" s="30">
        <f t="shared" si="6"/>
        <v>15.454545454545453</v>
      </c>
      <c r="F138" s="30">
        <v>170</v>
      </c>
      <c r="G138" s="30">
        <v>50</v>
      </c>
      <c r="H138" s="13">
        <f t="shared" si="7"/>
        <v>120</v>
      </c>
      <c r="I138" s="1" t="s">
        <v>2144</v>
      </c>
      <c r="J138" s="30">
        <v>170</v>
      </c>
      <c r="K138" s="30"/>
      <c r="L138" s="1"/>
      <c r="M138" s="30"/>
      <c r="N138" s="1"/>
      <c r="O138" s="1"/>
    </row>
    <row r="139" spans="1:15" x14ac:dyDescent="0.3">
      <c r="A139" s="41">
        <v>45503</v>
      </c>
      <c r="B139" s="10" t="s">
        <v>1958</v>
      </c>
      <c r="C139" s="10" t="s">
        <v>14</v>
      </c>
      <c r="D139" s="30">
        <f t="shared" si="8"/>
        <v>154.54545454545453</v>
      </c>
      <c r="E139" s="30">
        <f t="shared" si="6"/>
        <v>15.454545454545453</v>
      </c>
      <c r="F139" s="30">
        <v>170</v>
      </c>
      <c r="G139" s="30">
        <v>50</v>
      </c>
      <c r="H139" s="13">
        <f t="shared" si="7"/>
        <v>120</v>
      </c>
      <c r="I139" s="1" t="s">
        <v>2145</v>
      </c>
      <c r="J139" s="30">
        <v>170</v>
      </c>
      <c r="K139" s="30"/>
      <c r="L139" s="1"/>
      <c r="M139" s="30"/>
      <c r="N139" s="1"/>
      <c r="O139" s="1"/>
    </row>
    <row r="140" spans="1:15" x14ac:dyDescent="0.3">
      <c r="A140" s="41">
        <v>45503</v>
      </c>
      <c r="B140" s="10" t="s">
        <v>1959</v>
      </c>
      <c r="C140" s="10" t="s">
        <v>14</v>
      </c>
      <c r="D140" s="30">
        <f t="shared" si="8"/>
        <v>245.45454545454544</v>
      </c>
      <c r="E140" s="30">
        <f t="shared" si="6"/>
        <v>24.545454545454547</v>
      </c>
      <c r="F140" s="30">
        <v>270</v>
      </c>
      <c r="G140" s="30">
        <v>50</v>
      </c>
      <c r="H140" s="13">
        <f t="shared" si="7"/>
        <v>220</v>
      </c>
      <c r="I140" s="1" t="s">
        <v>2146</v>
      </c>
      <c r="J140" s="30">
        <v>270</v>
      </c>
      <c r="K140" s="30"/>
      <c r="L140" s="1"/>
      <c r="M140" s="30"/>
      <c r="N140" s="1"/>
      <c r="O140" s="1"/>
    </row>
    <row r="141" spans="1:15" x14ac:dyDescent="0.3">
      <c r="A141" s="41">
        <v>45503</v>
      </c>
      <c r="B141" s="10" t="s">
        <v>1960</v>
      </c>
      <c r="C141" s="10" t="s">
        <v>14</v>
      </c>
      <c r="D141" s="30">
        <f t="shared" si="8"/>
        <v>268.18181818181819</v>
      </c>
      <c r="E141" s="30">
        <f t="shared" si="6"/>
        <v>26.81818181818182</v>
      </c>
      <c r="F141" s="30">
        <v>295</v>
      </c>
      <c r="G141" s="30">
        <v>50</v>
      </c>
      <c r="H141" s="13">
        <f t="shared" si="7"/>
        <v>245</v>
      </c>
      <c r="I141" s="1" t="s">
        <v>2147</v>
      </c>
      <c r="J141" s="30">
        <v>220</v>
      </c>
      <c r="K141" s="30">
        <v>30</v>
      </c>
      <c r="L141" s="1" t="s">
        <v>223</v>
      </c>
      <c r="M141" s="30">
        <v>45</v>
      </c>
      <c r="N141" s="1" t="s">
        <v>16</v>
      </c>
      <c r="O141" s="1"/>
    </row>
    <row r="142" spans="1:15" x14ac:dyDescent="0.3">
      <c r="A142" s="41">
        <v>45504</v>
      </c>
      <c r="B142" s="10" t="s">
        <v>1961</v>
      </c>
      <c r="C142" s="10" t="s">
        <v>14</v>
      </c>
      <c r="D142" s="30">
        <f t="shared" si="8"/>
        <v>281.81818181818181</v>
      </c>
      <c r="E142" s="30">
        <f t="shared" si="6"/>
        <v>28.18181818181818</v>
      </c>
      <c r="F142" s="30">
        <v>310</v>
      </c>
      <c r="G142" s="30">
        <v>50</v>
      </c>
      <c r="H142" s="13">
        <f t="shared" si="7"/>
        <v>260</v>
      </c>
      <c r="I142" s="1" t="s">
        <v>2148</v>
      </c>
      <c r="J142" s="30">
        <v>270</v>
      </c>
      <c r="K142" s="30">
        <v>40</v>
      </c>
      <c r="L142" s="1" t="s">
        <v>223</v>
      </c>
      <c r="M142" s="30"/>
      <c r="N142" s="1"/>
      <c r="O142" s="1"/>
    </row>
    <row r="143" spans="1:15" x14ac:dyDescent="0.3">
      <c r="A143" s="41">
        <v>45504</v>
      </c>
      <c r="B143" s="10" t="s">
        <v>1962</v>
      </c>
      <c r="C143" s="10" t="s">
        <v>14</v>
      </c>
      <c r="D143" s="30">
        <f t="shared" si="8"/>
        <v>172.72727272727272</v>
      </c>
      <c r="E143" s="30">
        <f t="shared" si="6"/>
        <v>17.272727272727273</v>
      </c>
      <c r="F143" s="30">
        <v>190</v>
      </c>
      <c r="G143" s="30">
        <v>50</v>
      </c>
      <c r="H143" s="13">
        <f t="shared" si="7"/>
        <v>140</v>
      </c>
      <c r="I143" s="1" t="s">
        <v>2149</v>
      </c>
      <c r="J143" s="30">
        <v>170</v>
      </c>
      <c r="K143" s="30">
        <v>20</v>
      </c>
      <c r="L143" s="1" t="s">
        <v>223</v>
      </c>
      <c r="M143" s="30"/>
      <c r="N143" s="1"/>
      <c r="O143" s="1"/>
    </row>
    <row r="144" spans="1:15" x14ac:dyDescent="0.3">
      <c r="A144" s="41">
        <v>45504</v>
      </c>
      <c r="B144" s="10" t="s">
        <v>1963</v>
      </c>
      <c r="C144" s="10" t="s">
        <v>14</v>
      </c>
      <c r="D144" s="30">
        <f t="shared" si="8"/>
        <v>163.63636363636363</v>
      </c>
      <c r="E144" s="30">
        <f t="shared" si="6"/>
        <v>16.363636363636363</v>
      </c>
      <c r="F144" s="30">
        <v>180</v>
      </c>
      <c r="G144" s="30"/>
      <c r="H144" s="13">
        <f t="shared" si="7"/>
        <v>180</v>
      </c>
      <c r="I144" s="1" t="s">
        <v>402</v>
      </c>
      <c r="J144" s="30">
        <v>180</v>
      </c>
      <c r="K144" s="30"/>
      <c r="L144" s="1"/>
      <c r="M144" s="30"/>
      <c r="N144" s="1"/>
      <c r="O144" s="1"/>
    </row>
    <row r="145" spans="1:8" x14ac:dyDescent="0.3">
      <c r="A145" s="116" t="s">
        <v>2</v>
      </c>
      <c r="B145" s="116"/>
      <c r="C145" s="116"/>
      <c r="D145" s="96">
        <f>SUM(D3:D144)</f>
        <v>29050.000000000018</v>
      </c>
      <c r="E145" s="30">
        <f>SUM(E3:E144)</f>
        <v>2905</v>
      </c>
      <c r="F145" s="30">
        <f>SUM(F3:F144)</f>
        <v>31955</v>
      </c>
      <c r="G145" s="30">
        <f>SUM(G3:G144)</f>
        <v>5770</v>
      </c>
      <c r="H145" s="30">
        <f>SUM(H3:H144)</f>
        <v>26185</v>
      </c>
    </row>
    <row r="146" spans="1:8" x14ac:dyDescent="0.3">
      <c r="D146" t="s">
        <v>1817</v>
      </c>
      <c r="E146" t="s">
        <v>267</v>
      </c>
      <c r="F146" t="s">
        <v>2</v>
      </c>
      <c r="G146" t="s">
        <v>1819</v>
      </c>
      <c r="H146" t="s">
        <v>13</v>
      </c>
    </row>
  </sheetData>
  <mergeCells count="15">
    <mergeCell ref="N1:N2"/>
    <mergeCell ref="O1:O2"/>
    <mergeCell ref="A145:C145"/>
    <mergeCell ref="G1:H1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C9CE-78BE-487C-A360-F2E3BE3BF1E3}">
  <dimension ref="A1:P98"/>
  <sheetViews>
    <sheetView topLeftCell="A61" workbookViewId="0">
      <selection activeCell="E98" sqref="E98"/>
    </sheetView>
  </sheetViews>
  <sheetFormatPr baseColWidth="10" defaultRowHeight="14.4" x14ac:dyDescent="0.3"/>
  <cols>
    <col min="1" max="1" width="14" customWidth="1"/>
    <col min="2" max="2" width="19.109375" customWidth="1"/>
    <col min="3" max="3" width="39.109375" customWidth="1"/>
    <col min="4" max="4" width="15.33203125" customWidth="1"/>
    <col min="5" max="5" width="15.5546875" customWidth="1"/>
    <col min="6" max="6" width="15.33203125" customWidth="1"/>
    <col min="7" max="7" width="16" customWidth="1"/>
    <col min="8" max="8" width="15" customWidth="1"/>
    <col min="9" max="9" width="24" customWidth="1"/>
    <col min="12" max="12" width="16.88671875" customWidth="1"/>
    <col min="14" max="14" width="17.5546875" customWidth="1"/>
  </cols>
  <sheetData>
    <row r="1" spans="1:16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8</v>
      </c>
      <c r="N1" s="114" t="s">
        <v>9</v>
      </c>
      <c r="O1" s="113" t="s">
        <v>11</v>
      </c>
    </row>
    <row r="2" spans="1:16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4"/>
      <c r="N2" s="117"/>
      <c r="O2" s="114"/>
    </row>
    <row r="3" spans="1:16" x14ac:dyDescent="0.3">
      <c r="A3" s="41">
        <v>45505</v>
      </c>
      <c r="B3" s="10" t="s">
        <v>1964</v>
      </c>
      <c r="C3" s="10" t="s">
        <v>14</v>
      </c>
      <c r="D3" s="30">
        <f>F3/1.1</f>
        <v>127.27272727272727</v>
      </c>
      <c r="E3" s="30">
        <f t="shared" ref="E3:E66" si="0">D3*10/100</f>
        <v>12.727272727272727</v>
      </c>
      <c r="F3" s="30">
        <v>140</v>
      </c>
      <c r="G3" s="30"/>
      <c r="H3" s="13">
        <f t="shared" ref="H3:H66" si="1">F3-G3</f>
        <v>140</v>
      </c>
      <c r="I3" s="1" t="s">
        <v>402</v>
      </c>
      <c r="J3" s="30">
        <v>140</v>
      </c>
      <c r="K3" s="30"/>
      <c r="L3" s="1"/>
      <c r="M3" s="1"/>
      <c r="N3" s="1"/>
      <c r="O3" s="1"/>
    </row>
    <row r="4" spans="1:16" x14ac:dyDescent="0.3">
      <c r="A4" s="41">
        <v>45505</v>
      </c>
      <c r="B4" s="10" t="s">
        <v>1965</v>
      </c>
      <c r="C4" s="10" t="s">
        <v>14</v>
      </c>
      <c r="D4" s="30">
        <f t="shared" ref="D4:D67" si="2">F4/1.1</f>
        <v>236.36363636363635</v>
      </c>
      <c r="E4" s="30">
        <f t="shared" si="0"/>
        <v>23.636363636363637</v>
      </c>
      <c r="F4" s="30">
        <v>260</v>
      </c>
      <c r="G4" s="30">
        <v>50</v>
      </c>
      <c r="H4" s="13">
        <f t="shared" si="1"/>
        <v>210</v>
      </c>
      <c r="I4" s="1" t="s">
        <v>2292</v>
      </c>
      <c r="J4" s="30">
        <v>220</v>
      </c>
      <c r="K4" s="30">
        <v>40</v>
      </c>
      <c r="L4" s="1" t="s">
        <v>223</v>
      </c>
      <c r="M4" s="30"/>
      <c r="N4" s="1"/>
      <c r="O4" s="1"/>
    </row>
    <row r="5" spans="1:16" x14ac:dyDescent="0.3">
      <c r="A5" s="41">
        <v>45506</v>
      </c>
      <c r="B5" s="10" t="s">
        <v>1966</v>
      </c>
      <c r="C5" s="10" t="s">
        <v>14</v>
      </c>
      <c r="D5" s="30">
        <f t="shared" si="2"/>
        <v>154.54545454545453</v>
      </c>
      <c r="E5" s="30">
        <f t="shared" si="0"/>
        <v>15.454545454545453</v>
      </c>
      <c r="F5" s="30">
        <v>170</v>
      </c>
      <c r="G5" s="30">
        <v>50</v>
      </c>
      <c r="H5" s="13">
        <f t="shared" si="1"/>
        <v>120</v>
      </c>
      <c r="I5" s="1" t="s">
        <v>2293</v>
      </c>
      <c r="J5" s="30">
        <v>170</v>
      </c>
      <c r="K5" s="30"/>
      <c r="L5" s="1"/>
      <c r="M5" s="30"/>
      <c r="N5" s="1"/>
      <c r="O5" s="1"/>
    </row>
    <row r="6" spans="1:16" x14ac:dyDescent="0.3">
      <c r="A6" s="41">
        <v>45506</v>
      </c>
      <c r="B6" s="10" t="s">
        <v>1967</v>
      </c>
      <c r="C6" s="10" t="s">
        <v>14</v>
      </c>
      <c r="D6" s="30">
        <f t="shared" si="2"/>
        <v>163.63636363636363</v>
      </c>
      <c r="E6" s="30">
        <f t="shared" si="0"/>
        <v>16.363636363636363</v>
      </c>
      <c r="F6" s="30">
        <v>180</v>
      </c>
      <c r="G6" s="30"/>
      <c r="H6" s="13">
        <f t="shared" si="1"/>
        <v>180</v>
      </c>
      <c r="I6" s="1" t="s">
        <v>402</v>
      </c>
      <c r="J6" s="30">
        <v>180</v>
      </c>
      <c r="K6" s="30"/>
      <c r="L6" s="1"/>
      <c r="M6" s="30"/>
      <c r="N6" s="1"/>
      <c r="O6" s="1"/>
    </row>
    <row r="7" spans="1:16" x14ac:dyDescent="0.3">
      <c r="A7" s="41">
        <v>45506</v>
      </c>
      <c r="B7" s="10" t="s">
        <v>1968</v>
      </c>
      <c r="C7" s="10" t="s">
        <v>14</v>
      </c>
      <c r="D7" s="30">
        <f t="shared" si="2"/>
        <v>181.81818181818181</v>
      </c>
      <c r="E7" s="30">
        <f t="shared" si="0"/>
        <v>18.18181818181818</v>
      </c>
      <c r="F7" s="30">
        <v>200</v>
      </c>
      <c r="G7" s="30">
        <v>200</v>
      </c>
      <c r="H7" s="13">
        <f t="shared" si="1"/>
        <v>0</v>
      </c>
      <c r="I7" s="1" t="s">
        <v>2294</v>
      </c>
      <c r="J7" s="30">
        <v>170</v>
      </c>
      <c r="K7" s="30">
        <v>30</v>
      </c>
      <c r="L7" s="1" t="s">
        <v>223</v>
      </c>
      <c r="M7" s="30"/>
      <c r="N7" s="1"/>
      <c r="O7" s="1"/>
    </row>
    <row r="8" spans="1:16" x14ac:dyDescent="0.3">
      <c r="A8" s="41">
        <v>45506</v>
      </c>
      <c r="B8" s="10" t="s">
        <v>1969</v>
      </c>
      <c r="C8" s="10" t="s">
        <v>14</v>
      </c>
      <c r="D8" s="30">
        <f t="shared" si="2"/>
        <v>245.45454545454544</v>
      </c>
      <c r="E8" s="30">
        <f t="shared" si="0"/>
        <v>24.545454545454547</v>
      </c>
      <c r="F8" s="30">
        <v>270</v>
      </c>
      <c r="G8" s="30">
        <v>50</v>
      </c>
      <c r="H8" s="13">
        <f t="shared" si="1"/>
        <v>220</v>
      </c>
      <c r="I8" s="1" t="s">
        <v>2295</v>
      </c>
      <c r="J8" s="30">
        <v>270</v>
      </c>
      <c r="K8" s="30"/>
      <c r="L8" s="1"/>
      <c r="M8" s="30"/>
      <c r="N8" s="1"/>
      <c r="O8" s="1"/>
    </row>
    <row r="9" spans="1:16" x14ac:dyDescent="0.3">
      <c r="A9" s="41">
        <v>45507</v>
      </c>
      <c r="B9" s="10" t="s">
        <v>1970</v>
      </c>
      <c r="C9" s="10" t="s">
        <v>14</v>
      </c>
      <c r="D9" s="30">
        <f t="shared" si="2"/>
        <v>627.27272727272725</v>
      </c>
      <c r="E9" s="30">
        <f t="shared" si="0"/>
        <v>62.72727272727272</v>
      </c>
      <c r="F9" s="30">
        <v>690</v>
      </c>
      <c r="G9" s="30">
        <v>690</v>
      </c>
      <c r="H9" s="13">
        <f t="shared" si="1"/>
        <v>0</v>
      </c>
      <c r="I9" s="1" t="s">
        <v>2297</v>
      </c>
      <c r="J9" s="30">
        <v>690</v>
      </c>
      <c r="K9" s="30"/>
      <c r="L9" s="1"/>
      <c r="M9" s="30"/>
      <c r="N9" s="1"/>
      <c r="O9" s="1"/>
      <c r="P9" t="s">
        <v>2296</v>
      </c>
    </row>
    <row r="10" spans="1:16" x14ac:dyDescent="0.3">
      <c r="A10" s="41">
        <v>45507</v>
      </c>
      <c r="B10" s="10" t="s">
        <v>1971</v>
      </c>
      <c r="C10" s="10" t="s">
        <v>14</v>
      </c>
      <c r="D10" s="30">
        <f t="shared" si="2"/>
        <v>245.45454545454544</v>
      </c>
      <c r="E10" s="30">
        <f t="shared" si="0"/>
        <v>24.545454545454547</v>
      </c>
      <c r="F10" s="30">
        <v>270</v>
      </c>
      <c r="G10" s="30">
        <v>50</v>
      </c>
      <c r="H10" s="13">
        <f t="shared" si="1"/>
        <v>220</v>
      </c>
      <c r="I10" s="1" t="s">
        <v>2298</v>
      </c>
      <c r="J10" s="30">
        <v>270</v>
      </c>
      <c r="K10" s="30"/>
      <c r="L10" s="1"/>
      <c r="M10" s="30"/>
      <c r="N10" s="1"/>
      <c r="O10" s="1"/>
    </row>
    <row r="11" spans="1:16" x14ac:dyDescent="0.3">
      <c r="A11" s="41">
        <v>45507</v>
      </c>
      <c r="B11" s="10" t="s">
        <v>1972</v>
      </c>
      <c r="C11" s="10" t="s">
        <v>14</v>
      </c>
      <c r="D11" s="30">
        <f t="shared" si="2"/>
        <v>181.81818181818181</v>
      </c>
      <c r="E11" s="30">
        <f t="shared" si="0"/>
        <v>18.18181818181818</v>
      </c>
      <c r="F11" s="30">
        <v>200</v>
      </c>
      <c r="G11" s="30">
        <v>50</v>
      </c>
      <c r="H11" s="13">
        <f t="shared" si="1"/>
        <v>150</v>
      </c>
      <c r="I11" s="1" t="s">
        <v>2299</v>
      </c>
      <c r="J11" s="30">
        <v>170</v>
      </c>
      <c r="K11" s="30">
        <v>30</v>
      </c>
      <c r="L11" s="1" t="s">
        <v>223</v>
      </c>
      <c r="M11" s="30"/>
      <c r="N11" s="1"/>
      <c r="O11" s="1"/>
    </row>
    <row r="12" spans="1:16" x14ac:dyDescent="0.3">
      <c r="A12" s="41">
        <v>45507</v>
      </c>
      <c r="B12" s="10" t="s">
        <v>1973</v>
      </c>
      <c r="C12" s="10" t="s">
        <v>14</v>
      </c>
      <c r="D12" s="30">
        <f t="shared" si="2"/>
        <v>118.18181818181817</v>
      </c>
      <c r="E12" s="30">
        <f t="shared" si="0"/>
        <v>11.818181818181818</v>
      </c>
      <c r="F12" s="30">
        <v>130</v>
      </c>
      <c r="G12" s="30"/>
      <c r="H12" s="13">
        <f t="shared" si="1"/>
        <v>130</v>
      </c>
      <c r="I12" s="1" t="s">
        <v>403</v>
      </c>
      <c r="J12" s="30">
        <v>130</v>
      </c>
      <c r="K12" s="30"/>
      <c r="L12" s="1"/>
      <c r="M12" s="30"/>
      <c r="N12" s="1"/>
      <c r="O12" s="1"/>
    </row>
    <row r="13" spans="1:16" x14ac:dyDescent="0.3">
      <c r="A13" s="41">
        <v>45507</v>
      </c>
      <c r="B13" s="10" t="s">
        <v>1974</v>
      </c>
      <c r="C13" s="10" t="s">
        <v>14</v>
      </c>
      <c r="D13" s="30">
        <f t="shared" si="2"/>
        <v>190.90909090909091</v>
      </c>
      <c r="E13" s="30">
        <f t="shared" si="0"/>
        <v>19.09090909090909</v>
      </c>
      <c r="F13" s="30">
        <v>210</v>
      </c>
      <c r="G13" s="30">
        <v>50</v>
      </c>
      <c r="H13" s="13">
        <f t="shared" si="1"/>
        <v>160</v>
      </c>
      <c r="I13" s="1" t="s">
        <v>2300</v>
      </c>
      <c r="J13" s="30">
        <v>170</v>
      </c>
      <c r="K13" s="30">
        <v>40</v>
      </c>
      <c r="L13" s="1" t="s">
        <v>223</v>
      </c>
      <c r="M13" s="30"/>
      <c r="N13" s="1"/>
      <c r="O13" s="1"/>
    </row>
    <row r="14" spans="1:16" x14ac:dyDescent="0.3">
      <c r="A14" s="41">
        <v>45507</v>
      </c>
      <c r="B14" s="10" t="s">
        <v>1975</v>
      </c>
      <c r="C14" s="10" t="s">
        <v>14</v>
      </c>
      <c r="D14" s="30">
        <f t="shared" si="2"/>
        <v>136.36363636363635</v>
      </c>
      <c r="E14" s="30">
        <f t="shared" si="0"/>
        <v>13.636363636363635</v>
      </c>
      <c r="F14" s="30">
        <v>150</v>
      </c>
      <c r="G14" s="30">
        <v>150</v>
      </c>
      <c r="H14" s="13">
        <f t="shared" si="1"/>
        <v>0</v>
      </c>
      <c r="I14" s="1" t="s">
        <v>2301</v>
      </c>
      <c r="J14" s="30">
        <v>150</v>
      </c>
      <c r="K14" s="30"/>
      <c r="L14" s="1"/>
      <c r="M14" s="30"/>
      <c r="N14" s="1"/>
      <c r="O14" s="1"/>
    </row>
    <row r="15" spans="1:16" x14ac:dyDescent="0.3">
      <c r="A15" s="41">
        <v>45507</v>
      </c>
      <c r="B15" s="10" t="s">
        <v>1976</v>
      </c>
      <c r="C15" s="10" t="s">
        <v>14</v>
      </c>
      <c r="D15" s="30">
        <f t="shared" si="2"/>
        <v>300</v>
      </c>
      <c r="E15" s="30">
        <f t="shared" si="0"/>
        <v>30</v>
      </c>
      <c r="F15" s="30">
        <v>330</v>
      </c>
      <c r="G15" s="30">
        <v>100</v>
      </c>
      <c r="H15" s="13">
        <f t="shared" si="1"/>
        <v>230</v>
      </c>
      <c r="I15" s="1" t="s">
        <v>2302</v>
      </c>
      <c r="J15" s="30">
        <v>170</v>
      </c>
      <c r="K15" s="30"/>
      <c r="L15" s="1"/>
      <c r="M15" s="30">
        <v>160</v>
      </c>
      <c r="N15" s="1" t="s">
        <v>2303</v>
      </c>
      <c r="O15" s="30">
        <v>100</v>
      </c>
    </row>
    <row r="16" spans="1:16" x14ac:dyDescent="0.3">
      <c r="A16" s="41">
        <v>45507</v>
      </c>
      <c r="B16" s="10" t="s">
        <v>1977</v>
      </c>
      <c r="C16" s="10" t="s">
        <v>14</v>
      </c>
      <c r="D16" s="30">
        <f t="shared" si="2"/>
        <v>127.27272727272727</v>
      </c>
      <c r="E16" s="30">
        <f t="shared" si="0"/>
        <v>12.727272727272727</v>
      </c>
      <c r="F16" s="30">
        <v>140</v>
      </c>
      <c r="G16" s="30"/>
      <c r="H16" s="13">
        <f t="shared" si="1"/>
        <v>140</v>
      </c>
      <c r="I16" s="1" t="s">
        <v>402</v>
      </c>
      <c r="J16" s="30">
        <v>140</v>
      </c>
      <c r="K16" s="30"/>
      <c r="L16" s="1"/>
      <c r="M16" s="30"/>
      <c r="N16" s="1"/>
      <c r="O16" s="30"/>
    </row>
    <row r="17" spans="1:15" x14ac:dyDescent="0.3">
      <c r="A17" s="41">
        <v>45507</v>
      </c>
      <c r="B17" s="10" t="s">
        <v>1978</v>
      </c>
      <c r="C17" s="10" t="s">
        <v>14</v>
      </c>
      <c r="D17" s="30">
        <f t="shared" si="2"/>
        <v>218.18181818181816</v>
      </c>
      <c r="E17" s="30">
        <f t="shared" si="0"/>
        <v>21.818181818181817</v>
      </c>
      <c r="F17" s="30">
        <v>240</v>
      </c>
      <c r="G17" s="30">
        <v>50</v>
      </c>
      <c r="H17" s="13">
        <f t="shared" si="1"/>
        <v>190</v>
      </c>
      <c r="I17" s="1" t="s">
        <v>2304</v>
      </c>
      <c r="J17" s="30">
        <v>220</v>
      </c>
      <c r="K17" s="30">
        <v>20</v>
      </c>
      <c r="L17" s="1" t="s">
        <v>223</v>
      </c>
      <c r="M17" s="30"/>
      <c r="N17" s="1"/>
      <c r="O17" s="30"/>
    </row>
    <row r="18" spans="1:15" x14ac:dyDescent="0.3">
      <c r="A18" s="41">
        <v>45507</v>
      </c>
      <c r="B18" s="10" t="s">
        <v>1979</v>
      </c>
      <c r="C18" s="10" t="s">
        <v>14</v>
      </c>
      <c r="D18" s="30">
        <f t="shared" si="2"/>
        <v>199.99999999999997</v>
      </c>
      <c r="E18" s="30">
        <f t="shared" si="0"/>
        <v>19.999999999999996</v>
      </c>
      <c r="F18" s="30">
        <v>220</v>
      </c>
      <c r="G18" s="30"/>
      <c r="H18" s="13">
        <f t="shared" si="1"/>
        <v>220</v>
      </c>
      <c r="I18" s="1" t="s">
        <v>402</v>
      </c>
      <c r="J18" s="30">
        <v>220</v>
      </c>
      <c r="K18" s="30"/>
      <c r="L18" s="1"/>
      <c r="M18" s="30"/>
      <c r="N18" s="1"/>
      <c r="O18" s="30"/>
    </row>
    <row r="19" spans="1:15" x14ac:dyDescent="0.3">
      <c r="A19" s="41">
        <v>45507</v>
      </c>
      <c r="B19" s="10" t="s">
        <v>1980</v>
      </c>
      <c r="C19" s="10" t="s">
        <v>14</v>
      </c>
      <c r="D19" s="30">
        <f t="shared" si="2"/>
        <v>345.45454545454544</v>
      </c>
      <c r="E19" s="30">
        <f t="shared" si="0"/>
        <v>34.545454545454547</v>
      </c>
      <c r="F19" s="30">
        <v>380</v>
      </c>
      <c r="G19" s="30">
        <v>100</v>
      </c>
      <c r="H19" s="13">
        <f t="shared" si="1"/>
        <v>280</v>
      </c>
      <c r="I19" s="1" t="s">
        <v>2305</v>
      </c>
      <c r="J19" s="30">
        <v>220</v>
      </c>
      <c r="K19" s="30"/>
      <c r="L19" s="1"/>
      <c r="M19" s="30">
        <v>160</v>
      </c>
      <c r="N19" s="1" t="s">
        <v>2303</v>
      </c>
      <c r="O19" s="30">
        <v>100</v>
      </c>
    </row>
    <row r="20" spans="1:15" x14ac:dyDescent="0.3">
      <c r="A20" s="41">
        <v>45507</v>
      </c>
      <c r="B20" s="10" t="s">
        <v>1981</v>
      </c>
      <c r="C20" s="10" t="s">
        <v>14</v>
      </c>
      <c r="D20" s="30">
        <f t="shared" si="2"/>
        <v>218.18181818181816</v>
      </c>
      <c r="E20" s="30">
        <f t="shared" si="0"/>
        <v>21.818181818181817</v>
      </c>
      <c r="F20" s="30">
        <v>240</v>
      </c>
      <c r="G20" s="30">
        <v>50</v>
      </c>
      <c r="H20" s="13">
        <f t="shared" si="1"/>
        <v>190</v>
      </c>
      <c r="I20" s="1" t="s">
        <v>2306</v>
      </c>
      <c r="J20" s="30">
        <v>220</v>
      </c>
      <c r="K20" s="30">
        <v>20</v>
      </c>
      <c r="L20" s="1" t="s">
        <v>223</v>
      </c>
      <c r="M20" s="30"/>
      <c r="N20" s="1"/>
      <c r="O20" s="30"/>
    </row>
    <row r="21" spans="1:15" x14ac:dyDescent="0.3">
      <c r="A21" s="41">
        <v>45507</v>
      </c>
      <c r="B21" s="10" t="s">
        <v>1982</v>
      </c>
      <c r="C21" s="10" t="s">
        <v>14</v>
      </c>
      <c r="D21" s="30">
        <f t="shared" si="2"/>
        <v>199.99999999999997</v>
      </c>
      <c r="E21" s="30">
        <f t="shared" si="0"/>
        <v>19.999999999999996</v>
      </c>
      <c r="F21" s="30">
        <v>220</v>
      </c>
      <c r="G21" s="30">
        <v>50</v>
      </c>
      <c r="H21" s="13">
        <f t="shared" si="1"/>
        <v>170</v>
      </c>
      <c r="I21" s="1" t="s">
        <v>2307</v>
      </c>
      <c r="J21" s="30">
        <v>170</v>
      </c>
      <c r="K21" s="30">
        <v>50</v>
      </c>
      <c r="L21" s="1" t="s">
        <v>223</v>
      </c>
      <c r="M21" s="30"/>
      <c r="N21" s="1"/>
      <c r="O21" s="30"/>
    </row>
    <row r="22" spans="1:15" x14ac:dyDescent="0.3">
      <c r="A22" s="41">
        <v>45510</v>
      </c>
      <c r="B22" s="10" t="s">
        <v>1983</v>
      </c>
      <c r="C22" s="10" t="s">
        <v>14</v>
      </c>
      <c r="D22" s="30">
        <f t="shared" si="2"/>
        <v>354.5454545454545</v>
      </c>
      <c r="E22" s="30">
        <f t="shared" si="0"/>
        <v>35.454545454545453</v>
      </c>
      <c r="F22" s="30">
        <v>390</v>
      </c>
      <c r="G22" s="30"/>
      <c r="H22" s="13">
        <f t="shared" si="1"/>
        <v>390</v>
      </c>
      <c r="I22" s="103" t="s">
        <v>403</v>
      </c>
      <c r="J22" s="30">
        <v>390</v>
      </c>
      <c r="K22" s="30"/>
      <c r="L22" s="1"/>
      <c r="M22" s="30"/>
      <c r="N22" s="1"/>
      <c r="O22" s="1"/>
    </row>
    <row r="23" spans="1:15" x14ac:dyDescent="0.3">
      <c r="A23" s="41">
        <v>45510</v>
      </c>
      <c r="B23" s="10" t="s">
        <v>1984</v>
      </c>
      <c r="C23" s="10" t="s">
        <v>14</v>
      </c>
      <c r="D23" s="30">
        <f t="shared" si="2"/>
        <v>218.18181818181816</v>
      </c>
      <c r="E23" s="30">
        <f t="shared" si="0"/>
        <v>21.818181818181817</v>
      </c>
      <c r="F23" s="30">
        <v>240</v>
      </c>
      <c r="G23" s="30">
        <v>50</v>
      </c>
      <c r="H23" s="13">
        <f t="shared" si="1"/>
        <v>190</v>
      </c>
      <c r="I23" s="1" t="s">
        <v>2055</v>
      </c>
      <c r="J23" s="30">
        <v>220</v>
      </c>
      <c r="K23" s="30">
        <v>20</v>
      </c>
      <c r="L23" s="1" t="s">
        <v>223</v>
      </c>
      <c r="M23" s="30"/>
      <c r="N23" s="1"/>
      <c r="O23" s="1"/>
    </row>
    <row r="24" spans="1:15" x14ac:dyDescent="0.3">
      <c r="A24" s="41">
        <v>45513</v>
      </c>
      <c r="B24" s="10" t="s">
        <v>1985</v>
      </c>
      <c r="C24" s="10" t="s">
        <v>14</v>
      </c>
      <c r="D24" s="30">
        <f t="shared" si="2"/>
        <v>245.45454545454544</v>
      </c>
      <c r="E24" s="30">
        <f t="shared" si="0"/>
        <v>24.545454545454547</v>
      </c>
      <c r="F24" s="30">
        <v>270</v>
      </c>
      <c r="G24" s="30">
        <v>50</v>
      </c>
      <c r="H24" s="13">
        <f t="shared" si="1"/>
        <v>220</v>
      </c>
      <c r="I24" s="1" t="s">
        <v>2308</v>
      </c>
      <c r="J24" s="30">
        <v>270</v>
      </c>
      <c r="K24" s="30"/>
      <c r="L24" s="1"/>
      <c r="M24" s="30"/>
      <c r="N24" s="1"/>
      <c r="O24" s="1"/>
    </row>
    <row r="25" spans="1:15" x14ac:dyDescent="0.3">
      <c r="A25" s="41">
        <v>45513</v>
      </c>
      <c r="B25" s="10" t="s">
        <v>1986</v>
      </c>
      <c r="C25" s="10" t="s">
        <v>14</v>
      </c>
      <c r="D25" s="30">
        <f t="shared" si="2"/>
        <v>272.72727272727269</v>
      </c>
      <c r="E25" s="30">
        <f t="shared" si="0"/>
        <v>27.27272727272727</v>
      </c>
      <c r="F25" s="30">
        <v>300</v>
      </c>
      <c r="G25" s="30">
        <v>50</v>
      </c>
      <c r="H25" s="13">
        <f t="shared" si="1"/>
        <v>250</v>
      </c>
      <c r="I25" s="1" t="s">
        <v>2309</v>
      </c>
      <c r="J25" s="30">
        <v>270</v>
      </c>
      <c r="K25" s="30">
        <v>30</v>
      </c>
      <c r="L25" s="1" t="s">
        <v>223</v>
      </c>
      <c r="M25" s="30"/>
      <c r="N25" s="1"/>
      <c r="O25" s="1"/>
    </row>
    <row r="26" spans="1:15" x14ac:dyDescent="0.3">
      <c r="A26" s="41">
        <v>45513</v>
      </c>
      <c r="B26" s="10" t="s">
        <v>1987</v>
      </c>
      <c r="C26" s="10" t="s">
        <v>14</v>
      </c>
      <c r="D26" s="30">
        <f t="shared" si="2"/>
        <v>272.72727272727269</v>
      </c>
      <c r="E26" s="30">
        <f t="shared" si="0"/>
        <v>27.27272727272727</v>
      </c>
      <c r="F26" s="30">
        <v>300</v>
      </c>
      <c r="G26" s="30">
        <v>50</v>
      </c>
      <c r="H26" s="13">
        <f t="shared" si="1"/>
        <v>250</v>
      </c>
      <c r="I26" s="1" t="s">
        <v>2310</v>
      </c>
      <c r="J26" s="30">
        <v>270</v>
      </c>
      <c r="K26" s="30">
        <v>30</v>
      </c>
      <c r="L26" s="1" t="s">
        <v>223</v>
      </c>
      <c r="M26" s="30"/>
      <c r="N26" s="1"/>
      <c r="O26" s="1"/>
    </row>
    <row r="27" spans="1:15" x14ac:dyDescent="0.3">
      <c r="A27" s="41">
        <v>45513</v>
      </c>
      <c r="B27" s="10" t="s">
        <v>1988</v>
      </c>
      <c r="C27" s="10" t="s">
        <v>14</v>
      </c>
      <c r="D27" s="30">
        <f t="shared" si="2"/>
        <v>227.27272727272725</v>
      </c>
      <c r="E27" s="30">
        <f t="shared" si="0"/>
        <v>22.727272727272727</v>
      </c>
      <c r="F27" s="30">
        <v>250</v>
      </c>
      <c r="G27" s="30">
        <v>50</v>
      </c>
      <c r="H27" s="13">
        <f t="shared" si="1"/>
        <v>200</v>
      </c>
      <c r="I27" s="1" t="s">
        <v>2311</v>
      </c>
      <c r="J27" s="30">
        <v>220</v>
      </c>
      <c r="K27" s="30">
        <v>30</v>
      </c>
      <c r="L27" s="1" t="s">
        <v>223</v>
      </c>
      <c r="M27" s="30"/>
      <c r="N27" s="1"/>
      <c r="O27" s="1"/>
    </row>
    <row r="28" spans="1:15" x14ac:dyDescent="0.3">
      <c r="A28" s="41">
        <v>45513</v>
      </c>
      <c r="B28" s="10" t="s">
        <v>1989</v>
      </c>
      <c r="C28" s="10" t="s">
        <v>14</v>
      </c>
      <c r="D28" s="30">
        <f t="shared" si="2"/>
        <v>163.63636363636363</v>
      </c>
      <c r="E28" s="30">
        <f t="shared" si="0"/>
        <v>16.363636363636363</v>
      </c>
      <c r="F28" s="30">
        <v>180</v>
      </c>
      <c r="G28" s="30"/>
      <c r="H28" s="13">
        <f t="shared" si="1"/>
        <v>180</v>
      </c>
      <c r="I28" s="1" t="s">
        <v>402</v>
      </c>
      <c r="J28" s="30">
        <v>180</v>
      </c>
      <c r="K28" s="30"/>
      <c r="L28" s="1"/>
      <c r="M28" s="30"/>
      <c r="N28" s="1"/>
      <c r="O28" s="1"/>
    </row>
    <row r="29" spans="1:15" x14ac:dyDescent="0.3">
      <c r="A29" s="41">
        <v>45513</v>
      </c>
      <c r="B29" s="10" t="s">
        <v>1990</v>
      </c>
      <c r="C29" s="10" t="s">
        <v>14</v>
      </c>
      <c r="D29" s="30">
        <f t="shared" si="2"/>
        <v>154.54545454545453</v>
      </c>
      <c r="E29" s="30">
        <f t="shared" si="0"/>
        <v>15.454545454545453</v>
      </c>
      <c r="F29" s="30">
        <v>170</v>
      </c>
      <c r="G29" s="30">
        <v>50</v>
      </c>
      <c r="H29" s="13">
        <f t="shared" si="1"/>
        <v>120</v>
      </c>
      <c r="I29" s="1" t="s">
        <v>2312</v>
      </c>
      <c r="J29" s="30">
        <v>170</v>
      </c>
      <c r="K29" s="30"/>
      <c r="L29" s="1"/>
      <c r="M29" s="30"/>
      <c r="N29" s="1"/>
      <c r="O29" s="1"/>
    </row>
    <row r="30" spans="1:15" x14ac:dyDescent="0.3">
      <c r="A30" s="41">
        <v>45513</v>
      </c>
      <c r="B30" s="10" t="s">
        <v>1991</v>
      </c>
      <c r="C30" s="10" t="s">
        <v>14</v>
      </c>
      <c r="D30" s="30">
        <f t="shared" si="2"/>
        <v>163.63636363636363</v>
      </c>
      <c r="E30" s="30">
        <f t="shared" si="0"/>
        <v>16.363636363636363</v>
      </c>
      <c r="F30" s="30">
        <v>180</v>
      </c>
      <c r="G30" s="30"/>
      <c r="H30" s="13">
        <f t="shared" si="1"/>
        <v>180</v>
      </c>
      <c r="I30" s="1" t="s">
        <v>402</v>
      </c>
      <c r="J30" s="30">
        <v>180</v>
      </c>
      <c r="K30" s="30"/>
      <c r="L30" s="1"/>
      <c r="M30" s="30"/>
      <c r="N30" s="1"/>
      <c r="O30" s="1"/>
    </row>
    <row r="31" spans="1:15" x14ac:dyDescent="0.3">
      <c r="A31" s="41">
        <v>45513</v>
      </c>
      <c r="B31" s="10" t="s">
        <v>1992</v>
      </c>
      <c r="C31" s="10" t="s">
        <v>14</v>
      </c>
      <c r="D31" s="30">
        <f t="shared" si="2"/>
        <v>190.90909090909091</v>
      </c>
      <c r="E31" s="30">
        <f t="shared" si="0"/>
        <v>19.09090909090909</v>
      </c>
      <c r="F31" s="30">
        <v>210</v>
      </c>
      <c r="G31" s="30">
        <v>50</v>
      </c>
      <c r="H31" s="13">
        <f t="shared" si="1"/>
        <v>160</v>
      </c>
      <c r="I31" s="1" t="s">
        <v>2312</v>
      </c>
      <c r="J31" s="30">
        <v>170</v>
      </c>
      <c r="K31" s="30">
        <v>40</v>
      </c>
      <c r="L31" s="1" t="s">
        <v>223</v>
      </c>
      <c r="M31" s="30"/>
      <c r="N31" s="1"/>
      <c r="O31" s="1"/>
    </row>
    <row r="32" spans="1:15" x14ac:dyDescent="0.3">
      <c r="A32" s="41">
        <v>45513</v>
      </c>
      <c r="B32" s="10" t="s">
        <v>1993</v>
      </c>
      <c r="C32" s="10" t="s">
        <v>14</v>
      </c>
      <c r="D32" s="30">
        <f t="shared" si="2"/>
        <v>127.27272727272727</v>
      </c>
      <c r="E32" s="30">
        <f t="shared" si="0"/>
        <v>12.727272727272727</v>
      </c>
      <c r="F32" s="30">
        <v>140</v>
      </c>
      <c r="G32" s="30"/>
      <c r="H32" s="13">
        <f t="shared" si="1"/>
        <v>140</v>
      </c>
      <c r="I32" s="1" t="s">
        <v>402</v>
      </c>
      <c r="J32" s="30">
        <v>140</v>
      </c>
      <c r="K32" s="30"/>
      <c r="L32" s="1"/>
      <c r="M32" s="30"/>
      <c r="N32" s="1"/>
      <c r="O32" s="1"/>
    </row>
    <row r="33" spans="1:15" x14ac:dyDescent="0.3">
      <c r="A33" s="41">
        <v>45514</v>
      </c>
      <c r="B33" s="10" t="s">
        <v>1994</v>
      </c>
      <c r="C33" s="10" t="s">
        <v>14</v>
      </c>
      <c r="D33" s="30">
        <f t="shared" si="2"/>
        <v>199.99999999999997</v>
      </c>
      <c r="E33" s="30">
        <f t="shared" si="0"/>
        <v>19.999999999999996</v>
      </c>
      <c r="F33" s="30">
        <v>220</v>
      </c>
      <c r="G33" s="30">
        <v>50</v>
      </c>
      <c r="H33" s="13">
        <f t="shared" si="1"/>
        <v>170</v>
      </c>
      <c r="I33" s="1" t="s">
        <v>2313</v>
      </c>
      <c r="J33" s="30">
        <v>220</v>
      </c>
      <c r="K33" s="30"/>
      <c r="L33" s="1"/>
      <c r="M33" s="30"/>
      <c r="N33" s="1"/>
      <c r="O33" s="1"/>
    </row>
    <row r="34" spans="1:15" x14ac:dyDescent="0.3">
      <c r="A34" s="41">
        <v>45514</v>
      </c>
      <c r="B34" s="10" t="s">
        <v>1995</v>
      </c>
      <c r="C34" s="10" t="s">
        <v>14</v>
      </c>
      <c r="D34" s="30">
        <f t="shared" si="2"/>
        <v>272.72727272727269</v>
      </c>
      <c r="E34" s="30">
        <f t="shared" si="0"/>
        <v>27.27272727272727</v>
      </c>
      <c r="F34" s="30">
        <v>300</v>
      </c>
      <c r="G34" s="30">
        <v>50</v>
      </c>
      <c r="H34" s="13">
        <f t="shared" si="1"/>
        <v>250</v>
      </c>
      <c r="I34" s="1" t="s">
        <v>2314</v>
      </c>
      <c r="J34" s="30">
        <v>270</v>
      </c>
      <c r="K34" s="30">
        <v>30</v>
      </c>
      <c r="L34" s="1" t="s">
        <v>223</v>
      </c>
      <c r="M34" s="30"/>
      <c r="N34" s="1"/>
      <c r="O34" s="1"/>
    </row>
    <row r="35" spans="1:15" x14ac:dyDescent="0.3">
      <c r="A35" s="41">
        <v>45514</v>
      </c>
      <c r="B35" s="10" t="s">
        <v>1996</v>
      </c>
      <c r="C35" s="10" t="s">
        <v>14</v>
      </c>
      <c r="D35" s="30">
        <f t="shared" si="2"/>
        <v>290.90909090909088</v>
      </c>
      <c r="E35" s="30">
        <f t="shared" si="0"/>
        <v>29.09090909090909</v>
      </c>
      <c r="F35" s="30">
        <v>320</v>
      </c>
      <c r="G35" s="30">
        <v>50</v>
      </c>
      <c r="H35" s="13">
        <f t="shared" si="1"/>
        <v>270</v>
      </c>
      <c r="I35" s="1" t="s">
        <v>2315</v>
      </c>
      <c r="J35" s="30">
        <v>270</v>
      </c>
      <c r="K35" s="30">
        <v>50</v>
      </c>
      <c r="L35" s="1" t="s">
        <v>223</v>
      </c>
      <c r="M35" s="30"/>
      <c r="N35" s="1"/>
      <c r="O35" s="1"/>
    </row>
    <row r="36" spans="1:15" x14ac:dyDescent="0.3">
      <c r="A36" s="41">
        <v>45514</v>
      </c>
      <c r="B36" s="10" t="s">
        <v>1997</v>
      </c>
      <c r="C36" s="10" t="s">
        <v>14</v>
      </c>
      <c r="D36" s="30">
        <f t="shared" si="2"/>
        <v>245.45454545454544</v>
      </c>
      <c r="E36" s="30">
        <f t="shared" si="0"/>
        <v>24.545454545454547</v>
      </c>
      <c r="F36" s="30">
        <v>270</v>
      </c>
      <c r="G36" s="30">
        <v>50</v>
      </c>
      <c r="H36" s="13">
        <f t="shared" si="1"/>
        <v>220</v>
      </c>
      <c r="I36" s="1" t="s">
        <v>2316</v>
      </c>
      <c r="J36" s="30">
        <v>270</v>
      </c>
      <c r="K36" s="30"/>
      <c r="L36" s="1"/>
      <c r="M36" s="30"/>
      <c r="N36" s="1"/>
      <c r="O36" s="1"/>
    </row>
    <row r="37" spans="1:15" x14ac:dyDescent="0.3">
      <c r="A37" s="41">
        <v>45514</v>
      </c>
      <c r="B37" s="10" t="s">
        <v>1998</v>
      </c>
      <c r="C37" s="10" t="s">
        <v>14</v>
      </c>
      <c r="D37" s="30">
        <f t="shared" si="2"/>
        <v>199.99999999999997</v>
      </c>
      <c r="E37" s="30">
        <f t="shared" si="0"/>
        <v>19.999999999999996</v>
      </c>
      <c r="F37" s="30">
        <v>220</v>
      </c>
      <c r="G37" s="30">
        <v>50</v>
      </c>
      <c r="H37" s="13">
        <f t="shared" si="1"/>
        <v>170</v>
      </c>
      <c r="I37" s="1" t="s">
        <v>2317</v>
      </c>
      <c r="J37" s="30">
        <v>220</v>
      </c>
      <c r="K37" s="30"/>
      <c r="L37" s="1"/>
      <c r="M37" s="30"/>
      <c r="N37" s="1"/>
      <c r="O37" s="1"/>
    </row>
    <row r="38" spans="1:15" x14ac:dyDescent="0.3">
      <c r="A38" s="41">
        <v>45514</v>
      </c>
      <c r="B38" s="10" t="s">
        <v>1999</v>
      </c>
      <c r="C38" s="10" t="s">
        <v>14</v>
      </c>
      <c r="D38" s="30">
        <f t="shared" si="2"/>
        <v>227.27272727272725</v>
      </c>
      <c r="E38" s="30">
        <f t="shared" si="0"/>
        <v>22.727272727272727</v>
      </c>
      <c r="F38" s="30">
        <v>250</v>
      </c>
      <c r="G38" s="30">
        <v>50</v>
      </c>
      <c r="H38" s="13">
        <f t="shared" si="1"/>
        <v>200</v>
      </c>
      <c r="I38" s="1" t="s">
        <v>2318</v>
      </c>
      <c r="J38" s="30">
        <v>220</v>
      </c>
      <c r="K38" s="30">
        <v>30</v>
      </c>
      <c r="L38" s="1" t="s">
        <v>223</v>
      </c>
      <c r="M38" s="30"/>
      <c r="N38" s="1"/>
      <c r="O38" s="1"/>
    </row>
    <row r="39" spans="1:15" x14ac:dyDescent="0.3">
      <c r="A39" s="41">
        <v>45514</v>
      </c>
      <c r="B39" s="10" t="s">
        <v>2000</v>
      </c>
      <c r="C39" s="10" t="s">
        <v>14</v>
      </c>
      <c r="D39" s="30">
        <f t="shared" si="2"/>
        <v>436.36363636363632</v>
      </c>
      <c r="E39" s="30">
        <f t="shared" si="0"/>
        <v>43.636363636363633</v>
      </c>
      <c r="F39" s="30">
        <v>480</v>
      </c>
      <c r="G39" s="30">
        <v>50</v>
      </c>
      <c r="H39" s="13">
        <f t="shared" si="1"/>
        <v>430</v>
      </c>
      <c r="I39" s="1" t="s">
        <v>2319</v>
      </c>
      <c r="J39" s="30">
        <v>480</v>
      </c>
      <c r="K39" s="30"/>
      <c r="L39" s="1"/>
      <c r="M39" s="30"/>
      <c r="N39" s="1"/>
      <c r="O39" s="1"/>
    </row>
    <row r="40" spans="1:15" x14ac:dyDescent="0.3">
      <c r="A40" s="41">
        <v>45514</v>
      </c>
      <c r="B40" s="10" t="s">
        <v>2001</v>
      </c>
      <c r="C40" s="10" t="s">
        <v>14</v>
      </c>
      <c r="D40" s="30">
        <f t="shared" si="2"/>
        <v>118.18181818181817</v>
      </c>
      <c r="E40" s="30">
        <f t="shared" si="0"/>
        <v>11.818181818181818</v>
      </c>
      <c r="F40" s="30">
        <v>130</v>
      </c>
      <c r="G40" s="30"/>
      <c r="H40" s="13">
        <f t="shared" si="1"/>
        <v>130</v>
      </c>
      <c r="I40" s="1" t="s">
        <v>403</v>
      </c>
      <c r="J40" s="30">
        <v>130</v>
      </c>
      <c r="K40" s="30"/>
      <c r="L40" s="1"/>
      <c r="M40" s="30"/>
      <c r="N40" s="1"/>
      <c r="O40" s="1"/>
    </row>
    <row r="41" spans="1:15" x14ac:dyDescent="0.3">
      <c r="A41" s="41">
        <v>45514</v>
      </c>
      <c r="B41" s="10" t="s">
        <v>2002</v>
      </c>
      <c r="C41" s="10" t="s">
        <v>14</v>
      </c>
      <c r="D41" s="30">
        <f t="shared" si="2"/>
        <v>145.45454545454544</v>
      </c>
      <c r="E41" s="30">
        <f t="shared" si="0"/>
        <v>14.545454545454545</v>
      </c>
      <c r="F41" s="30">
        <v>160</v>
      </c>
      <c r="G41" s="30">
        <v>60</v>
      </c>
      <c r="H41" s="13">
        <f t="shared" si="1"/>
        <v>100</v>
      </c>
      <c r="I41" s="1" t="s">
        <v>959</v>
      </c>
      <c r="J41" s="30">
        <v>160</v>
      </c>
      <c r="K41" s="30"/>
      <c r="L41" s="1"/>
      <c r="M41" s="30"/>
      <c r="N41" s="1"/>
      <c r="O41" s="1"/>
    </row>
    <row r="42" spans="1:15" x14ac:dyDescent="0.3">
      <c r="A42" s="41">
        <v>45514</v>
      </c>
      <c r="B42" s="10" t="s">
        <v>2003</v>
      </c>
      <c r="C42" s="10" t="s">
        <v>14</v>
      </c>
      <c r="D42" s="30">
        <f t="shared" si="2"/>
        <v>190.90909090909091</v>
      </c>
      <c r="E42" s="30">
        <f t="shared" si="0"/>
        <v>19.09090909090909</v>
      </c>
      <c r="F42" s="30">
        <v>210</v>
      </c>
      <c r="G42" s="30">
        <v>50</v>
      </c>
      <c r="H42" s="13">
        <f t="shared" si="1"/>
        <v>160</v>
      </c>
      <c r="I42" s="1" t="s">
        <v>2320</v>
      </c>
      <c r="J42" s="30">
        <v>170</v>
      </c>
      <c r="K42" s="30">
        <v>30</v>
      </c>
      <c r="L42" s="1" t="s">
        <v>223</v>
      </c>
      <c r="M42" s="30"/>
      <c r="N42" s="1"/>
      <c r="O42" s="1"/>
    </row>
    <row r="43" spans="1:15" x14ac:dyDescent="0.3">
      <c r="A43" s="41">
        <v>45517</v>
      </c>
      <c r="B43" s="10" t="s">
        <v>2004</v>
      </c>
      <c r="C43" s="10" t="s">
        <v>14</v>
      </c>
      <c r="D43" s="30">
        <f t="shared" si="2"/>
        <v>154.54545454545453</v>
      </c>
      <c r="E43" s="30">
        <f t="shared" si="0"/>
        <v>15.454545454545453</v>
      </c>
      <c r="F43" s="30">
        <v>170</v>
      </c>
      <c r="G43" s="30">
        <v>50</v>
      </c>
      <c r="H43" s="13">
        <f t="shared" si="1"/>
        <v>120</v>
      </c>
      <c r="I43" s="1" t="s">
        <v>2321</v>
      </c>
      <c r="J43" s="30">
        <v>170</v>
      </c>
      <c r="K43" s="30"/>
      <c r="L43" s="1"/>
      <c r="M43" s="30"/>
      <c r="N43" s="1"/>
      <c r="O43" s="1"/>
    </row>
    <row r="44" spans="1:15" x14ac:dyDescent="0.3">
      <c r="A44" s="41">
        <v>45518</v>
      </c>
      <c r="B44" s="10" t="s">
        <v>2005</v>
      </c>
      <c r="C44" s="10" t="s">
        <v>14</v>
      </c>
      <c r="D44" s="30">
        <f t="shared" si="2"/>
        <v>199.99999999999997</v>
      </c>
      <c r="E44" s="30">
        <f t="shared" si="0"/>
        <v>19.999999999999996</v>
      </c>
      <c r="F44" s="30">
        <v>220</v>
      </c>
      <c r="G44" s="30">
        <v>220</v>
      </c>
      <c r="H44" s="13">
        <f t="shared" si="1"/>
        <v>0</v>
      </c>
      <c r="I44" s="1" t="s">
        <v>2322</v>
      </c>
      <c r="J44" s="30">
        <v>220</v>
      </c>
      <c r="K44" s="30"/>
      <c r="L44" s="1"/>
      <c r="M44" s="30"/>
      <c r="N44" s="1"/>
      <c r="O44" s="1"/>
    </row>
    <row r="45" spans="1:15" x14ac:dyDescent="0.3">
      <c r="A45" s="41">
        <v>45518</v>
      </c>
      <c r="B45" s="10" t="s">
        <v>2006</v>
      </c>
      <c r="C45" s="10" t="s">
        <v>14</v>
      </c>
      <c r="D45" s="30">
        <f t="shared" si="2"/>
        <v>240.90909090909088</v>
      </c>
      <c r="E45" s="30">
        <f t="shared" si="0"/>
        <v>24.09090909090909</v>
      </c>
      <c r="F45" s="30">
        <v>265</v>
      </c>
      <c r="G45" s="30">
        <v>50</v>
      </c>
      <c r="H45" s="13">
        <f t="shared" si="1"/>
        <v>215</v>
      </c>
      <c r="I45" s="1" t="s">
        <v>2323</v>
      </c>
      <c r="J45" s="30">
        <v>220</v>
      </c>
      <c r="K45" s="30"/>
      <c r="L45" s="1"/>
      <c r="M45" s="30">
        <v>45</v>
      </c>
      <c r="N45" s="1" t="s">
        <v>16</v>
      </c>
      <c r="O45" s="1"/>
    </row>
    <row r="46" spans="1:15" x14ac:dyDescent="0.3">
      <c r="A46" s="41">
        <v>45518</v>
      </c>
      <c r="B46" s="10" t="s">
        <v>2007</v>
      </c>
      <c r="C46" s="10" t="s">
        <v>14</v>
      </c>
      <c r="D46" s="30">
        <f t="shared" si="2"/>
        <v>190.90909090909091</v>
      </c>
      <c r="E46" s="30">
        <f t="shared" si="0"/>
        <v>19.09090909090909</v>
      </c>
      <c r="F46" s="30">
        <v>210</v>
      </c>
      <c r="G46" s="30">
        <v>50</v>
      </c>
      <c r="H46" s="13">
        <f t="shared" si="1"/>
        <v>160</v>
      </c>
      <c r="I46" s="1" t="s">
        <v>2055</v>
      </c>
      <c r="J46" s="30">
        <v>170</v>
      </c>
      <c r="K46" s="30">
        <v>40</v>
      </c>
      <c r="L46" s="1" t="s">
        <v>223</v>
      </c>
      <c r="M46" s="30"/>
      <c r="N46" s="1"/>
      <c r="O46" s="1"/>
    </row>
    <row r="47" spans="1:15" x14ac:dyDescent="0.3">
      <c r="A47" s="41">
        <v>45520</v>
      </c>
      <c r="B47" s="10" t="s">
        <v>2008</v>
      </c>
      <c r="C47" s="10" t="s">
        <v>14</v>
      </c>
      <c r="D47" s="30">
        <f t="shared" si="2"/>
        <v>90.909090909090907</v>
      </c>
      <c r="E47" s="30">
        <f t="shared" si="0"/>
        <v>9.0909090909090899</v>
      </c>
      <c r="F47" s="30">
        <v>100</v>
      </c>
      <c r="G47" s="30"/>
      <c r="H47" s="13">
        <f t="shared" si="1"/>
        <v>100</v>
      </c>
      <c r="I47" s="1" t="s">
        <v>402</v>
      </c>
      <c r="J47" s="30">
        <v>100</v>
      </c>
      <c r="K47" s="30"/>
      <c r="L47" s="1"/>
      <c r="M47" s="30"/>
      <c r="N47" s="1"/>
      <c r="O47" s="1"/>
    </row>
    <row r="48" spans="1:15" x14ac:dyDescent="0.3">
      <c r="A48" s="41">
        <v>45521</v>
      </c>
      <c r="B48" s="10" t="s">
        <v>2009</v>
      </c>
      <c r="C48" s="10" t="s">
        <v>14</v>
      </c>
      <c r="D48" s="30">
        <f t="shared" si="2"/>
        <v>172.72727272727272</v>
      </c>
      <c r="E48" s="30">
        <f t="shared" si="0"/>
        <v>17.272727272727273</v>
      </c>
      <c r="F48" s="30">
        <v>190</v>
      </c>
      <c r="G48" s="30">
        <v>50</v>
      </c>
      <c r="H48" s="13">
        <f t="shared" si="1"/>
        <v>140</v>
      </c>
      <c r="I48" s="1" t="s">
        <v>1411</v>
      </c>
      <c r="J48" s="30">
        <v>170</v>
      </c>
      <c r="K48" s="30">
        <v>20</v>
      </c>
      <c r="L48" s="1" t="s">
        <v>223</v>
      </c>
      <c r="M48" s="30"/>
      <c r="N48" s="1"/>
      <c r="O48" s="1"/>
    </row>
    <row r="49" spans="1:15" x14ac:dyDescent="0.3">
      <c r="A49" s="41">
        <v>45521</v>
      </c>
      <c r="B49" s="10" t="s">
        <v>2010</v>
      </c>
      <c r="C49" s="10" t="s">
        <v>14</v>
      </c>
      <c r="D49" s="30">
        <f t="shared" si="2"/>
        <v>154.54545454545453</v>
      </c>
      <c r="E49" s="30">
        <f t="shared" si="0"/>
        <v>15.454545454545453</v>
      </c>
      <c r="F49" s="30">
        <v>170</v>
      </c>
      <c r="G49" s="30">
        <v>50</v>
      </c>
      <c r="H49" s="13">
        <f t="shared" si="1"/>
        <v>120</v>
      </c>
      <c r="I49" s="1" t="s">
        <v>2055</v>
      </c>
      <c r="J49" s="30">
        <v>170</v>
      </c>
      <c r="K49" s="30"/>
      <c r="L49" s="1"/>
      <c r="M49" s="30"/>
      <c r="N49" s="1"/>
      <c r="O49" s="1"/>
    </row>
    <row r="50" spans="1:15" x14ac:dyDescent="0.3">
      <c r="A50" s="41">
        <v>45521</v>
      </c>
      <c r="B50" s="10" t="s">
        <v>2011</v>
      </c>
      <c r="C50" s="10" t="s">
        <v>14</v>
      </c>
      <c r="D50" s="30">
        <f t="shared" si="2"/>
        <v>199.99999999999997</v>
      </c>
      <c r="E50" s="30">
        <f t="shared" si="0"/>
        <v>19.999999999999996</v>
      </c>
      <c r="F50" s="30">
        <v>220</v>
      </c>
      <c r="G50" s="30">
        <v>220</v>
      </c>
      <c r="H50" s="13">
        <f t="shared" si="1"/>
        <v>0</v>
      </c>
      <c r="I50" s="1" t="s">
        <v>2142</v>
      </c>
      <c r="J50" s="30">
        <v>170</v>
      </c>
      <c r="K50" s="30">
        <v>50</v>
      </c>
      <c r="L50" s="1" t="s">
        <v>223</v>
      </c>
      <c r="M50" s="30"/>
      <c r="N50" s="1"/>
      <c r="O50" s="1"/>
    </row>
    <row r="51" spans="1:15" x14ac:dyDescent="0.3">
      <c r="A51" s="41">
        <v>45521</v>
      </c>
      <c r="B51" s="10" t="s">
        <v>2012</v>
      </c>
      <c r="C51" s="10" t="s">
        <v>14</v>
      </c>
      <c r="D51" s="30">
        <f t="shared" si="2"/>
        <v>127.27272727272727</v>
      </c>
      <c r="E51" s="30">
        <f t="shared" si="0"/>
        <v>12.727272727272727</v>
      </c>
      <c r="F51" s="30">
        <v>140</v>
      </c>
      <c r="G51" s="30"/>
      <c r="H51" s="13">
        <f t="shared" si="1"/>
        <v>140</v>
      </c>
      <c r="I51" s="1" t="s">
        <v>402</v>
      </c>
      <c r="J51" s="30">
        <v>140</v>
      </c>
      <c r="K51" s="30"/>
      <c r="L51" s="1"/>
      <c r="M51" s="30"/>
      <c r="N51" s="1"/>
      <c r="O51" s="1"/>
    </row>
    <row r="52" spans="1:15" x14ac:dyDescent="0.3">
      <c r="A52" s="41">
        <v>45521</v>
      </c>
      <c r="B52" s="10" t="s">
        <v>2013</v>
      </c>
      <c r="C52" s="10" t="s">
        <v>14</v>
      </c>
      <c r="D52" s="30">
        <f t="shared" si="2"/>
        <v>127.27272727272727</v>
      </c>
      <c r="E52" s="30">
        <f t="shared" si="0"/>
        <v>12.727272727272727</v>
      </c>
      <c r="F52" s="30">
        <v>140</v>
      </c>
      <c r="G52" s="30"/>
      <c r="H52" s="13">
        <f t="shared" si="1"/>
        <v>140</v>
      </c>
      <c r="I52" s="1" t="s">
        <v>402</v>
      </c>
      <c r="J52" s="30">
        <v>140</v>
      </c>
      <c r="K52" s="30"/>
      <c r="L52" s="1"/>
      <c r="M52" s="30"/>
      <c r="N52" s="1"/>
      <c r="O52" s="1"/>
    </row>
    <row r="53" spans="1:15" x14ac:dyDescent="0.3">
      <c r="A53" s="41">
        <v>45521</v>
      </c>
      <c r="B53" s="10" t="s">
        <v>2014</v>
      </c>
      <c r="C53" s="10" t="s">
        <v>14</v>
      </c>
      <c r="D53" s="30">
        <f t="shared" si="2"/>
        <v>300</v>
      </c>
      <c r="E53" s="30">
        <f t="shared" si="0"/>
        <v>30</v>
      </c>
      <c r="F53" s="30">
        <v>330</v>
      </c>
      <c r="G53" s="30">
        <v>50</v>
      </c>
      <c r="H53" s="13">
        <f t="shared" si="1"/>
        <v>280</v>
      </c>
      <c r="I53" s="1" t="s">
        <v>2324</v>
      </c>
      <c r="J53" s="30">
        <v>270</v>
      </c>
      <c r="K53" s="30">
        <v>60</v>
      </c>
      <c r="L53" s="1" t="s">
        <v>223</v>
      </c>
      <c r="M53" s="30"/>
      <c r="N53" s="1"/>
      <c r="O53" s="1"/>
    </row>
    <row r="54" spans="1:15" x14ac:dyDescent="0.3">
      <c r="A54" s="41">
        <v>45521</v>
      </c>
      <c r="B54" s="10" t="s">
        <v>2015</v>
      </c>
      <c r="C54" s="10" t="s">
        <v>14</v>
      </c>
      <c r="D54" s="30">
        <f t="shared" si="2"/>
        <v>199.99999999999997</v>
      </c>
      <c r="E54" s="30">
        <f t="shared" si="0"/>
        <v>19.999999999999996</v>
      </c>
      <c r="F54" s="30">
        <v>220</v>
      </c>
      <c r="G54" s="30">
        <v>50</v>
      </c>
      <c r="H54" s="13">
        <f t="shared" si="1"/>
        <v>170</v>
      </c>
      <c r="I54" s="1" t="s">
        <v>2055</v>
      </c>
      <c r="J54" s="30">
        <v>220</v>
      </c>
      <c r="K54" s="30"/>
      <c r="L54" s="1"/>
      <c r="M54" s="30"/>
      <c r="N54" s="1"/>
      <c r="O54" s="1"/>
    </row>
    <row r="55" spans="1:15" x14ac:dyDescent="0.3">
      <c r="A55" s="41">
        <v>45521</v>
      </c>
      <c r="B55" s="10" t="s">
        <v>2016</v>
      </c>
      <c r="C55" s="10" t="s">
        <v>14</v>
      </c>
      <c r="D55" s="30">
        <f t="shared" si="2"/>
        <v>309.09090909090907</v>
      </c>
      <c r="E55" s="30">
        <f t="shared" si="0"/>
        <v>30.909090909090907</v>
      </c>
      <c r="F55" s="30">
        <v>340</v>
      </c>
      <c r="G55" s="30">
        <v>50</v>
      </c>
      <c r="H55" s="13">
        <f t="shared" si="1"/>
        <v>290</v>
      </c>
      <c r="I55" s="1" t="s">
        <v>2325</v>
      </c>
      <c r="J55" s="30">
        <v>270</v>
      </c>
      <c r="K55" s="30">
        <v>70</v>
      </c>
      <c r="L55" s="1" t="s">
        <v>223</v>
      </c>
      <c r="M55" s="30"/>
      <c r="N55" s="1"/>
      <c r="O55" s="1"/>
    </row>
    <row r="56" spans="1:15" x14ac:dyDescent="0.3">
      <c r="A56" s="41">
        <v>45521</v>
      </c>
      <c r="B56" s="10" t="s">
        <v>2017</v>
      </c>
      <c r="C56" s="10" t="s">
        <v>14</v>
      </c>
      <c r="D56" s="30">
        <f t="shared" si="2"/>
        <v>231.81818181818181</v>
      </c>
      <c r="E56" s="30">
        <f t="shared" si="0"/>
        <v>23.18181818181818</v>
      </c>
      <c r="F56" s="30">
        <v>255</v>
      </c>
      <c r="G56" s="30">
        <v>50</v>
      </c>
      <c r="H56" s="13">
        <f t="shared" si="1"/>
        <v>205</v>
      </c>
      <c r="I56" s="1" t="s">
        <v>2055</v>
      </c>
      <c r="J56" s="30">
        <v>170</v>
      </c>
      <c r="K56" s="30"/>
      <c r="L56" s="1"/>
      <c r="M56" s="30">
        <v>45</v>
      </c>
      <c r="N56" s="1" t="s">
        <v>16</v>
      </c>
      <c r="O56" s="1"/>
    </row>
    <row r="57" spans="1:15" x14ac:dyDescent="0.3">
      <c r="A57" s="41">
        <v>45522</v>
      </c>
      <c r="B57" s="10" t="s">
        <v>2018</v>
      </c>
      <c r="C57" s="10" t="s">
        <v>14</v>
      </c>
      <c r="D57" s="30">
        <f t="shared" si="2"/>
        <v>190.90909090909091</v>
      </c>
      <c r="E57" s="30">
        <f t="shared" si="0"/>
        <v>19.09090909090909</v>
      </c>
      <c r="F57" s="30">
        <v>210</v>
      </c>
      <c r="G57" s="30">
        <v>50</v>
      </c>
      <c r="H57" s="13">
        <f t="shared" si="1"/>
        <v>160</v>
      </c>
      <c r="I57" s="1" t="s">
        <v>2326</v>
      </c>
      <c r="J57" s="30">
        <v>170</v>
      </c>
      <c r="K57" s="30">
        <v>40</v>
      </c>
      <c r="L57" s="1" t="s">
        <v>223</v>
      </c>
      <c r="M57" s="30"/>
      <c r="N57" s="1"/>
      <c r="O57" s="1"/>
    </row>
    <row r="58" spans="1:15" x14ac:dyDescent="0.3">
      <c r="A58" s="41">
        <v>45523</v>
      </c>
      <c r="B58" s="10" t="s">
        <v>2019</v>
      </c>
      <c r="C58" s="10" t="s">
        <v>14</v>
      </c>
      <c r="D58" s="30">
        <f t="shared" si="2"/>
        <v>245.45454545454544</v>
      </c>
      <c r="E58" s="30">
        <f t="shared" si="0"/>
        <v>24.545454545454547</v>
      </c>
      <c r="F58" s="30">
        <v>270</v>
      </c>
      <c r="G58" s="30">
        <v>50</v>
      </c>
      <c r="H58" s="13">
        <f t="shared" si="1"/>
        <v>220</v>
      </c>
      <c r="I58" s="1" t="s">
        <v>2327</v>
      </c>
      <c r="J58" s="30">
        <v>270</v>
      </c>
      <c r="K58" s="30"/>
      <c r="L58" s="1"/>
      <c r="M58" s="30"/>
      <c r="N58" s="1"/>
      <c r="O58" s="1"/>
    </row>
    <row r="59" spans="1:15" x14ac:dyDescent="0.3">
      <c r="A59" s="41">
        <v>45524</v>
      </c>
      <c r="B59" s="10" t="s">
        <v>2020</v>
      </c>
      <c r="C59" s="10" t="s">
        <v>14</v>
      </c>
      <c r="D59" s="30">
        <f t="shared" si="2"/>
        <v>163.63636363636363</v>
      </c>
      <c r="E59" s="30">
        <f t="shared" si="0"/>
        <v>16.363636363636363</v>
      </c>
      <c r="F59" s="30">
        <v>180</v>
      </c>
      <c r="G59" s="30"/>
      <c r="H59" s="13">
        <f t="shared" si="1"/>
        <v>180</v>
      </c>
      <c r="I59" s="1" t="s">
        <v>402</v>
      </c>
      <c r="J59" s="30">
        <v>180</v>
      </c>
      <c r="K59" s="30"/>
      <c r="L59" s="1"/>
      <c r="M59" s="30"/>
      <c r="N59" s="1"/>
      <c r="O59" s="1"/>
    </row>
    <row r="60" spans="1:15" x14ac:dyDescent="0.3">
      <c r="A60" s="41">
        <v>45373</v>
      </c>
      <c r="B60" s="10" t="s">
        <v>2021</v>
      </c>
      <c r="C60" s="10" t="s">
        <v>14</v>
      </c>
      <c r="D60" s="30">
        <f t="shared" si="2"/>
        <v>300</v>
      </c>
      <c r="E60" s="30">
        <f t="shared" si="0"/>
        <v>30</v>
      </c>
      <c r="F60" s="30">
        <v>330</v>
      </c>
      <c r="G60" s="30"/>
      <c r="H60" s="13">
        <f t="shared" si="1"/>
        <v>330</v>
      </c>
      <c r="I60" s="1" t="s">
        <v>402</v>
      </c>
      <c r="J60" s="30">
        <v>330</v>
      </c>
      <c r="K60" s="30"/>
      <c r="L60" s="1"/>
      <c r="M60" s="30"/>
      <c r="N60" s="1"/>
      <c r="O60" s="1"/>
    </row>
    <row r="61" spans="1:15" x14ac:dyDescent="0.3">
      <c r="A61" s="41">
        <v>45527</v>
      </c>
      <c r="B61" s="10" t="s">
        <v>2022</v>
      </c>
      <c r="C61" s="10" t="s">
        <v>14</v>
      </c>
      <c r="D61" s="30">
        <f t="shared" si="2"/>
        <v>227.27272727272725</v>
      </c>
      <c r="E61" s="30">
        <f t="shared" si="0"/>
        <v>22.727272727272727</v>
      </c>
      <c r="F61" s="30">
        <v>250</v>
      </c>
      <c r="G61" s="30">
        <v>50</v>
      </c>
      <c r="H61" s="13">
        <f t="shared" si="1"/>
        <v>200</v>
      </c>
      <c r="I61" s="1" t="s">
        <v>2328</v>
      </c>
      <c r="J61" s="30">
        <v>220</v>
      </c>
      <c r="K61" s="30">
        <v>30</v>
      </c>
      <c r="L61" s="1" t="s">
        <v>223</v>
      </c>
      <c r="M61" s="30"/>
      <c r="N61" s="1"/>
      <c r="O61" s="1"/>
    </row>
    <row r="62" spans="1:15" x14ac:dyDescent="0.3">
      <c r="A62" s="41">
        <v>45528</v>
      </c>
      <c r="B62" s="10" t="s">
        <v>2023</v>
      </c>
      <c r="C62" s="10" t="s">
        <v>14</v>
      </c>
      <c r="D62" s="30">
        <f t="shared" si="2"/>
        <v>245.45454545454544</v>
      </c>
      <c r="E62" s="30">
        <f t="shared" si="0"/>
        <v>24.545454545454547</v>
      </c>
      <c r="F62" s="30">
        <v>270</v>
      </c>
      <c r="G62" s="30">
        <v>50</v>
      </c>
      <c r="H62" s="13">
        <f t="shared" si="1"/>
        <v>220</v>
      </c>
      <c r="I62" s="1" t="s">
        <v>2307</v>
      </c>
      <c r="J62" s="30">
        <v>270</v>
      </c>
      <c r="K62" s="30"/>
      <c r="L62" s="1"/>
      <c r="M62" s="30"/>
      <c r="N62" s="1"/>
      <c r="O62" s="1"/>
    </row>
    <row r="63" spans="1:15" x14ac:dyDescent="0.3">
      <c r="A63" s="41">
        <v>45528</v>
      </c>
      <c r="B63" s="10" t="s">
        <v>2024</v>
      </c>
      <c r="C63" s="10" t="s">
        <v>14</v>
      </c>
      <c r="D63" s="30">
        <f t="shared" si="2"/>
        <v>190.90909090909091</v>
      </c>
      <c r="E63" s="30">
        <f t="shared" si="0"/>
        <v>19.09090909090909</v>
      </c>
      <c r="F63" s="30">
        <v>210</v>
      </c>
      <c r="G63" s="30">
        <v>50</v>
      </c>
      <c r="H63" s="13">
        <f t="shared" si="1"/>
        <v>160</v>
      </c>
      <c r="I63" s="1" t="s">
        <v>2329</v>
      </c>
      <c r="J63" s="30">
        <v>170</v>
      </c>
      <c r="K63" s="30">
        <v>40</v>
      </c>
      <c r="L63" s="1" t="s">
        <v>223</v>
      </c>
      <c r="M63" s="30"/>
      <c r="N63" s="1"/>
      <c r="O63" s="1"/>
    </row>
    <row r="64" spans="1:15" x14ac:dyDescent="0.3">
      <c r="A64" s="41">
        <v>45528</v>
      </c>
      <c r="B64" s="10" t="s">
        <v>2025</v>
      </c>
      <c r="C64" s="10" t="s">
        <v>14</v>
      </c>
      <c r="D64" s="30">
        <f t="shared" si="2"/>
        <v>154.54545454545453</v>
      </c>
      <c r="E64" s="30">
        <f t="shared" si="0"/>
        <v>15.454545454545453</v>
      </c>
      <c r="F64" s="30">
        <v>170</v>
      </c>
      <c r="G64" s="30">
        <v>50</v>
      </c>
      <c r="H64" s="13">
        <f t="shared" si="1"/>
        <v>120</v>
      </c>
      <c r="I64" s="1" t="s">
        <v>2330</v>
      </c>
      <c r="J64" s="30">
        <v>170</v>
      </c>
      <c r="K64" s="30"/>
      <c r="L64" s="1"/>
      <c r="M64" s="30"/>
      <c r="N64" s="1"/>
      <c r="O64" s="1"/>
    </row>
    <row r="65" spans="1:15" x14ac:dyDescent="0.3">
      <c r="A65" s="41">
        <v>45528</v>
      </c>
      <c r="B65" s="10" t="s">
        <v>2026</v>
      </c>
      <c r="C65" s="10" t="s">
        <v>14</v>
      </c>
      <c r="D65" s="30">
        <f t="shared" si="2"/>
        <v>227.27272727272725</v>
      </c>
      <c r="E65" s="30">
        <f t="shared" si="0"/>
        <v>22.727272727272727</v>
      </c>
      <c r="F65" s="30">
        <v>250</v>
      </c>
      <c r="G65" s="30">
        <v>100</v>
      </c>
      <c r="H65" s="13">
        <f t="shared" si="1"/>
        <v>150</v>
      </c>
      <c r="I65" s="1" t="s">
        <v>2331</v>
      </c>
      <c r="J65" s="30">
        <v>220</v>
      </c>
      <c r="K65" s="30">
        <v>30</v>
      </c>
      <c r="L65" s="1" t="s">
        <v>223</v>
      </c>
      <c r="M65" s="30"/>
      <c r="N65" s="1"/>
      <c r="O65" s="1"/>
    </row>
    <row r="66" spans="1:15" x14ac:dyDescent="0.3">
      <c r="A66" s="41">
        <v>45528</v>
      </c>
      <c r="B66" s="10" t="s">
        <v>2027</v>
      </c>
      <c r="C66" s="10" t="s">
        <v>14</v>
      </c>
      <c r="D66" s="30">
        <f t="shared" si="2"/>
        <v>490.90909090909088</v>
      </c>
      <c r="E66" s="30">
        <f t="shared" si="0"/>
        <v>49.090909090909093</v>
      </c>
      <c r="F66" s="30">
        <v>540</v>
      </c>
      <c r="G66" s="30">
        <v>50</v>
      </c>
      <c r="H66" s="13">
        <f t="shared" si="1"/>
        <v>490</v>
      </c>
      <c r="I66" s="1" t="s">
        <v>2293</v>
      </c>
      <c r="J66" s="30">
        <v>490</v>
      </c>
      <c r="K66" s="30"/>
      <c r="L66" s="1"/>
      <c r="M66" s="30"/>
      <c r="N66" s="1"/>
      <c r="O66" s="1"/>
    </row>
    <row r="67" spans="1:15" x14ac:dyDescent="0.3">
      <c r="A67" s="41">
        <v>45528</v>
      </c>
      <c r="B67" s="10" t="s">
        <v>2028</v>
      </c>
      <c r="C67" s="10" t="s">
        <v>14</v>
      </c>
      <c r="D67" s="30">
        <f t="shared" si="2"/>
        <v>309.09090909090907</v>
      </c>
      <c r="E67" s="30">
        <f t="shared" ref="E67:E95" si="3">D67*10/100</f>
        <v>30.909090909090907</v>
      </c>
      <c r="F67" s="30">
        <v>340</v>
      </c>
      <c r="G67" s="30">
        <v>50</v>
      </c>
      <c r="H67" s="13">
        <f t="shared" ref="H67:H95" si="4">F67-G67</f>
        <v>290</v>
      </c>
      <c r="I67" s="1" t="s">
        <v>2332</v>
      </c>
      <c r="J67" s="30">
        <v>340</v>
      </c>
      <c r="K67" s="30"/>
      <c r="L67" s="1"/>
      <c r="M67" s="30"/>
      <c r="N67" s="1"/>
      <c r="O67" s="1"/>
    </row>
    <row r="68" spans="1:15" x14ac:dyDescent="0.3">
      <c r="A68" s="41">
        <v>45529</v>
      </c>
      <c r="B68" s="10" t="s">
        <v>2029</v>
      </c>
      <c r="C68" s="10" t="s">
        <v>14</v>
      </c>
      <c r="D68" s="30">
        <f t="shared" ref="D68:D95" si="5">F68/1.1</f>
        <v>268.18181818181819</v>
      </c>
      <c r="E68" s="30">
        <f t="shared" si="3"/>
        <v>26.81818181818182</v>
      </c>
      <c r="F68" s="30">
        <v>295</v>
      </c>
      <c r="G68" s="30">
        <v>50</v>
      </c>
      <c r="H68" s="13">
        <f t="shared" si="4"/>
        <v>245</v>
      </c>
      <c r="I68" s="1" t="s">
        <v>2333</v>
      </c>
      <c r="J68" s="30">
        <v>220</v>
      </c>
      <c r="K68" s="30">
        <v>30</v>
      </c>
      <c r="L68" s="1" t="s">
        <v>223</v>
      </c>
      <c r="M68" s="30">
        <v>45</v>
      </c>
      <c r="N68" s="1" t="s">
        <v>16</v>
      </c>
      <c r="O68" s="1"/>
    </row>
    <row r="69" spans="1:15" x14ac:dyDescent="0.3">
      <c r="A69" s="41">
        <v>45529</v>
      </c>
      <c r="B69" s="10" t="s">
        <v>2030</v>
      </c>
      <c r="C69" s="10" t="s">
        <v>14</v>
      </c>
      <c r="D69" s="30">
        <f t="shared" si="5"/>
        <v>127.27272727272727</v>
      </c>
      <c r="E69" s="30">
        <f t="shared" si="3"/>
        <v>12.727272727272727</v>
      </c>
      <c r="F69" s="30">
        <v>140</v>
      </c>
      <c r="G69" s="30"/>
      <c r="H69" s="13">
        <f t="shared" si="4"/>
        <v>140</v>
      </c>
      <c r="I69" s="1" t="s">
        <v>402</v>
      </c>
      <c r="J69" s="30">
        <v>140</v>
      </c>
      <c r="K69" s="30"/>
      <c r="L69" s="1"/>
      <c r="M69" s="30"/>
      <c r="N69" s="1"/>
      <c r="O69" s="1"/>
    </row>
    <row r="70" spans="1:15" x14ac:dyDescent="0.3">
      <c r="A70" s="41">
        <v>45531</v>
      </c>
      <c r="B70" s="10" t="s">
        <v>2031</v>
      </c>
      <c r="C70" s="10" t="s">
        <v>14</v>
      </c>
      <c r="D70" s="30">
        <f t="shared" si="5"/>
        <v>245.45454545454544</v>
      </c>
      <c r="E70" s="30">
        <f t="shared" si="3"/>
        <v>24.545454545454547</v>
      </c>
      <c r="F70" s="30">
        <v>270</v>
      </c>
      <c r="G70" s="30">
        <v>50</v>
      </c>
      <c r="H70" s="13">
        <f t="shared" si="4"/>
        <v>220</v>
      </c>
      <c r="I70" s="1" t="s">
        <v>2334</v>
      </c>
      <c r="J70" s="30">
        <v>270</v>
      </c>
      <c r="K70" s="30"/>
      <c r="L70" s="1"/>
      <c r="M70" s="30"/>
      <c r="N70" s="1"/>
      <c r="O70" s="1"/>
    </row>
    <row r="71" spans="1:15" x14ac:dyDescent="0.3">
      <c r="A71" s="41">
        <v>45532</v>
      </c>
      <c r="B71" s="10" t="s">
        <v>2032</v>
      </c>
      <c r="C71" s="10" t="s">
        <v>14</v>
      </c>
      <c r="D71" s="30">
        <f t="shared" si="5"/>
        <v>199.99999999999997</v>
      </c>
      <c r="E71" s="30">
        <f t="shared" si="3"/>
        <v>19.999999999999996</v>
      </c>
      <c r="F71" s="30">
        <v>220</v>
      </c>
      <c r="G71" s="30">
        <v>50</v>
      </c>
      <c r="H71" s="13">
        <f t="shared" si="4"/>
        <v>170</v>
      </c>
      <c r="I71" s="1" t="s">
        <v>2335</v>
      </c>
      <c r="J71" s="30">
        <v>220</v>
      </c>
      <c r="K71" s="30"/>
      <c r="L71" s="1"/>
      <c r="M71" s="30"/>
      <c r="N71" s="1"/>
      <c r="O71" s="1"/>
    </row>
    <row r="72" spans="1:15" x14ac:dyDescent="0.3">
      <c r="A72" s="41">
        <v>45533</v>
      </c>
      <c r="B72" s="10" t="s">
        <v>2033</v>
      </c>
      <c r="C72" s="10" t="s">
        <v>14</v>
      </c>
      <c r="D72" s="30">
        <f t="shared" si="5"/>
        <v>145.45454545454544</v>
      </c>
      <c r="E72" s="30">
        <f t="shared" si="3"/>
        <v>14.545454545454545</v>
      </c>
      <c r="F72" s="30">
        <v>160</v>
      </c>
      <c r="G72" s="30"/>
      <c r="H72" s="13">
        <f t="shared" si="4"/>
        <v>160</v>
      </c>
      <c r="I72" s="1" t="s">
        <v>402</v>
      </c>
      <c r="J72" s="30">
        <v>160</v>
      </c>
      <c r="K72" s="30"/>
      <c r="L72" s="1"/>
      <c r="M72" s="30"/>
      <c r="N72" s="1"/>
      <c r="O72" s="1"/>
    </row>
    <row r="73" spans="1:15" x14ac:dyDescent="0.3">
      <c r="A73" s="41">
        <v>45534</v>
      </c>
      <c r="B73" s="10" t="s">
        <v>2034</v>
      </c>
      <c r="C73" s="10" t="s">
        <v>14</v>
      </c>
      <c r="D73" s="30">
        <f t="shared" si="5"/>
        <v>154.54545454545453</v>
      </c>
      <c r="E73" s="30">
        <f t="shared" si="3"/>
        <v>15.454545454545453</v>
      </c>
      <c r="F73" s="30">
        <v>170</v>
      </c>
      <c r="G73" s="30">
        <v>50</v>
      </c>
      <c r="H73" s="13">
        <f t="shared" si="4"/>
        <v>120</v>
      </c>
      <c r="I73" s="1" t="s">
        <v>2336</v>
      </c>
      <c r="J73" s="30">
        <v>170</v>
      </c>
      <c r="K73" s="30"/>
      <c r="L73" s="1"/>
      <c r="M73" s="30"/>
      <c r="N73" s="1"/>
      <c r="O73" s="1"/>
    </row>
    <row r="74" spans="1:15" x14ac:dyDescent="0.3">
      <c r="A74" s="41">
        <v>45534</v>
      </c>
      <c r="B74" s="10" t="s">
        <v>2035</v>
      </c>
      <c r="C74" s="10" t="s">
        <v>14</v>
      </c>
      <c r="D74" s="30">
        <f t="shared" si="5"/>
        <v>272.72727272727269</v>
      </c>
      <c r="E74" s="30">
        <f t="shared" si="3"/>
        <v>27.27272727272727</v>
      </c>
      <c r="F74" s="30">
        <v>300</v>
      </c>
      <c r="G74" s="30">
        <v>50</v>
      </c>
      <c r="H74" s="13">
        <f t="shared" si="4"/>
        <v>250</v>
      </c>
      <c r="I74" s="1" t="s">
        <v>2337</v>
      </c>
      <c r="J74" s="30">
        <v>270</v>
      </c>
      <c r="K74" s="30">
        <v>30</v>
      </c>
      <c r="L74" s="1" t="s">
        <v>223</v>
      </c>
      <c r="M74" s="30"/>
      <c r="N74" s="1"/>
      <c r="O74" s="1"/>
    </row>
    <row r="75" spans="1:15" x14ac:dyDescent="0.3">
      <c r="A75" s="41">
        <v>45534</v>
      </c>
      <c r="B75" s="10" t="s">
        <v>2036</v>
      </c>
      <c r="C75" s="10" t="s">
        <v>14</v>
      </c>
      <c r="D75" s="30">
        <f t="shared" si="5"/>
        <v>227.27272727272725</v>
      </c>
      <c r="E75" s="30">
        <f t="shared" si="3"/>
        <v>22.727272727272727</v>
      </c>
      <c r="F75" s="30">
        <v>250</v>
      </c>
      <c r="G75" s="30">
        <v>50</v>
      </c>
      <c r="H75" s="13">
        <f t="shared" si="4"/>
        <v>200</v>
      </c>
      <c r="I75" s="1" t="s">
        <v>2338</v>
      </c>
      <c r="J75" s="30">
        <v>220</v>
      </c>
      <c r="K75" s="30">
        <v>30</v>
      </c>
      <c r="L75" s="1" t="s">
        <v>223</v>
      </c>
      <c r="M75" s="30"/>
      <c r="N75" s="1"/>
      <c r="O75" s="1"/>
    </row>
    <row r="76" spans="1:15" x14ac:dyDescent="0.3">
      <c r="A76" s="41">
        <v>45534</v>
      </c>
      <c r="B76" s="10" t="s">
        <v>2037</v>
      </c>
      <c r="C76" s="10" t="s">
        <v>14</v>
      </c>
      <c r="D76" s="30">
        <f t="shared" si="5"/>
        <v>263.63636363636363</v>
      </c>
      <c r="E76" s="30">
        <f t="shared" si="3"/>
        <v>26.36363636363636</v>
      </c>
      <c r="F76" s="30">
        <v>290</v>
      </c>
      <c r="G76" s="30">
        <v>50</v>
      </c>
      <c r="H76" s="13">
        <f t="shared" si="4"/>
        <v>240</v>
      </c>
      <c r="I76" s="1" t="s">
        <v>2339</v>
      </c>
      <c r="J76" s="30">
        <v>270</v>
      </c>
      <c r="K76" s="30">
        <v>20</v>
      </c>
      <c r="L76" s="1" t="s">
        <v>223</v>
      </c>
      <c r="M76" s="30"/>
      <c r="N76" s="1"/>
      <c r="O76" s="1"/>
    </row>
    <row r="77" spans="1:15" x14ac:dyDescent="0.3">
      <c r="A77" s="41">
        <v>45535</v>
      </c>
      <c r="B77" s="10" t="s">
        <v>2038</v>
      </c>
      <c r="C77" s="10" t="s">
        <v>14</v>
      </c>
      <c r="D77" s="30">
        <f t="shared" si="5"/>
        <v>318.18181818181813</v>
      </c>
      <c r="E77" s="30">
        <f t="shared" si="3"/>
        <v>31.818181818181809</v>
      </c>
      <c r="F77" s="30">
        <v>350</v>
      </c>
      <c r="G77" s="30">
        <v>50</v>
      </c>
      <c r="H77" s="13">
        <f t="shared" si="4"/>
        <v>300</v>
      </c>
      <c r="I77" s="1" t="s">
        <v>2340</v>
      </c>
      <c r="J77" s="30">
        <v>350</v>
      </c>
      <c r="K77" s="30"/>
      <c r="L77" s="1"/>
      <c r="M77" s="30"/>
      <c r="N77" s="1"/>
      <c r="O77" s="1"/>
    </row>
    <row r="78" spans="1:15" x14ac:dyDescent="0.3">
      <c r="A78" s="41">
        <v>45535</v>
      </c>
      <c r="B78" s="10" t="s">
        <v>2039</v>
      </c>
      <c r="C78" s="10" t="s">
        <v>14</v>
      </c>
      <c r="D78" s="30">
        <f t="shared" si="5"/>
        <v>218.18181818181816</v>
      </c>
      <c r="E78" s="30">
        <f t="shared" si="3"/>
        <v>21.818181818181817</v>
      </c>
      <c r="F78" s="30">
        <v>240</v>
      </c>
      <c r="G78" s="30">
        <v>50</v>
      </c>
      <c r="H78" s="13">
        <f t="shared" si="4"/>
        <v>190</v>
      </c>
      <c r="I78" s="1" t="s">
        <v>2341</v>
      </c>
      <c r="J78" s="30">
        <v>220</v>
      </c>
      <c r="K78" s="30">
        <v>20</v>
      </c>
      <c r="L78" s="1" t="s">
        <v>223</v>
      </c>
      <c r="M78" s="30"/>
      <c r="N78" s="1"/>
      <c r="O78" s="1"/>
    </row>
    <row r="79" spans="1:15" x14ac:dyDescent="0.3">
      <c r="A79" s="41">
        <v>45535</v>
      </c>
      <c r="B79" s="10" t="s">
        <v>2040</v>
      </c>
      <c r="C79" s="10" t="s">
        <v>14</v>
      </c>
      <c r="D79" s="30">
        <f t="shared" si="5"/>
        <v>218.18181818181816</v>
      </c>
      <c r="E79" s="30">
        <f t="shared" si="3"/>
        <v>21.818181818181817</v>
      </c>
      <c r="F79" s="30">
        <v>240</v>
      </c>
      <c r="G79" s="30"/>
      <c r="H79" s="13">
        <f t="shared" si="4"/>
        <v>240</v>
      </c>
      <c r="I79" s="1" t="s">
        <v>1483</v>
      </c>
      <c r="J79" s="30">
        <v>240</v>
      </c>
      <c r="K79" s="30"/>
      <c r="L79" s="1"/>
      <c r="M79" s="30"/>
      <c r="N79" s="1"/>
      <c r="O79" s="1"/>
    </row>
    <row r="80" spans="1:15" x14ac:dyDescent="0.3">
      <c r="A80" s="41">
        <v>45535</v>
      </c>
      <c r="B80" s="10" t="s">
        <v>2041</v>
      </c>
      <c r="C80" s="10" t="s">
        <v>14</v>
      </c>
      <c r="D80" s="30">
        <f t="shared" si="5"/>
        <v>181.81818181818181</v>
      </c>
      <c r="E80" s="30">
        <f t="shared" si="3"/>
        <v>18.18181818181818</v>
      </c>
      <c r="F80" s="30">
        <v>200</v>
      </c>
      <c r="G80" s="30">
        <v>50</v>
      </c>
      <c r="H80" s="13">
        <f t="shared" si="4"/>
        <v>150</v>
      </c>
      <c r="I80" s="1" t="s">
        <v>2342</v>
      </c>
      <c r="J80" s="30">
        <v>220</v>
      </c>
      <c r="K80" s="30">
        <v>30</v>
      </c>
      <c r="L80" s="1" t="s">
        <v>223</v>
      </c>
      <c r="M80" s="30"/>
      <c r="N80" s="1"/>
      <c r="O80" s="1"/>
    </row>
    <row r="81" spans="1:15" x14ac:dyDescent="0.3">
      <c r="A81" s="41">
        <v>45535</v>
      </c>
      <c r="B81" s="10" t="s">
        <v>2042</v>
      </c>
      <c r="C81" s="10" t="s">
        <v>14</v>
      </c>
      <c r="D81" s="30">
        <f t="shared" si="5"/>
        <v>272.72727272727269</v>
      </c>
      <c r="E81" s="30">
        <f t="shared" si="3"/>
        <v>27.27272727272727</v>
      </c>
      <c r="F81" s="30">
        <v>300</v>
      </c>
      <c r="G81" s="30">
        <v>50</v>
      </c>
      <c r="H81" s="13">
        <f t="shared" si="4"/>
        <v>250</v>
      </c>
      <c r="I81" s="1" t="s">
        <v>2343</v>
      </c>
      <c r="J81" s="30">
        <v>270</v>
      </c>
      <c r="K81" s="30">
        <v>30</v>
      </c>
      <c r="L81" s="1" t="s">
        <v>223</v>
      </c>
      <c r="M81" s="30"/>
      <c r="N81" s="1"/>
      <c r="O81" s="1"/>
    </row>
    <row r="82" spans="1:15" x14ac:dyDescent="0.3">
      <c r="A82" s="41">
        <v>45535</v>
      </c>
      <c r="B82" s="10" t="s">
        <v>2043</v>
      </c>
      <c r="C82" s="10" t="s">
        <v>14</v>
      </c>
      <c r="D82" s="30">
        <f t="shared" si="5"/>
        <v>227.27272727272725</v>
      </c>
      <c r="E82" s="30">
        <f t="shared" si="3"/>
        <v>22.727272727272727</v>
      </c>
      <c r="F82" s="30">
        <v>250</v>
      </c>
      <c r="G82" s="30">
        <v>50</v>
      </c>
      <c r="H82" s="13">
        <f t="shared" si="4"/>
        <v>200</v>
      </c>
      <c r="I82" s="1" t="s">
        <v>2344</v>
      </c>
      <c r="J82" s="30">
        <v>220</v>
      </c>
      <c r="K82" s="30">
        <v>30</v>
      </c>
      <c r="L82" s="1" t="s">
        <v>223</v>
      </c>
      <c r="M82" s="30"/>
      <c r="N82" s="1"/>
      <c r="O82" s="1"/>
    </row>
    <row r="83" spans="1:15" x14ac:dyDescent="0.3">
      <c r="A83" s="41">
        <v>45535</v>
      </c>
      <c r="B83" s="10" t="s">
        <v>2044</v>
      </c>
      <c r="C83" s="10" t="s">
        <v>14</v>
      </c>
      <c r="D83" s="30">
        <f t="shared" si="5"/>
        <v>499.99999999999994</v>
      </c>
      <c r="E83" s="30">
        <f t="shared" si="3"/>
        <v>49.999999999999993</v>
      </c>
      <c r="F83" s="30">
        <v>550</v>
      </c>
      <c r="G83" s="30"/>
      <c r="H83" s="13">
        <f t="shared" si="4"/>
        <v>550</v>
      </c>
      <c r="I83" s="1" t="s">
        <v>1028</v>
      </c>
      <c r="J83" s="30">
        <v>550</v>
      </c>
      <c r="K83" s="30"/>
      <c r="L83" s="1"/>
      <c r="M83" s="30"/>
      <c r="N83" s="1"/>
      <c r="O83" s="1"/>
    </row>
    <row r="84" spans="1:15" x14ac:dyDescent="0.3">
      <c r="A84" s="41">
        <v>45535</v>
      </c>
      <c r="B84" s="10" t="s">
        <v>2045</v>
      </c>
      <c r="C84" s="10" t="s">
        <v>14</v>
      </c>
      <c r="D84" s="30">
        <f t="shared" si="5"/>
        <v>154.54545454545453</v>
      </c>
      <c r="E84" s="30">
        <f t="shared" si="3"/>
        <v>15.454545454545453</v>
      </c>
      <c r="F84" s="30">
        <v>170</v>
      </c>
      <c r="G84" s="30">
        <v>50</v>
      </c>
      <c r="H84" s="13">
        <f t="shared" si="4"/>
        <v>120</v>
      </c>
      <c r="I84" s="1" t="s">
        <v>2142</v>
      </c>
      <c r="J84" s="30">
        <v>170</v>
      </c>
      <c r="K84" s="30"/>
      <c r="L84" s="1"/>
      <c r="M84" s="30"/>
      <c r="N84" s="1"/>
      <c r="O84" s="1"/>
    </row>
    <row r="85" spans="1:15" x14ac:dyDescent="0.3">
      <c r="A85" s="41">
        <v>45535</v>
      </c>
      <c r="B85" s="10" t="s">
        <v>2046</v>
      </c>
      <c r="C85" s="10" t="s">
        <v>14</v>
      </c>
      <c r="D85" s="30">
        <f t="shared" si="5"/>
        <v>154.54545454545453</v>
      </c>
      <c r="E85" s="30">
        <f t="shared" si="3"/>
        <v>15.454545454545453</v>
      </c>
      <c r="F85" s="30">
        <v>170</v>
      </c>
      <c r="G85" s="30"/>
      <c r="H85" s="13">
        <f t="shared" si="4"/>
        <v>170</v>
      </c>
      <c r="I85" s="1" t="s">
        <v>959</v>
      </c>
      <c r="J85" s="30">
        <v>170</v>
      </c>
      <c r="K85" s="30"/>
      <c r="L85" s="1"/>
      <c r="M85" s="30"/>
      <c r="N85" s="1"/>
      <c r="O85" s="1"/>
    </row>
    <row r="86" spans="1:15" x14ac:dyDescent="0.3">
      <c r="A86" s="41">
        <v>45535</v>
      </c>
      <c r="B86" s="10" t="s">
        <v>2099</v>
      </c>
      <c r="C86" s="10" t="s">
        <v>14</v>
      </c>
      <c r="D86" s="30">
        <f t="shared" si="5"/>
        <v>145.45454545454544</v>
      </c>
      <c r="E86" s="30">
        <f t="shared" si="3"/>
        <v>14.545454545454545</v>
      </c>
      <c r="F86" s="30">
        <v>160</v>
      </c>
      <c r="G86" s="30"/>
      <c r="H86" s="13">
        <f t="shared" si="4"/>
        <v>160</v>
      </c>
      <c r="I86" s="1" t="s">
        <v>959</v>
      </c>
      <c r="J86" s="30">
        <v>160</v>
      </c>
      <c r="K86" s="30"/>
      <c r="L86" s="1"/>
      <c r="M86" s="30"/>
      <c r="N86" s="1"/>
      <c r="O86" s="1"/>
    </row>
    <row r="87" spans="1:15" x14ac:dyDescent="0.3">
      <c r="A87" s="41">
        <v>45535</v>
      </c>
      <c r="B87" s="10" t="s">
        <v>2100</v>
      </c>
      <c r="C87" s="10" t="s">
        <v>14</v>
      </c>
      <c r="D87" s="30">
        <f t="shared" si="5"/>
        <v>136.36363636363635</v>
      </c>
      <c r="E87" s="30">
        <f t="shared" si="3"/>
        <v>13.636363636363635</v>
      </c>
      <c r="F87" s="30">
        <v>150</v>
      </c>
      <c r="G87" s="30"/>
      <c r="H87" s="13">
        <f t="shared" si="4"/>
        <v>150</v>
      </c>
      <c r="I87" s="1" t="s">
        <v>364</v>
      </c>
      <c r="J87" s="30">
        <v>150</v>
      </c>
      <c r="K87" s="30"/>
      <c r="L87" s="1"/>
      <c r="M87" s="30"/>
      <c r="N87" s="1"/>
      <c r="O87" s="1"/>
    </row>
    <row r="88" spans="1:15" x14ac:dyDescent="0.3">
      <c r="A88" s="41">
        <v>45535</v>
      </c>
      <c r="B88" s="10" t="s">
        <v>2150</v>
      </c>
      <c r="C88" s="10" t="s">
        <v>14</v>
      </c>
      <c r="D88" s="30">
        <f t="shared" si="5"/>
        <v>281.81818181818181</v>
      </c>
      <c r="E88" s="30">
        <f t="shared" si="3"/>
        <v>28.18181818181818</v>
      </c>
      <c r="F88" s="30">
        <v>310</v>
      </c>
      <c r="G88" s="30">
        <v>50</v>
      </c>
      <c r="H88" s="13">
        <f t="shared" si="4"/>
        <v>260</v>
      </c>
      <c r="I88" s="1" t="s">
        <v>2345</v>
      </c>
      <c r="J88" s="30">
        <v>270</v>
      </c>
      <c r="K88" s="30">
        <v>40</v>
      </c>
      <c r="L88" s="1" t="s">
        <v>223</v>
      </c>
      <c r="M88" s="30"/>
      <c r="N88" s="1"/>
      <c r="O88" s="1"/>
    </row>
    <row r="89" spans="1:15" x14ac:dyDescent="0.3">
      <c r="A89" s="41">
        <v>45535</v>
      </c>
      <c r="B89" s="10" t="s">
        <v>2151</v>
      </c>
      <c r="C89" s="10" t="s">
        <v>14</v>
      </c>
      <c r="D89" s="30">
        <f t="shared" si="5"/>
        <v>127.27272727272727</v>
      </c>
      <c r="E89" s="30">
        <f t="shared" si="3"/>
        <v>12.727272727272727</v>
      </c>
      <c r="F89" s="30">
        <v>140</v>
      </c>
      <c r="G89" s="30"/>
      <c r="H89" s="13">
        <f t="shared" si="4"/>
        <v>140</v>
      </c>
      <c r="I89" s="1" t="s">
        <v>402</v>
      </c>
      <c r="J89" s="30">
        <v>140</v>
      </c>
      <c r="K89" s="30"/>
      <c r="L89" s="1"/>
      <c r="M89" s="30"/>
      <c r="N89" s="1"/>
      <c r="O89" s="1"/>
    </row>
    <row r="90" spans="1:15" x14ac:dyDescent="0.3">
      <c r="A90" s="41">
        <v>45535</v>
      </c>
      <c r="B90" s="10" t="s">
        <v>2152</v>
      </c>
      <c r="C90" s="10" t="s">
        <v>14</v>
      </c>
      <c r="D90" s="30">
        <f t="shared" si="5"/>
        <v>190.90909090909091</v>
      </c>
      <c r="E90" s="30">
        <f t="shared" si="3"/>
        <v>19.09090909090909</v>
      </c>
      <c r="F90" s="30">
        <v>210</v>
      </c>
      <c r="G90" s="30">
        <v>50</v>
      </c>
      <c r="H90" s="13">
        <f t="shared" si="4"/>
        <v>160</v>
      </c>
      <c r="I90" s="1" t="s">
        <v>2346</v>
      </c>
      <c r="J90" s="30">
        <v>170</v>
      </c>
      <c r="K90" s="30">
        <v>40</v>
      </c>
      <c r="L90" s="1" t="s">
        <v>223</v>
      </c>
      <c r="M90" s="30"/>
      <c r="N90" s="1"/>
      <c r="O90" s="1"/>
    </row>
    <row r="91" spans="1:15" x14ac:dyDescent="0.3">
      <c r="A91" s="41">
        <v>45535</v>
      </c>
      <c r="B91" s="10" t="s">
        <v>2153</v>
      </c>
      <c r="C91" s="10" t="s">
        <v>14</v>
      </c>
      <c r="D91" s="30">
        <f t="shared" si="5"/>
        <v>154.54545454545453</v>
      </c>
      <c r="E91" s="30">
        <f t="shared" si="3"/>
        <v>15.454545454545453</v>
      </c>
      <c r="F91" s="30">
        <v>170</v>
      </c>
      <c r="G91" s="30">
        <v>50</v>
      </c>
      <c r="H91" s="13">
        <f t="shared" si="4"/>
        <v>120</v>
      </c>
      <c r="I91" s="1" t="s">
        <v>2347</v>
      </c>
      <c r="J91" s="30">
        <v>170</v>
      </c>
      <c r="K91" s="30"/>
      <c r="L91" s="1"/>
      <c r="M91" s="30"/>
      <c r="N91" s="1"/>
      <c r="O91" s="1"/>
    </row>
    <row r="92" spans="1:15" x14ac:dyDescent="0.3">
      <c r="A92" s="41">
        <v>45535</v>
      </c>
      <c r="B92" s="10" t="s">
        <v>2154</v>
      </c>
      <c r="C92" s="10" t="s">
        <v>14</v>
      </c>
      <c r="D92" s="30">
        <f t="shared" si="5"/>
        <v>127.27272727272727</v>
      </c>
      <c r="E92" s="30">
        <f t="shared" si="3"/>
        <v>12.727272727272727</v>
      </c>
      <c r="F92" s="30">
        <v>140</v>
      </c>
      <c r="G92" s="30"/>
      <c r="H92" s="13">
        <f t="shared" si="4"/>
        <v>140</v>
      </c>
      <c r="I92" s="1" t="s">
        <v>2348</v>
      </c>
      <c r="J92" s="30">
        <v>140</v>
      </c>
      <c r="K92" s="30"/>
      <c r="L92" s="1"/>
      <c r="M92" s="30"/>
      <c r="N92" s="1"/>
      <c r="O92" s="1"/>
    </row>
    <row r="93" spans="1:15" x14ac:dyDescent="0.3">
      <c r="A93" s="41">
        <v>45535</v>
      </c>
      <c r="B93" s="10" t="s">
        <v>2155</v>
      </c>
      <c r="C93" s="10" t="s">
        <v>14</v>
      </c>
      <c r="D93" s="30">
        <f t="shared" si="5"/>
        <v>145.45454545454544</v>
      </c>
      <c r="E93" s="30">
        <f t="shared" si="3"/>
        <v>14.545454545454545</v>
      </c>
      <c r="F93" s="30">
        <v>160</v>
      </c>
      <c r="G93" s="30"/>
      <c r="H93" s="13">
        <f t="shared" si="4"/>
        <v>160</v>
      </c>
      <c r="I93" s="1" t="s">
        <v>402</v>
      </c>
      <c r="J93" s="30">
        <v>160</v>
      </c>
      <c r="K93" s="30"/>
      <c r="L93" s="1"/>
      <c r="M93" s="30"/>
      <c r="N93" s="1"/>
      <c r="O93" s="1"/>
    </row>
    <row r="94" spans="1:15" x14ac:dyDescent="0.3">
      <c r="A94" s="41">
        <v>45535</v>
      </c>
      <c r="B94" s="10" t="s">
        <v>2156</v>
      </c>
      <c r="C94" s="10" t="s">
        <v>14</v>
      </c>
      <c r="D94" s="30">
        <f t="shared" si="5"/>
        <v>154.54545454545453</v>
      </c>
      <c r="E94" s="30">
        <f t="shared" si="3"/>
        <v>15.454545454545453</v>
      </c>
      <c r="F94" s="30">
        <v>170</v>
      </c>
      <c r="G94" s="30">
        <v>50</v>
      </c>
      <c r="H94" s="13">
        <f t="shared" si="4"/>
        <v>120</v>
      </c>
      <c r="I94" s="1" t="s">
        <v>2349</v>
      </c>
      <c r="J94" s="30">
        <v>170</v>
      </c>
      <c r="K94" s="30"/>
      <c r="L94" s="1"/>
      <c r="M94" s="30"/>
      <c r="N94" s="1"/>
      <c r="O94" s="1"/>
    </row>
    <row r="95" spans="1:15" x14ac:dyDescent="0.3">
      <c r="A95" s="41">
        <v>45535</v>
      </c>
      <c r="B95" s="10" t="s">
        <v>2157</v>
      </c>
      <c r="C95" s="10" t="s">
        <v>14</v>
      </c>
      <c r="D95" s="30">
        <f t="shared" si="5"/>
        <v>154.54545454545453</v>
      </c>
      <c r="E95" s="30">
        <f t="shared" si="3"/>
        <v>15.454545454545453</v>
      </c>
      <c r="F95" s="30">
        <v>170</v>
      </c>
      <c r="G95" s="30">
        <v>50</v>
      </c>
      <c r="H95" s="13">
        <f t="shared" si="4"/>
        <v>120</v>
      </c>
      <c r="I95" s="1" t="s">
        <v>2350</v>
      </c>
      <c r="J95" s="30">
        <v>170</v>
      </c>
      <c r="K95" s="30"/>
      <c r="L95" s="1"/>
      <c r="M95" s="30"/>
      <c r="N95" s="1"/>
      <c r="O95" s="1"/>
    </row>
    <row r="96" spans="1:15" x14ac:dyDescent="0.3">
      <c r="A96" s="41"/>
      <c r="B96" s="10" t="s">
        <v>2291</v>
      </c>
      <c r="C96" s="10" t="s">
        <v>14</v>
      </c>
      <c r="D96" s="30">
        <f>F96/1.1</f>
        <v>0</v>
      </c>
      <c r="E96" s="30">
        <f>D96*10/100</f>
        <v>0</v>
      </c>
      <c r="F96" s="30"/>
      <c r="G96" s="30"/>
      <c r="H96" s="30">
        <f>F96-G96</f>
        <v>0</v>
      </c>
      <c r="I96" s="1"/>
      <c r="J96" s="30"/>
      <c r="K96" s="30"/>
      <c r="L96" s="1"/>
      <c r="M96" s="1"/>
      <c r="N96" s="1"/>
      <c r="O96" s="1"/>
    </row>
    <row r="97" spans="1:8" x14ac:dyDescent="0.3">
      <c r="A97" s="116" t="s">
        <v>2</v>
      </c>
      <c r="B97" s="116"/>
      <c r="C97" s="116"/>
      <c r="D97" s="96">
        <f>SUM(D3:D96)</f>
        <v>20150.000000000007</v>
      </c>
      <c r="E97" s="30">
        <f>SUM(E3:E96)</f>
        <v>2015.0000000000002</v>
      </c>
      <c r="F97" s="30">
        <f>SUM(F3:F96)</f>
        <v>22165</v>
      </c>
      <c r="G97" s="30">
        <f>SUM(G3:G96)</f>
        <v>4790</v>
      </c>
      <c r="H97" s="30">
        <f>SUM(H3:H96)</f>
        <v>17375</v>
      </c>
    </row>
    <row r="98" spans="1:8" x14ac:dyDescent="0.3">
      <c r="D98" t="s">
        <v>1817</v>
      </c>
      <c r="E98" t="s">
        <v>267</v>
      </c>
      <c r="F98" t="s">
        <v>2</v>
      </c>
      <c r="G98" t="s">
        <v>1819</v>
      </c>
      <c r="H98" t="s">
        <v>13</v>
      </c>
    </row>
  </sheetData>
  <mergeCells count="15">
    <mergeCell ref="N1:N2"/>
    <mergeCell ref="O1:O2"/>
    <mergeCell ref="A97:C97"/>
    <mergeCell ref="G1:H1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E948-1209-4BCF-AA56-720DBD2A6F47}">
  <dimension ref="A1:P155"/>
  <sheetViews>
    <sheetView topLeftCell="A10" workbookViewId="0">
      <selection activeCell="B5" sqref="B5"/>
    </sheetView>
  </sheetViews>
  <sheetFormatPr baseColWidth="10" defaultRowHeight="14.4" x14ac:dyDescent="0.3"/>
  <cols>
    <col min="1" max="1" width="15.5546875" customWidth="1"/>
    <col min="2" max="2" width="21.44140625" customWidth="1"/>
    <col min="3" max="3" width="37.109375" customWidth="1"/>
    <col min="4" max="4" width="15.44140625" customWidth="1"/>
    <col min="5" max="5" width="13.44140625" customWidth="1"/>
    <col min="6" max="6" width="12.6640625" customWidth="1"/>
    <col min="7" max="7" width="14.5546875" customWidth="1"/>
    <col min="8" max="8" width="15.5546875" customWidth="1"/>
    <col min="9" max="9" width="22.5546875" customWidth="1"/>
    <col min="10" max="10" width="13" bestFit="1" customWidth="1"/>
    <col min="12" max="12" width="25" customWidth="1"/>
    <col min="14" max="14" width="14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8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4"/>
      <c r="N2" s="117"/>
      <c r="O2" s="114"/>
    </row>
    <row r="3" spans="1:15" x14ac:dyDescent="0.3">
      <c r="A3" s="41">
        <v>45536</v>
      </c>
      <c r="B3" s="10" t="s">
        <v>2158</v>
      </c>
      <c r="C3" s="10" t="s">
        <v>14</v>
      </c>
      <c r="D3" s="30">
        <f>F3/1.1</f>
        <v>245.45454545454544</v>
      </c>
      <c r="E3" s="30">
        <f t="shared" ref="E3:E66" si="0">D3*10/100</f>
        <v>24.545454545454547</v>
      </c>
      <c r="F3" s="30">
        <v>270</v>
      </c>
      <c r="G3" s="30">
        <v>50</v>
      </c>
      <c r="H3" s="13">
        <f t="shared" ref="H3:H66" si="1">F3-G3</f>
        <v>220</v>
      </c>
      <c r="I3" s="1" t="s">
        <v>1357</v>
      </c>
      <c r="J3" s="30">
        <v>270</v>
      </c>
      <c r="K3" s="30"/>
      <c r="L3" s="1"/>
      <c r="M3" s="1"/>
      <c r="N3" s="1"/>
      <c r="O3" s="1"/>
    </row>
    <row r="4" spans="1:15" x14ac:dyDescent="0.3">
      <c r="A4" s="41">
        <v>45537</v>
      </c>
      <c r="B4" s="10" t="s">
        <v>2159</v>
      </c>
      <c r="C4" s="10" t="s">
        <v>14</v>
      </c>
      <c r="D4" s="30">
        <f t="shared" ref="D4:D67" si="2">F4/1.1</f>
        <v>281.81818181818181</v>
      </c>
      <c r="E4" s="30">
        <f t="shared" si="0"/>
        <v>28.18181818181818</v>
      </c>
      <c r="F4" s="30">
        <v>310</v>
      </c>
      <c r="G4" s="30">
        <v>50</v>
      </c>
      <c r="H4" s="13">
        <f t="shared" si="1"/>
        <v>260</v>
      </c>
      <c r="I4" s="1" t="s">
        <v>2444</v>
      </c>
      <c r="J4" s="30">
        <v>270</v>
      </c>
      <c r="K4" s="30">
        <v>40</v>
      </c>
      <c r="L4" s="1" t="s">
        <v>223</v>
      </c>
      <c r="M4" s="30"/>
      <c r="N4" s="1"/>
      <c r="O4" s="1"/>
    </row>
    <row r="5" spans="1:15" x14ac:dyDescent="0.3">
      <c r="A5" s="109">
        <v>45537</v>
      </c>
      <c r="B5" s="110" t="s">
        <v>2160</v>
      </c>
      <c r="C5" s="110" t="s">
        <v>521</v>
      </c>
      <c r="D5" s="88"/>
      <c r="E5" s="88"/>
      <c r="F5" s="88"/>
      <c r="G5" s="88"/>
      <c r="H5" s="111">
        <f t="shared" si="1"/>
        <v>0</v>
      </c>
      <c r="I5" s="1" t="s">
        <v>2445</v>
      </c>
      <c r="J5" s="88"/>
      <c r="K5" s="88"/>
      <c r="L5" s="1"/>
      <c r="M5" s="30"/>
      <c r="N5" s="1"/>
      <c r="O5" s="1"/>
    </row>
    <row r="6" spans="1:15" x14ac:dyDescent="0.3">
      <c r="A6" s="41">
        <v>45537</v>
      </c>
      <c r="B6" s="10" t="s">
        <v>2161</v>
      </c>
      <c r="C6" s="10" t="s">
        <v>14</v>
      </c>
      <c r="D6" s="30">
        <f t="shared" si="2"/>
        <v>172.72727272727272</v>
      </c>
      <c r="E6" s="30">
        <f t="shared" si="0"/>
        <v>17.272727272727273</v>
      </c>
      <c r="F6" s="30">
        <v>190</v>
      </c>
      <c r="G6" s="30">
        <v>50</v>
      </c>
      <c r="H6" s="13">
        <f t="shared" si="1"/>
        <v>140</v>
      </c>
      <c r="I6" s="1" t="s">
        <v>2446</v>
      </c>
      <c r="J6" s="30">
        <v>190</v>
      </c>
      <c r="K6" s="30"/>
      <c r="L6" s="1"/>
      <c r="M6" s="30"/>
      <c r="N6" s="1"/>
      <c r="O6" s="1"/>
    </row>
    <row r="7" spans="1:15" x14ac:dyDescent="0.3">
      <c r="A7" s="41">
        <v>45538</v>
      </c>
      <c r="B7" s="10" t="s">
        <v>2162</v>
      </c>
      <c r="C7" s="10" t="s">
        <v>14</v>
      </c>
      <c r="D7" s="30">
        <f t="shared" si="2"/>
        <v>227.27272727272725</v>
      </c>
      <c r="E7" s="30">
        <f t="shared" si="0"/>
        <v>22.727272727272727</v>
      </c>
      <c r="F7" s="30">
        <v>250</v>
      </c>
      <c r="G7" s="30">
        <v>250</v>
      </c>
      <c r="H7" s="13">
        <f t="shared" si="1"/>
        <v>0</v>
      </c>
      <c r="I7" s="1" t="s">
        <v>2447</v>
      </c>
      <c r="J7" s="30">
        <v>220</v>
      </c>
      <c r="K7" s="30">
        <v>30</v>
      </c>
      <c r="L7" s="1" t="s">
        <v>223</v>
      </c>
      <c r="M7" s="30"/>
      <c r="N7" s="1"/>
      <c r="O7" s="1"/>
    </row>
    <row r="8" spans="1:15" x14ac:dyDescent="0.3">
      <c r="A8" s="41">
        <v>45538</v>
      </c>
      <c r="B8" s="10" t="s">
        <v>2163</v>
      </c>
      <c r="C8" s="10" t="s">
        <v>14</v>
      </c>
      <c r="D8" s="30">
        <f t="shared" si="2"/>
        <v>322.72727272727269</v>
      </c>
      <c r="E8" s="30">
        <f t="shared" si="0"/>
        <v>32.272727272727273</v>
      </c>
      <c r="F8" s="30">
        <v>355</v>
      </c>
      <c r="G8" s="30">
        <v>50</v>
      </c>
      <c r="H8" s="13">
        <f t="shared" si="1"/>
        <v>305</v>
      </c>
      <c r="I8" s="1" t="s">
        <v>2448</v>
      </c>
      <c r="J8" s="30">
        <v>270</v>
      </c>
      <c r="K8" s="30">
        <v>40</v>
      </c>
      <c r="L8" s="1" t="s">
        <v>223</v>
      </c>
      <c r="M8" s="30">
        <v>45</v>
      </c>
      <c r="N8" s="1" t="s">
        <v>16</v>
      </c>
      <c r="O8" s="1"/>
    </row>
    <row r="9" spans="1:15" x14ac:dyDescent="0.3">
      <c r="A9" s="41">
        <v>45539</v>
      </c>
      <c r="B9" s="10" t="s">
        <v>2164</v>
      </c>
      <c r="C9" s="10" t="s">
        <v>14</v>
      </c>
      <c r="D9" s="30">
        <f t="shared" si="2"/>
        <v>472.72727272727269</v>
      </c>
      <c r="E9" s="30">
        <f t="shared" si="0"/>
        <v>47.272727272727273</v>
      </c>
      <c r="F9" s="30">
        <v>520</v>
      </c>
      <c r="G9" s="30">
        <v>50</v>
      </c>
      <c r="H9" s="13">
        <f t="shared" si="1"/>
        <v>470</v>
      </c>
      <c r="I9" s="1" t="s">
        <v>2449</v>
      </c>
      <c r="J9" s="30">
        <v>520</v>
      </c>
      <c r="K9" s="30"/>
      <c r="L9" s="1"/>
      <c r="M9" s="30"/>
      <c r="N9" s="1"/>
      <c r="O9" s="1"/>
    </row>
    <row r="10" spans="1:15" x14ac:dyDescent="0.3">
      <c r="A10" s="41">
        <v>45539</v>
      </c>
      <c r="B10" s="10" t="s">
        <v>2165</v>
      </c>
      <c r="C10" s="10" t="s">
        <v>14</v>
      </c>
      <c r="D10" s="30">
        <f t="shared" si="2"/>
        <v>218.18181818181816</v>
      </c>
      <c r="E10" s="30">
        <f t="shared" si="0"/>
        <v>21.818181818181817</v>
      </c>
      <c r="F10" s="30">
        <v>240</v>
      </c>
      <c r="G10" s="30">
        <v>50</v>
      </c>
      <c r="H10" s="13">
        <f t="shared" si="1"/>
        <v>190</v>
      </c>
      <c r="I10" s="1" t="s">
        <v>2450</v>
      </c>
      <c r="J10" s="30">
        <v>220</v>
      </c>
      <c r="K10" s="30">
        <v>20</v>
      </c>
      <c r="L10" s="1" t="s">
        <v>223</v>
      </c>
      <c r="M10" s="30"/>
      <c r="N10" s="1"/>
      <c r="O10" s="1"/>
    </row>
    <row r="11" spans="1:15" x14ac:dyDescent="0.3">
      <c r="A11" s="41">
        <v>45540</v>
      </c>
      <c r="B11" s="10" t="s">
        <v>2166</v>
      </c>
      <c r="C11" s="10" t="s">
        <v>14</v>
      </c>
      <c r="D11" s="30">
        <f t="shared" si="2"/>
        <v>127.27272727272727</v>
      </c>
      <c r="E11" s="30">
        <f t="shared" si="0"/>
        <v>12.727272727272727</v>
      </c>
      <c r="F11" s="30">
        <v>140</v>
      </c>
      <c r="G11" s="30"/>
      <c r="H11" s="13">
        <f t="shared" si="1"/>
        <v>140</v>
      </c>
      <c r="I11" s="1" t="s">
        <v>217</v>
      </c>
      <c r="J11" s="30">
        <v>140</v>
      </c>
      <c r="K11" s="30"/>
      <c r="L11" s="1"/>
      <c r="M11" s="30"/>
      <c r="N11" s="1"/>
      <c r="O11" s="1"/>
    </row>
    <row r="12" spans="1:15" x14ac:dyDescent="0.3">
      <c r="A12" s="41">
        <v>45540</v>
      </c>
      <c r="B12" s="10" t="s">
        <v>2167</v>
      </c>
      <c r="C12" s="10" t="s">
        <v>14</v>
      </c>
      <c r="D12" s="30">
        <f t="shared" si="2"/>
        <v>154.54545454545453</v>
      </c>
      <c r="E12" s="30">
        <f t="shared" si="0"/>
        <v>15.454545454545453</v>
      </c>
      <c r="F12" s="30">
        <v>170</v>
      </c>
      <c r="G12" s="30">
        <v>50</v>
      </c>
      <c r="H12" s="13">
        <f t="shared" si="1"/>
        <v>120</v>
      </c>
      <c r="I12" s="1" t="s">
        <v>2451</v>
      </c>
      <c r="J12" s="30">
        <v>170</v>
      </c>
      <c r="K12" s="30"/>
      <c r="L12" s="1"/>
      <c r="M12" s="30"/>
      <c r="N12" s="1"/>
      <c r="O12" s="1"/>
    </row>
    <row r="13" spans="1:15" x14ac:dyDescent="0.3">
      <c r="A13" s="41">
        <v>45541</v>
      </c>
      <c r="B13" s="10" t="s">
        <v>2168</v>
      </c>
      <c r="C13" s="10" t="s">
        <v>14</v>
      </c>
      <c r="D13" s="30">
        <f t="shared" si="2"/>
        <v>399.99999999999994</v>
      </c>
      <c r="E13" s="30">
        <f t="shared" si="0"/>
        <v>39.999999999999993</v>
      </c>
      <c r="F13" s="30">
        <v>440</v>
      </c>
      <c r="G13" s="30">
        <v>100</v>
      </c>
      <c r="H13" s="13">
        <f t="shared" si="1"/>
        <v>340</v>
      </c>
      <c r="I13" s="1" t="s">
        <v>2452</v>
      </c>
      <c r="J13" s="30">
        <v>270</v>
      </c>
      <c r="K13" s="30">
        <v>170</v>
      </c>
      <c r="L13" s="1" t="s">
        <v>223</v>
      </c>
      <c r="M13" s="30"/>
      <c r="N13" s="1"/>
      <c r="O13" s="1"/>
    </row>
    <row r="14" spans="1:15" x14ac:dyDescent="0.3">
      <c r="A14" s="41">
        <v>45541</v>
      </c>
      <c r="B14" s="10" t="s">
        <v>2169</v>
      </c>
      <c r="C14" s="10" t="s">
        <v>14</v>
      </c>
      <c r="D14" s="30">
        <f t="shared" si="2"/>
        <v>181.81818181818181</v>
      </c>
      <c r="E14" s="30">
        <f t="shared" si="0"/>
        <v>18.18181818181818</v>
      </c>
      <c r="F14" s="30">
        <v>200</v>
      </c>
      <c r="G14" s="30"/>
      <c r="H14" s="13">
        <f t="shared" si="1"/>
        <v>200</v>
      </c>
      <c r="I14" s="1" t="s">
        <v>402</v>
      </c>
      <c r="J14" s="30">
        <v>200</v>
      </c>
      <c r="K14" s="30"/>
      <c r="L14" s="1"/>
      <c r="M14" s="30"/>
      <c r="N14" s="1"/>
      <c r="O14" s="1"/>
    </row>
    <row r="15" spans="1:15" x14ac:dyDescent="0.3">
      <c r="A15" s="41">
        <v>45541</v>
      </c>
      <c r="B15" s="10" t="s">
        <v>2170</v>
      </c>
      <c r="C15" s="10" t="s">
        <v>14</v>
      </c>
      <c r="D15" s="30">
        <f t="shared" si="2"/>
        <v>245.45454545454544</v>
      </c>
      <c r="E15" s="30">
        <f t="shared" si="0"/>
        <v>24.545454545454547</v>
      </c>
      <c r="F15" s="30">
        <v>270</v>
      </c>
      <c r="G15" s="30"/>
      <c r="H15" s="13">
        <f t="shared" si="1"/>
        <v>270</v>
      </c>
      <c r="I15" s="1" t="s">
        <v>402</v>
      </c>
      <c r="J15" s="30">
        <v>270</v>
      </c>
      <c r="K15" s="30"/>
      <c r="L15" s="1"/>
      <c r="M15" s="30"/>
      <c r="N15" s="1"/>
      <c r="O15" s="30"/>
    </row>
    <row r="16" spans="1:15" x14ac:dyDescent="0.3">
      <c r="A16" s="41">
        <v>45541</v>
      </c>
      <c r="B16" s="10" t="s">
        <v>2171</v>
      </c>
      <c r="C16" s="10" t="s">
        <v>14</v>
      </c>
      <c r="D16" s="30">
        <f t="shared" si="2"/>
        <v>463.63636363636363</v>
      </c>
      <c r="E16" s="30">
        <f t="shared" si="0"/>
        <v>46.36363636363636</v>
      </c>
      <c r="F16" s="30">
        <v>510</v>
      </c>
      <c r="G16" s="30">
        <v>50</v>
      </c>
      <c r="H16" s="13">
        <f t="shared" si="1"/>
        <v>460</v>
      </c>
      <c r="I16" s="1" t="s">
        <v>2453</v>
      </c>
      <c r="J16" s="30">
        <v>510</v>
      </c>
      <c r="K16" s="30"/>
      <c r="L16" s="1"/>
      <c r="M16" s="30"/>
      <c r="N16" s="1"/>
      <c r="O16" s="30"/>
    </row>
    <row r="17" spans="1:15" x14ac:dyDescent="0.3">
      <c r="A17" s="41">
        <v>45541</v>
      </c>
      <c r="B17" s="10" t="s">
        <v>2172</v>
      </c>
      <c r="C17" s="10" t="s">
        <v>14</v>
      </c>
      <c r="D17" s="30">
        <f t="shared" si="2"/>
        <v>199.99999999999997</v>
      </c>
      <c r="E17" s="30">
        <f t="shared" si="0"/>
        <v>19.999999999999996</v>
      </c>
      <c r="F17" s="30">
        <v>220</v>
      </c>
      <c r="G17" s="30"/>
      <c r="H17" s="13">
        <f t="shared" si="1"/>
        <v>220</v>
      </c>
      <c r="I17" s="1" t="s">
        <v>2454</v>
      </c>
      <c r="J17" s="30">
        <v>220</v>
      </c>
      <c r="K17" s="30"/>
      <c r="L17" s="1"/>
      <c r="M17" s="30"/>
      <c r="N17" s="1"/>
      <c r="O17" s="30"/>
    </row>
    <row r="18" spans="1:15" x14ac:dyDescent="0.3">
      <c r="A18" s="41">
        <v>45541</v>
      </c>
      <c r="B18" s="10" t="s">
        <v>2173</v>
      </c>
      <c r="C18" s="10" t="s">
        <v>14</v>
      </c>
      <c r="D18" s="30">
        <f t="shared" si="2"/>
        <v>154.54545454545453</v>
      </c>
      <c r="E18" s="30">
        <f t="shared" si="0"/>
        <v>15.454545454545453</v>
      </c>
      <c r="F18" s="30">
        <v>170</v>
      </c>
      <c r="G18" s="30">
        <v>50</v>
      </c>
      <c r="H18" s="13">
        <f t="shared" si="1"/>
        <v>120</v>
      </c>
      <c r="I18" s="1" t="s">
        <v>1357</v>
      </c>
      <c r="J18" s="30">
        <v>170</v>
      </c>
      <c r="K18" s="30"/>
      <c r="L18" s="1"/>
      <c r="M18" s="30"/>
      <c r="N18" s="1"/>
      <c r="O18" s="30"/>
    </row>
    <row r="19" spans="1:15" x14ac:dyDescent="0.3">
      <c r="A19" s="41">
        <v>45541</v>
      </c>
      <c r="B19" s="10" t="s">
        <v>2174</v>
      </c>
      <c r="C19" s="10" t="s">
        <v>14</v>
      </c>
      <c r="D19" s="30">
        <f t="shared" si="2"/>
        <v>145.45454545454544</v>
      </c>
      <c r="E19" s="30">
        <f t="shared" si="0"/>
        <v>14.545454545454545</v>
      </c>
      <c r="F19" s="30">
        <v>160</v>
      </c>
      <c r="G19" s="30"/>
      <c r="H19" s="13">
        <f t="shared" si="1"/>
        <v>160</v>
      </c>
      <c r="I19" s="1" t="s">
        <v>402</v>
      </c>
      <c r="J19" s="30">
        <v>160</v>
      </c>
      <c r="K19" s="30"/>
      <c r="L19" s="1"/>
      <c r="M19" s="30"/>
      <c r="N19" s="1"/>
      <c r="O19" s="30"/>
    </row>
    <row r="20" spans="1:15" x14ac:dyDescent="0.3">
      <c r="A20" s="41">
        <v>45542</v>
      </c>
      <c r="B20" s="10" t="s">
        <v>2175</v>
      </c>
      <c r="C20" s="10" t="s">
        <v>14</v>
      </c>
      <c r="D20" s="30">
        <f t="shared" si="2"/>
        <v>254.54545454545453</v>
      </c>
      <c r="E20" s="30">
        <f t="shared" si="0"/>
        <v>25.454545454545453</v>
      </c>
      <c r="F20" s="30">
        <v>280</v>
      </c>
      <c r="G20" s="30">
        <v>50</v>
      </c>
      <c r="H20" s="13">
        <f t="shared" si="1"/>
        <v>230</v>
      </c>
      <c r="I20" s="1" t="s">
        <v>2455</v>
      </c>
      <c r="J20" s="30">
        <v>220</v>
      </c>
      <c r="K20" s="30">
        <v>60</v>
      </c>
      <c r="L20" s="1"/>
      <c r="M20" s="30"/>
      <c r="N20" s="1"/>
      <c r="O20" s="30"/>
    </row>
    <row r="21" spans="1:15" x14ac:dyDescent="0.3">
      <c r="A21" s="41">
        <v>45542</v>
      </c>
      <c r="B21" s="10" t="s">
        <v>2176</v>
      </c>
      <c r="C21" s="10" t="s">
        <v>14</v>
      </c>
      <c r="D21" s="30">
        <f t="shared" si="2"/>
        <v>681.81818181818176</v>
      </c>
      <c r="E21" s="30">
        <f t="shared" si="0"/>
        <v>68.181818181818187</v>
      </c>
      <c r="F21" s="30">
        <v>750</v>
      </c>
      <c r="G21" s="30">
        <v>750</v>
      </c>
      <c r="H21" s="13">
        <f t="shared" si="1"/>
        <v>0</v>
      </c>
      <c r="I21" s="1" t="s">
        <v>2456</v>
      </c>
      <c r="J21" s="30">
        <v>750</v>
      </c>
      <c r="K21" s="30"/>
      <c r="L21" s="1"/>
      <c r="M21" s="30"/>
      <c r="N21" s="1"/>
      <c r="O21" s="30"/>
    </row>
    <row r="22" spans="1:15" x14ac:dyDescent="0.3">
      <c r="A22" s="41">
        <v>45542</v>
      </c>
      <c r="B22" s="10" t="s">
        <v>2177</v>
      </c>
      <c r="C22" s="10" t="s">
        <v>14</v>
      </c>
      <c r="D22" s="30">
        <f t="shared" si="2"/>
        <v>227.27272727272725</v>
      </c>
      <c r="E22" s="30">
        <f t="shared" si="0"/>
        <v>22.727272727272727</v>
      </c>
      <c r="F22" s="30">
        <v>250</v>
      </c>
      <c r="G22" s="30">
        <v>50</v>
      </c>
      <c r="H22" s="13">
        <f t="shared" si="1"/>
        <v>200</v>
      </c>
      <c r="I22" s="103" t="s">
        <v>2457</v>
      </c>
      <c r="J22" s="30">
        <v>220</v>
      </c>
      <c r="K22" s="30">
        <v>30</v>
      </c>
      <c r="L22" s="1" t="s">
        <v>223</v>
      </c>
      <c r="M22" s="30"/>
      <c r="N22" s="1"/>
      <c r="O22" s="1"/>
    </row>
    <row r="23" spans="1:15" x14ac:dyDescent="0.3">
      <c r="A23" s="41">
        <v>45542</v>
      </c>
      <c r="B23" s="10" t="s">
        <v>2178</v>
      </c>
      <c r="C23" s="10" t="s">
        <v>14</v>
      </c>
      <c r="D23" s="30">
        <f t="shared" si="2"/>
        <v>236.36363636363635</v>
      </c>
      <c r="E23" s="30">
        <f t="shared" si="0"/>
        <v>23.636363636363637</v>
      </c>
      <c r="F23" s="30">
        <v>260</v>
      </c>
      <c r="G23" s="30">
        <v>50</v>
      </c>
      <c r="H23" s="13">
        <f t="shared" si="1"/>
        <v>210</v>
      </c>
      <c r="I23" s="1" t="s">
        <v>2458</v>
      </c>
      <c r="J23" s="30">
        <v>220</v>
      </c>
      <c r="K23" s="30">
        <v>40</v>
      </c>
      <c r="L23" s="1" t="s">
        <v>223</v>
      </c>
      <c r="M23" s="30"/>
      <c r="N23" s="1"/>
      <c r="O23" s="1"/>
    </row>
    <row r="24" spans="1:15" x14ac:dyDescent="0.3">
      <c r="A24" s="41">
        <v>45542</v>
      </c>
      <c r="B24" s="10" t="s">
        <v>2179</v>
      </c>
      <c r="C24" s="10" t="s">
        <v>14</v>
      </c>
      <c r="D24" s="30">
        <f t="shared" si="2"/>
        <v>199.99999999999997</v>
      </c>
      <c r="E24" s="30">
        <f t="shared" si="0"/>
        <v>19.999999999999996</v>
      </c>
      <c r="F24" s="30">
        <v>220</v>
      </c>
      <c r="G24" s="30">
        <v>50</v>
      </c>
      <c r="H24" s="13">
        <f t="shared" si="1"/>
        <v>170</v>
      </c>
      <c r="I24" s="1" t="s">
        <v>2459</v>
      </c>
      <c r="J24" s="30">
        <v>220</v>
      </c>
      <c r="K24" s="30"/>
      <c r="L24" s="1"/>
      <c r="M24" s="30"/>
      <c r="N24" s="1"/>
      <c r="O24" s="1"/>
    </row>
    <row r="25" spans="1:15" x14ac:dyDescent="0.3">
      <c r="A25" s="41">
        <v>45542</v>
      </c>
      <c r="B25" s="10" t="s">
        <v>2180</v>
      </c>
      <c r="C25" s="10" t="s">
        <v>14</v>
      </c>
      <c r="D25" s="30">
        <f t="shared" si="2"/>
        <v>163.63636363636363</v>
      </c>
      <c r="E25" s="30">
        <f t="shared" si="0"/>
        <v>16.363636363636363</v>
      </c>
      <c r="F25" s="30">
        <v>180</v>
      </c>
      <c r="G25" s="30"/>
      <c r="H25" s="13">
        <f t="shared" si="1"/>
        <v>180</v>
      </c>
      <c r="I25" s="1" t="s">
        <v>1028</v>
      </c>
      <c r="J25" s="30">
        <v>180</v>
      </c>
      <c r="K25" s="30"/>
      <c r="L25" s="1"/>
      <c r="M25" s="30"/>
      <c r="N25" s="1"/>
      <c r="O25" s="1"/>
    </row>
    <row r="26" spans="1:15" x14ac:dyDescent="0.3">
      <c r="A26" s="41">
        <v>45542</v>
      </c>
      <c r="B26" s="10" t="s">
        <v>2181</v>
      </c>
      <c r="C26" s="10" t="s">
        <v>14</v>
      </c>
      <c r="D26" s="30">
        <f t="shared" si="2"/>
        <v>136.36363636363635</v>
      </c>
      <c r="E26" s="30">
        <f t="shared" si="0"/>
        <v>13.636363636363635</v>
      </c>
      <c r="F26" s="30">
        <v>150</v>
      </c>
      <c r="G26" s="30"/>
      <c r="H26" s="13">
        <f t="shared" si="1"/>
        <v>150</v>
      </c>
      <c r="I26" s="1" t="s">
        <v>403</v>
      </c>
      <c r="J26" s="30">
        <v>150</v>
      </c>
      <c r="K26" s="30"/>
      <c r="L26" s="1"/>
      <c r="M26" s="30"/>
      <c r="N26" s="1"/>
      <c r="O26" s="1"/>
    </row>
    <row r="27" spans="1:15" x14ac:dyDescent="0.3">
      <c r="A27" s="41">
        <v>45542</v>
      </c>
      <c r="B27" s="10" t="s">
        <v>2182</v>
      </c>
      <c r="C27" s="10" t="s">
        <v>14</v>
      </c>
      <c r="D27" s="30">
        <f t="shared" si="2"/>
        <v>154.54545454545453</v>
      </c>
      <c r="E27" s="30">
        <f t="shared" si="0"/>
        <v>15.454545454545453</v>
      </c>
      <c r="F27" s="30">
        <v>170</v>
      </c>
      <c r="G27" s="30">
        <v>50</v>
      </c>
      <c r="H27" s="13">
        <f t="shared" si="1"/>
        <v>120</v>
      </c>
      <c r="I27" s="1" t="s">
        <v>2460</v>
      </c>
      <c r="J27" s="30">
        <v>170</v>
      </c>
      <c r="K27" s="30"/>
      <c r="L27" s="1"/>
      <c r="M27" s="30"/>
      <c r="N27" s="1"/>
      <c r="O27" s="1"/>
    </row>
    <row r="28" spans="1:15" x14ac:dyDescent="0.3">
      <c r="A28" s="41">
        <v>45542</v>
      </c>
      <c r="B28" s="10" t="s">
        <v>2183</v>
      </c>
      <c r="C28" s="10" t="s">
        <v>14</v>
      </c>
      <c r="D28" s="30">
        <f t="shared" si="2"/>
        <v>154.54545454545453</v>
      </c>
      <c r="E28" s="30">
        <f t="shared" si="0"/>
        <v>15.454545454545453</v>
      </c>
      <c r="F28" s="30">
        <v>170</v>
      </c>
      <c r="G28" s="30">
        <v>50</v>
      </c>
      <c r="H28" s="13">
        <f t="shared" si="1"/>
        <v>120</v>
      </c>
      <c r="I28" s="1" t="s">
        <v>2461</v>
      </c>
      <c r="J28" s="30">
        <v>170</v>
      </c>
      <c r="K28" s="30"/>
      <c r="L28" s="1"/>
      <c r="M28" s="30"/>
      <c r="N28" s="1"/>
      <c r="O28" s="1"/>
    </row>
    <row r="29" spans="1:15" x14ac:dyDescent="0.3">
      <c r="A29" s="41">
        <v>45542</v>
      </c>
      <c r="B29" s="10" t="s">
        <v>2184</v>
      </c>
      <c r="C29" s="10" t="s">
        <v>14</v>
      </c>
      <c r="D29" s="30">
        <f t="shared" si="2"/>
        <v>154.54545454545453</v>
      </c>
      <c r="E29" s="30">
        <f t="shared" si="0"/>
        <v>15.454545454545453</v>
      </c>
      <c r="F29" s="30">
        <v>170</v>
      </c>
      <c r="G29" s="30">
        <v>50</v>
      </c>
      <c r="H29" s="13">
        <f t="shared" si="1"/>
        <v>120</v>
      </c>
      <c r="I29" s="1" t="s">
        <v>2462</v>
      </c>
      <c r="J29" s="30">
        <v>170</v>
      </c>
      <c r="K29" s="30"/>
      <c r="L29" s="1"/>
      <c r="M29" s="30"/>
      <c r="N29" s="1"/>
      <c r="O29" s="1"/>
    </row>
    <row r="30" spans="1:15" x14ac:dyDescent="0.3">
      <c r="A30" s="41">
        <v>45542</v>
      </c>
      <c r="B30" s="10" t="s">
        <v>2185</v>
      </c>
      <c r="C30" s="10" t="s">
        <v>14</v>
      </c>
      <c r="D30" s="30">
        <f t="shared" si="2"/>
        <v>172.72727272727272</v>
      </c>
      <c r="E30" s="30">
        <f t="shared" si="0"/>
        <v>17.272727272727273</v>
      </c>
      <c r="F30" s="30">
        <v>190</v>
      </c>
      <c r="G30" s="30">
        <v>100</v>
      </c>
      <c r="H30" s="13">
        <f t="shared" si="1"/>
        <v>90</v>
      </c>
      <c r="I30" s="1" t="s">
        <v>2463</v>
      </c>
      <c r="J30" s="30">
        <v>170</v>
      </c>
      <c r="K30" s="30">
        <v>20</v>
      </c>
      <c r="L30" s="1" t="s">
        <v>223</v>
      </c>
      <c r="M30" s="30"/>
      <c r="N30" s="1"/>
      <c r="O30" s="1"/>
    </row>
    <row r="31" spans="1:15" x14ac:dyDescent="0.3">
      <c r="A31" s="41">
        <v>45542</v>
      </c>
      <c r="B31" s="10" t="s">
        <v>2186</v>
      </c>
      <c r="C31" s="10" t="s">
        <v>14</v>
      </c>
      <c r="D31" s="30">
        <f t="shared" si="2"/>
        <v>190.90909090909091</v>
      </c>
      <c r="E31" s="30">
        <f t="shared" si="0"/>
        <v>19.09090909090909</v>
      </c>
      <c r="F31" s="30">
        <v>210</v>
      </c>
      <c r="G31" s="30">
        <v>50</v>
      </c>
      <c r="H31" s="13">
        <f t="shared" si="1"/>
        <v>160</v>
      </c>
      <c r="I31" s="1" t="s">
        <v>2464</v>
      </c>
      <c r="J31" s="30">
        <v>170</v>
      </c>
      <c r="K31" s="30">
        <v>40</v>
      </c>
      <c r="L31" s="1" t="s">
        <v>223</v>
      </c>
      <c r="M31" s="30"/>
      <c r="N31" s="1"/>
      <c r="O31" s="1"/>
    </row>
    <row r="32" spans="1:15" x14ac:dyDescent="0.3">
      <c r="A32" s="41">
        <v>45542</v>
      </c>
      <c r="B32" s="10" t="s">
        <v>2187</v>
      </c>
      <c r="C32" s="10" t="s">
        <v>14</v>
      </c>
      <c r="D32" s="30">
        <f t="shared" si="2"/>
        <v>145.45454545454544</v>
      </c>
      <c r="E32" s="30">
        <f t="shared" si="0"/>
        <v>14.545454545454545</v>
      </c>
      <c r="F32" s="30">
        <v>160</v>
      </c>
      <c r="G32" s="30"/>
      <c r="H32" s="13">
        <f t="shared" si="1"/>
        <v>160</v>
      </c>
      <c r="I32" s="1" t="s">
        <v>2465</v>
      </c>
      <c r="J32" s="30">
        <v>160</v>
      </c>
      <c r="K32" s="30"/>
      <c r="L32" s="1"/>
      <c r="M32" s="30"/>
      <c r="N32" s="1"/>
      <c r="O32" s="1"/>
    </row>
    <row r="33" spans="1:15" x14ac:dyDescent="0.3">
      <c r="A33" s="41">
        <v>45542</v>
      </c>
      <c r="B33" s="10" t="s">
        <v>2188</v>
      </c>
      <c r="C33" s="10" t="s">
        <v>14</v>
      </c>
      <c r="D33" s="30">
        <f t="shared" si="2"/>
        <v>154.54545454545453</v>
      </c>
      <c r="E33" s="30">
        <f t="shared" si="0"/>
        <v>15.454545454545453</v>
      </c>
      <c r="F33" s="30">
        <v>170</v>
      </c>
      <c r="G33" s="30">
        <v>50</v>
      </c>
      <c r="H33" s="13">
        <f t="shared" si="1"/>
        <v>120</v>
      </c>
      <c r="I33" s="1" t="s">
        <v>2466</v>
      </c>
      <c r="J33" s="30">
        <v>170</v>
      </c>
      <c r="K33" s="30"/>
      <c r="L33" s="1"/>
      <c r="M33" s="30"/>
      <c r="N33" s="1"/>
      <c r="O33" s="1"/>
    </row>
    <row r="34" spans="1:15" x14ac:dyDescent="0.3">
      <c r="A34" s="41">
        <v>45542</v>
      </c>
      <c r="B34" s="10" t="s">
        <v>2189</v>
      </c>
      <c r="C34" s="10" t="s">
        <v>14</v>
      </c>
      <c r="D34" s="30">
        <f t="shared" si="2"/>
        <v>154.54545454545453</v>
      </c>
      <c r="E34" s="30">
        <f t="shared" si="0"/>
        <v>15.454545454545453</v>
      </c>
      <c r="F34" s="30">
        <v>170</v>
      </c>
      <c r="G34" s="30">
        <v>50</v>
      </c>
      <c r="H34" s="13">
        <f t="shared" si="1"/>
        <v>120</v>
      </c>
      <c r="I34" s="1" t="s">
        <v>2467</v>
      </c>
      <c r="J34" s="30">
        <v>170</v>
      </c>
      <c r="K34" s="30"/>
      <c r="L34" s="1"/>
      <c r="M34" s="30"/>
      <c r="N34" s="1"/>
      <c r="O34" s="1"/>
    </row>
    <row r="35" spans="1:15" x14ac:dyDescent="0.3">
      <c r="A35" s="41">
        <v>45542</v>
      </c>
      <c r="B35" s="10" t="s">
        <v>2190</v>
      </c>
      <c r="C35" s="10" t="s">
        <v>14</v>
      </c>
      <c r="D35" s="30">
        <f t="shared" si="2"/>
        <v>290.90909090909088</v>
      </c>
      <c r="E35" s="30">
        <f t="shared" si="0"/>
        <v>29.09090909090909</v>
      </c>
      <c r="F35" s="30">
        <v>320</v>
      </c>
      <c r="G35" s="30">
        <v>50</v>
      </c>
      <c r="H35" s="13">
        <f t="shared" si="1"/>
        <v>270</v>
      </c>
      <c r="I35" s="1" t="s">
        <v>2468</v>
      </c>
      <c r="J35" s="30">
        <v>270</v>
      </c>
      <c r="K35" s="30">
        <v>50</v>
      </c>
      <c r="L35" s="1" t="s">
        <v>223</v>
      </c>
      <c r="M35" s="30"/>
      <c r="N35" s="1"/>
      <c r="O35" s="1"/>
    </row>
    <row r="36" spans="1:15" x14ac:dyDescent="0.3">
      <c r="A36" s="41">
        <v>45542</v>
      </c>
      <c r="B36" s="10" t="s">
        <v>2191</v>
      </c>
      <c r="C36" s="10" t="s">
        <v>14</v>
      </c>
      <c r="D36" s="30">
        <f t="shared" si="2"/>
        <v>181.81818181818181</v>
      </c>
      <c r="E36" s="30">
        <f t="shared" si="0"/>
        <v>18.18181818181818</v>
      </c>
      <c r="F36" s="30">
        <v>200</v>
      </c>
      <c r="G36" s="30"/>
      <c r="H36" s="13">
        <f t="shared" si="1"/>
        <v>200</v>
      </c>
      <c r="I36" s="1" t="s">
        <v>1028</v>
      </c>
      <c r="J36" s="30">
        <v>200</v>
      </c>
      <c r="K36" s="30"/>
      <c r="L36" s="1"/>
      <c r="M36" s="30"/>
      <c r="N36" s="1"/>
      <c r="O36" s="1"/>
    </row>
    <row r="37" spans="1:15" x14ac:dyDescent="0.3">
      <c r="A37" s="41">
        <v>45542</v>
      </c>
      <c r="B37" s="10" t="s">
        <v>2192</v>
      </c>
      <c r="C37" s="10" t="s">
        <v>14</v>
      </c>
      <c r="D37" s="30">
        <f t="shared" si="2"/>
        <v>245.45454545454544</v>
      </c>
      <c r="E37" s="30">
        <f t="shared" si="0"/>
        <v>24.545454545454547</v>
      </c>
      <c r="F37" s="30">
        <v>270</v>
      </c>
      <c r="G37" s="30">
        <v>50</v>
      </c>
      <c r="H37" s="13">
        <f t="shared" si="1"/>
        <v>220</v>
      </c>
      <c r="I37" s="1" t="s">
        <v>2469</v>
      </c>
      <c r="J37" s="30">
        <v>270</v>
      </c>
      <c r="K37" s="30"/>
      <c r="L37" s="1"/>
      <c r="M37" s="30"/>
      <c r="N37" s="1"/>
      <c r="O37" s="1"/>
    </row>
    <row r="38" spans="1:15" x14ac:dyDescent="0.3">
      <c r="A38" s="41">
        <v>45542</v>
      </c>
      <c r="B38" s="10" t="s">
        <v>2193</v>
      </c>
      <c r="C38" s="10" t="s">
        <v>14</v>
      </c>
      <c r="D38" s="30">
        <f t="shared" si="2"/>
        <v>227.27272727272725</v>
      </c>
      <c r="E38" s="30">
        <f t="shared" si="0"/>
        <v>22.727272727272727</v>
      </c>
      <c r="F38" s="30">
        <v>250</v>
      </c>
      <c r="G38" s="30">
        <v>50</v>
      </c>
      <c r="H38" s="13">
        <f t="shared" si="1"/>
        <v>200</v>
      </c>
      <c r="I38" s="1" t="s">
        <v>2470</v>
      </c>
      <c r="J38" s="30">
        <v>220</v>
      </c>
      <c r="K38" s="30">
        <v>30</v>
      </c>
      <c r="L38" s="1" t="s">
        <v>223</v>
      </c>
      <c r="M38" s="30"/>
      <c r="N38" s="1"/>
      <c r="O38" s="1"/>
    </row>
    <row r="39" spans="1:15" x14ac:dyDescent="0.3">
      <c r="A39" s="41">
        <v>45542</v>
      </c>
      <c r="B39" s="10" t="s">
        <v>2194</v>
      </c>
      <c r="C39" s="10" t="s">
        <v>14</v>
      </c>
      <c r="D39" s="30">
        <f t="shared" si="2"/>
        <v>181.81818181818181</v>
      </c>
      <c r="E39" s="30">
        <f t="shared" si="0"/>
        <v>18.18181818181818</v>
      </c>
      <c r="F39" s="30">
        <v>200</v>
      </c>
      <c r="G39" s="30"/>
      <c r="H39" s="13">
        <f t="shared" si="1"/>
        <v>200</v>
      </c>
      <c r="I39" s="1" t="s">
        <v>403</v>
      </c>
      <c r="J39" s="30">
        <v>200</v>
      </c>
      <c r="K39" s="30"/>
      <c r="L39" s="1"/>
      <c r="M39" s="30"/>
      <c r="N39" s="1"/>
      <c r="O39" s="1"/>
    </row>
    <row r="40" spans="1:15" x14ac:dyDescent="0.3">
      <c r="A40" s="41">
        <v>45542</v>
      </c>
      <c r="B40" s="10" t="s">
        <v>2195</v>
      </c>
      <c r="C40" s="10" t="s">
        <v>14</v>
      </c>
      <c r="D40" s="30">
        <f t="shared" si="2"/>
        <v>199.99999999999997</v>
      </c>
      <c r="E40" s="30">
        <f t="shared" si="0"/>
        <v>19.999999999999996</v>
      </c>
      <c r="F40" s="30">
        <v>220</v>
      </c>
      <c r="G40" s="30">
        <v>50</v>
      </c>
      <c r="H40" s="13">
        <f t="shared" si="1"/>
        <v>170</v>
      </c>
      <c r="I40" s="1" t="s">
        <v>2471</v>
      </c>
      <c r="J40" s="30">
        <v>270</v>
      </c>
      <c r="K40" s="30"/>
      <c r="L40" s="1"/>
      <c r="M40" s="30"/>
      <c r="N40" s="1"/>
      <c r="O40" s="1"/>
    </row>
    <row r="41" spans="1:15" x14ac:dyDescent="0.3">
      <c r="A41" s="41">
        <v>45543</v>
      </c>
      <c r="B41" s="10" t="s">
        <v>2196</v>
      </c>
      <c r="C41" s="10" t="s">
        <v>14</v>
      </c>
      <c r="D41" s="30">
        <f t="shared" si="2"/>
        <v>154.54545454545453</v>
      </c>
      <c r="E41" s="30">
        <f t="shared" si="0"/>
        <v>15.454545454545453</v>
      </c>
      <c r="F41" s="30">
        <v>170</v>
      </c>
      <c r="G41" s="30">
        <v>50</v>
      </c>
      <c r="H41" s="13">
        <f t="shared" si="1"/>
        <v>120</v>
      </c>
      <c r="I41" s="1" t="s">
        <v>2472</v>
      </c>
      <c r="J41" s="30">
        <v>170</v>
      </c>
      <c r="K41" s="30"/>
      <c r="L41" s="1"/>
      <c r="M41" s="30"/>
      <c r="N41" s="1"/>
      <c r="O41" s="1"/>
    </row>
    <row r="42" spans="1:15" x14ac:dyDescent="0.3">
      <c r="A42" s="41">
        <v>45543</v>
      </c>
      <c r="B42" s="10" t="s">
        <v>2197</v>
      </c>
      <c r="C42" s="10" t="s">
        <v>14</v>
      </c>
      <c r="D42" s="30">
        <f t="shared" si="2"/>
        <v>154.54545454545453</v>
      </c>
      <c r="E42" s="30">
        <f t="shared" si="0"/>
        <v>15.454545454545453</v>
      </c>
      <c r="F42" s="30">
        <v>170</v>
      </c>
      <c r="G42" s="30">
        <v>50</v>
      </c>
      <c r="H42" s="13">
        <f t="shared" si="1"/>
        <v>120</v>
      </c>
      <c r="I42" s="1" t="s">
        <v>2473</v>
      </c>
      <c r="J42" s="30">
        <v>170</v>
      </c>
      <c r="K42" s="30"/>
      <c r="L42" s="1"/>
      <c r="M42" s="30"/>
      <c r="N42" s="1"/>
      <c r="O42" s="1"/>
    </row>
    <row r="43" spans="1:15" x14ac:dyDescent="0.3">
      <c r="A43" s="41">
        <v>45546</v>
      </c>
      <c r="B43" s="10" t="s">
        <v>2198</v>
      </c>
      <c r="C43" s="10" t="s">
        <v>14</v>
      </c>
      <c r="D43" s="30">
        <f t="shared" si="2"/>
        <v>163.63636363636363</v>
      </c>
      <c r="E43" s="30">
        <f t="shared" si="0"/>
        <v>16.363636363636363</v>
      </c>
      <c r="F43" s="30">
        <v>180</v>
      </c>
      <c r="G43" s="30"/>
      <c r="H43" s="13">
        <f t="shared" si="1"/>
        <v>180</v>
      </c>
      <c r="I43" s="1" t="s">
        <v>402</v>
      </c>
      <c r="J43" s="30">
        <v>180</v>
      </c>
      <c r="K43" s="30"/>
      <c r="L43" s="1"/>
      <c r="M43" s="30"/>
      <c r="N43" s="1"/>
      <c r="O43" s="1"/>
    </row>
    <row r="44" spans="1:15" x14ac:dyDescent="0.3">
      <c r="A44" s="41">
        <v>45548</v>
      </c>
      <c r="B44" s="10" t="s">
        <v>2199</v>
      </c>
      <c r="C44" s="10" t="s">
        <v>14</v>
      </c>
      <c r="D44" s="30">
        <f t="shared" si="2"/>
        <v>163.63636363636363</v>
      </c>
      <c r="E44" s="30">
        <f t="shared" si="0"/>
        <v>16.363636363636363</v>
      </c>
      <c r="F44" s="30">
        <v>180</v>
      </c>
      <c r="G44" s="30"/>
      <c r="H44" s="13">
        <f t="shared" si="1"/>
        <v>180</v>
      </c>
      <c r="I44" s="103" t="s">
        <v>402</v>
      </c>
      <c r="J44" s="30">
        <v>180</v>
      </c>
      <c r="K44" s="30"/>
      <c r="L44" s="1"/>
      <c r="M44" s="30"/>
      <c r="N44" s="1"/>
      <c r="O44" s="1"/>
    </row>
    <row r="45" spans="1:15" x14ac:dyDescent="0.3">
      <c r="A45" s="41">
        <v>45548</v>
      </c>
      <c r="B45" s="10" t="s">
        <v>2200</v>
      </c>
      <c r="C45" s="10" t="s">
        <v>14</v>
      </c>
      <c r="D45" s="30">
        <f t="shared" si="2"/>
        <v>199.99999999999997</v>
      </c>
      <c r="E45" s="30">
        <f t="shared" si="0"/>
        <v>19.999999999999996</v>
      </c>
      <c r="F45" s="30">
        <v>220</v>
      </c>
      <c r="G45" s="30">
        <v>50</v>
      </c>
      <c r="H45" s="13">
        <f t="shared" si="1"/>
        <v>170</v>
      </c>
      <c r="I45" s="1" t="s">
        <v>2474</v>
      </c>
      <c r="J45" s="30">
        <v>220</v>
      </c>
      <c r="K45" s="30"/>
      <c r="L45" s="1"/>
      <c r="M45" s="30"/>
      <c r="N45" s="1"/>
      <c r="O45" s="1"/>
    </row>
    <row r="46" spans="1:15" x14ac:dyDescent="0.3">
      <c r="A46" s="41">
        <v>45548</v>
      </c>
      <c r="B46" s="10" t="s">
        <v>2201</v>
      </c>
      <c r="C46" s="10" t="s">
        <v>14</v>
      </c>
      <c r="D46" s="30">
        <f t="shared" si="2"/>
        <v>190.90909090909091</v>
      </c>
      <c r="E46" s="30">
        <f t="shared" si="0"/>
        <v>19.09090909090909</v>
      </c>
      <c r="F46" s="30">
        <v>210</v>
      </c>
      <c r="G46" s="30">
        <v>50</v>
      </c>
      <c r="H46" s="13">
        <f t="shared" si="1"/>
        <v>160</v>
      </c>
      <c r="I46" s="1" t="s">
        <v>2475</v>
      </c>
      <c r="J46" s="30">
        <v>210</v>
      </c>
      <c r="K46" s="30"/>
      <c r="L46" s="1"/>
      <c r="M46" s="30"/>
      <c r="N46" s="1"/>
      <c r="O46" s="1"/>
    </row>
    <row r="47" spans="1:15" x14ac:dyDescent="0.3">
      <c r="A47" s="41">
        <v>45548</v>
      </c>
      <c r="B47" s="10" t="s">
        <v>2202</v>
      </c>
      <c r="C47" s="10" t="s">
        <v>14</v>
      </c>
      <c r="D47" s="30">
        <f t="shared" si="2"/>
        <v>209.09090909090907</v>
      </c>
      <c r="E47" s="30">
        <f t="shared" si="0"/>
        <v>20.909090909090907</v>
      </c>
      <c r="F47" s="30">
        <v>230</v>
      </c>
      <c r="G47" s="30"/>
      <c r="H47" s="13">
        <f t="shared" si="1"/>
        <v>230</v>
      </c>
      <c r="I47" s="1" t="s">
        <v>1028</v>
      </c>
      <c r="J47" s="30">
        <v>230</v>
      </c>
      <c r="K47" s="30"/>
      <c r="L47" s="1"/>
      <c r="M47" s="30"/>
      <c r="N47" s="1"/>
      <c r="O47" s="1"/>
    </row>
    <row r="48" spans="1:15" x14ac:dyDescent="0.3">
      <c r="A48" s="41">
        <v>45548</v>
      </c>
      <c r="B48" s="10" t="s">
        <v>2203</v>
      </c>
      <c r="C48" s="10" t="s">
        <v>14</v>
      </c>
      <c r="D48" s="30">
        <f t="shared" si="2"/>
        <v>145.45454545454544</v>
      </c>
      <c r="E48" s="30">
        <f t="shared" si="0"/>
        <v>14.545454545454545</v>
      </c>
      <c r="F48" s="30">
        <v>160</v>
      </c>
      <c r="G48" s="30"/>
      <c r="H48" s="13">
        <f t="shared" si="1"/>
        <v>160</v>
      </c>
      <c r="I48" s="1" t="s">
        <v>402</v>
      </c>
      <c r="J48" s="30">
        <v>160</v>
      </c>
      <c r="K48" s="30"/>
      <c r="L48" s="1"/>
      <c r="M48" s="30"/>
      <c r="N48" s="1"/>
      <c r="O48" s="1"/>
    </row>
    <row r="49" spans="1:16" x14ac:dyDescent="0.3">
      <c r="A49" s="41">
        <v>45548</v>
      </c>
      <c r="B49" s="10" t="s">
        <v>2204</v>
      </c>
      <c r="C49" s="10" t="s">
        <v>14</v>
      </c>
      <c r="D49" s="30">
        <f t="shared" si="2"/>
        <v>127.27272727272727</v>
      </c>
      <c r="E49" s="30">
        <f t="shared" si="0"/>
        <v>12.727272727272727</v>
      </c>
      <c r="F49" s="30">
        <v>140</v>
      </c>
      <c r="G49" s="30"/>
      <c r="H49" s="13">
        <f t="shared" si="1"/>
        <v>140</v>
      </c>
      <c r="I49" s="1" t="s">
        <v>402</v>
      </c>
      <c r="J49" s="30">
        <v>140</v>
      </c>
      <c r="K49" s="30"/>
      <c r="L49" s="1"/>
      <c r="M49" s="30"/>
      <c r="N49" s="1"/>
      <c r="O49" s="1"/>
    </row>
    <row r="50" spans="1:16" x14ac:dyDescent="0.3">
      <c r="A50" s="41">
        <v>45549</v>
      </c>
      <c r="B50" s="10" t="s">
        <v>2205</v>
      </c>
      <c r="C50" s="10" t="s">
        <v>14</v>
      </c>
      <c r="D50" s="30">
        <f t="shared" si="2"/>
        <v>236.36363636363635</v>
      </c>
      <c r="E50" s="30">
        <f t="shared" si="0"/>
        <v>23.636363636363637</v>
      </c>
      <c r="F50" s="30">
        <v>260</v>
      </c>
      <c r="G50" s="30">
        <v>50</v>
      </c>
      <c r="H50" s="13">
        <f t="shared" si="1"/>
        <v>210</v>
      </c>
      <c r="I50" s="1" t="s">
        <v>2476</v>
      </c>
      <c r="J50" s="30">
        <v>220</v>
      </c>
      <c r="K50" s="30">
        <v>40</v>
      </c>
      <c r="L50" s="1" t="s">
        <v>223</v>
      </c>
      <c r="M50" s="30"/>
      <c r="N50" s="1"/>
      <c r="O50" s="1"/>
    </row>
    <row r="51" spans="1:16" x14ac:dyDescent="0.3">
      <c r="A51" s="41">
        <v>45549</v>
      </c>
      <c r="B51" s="10" t="s">
        <v>2206</v>
      </c>
      <c r="C51" s="10" t="s">
        <v>14</v>
      </c>
      <c r="D51" s="30">
        <f t="shared" si="2"/>
        <v>281.81818181818181</v>
      </c>
      <c r="E51" s="30">
        <f t="shared" si="0"/>
        <v>28.18181818181818</v>
      </c>
      <c r="F51" s="30">
        <v>310</v>
      </c>
      <c r="G51" s="30">
        <v>50</v>
      </c>
      <c r="H51" s="13">
        <f t="shared" si="1"/>
        <v>260</v>
      </c>
      <c r="I51" s="1" t="s">
        <v>2477</v>
      </c>
      <c r="J51" s="30">
        <v>270</v>
      </c>
      <c r="K51" s="30">
        <v>40</v>
      </c>
      <c r="L51" s="1" t="s">
        <v>223</v>
      </c>
      <c r="M51" s="30"/>
      <c r="N51" s="1"/>
      <c r="O51" s="1"/>
    </row>
    <row r="52" spans="1:16" x14ac:dyDescent="0.3">
      <c r="A52" s="41">
        <v>45549</v>
      </c>
      <c r="B52" s="10" t="s">
        <v>2207</v>
      </c>
      <c r="C52" s="10" t="s">
        <v>14</v>
      </c>
      <c r="D52" s="30">
        <f t="shared" si="2"/>
        <v>490.90909090909088</v>
      </c>
      <c r="E52" s="30">
        <f t="shared" si="0"/>
        <v>49.090909090909093</v>
      </c>
      <c r="F52" s="30">
        <v>540</v>
      </c>
      <c r="G52" s="30">
        <v>50</v>
      </c>
      <c r="H52" s="13">
        <f t="shared" si="1"/>
        <v>490</v>
      </c>
      <c r="I52" s="1" t="s">
        <v>2478</v>
      </c>
      <c r="J52" s="30">
        <v>270</v>
      </c>
      <c r="K52" s="30"/>
      <c r="L52" s="1"/>
      <c r="M52" s="30">
        <v>270</v>
      </c>
      <c r="N52" s="1" t="s">
        <v>395</v>
      </c>
      <c r="O52" s="30">
        <v>204</v>
      </c>
      <c r="P52" t="s">
        <v>2480</v>
      </c>
    </row>
    <row r="53" spans="1:16" x14ac:dyDescent="0.3">
      <c r="A53" s="41">
        <v>45549</v>
      </c>
      <c r="B53" s="10" t="s">
        <v>2208</v>
      </c>
      <c r="C53" s="10" t="s">
        <v>14</v>
      </c>
      <c r="D53" s="30">
        <f t="shared" si="2"/>
        <v>236.36363636363635</v>
      </c>
      <c r="E53" s="30">
        <f t="shared" si="0"/>
        <v>23.636363636363637</v>
      </c>
      <c r="F53" s="30">
        <v>260</v>
      </c>
      <c r="G53" s="30">
        <v>50</v>
      </c>
      <c r="H53" s="13">
        <f t="shared" si="1"/>
        <v>210</v>
      </c>
      <c r="I53" s="1" t="s">
        <v>2479</v>
      </c>
      <c r="J53" s="30">
        <v>220</v>
      </c>
      <c r="K53" s="30">
        <v>40</v>
      </c>
      <c r="L53" s="1" t="s">
        <v>223</v>
      </c>
      <c r="M53" s="30"/>
      <c r="N53" s="1"/>
      <c r="O53" s="1"/>
    </row>
    <row r="54" spans="1:16" x14ac:dyDescent="0.3">
      <c r="A54" s="41">
        <v>45549</v>
      </c>
      <c r="B54" s="10" t="s">
        <v>2209</v>
      </c>
      <c r="C54" s="10" t="s">
        <v>14</v>
      </c>
      <c r="D54" s="30">
        <f t="shared" si="2"/>
        <v>199.99999999999997</v>
      </c>
      <c r="E54" s="30">
        <f t="shared" si="0"/>
        <v>19.999999999999996</v>
      </c>
      <c r="F54" s="30">
        <v>220</v>
      </c>
      <c r="G54" s="30"/>
      <c r="H54" s="13">
        <f t="shared" si="1"/>
        <v>220</v>
      </c>
      <c r="I54" s="1" t="s">
        <v>402</v>
      </c>
      <c r="J54" s="30">
        <v>220</v>
      </c>
      <c r="K54" s="30"/>
      <c r="L54" s="1"/>
      <c r="M54" s="30"/>
      <c r="N54" s="1"/>
      <c r="O54" s="1"/>
    </row>
    <row r="55" spans="1:16" x14ac:dyDescent="0.3">
      <c r="A55" s="41">
        <v>45549</v>
      </c>
      <c r="B55" s="10" t="s">
        <v>2210</v>
      </c>
      <c r="C55" s="10" t="s">
        <v>14</v>
      </c>
      <c r="D55" s="30">
        <f t="shared" si="2"/>
        <v>154.54545454545453</v>
      </c>
      <c r="E55" s="30">
        <f t="shared" si="0"/>
        <v>15.454545454545453</v>
      </c>
      <c r="F55" s="30">
        <v>170</v>
      </c>
      <c r="G55" s="30">
        <v>50</v>
      </c>
      <c r="H55" s="13">
        <f t="shared" si="1"/>
        <v>120</v>
      </c>
      <c r="I55" s="1" t="s">
        <v>2481</v>
      </c>
      <c r="J55" s="30">
        <v>170</v>
      </c>
      <c r="K55" s="30"/>
      <c r="L55" s="1"/>
      <c r="M55" s="30"/>
      <c r="N55" s="1"/>
      <c r="O55" s="1"/>
    </row>
    <row r="56" spans="1:16" x14ac:dyDescent="0.3">
      <c r="A56" s="41">
        <v>45549</v>
      </c>
      <c r="B56" s="10" t="s">
        <v>2211</v>
      </c>
      <c r="C56" s="10" t="s">
        <v>14</v>
      </c>
      <c r="D56" s="30">
        <f t="shared" si="2"/>
        <v>154.54545454545453</v>
      </c>
      <c r="E56" s="30">
        <f t="shared" si="0"/>
        <v>15.454545454545453</v>
      </c>
      <c r="F56" s="30">
        <v>170</v>
      </c>
      <c r="G56" s="30">
        <v>50</v>
      </c>
      <c r="H56" s="13">
        <f t="shared" si="1"/>
        <v>120</v>
      </c>
      <c r="I56" s="1" t="s">
        <v>2482</v>
      </c>
      <c r="J56" s="30">
        <v>170</v>
      </c>
      <c r="K56" s="30"/>
      <c r="L56" s="1"/>
      <c r="M56" s="30"/>
      <c r="N56" s="1"/>
      <c r="O56" s="1"/>
    </row>
    <row r="57" spans="1:16" x14ac:dyDescent="0.3">
      <c r="A57" s="41">
        <v>45549</v>
      </c>
      <c r="B57" s="10" t="s">
        <v>2212</v>
      </c>
      <c r="C57" s="10" t="s">
        <v>14</v>
      </c>
      <c r="D57" s="30">
        <f t="shared" si="2"/>
        <v>154.54545454545453</v>
      </c>
      <c r="E57" s="30">
        <f t="shared" si="0"/>
        <v>15.454545454545453</v>
      </c>
      <c r="F57" s="30">
        <v>170</v>
      </c>
      <c r="G57" s="30">
        <v>50</v>
      </c>
      <c r="H57" s="13">
        <f t="shared" si="1"/>
        <v>120</v>
      </c>
      <c r="I57" s="1" t="s">
        <v>2483</v>
      </c>
      <c r="J57" s="30">
        <v>170</v>
      </c>
      <c r="K57" s="30"/>
      <c r="L57" s="1"/>
      <c r="M57" s="30"/>
      <c r="N57" s="1"/>
      <c r="O57" s="1"/>
    </row>
    <row r="58" spans="1:16" x14ac:dyDescent="0.3">
      <c r="A58" s="41">
        <v>45549</v>
      </c>
      <c r="B58" s="10" t="s">
        <v>2213</v>
      </c>
      <c r="C58" s="10" t="s">
        <v>14</v>
      </c>
      <c r="D58" s="30">
        <f t="shared" si="2"/>
        <v>263.63636363636363</v>
      </c>
      <c r="E58" s="30">
        <f t="shared" si="0"/>
        <v>26.36363636363636</v>
      </c>
      <c r="F58" s="30">
        <v>290</v>
      </c>
      <c r="G58" s="30">
        <v>50</v>
      </c>
      <c r="H58" s="13">
        <f t="shared" si="1"/>
        <v>240</v>
      </c>
      <c r="I58" s="1" t="s">
        <v>2484</v>
      </c>
      <c r="J58" s="30">
        <v>270</v>
      </c>
      <c r="K58" s="30">
        <v>20</v>
      </c>
      <c r="L58" s="1" t="s">
        <v>223</v>
      </c>
      <c r="M58" s="30"/>
      <c r="N58" s="1"/>
      <c r="O58" s="1"/>
    </row>
    <row r="59" spans="1:16" x14ac:dyDescent="0.3">
      <c r="A59" s="41">
        <v>45549</v>
      </c>
      <c r="B59" s="10" t="s">
        <v>2214</v>
      </c>
      <c r="C59" s="10" t="s">
        <v>14</v>
      </c>
      <c r="D59" s="30">
        <f t="shared" si="2"/>
        <v>199.99999999999997</v>
      </c>
      <c r="E59" s="30">
        <f t="shared" si="0"/>
        <v>19.999999999999996</v>
      </c>
      <c r="F59" s="30">
        <v>220</v>
      </c>
      <c r="G59" s="30">
        <v>50</v>
      </c>
      <c r="H59" s="13">
        <f t="shared" si="1"/>
        <v>170</v>
      </c>
      <c r="I59" s="1" t="s">
        <v>2485</v>
      </c>
      <c r="J59" s="30">
        <v>220</v>
      </c>
      <c r="K59" s="30"/>
      <c r="L59" s="1"/>
      <c r="M59" s="30"/>
      <c r="N59" s="1"/>
      <c r="O59" s="1"/>
    </row>
    <row r="60" spans="1:16" x14ac:dyDescent="0.3">
      <c r="A60" s="41">
        <v>45549</v>
      </c>
      <c r="B60" s="10" t="s">
        <v>2215</v>
      </c>
      <c r="C60" s="10" t="s">
        <v>14</v>
      </c>
      <c r="D60" s="30">
        <f t="shared" si="2"/>
        <v>281.81818181818181</v>
      </c>
      <c r="E60" s="30">
        <f t="shared" si="0"/>
        <v>28.18181818181818</v>
      </c>
      <c r="F60" s="30">
        <v>310</v>
      </c>
      <c r="G60" s="30">
        <v>50</v>
      </c>
      <c r="H60" s="13">
        <f t="shared" si="1"/>
        <v>260</v>
      </c>
      <c r="I60" s="1" t="s">
        <v>2486</v>
      </c>
      <c r="J60" s="30">
        <v>270</v>
      </c>
      <c r="K60" s="30">
        <v>40</v>
      </c>
      <c r="L60" s="1" t="s">
        <v>223</v>
      </c>
      <c r="M60" s="30"/>
      <c r="N60" s="1"/>
      <c r="O60" s="1"/>
    </row>
    <row r="61" spans="1:16" x14ac:dyDescent="0.3">
      <c r="A61" s="41">
        <v>45549</v>
      </c>
      <c r="B61" s="10" t="s">
        <v>2216</v>
      </c>
      <c r="C61" s="10" t="s">
        <v>14</v>
      </c>
      <c r="D61" s="30">
        <f t="shared" si="2"/>
        <v>245.45454545454544</v>
      </c>
      <c r="E61" s="30">
        <f t="shared" si="0"/>
        <v>24.545454545454547</v>
      </c>
      <c r="F61" s="30">
        <v>270</v>
      </c>
      <c r="G61" s="30">
        <v>50</v>
      </c>
      <c r="H61" s="13">
        <f t="shared" si="1"/>
        <v>220</v>
      </c>
      <c r="I61" s="1" t="s">
        <v>2487</v>
      </c>
      <c r="J61" s="30">
        <v>270</v>
      </c>
      <c r="K61" s="30"/>
      <c r="L61" s="1"/>
      <c r="M61" s="30"/>
      <c r="N61" s="1"/>
      <c r="O61" s="1"/>
    </row>
    <row r="62" spans="1:16" x14ac:dyDescent="0.3">
      <c r="A62" s="41">
        <v>45549</v>
      </c>
      <c r="B62" s="10" t="s">
        <v>2217</v>
      </c>
      <c r="C62" s="10" t="s">
        <v>14</v>
      </c>
      <c r="D62" s="30">
        <f t="shared" si="2"/>
        <v>300</v>
      </c>
      <c r="E62" s="30">
        <f t="shared" si="0"/>
        <v>30</v>
      </c>
      <c r="F62" s="30">
        <v>330</v>
      </c>
      <c r="G62" s="30">
        <v>50</v>
      </c>
      <c r="H62" s="13">
        <f t="shared" si="1"/>
        <v>280</v>
      </c>
      <c r="I62" s="1" t="s">
        <v>2488</v>
      </c>
      <c r="J62" s="30">
        <v>270</v>
      </c>
      <c r="K62" s="30">
        <v>15</v>
      </c>
      <c r="L62" s="1" t="s">
        <v>223</v>
      </c>
      <c r="M62" s="30">
        <v>45</v>
      </c>
      <c r="N62" s="1" t="s">
        <v>16</v>
      </c>
      <c r="O62" s="1"/>
    </row>
    <row r="63" spans="1:16" x14ac:dyDescent="0.3">
      <c r="A63" s="41">
        <v>45549</v>
      </c>
      <c r="B63" s="10" t="s">
        <v>2218</v>
      </c>
      <c r="C63" s="10" t="s">
        <v>14</v>
      </c>
      <c r="D63" s="30">
        <f t="shared" si="2"/>
        <v>199.99999999999997</v>
      </c>
      <c r="E63" s="30">
        <f t="shared" si="0"/>
        <v>19.999999999999996</v>
      </c>
      <c r="F63" s="30">
        <v>220</v>
      </c>
      <c r="G63" s="30"/>
      <c r="H63" s="13">
        <f t="shared" si="1"/>
        <v>220</v>
      </c>
      <c r="I63" s="1" t="s">
        <v>402</v>
      </c>
      <c r="J63" s="30">
        <v>220</v>
      </c>
      <c r="K63" s="30"/>
      <c r="L63" s="1"/>
      <c r="M63" s="30"/>
      <c r="N63" s="1"/>
      <c r="O63" s="1"/>
    </row>
    <row r="64" spans="1:16" x14ac:dyDescent="0.3">
      <c r="A64" s="41">
        <v>45549</v>
      </c>
      <c r="B64" s="10" t="s">
        <v>2219</v>
      </c>
      <c r="C64" s="10" t="s">
        <v>14</v>
      </c>
      <c r="D64" s="30">
        <f t="shared" si="2"/>
        <v>218.18181818181816</v>
      </c>
      <c r="E64" s="30">
        <f t="shared" si="0"/>
        <v>21.818181818181817</v>
      </c>
      <c r="F64" s="30">
        <v>240</v>
      </c>
      <c r="G64" s="30">
        <v>50</v>
      </c>
      <c r="H64" s="13">
        <f t="shared" si="1"/>
        <v>190</v>
      </c>
      <c r="I64" s="1" t="s">
        <v>2489</v>
      </c>
      <c r="J64" s="30">
        <v>170</v>
      </c>
      <c r="K64" s="30">
        <v>25</v>
      </c>
      <c r="L64" s="1" t="s">
        <v>223</v>
      </c>
      <c r="M64" s="30">
        <v>45</v>
      </c>
      <c r="N64" s="1" t="s">
        <v>16</v>
      </c>
      <c r="O64" s="1"/>
    </row>
    <row r="65" spans="1:15" x14ac:dyDescent="0.3">
      <c r="A65" s="41">
        <v>45549</v>
      </c>
      <c r="B65" s="10" t="s">
        <v>2220</v>
      </c>
      <c r="C65" s="10" t="s">
        <v>14</v>
      </c>
      <c r="D65" s="30">
        <f t="shared" si="2"/>
        <v>127.27272727272727</v>
      </c>
      <c r="E65" s="30">
        <f t="shared" si="0"/>
        <v>12.727272727272727</v>
      </c>
      <c r="F65" s="30">
        <v>140</v>
      </c>
      <c r="G65" s="30"/>
      <c r="H65" s="13">
        <f t="shared" si="1"/>
        <v>140</v>
      </c>
      <c r="I65" s="1" t="s">
        <v>403</v>
      </c>
      <c r="J65" s="30">
        <v>140</v>
      </c>
      <c r="K65" s="30"/>
      <c r="L65" s="1"/>
      <c r="M65" s="30"/>
      <c r="N65" s="1"/>
      <c r="O65" s="1"/>
    </row>
    <row r="66" spans="1:15" x14ac:dyDescent="0.3">
      <c r="A66" s="41">
        <v>45549</v>
      </c>
      <c r="B66" s="10" t="s">
        <v>2221</v>
      </c>
      <c r="C66" s="10" t="s">
        <v>14</v>
      </c>
      <c r="D66" s="30">
        <f t="shared" si="2"/>
        <v>190.90909090909091</v>
      </c>
      <c r="E66" s="30">
        <f t="shared" si="0"/>
        <v>19.09090909090909</v>
      </c>
      <c r="F66" s="30">
        <v>210</v>
      </c>
      <c r="G66" s="30">
        <v>50</v>
      </c>
      <c r="H66" s="13">
        <f t="shared" si="1"/>
        <v>160</v>
      </c>
      <c r="I66" s="1" t="s">
        <v>2490</v>
      </c>
      <c r="J66" s="30">
        <v>170</v>
      </c>
      <c r="K66" s="30">
        <v>40</v>
      </c>
      <c r="L66" s="1" t="s">
        <v>223</v>
      </c>
      <c r="M66" s="30"/>
      <c r="N66" s="1"/>
      <c r="O66" s="1"/>
    </row>
    <row r="67" spans="1:15" x14ac:dyDescent="0.3">
      <c r="A67" s="41">
        <v>45549</v>
      </c>
      <c r="B67" s="10" t="s">
        <v>2222</v>
      </c>
      <c r="C67" s="10" t="s">
        <v>14</v>
      </c>
      <c r="D67" s="30">
        <f t="shared" si="2"/>
        <v>154.54545454545453</v>
      </c>
      <c r="E67" s="30">
        <f t="shared" ref="E67:E130" si="3">D67*10/100</f>
        <v>15.454545454545453</v>
      </c>
      <c r="F67" s="30">
        <v>170</v>
      </c>
      <c r="G67" s="30">
        <v>50</v>
      </c>
      <c r="H67" s="13">
        <f t="shared" ref="H67:H130" si="4">F67-G67</f>
        <v>120</v>
      </c>
      <c r="I67" s="1" t="s">
        <v>2491</v>
      </c>
      <c r="J67" s="30">
        <v>170</v>
      </c>
      <c r="K67" s="30"/>
      <c r="L67" s="1"/>
      <c r="M67" s="30"/>
      <c r="N67" s="1"/>
      <c r="O67" s="1"/>
    </row>
    <row r="68" spans="1:15" x14ac:dyDescent="0.3">
      <c r="A68" s="41">
        <v>45549</v>
      </c>
      <c r="B68" s="10" t="s">
        <v>2223</v>
      </c>
      <c r="C68" s="10" t="s">
        <v>14</v>
      </c>
      <c r="D68" s="30">
        <f t="shared" ref="D68:D131" si="5">F68/1.1</f>
        <v>127.27272727272727</v>
      </c>
      <c r="E68" s="30">
        <f t="shared" si="3"/>
        <v>12.727272727272727</v>
      </c>
      <c r="F68" s="30">
        <v>140</v>
      </c>
      <c r="G68" s="30"/>
      <c r="H68" s="13">
        <f t="shared" si="4"/>
        <v>140</v>
      </c>
      <c r="I68" s="1" t="s">
        <v>402</v>
      </c>
      <c r="J68" s="30">
        <v>140</v>
      </c>
      <c r="K68" s="30"/>
      <c r="L68" s="1"/>
      <c r="M68" s="30"/>
      <c r="N68" s="1"/>
      <c r="O68" s="1"/>
    </row>
    <row r="69" spans="1:15" x14ac:dyDescent="0.3">
      <c r="A69" s="41">
        <v>45549</v>
      </c>
      <c r="B69" s="10" t="s">
        <v>2224</v>
      </c>
      <c r="C69" s="10" t="s">
        <v>14</v>
      </c>
      <c r="D69" s="30">
        <f t="shared" si="5"/>
        <v>154.54545454545453</v>
      </c>
      <c r="E69" s="30">
        <f t="shared" si="3"/>
        <v>15.454545454545453</v>
      </c>
      <c r="F69" s="30">
        <v>170</v>
      </c>
      <c r="G69" s="30">
        <v>50</v>
      </c>
      <c r="H69" s="13">
        <f t="shared" si="4"/>
        <v>120</v>
      </c>
      <c r="I69" s="1" t="s">
        <v>2492</v>
      </c>
      <c r="J69" s="30">
        <v>170</v>
      </c>
      <c r="K69" s="30"/>
      <c r="L69" s="1"/>
      <c r="M69" s="30"/>
      <c r="N69" s="1"/>
      <c r="O69" s="1"/>
    </row>
    <row r="70" spans="1:15" x14ac:dyDescent="0.3">
      <c r="A70" s="41">
        <v>45549</v>
      </c>
      <c r="B70" s="10" t="s">
        <v>2225</v>
      </c>
      <c r="C70" s="10" t="s">
        <v>14</v>
      </c>
      <c r="D70" s="30">
        <f t="shared" si="5"/>
        <v>154.54545454545453</v>
      </c>
      <c r="E70" s="30">
        <f t="shared" si="3"/>
        <v>15.454545454545453</v>
      </c>
      <c r="F70" s="30">
        <v>170</v>
      </c>
      <c r="G70" s="30">
        <v>50</v>
      </c>
      <c r="H70" s="13">
        <f t="shared" si="4"/>
        <v>120</v>
      </c>
      <c r="I70" s="1" t="s">
        <v>2493</v>
      </c>
      <c r="J70" s="30">
        <v>170</v>
      </c>
      <c r="K70" s="30"/>
      <c r="L70" s="1"/>
      <c r="M70" s="30"/>
      <c r="N70" s="1"/>
      <c r="O70" s="1"/>
    </row>
    <row r="71" spans="1:15" x14ac:dyDescent="0.3">
      <c r="A71" s="41">
        <v>45549</v>
      </c>
      <c r="B71" s="10" t="s">
        <v>2226</v>
      </c>
      <c r="C71" s="10" t="s">
        <v>14</v>
      </c>
      <c r="D71" s="30">
        <f t="shared" si="5"/>
        <v>154.54545454545453</v>
      </c>
      <c r="E71" s="30">
        <f t="shared" si="3"/>
        <v>15.454545454545453</v>
      </c>
      <c r="F71" s="30">
        <v>170</v>
      </c>
      <c r="G71" s="30">
        <v>50</v>
      </c>
      <c r="H71" s="13">
        <f t="shared" si="4"/>
        <v>120</v>
      </c>
      <c r="I71" s="1" t="s">
        <v>2494</v>
      </c>
      <c r="J71" s="30">
        <v>170</v>
      </c>
      <c r="K71" s="30"/>
      <c r="L71" s="1"/>
      <c r="M71" s="30"/>
      <c r="N71" s="1"/>
      <c r="O71" s="1"/>
    </row>
    <row r="72" spans="1:15" x14ac:dyDescent="0.3">
      <c r="A72" s="41">
        <v>45550</v>
      </c>
      <c r="B72" s="10" t="s">
        <v>2227</v>
      </c>
      <c r="C72" s="10" t="s">
        <v>14</v>
      </c>
      <c r="D72" s="30">
        <f t="shared" si="5"/>
        <v>359.09090909090907</v>
      </c>
      <c r="E72" s="30">
        <f t="shared" si="3"/>
        <v>35.909090909090907</v>
      </c>
      <c r="F72" s="30">
        <v>395</v>
      </c>
      <c r="G72" s="30">
        <v>50</v>
      </c>
      <c r="H72" s="13">
        <f t="shared" si="4"/>
        <v>345</v>
      </c>
      <c r="I72" s="1" t="s">
        <v>1357</v>
      </c>
      <c r="J72" s="30">
        <v>395</v>
      </c>
      <c r="K72" s="30"/>
      <c r="L72" s="1"/>
      <c r="M72" s="30"/>
      <c r="N72" s="1"/>
      <c r="O72" s="1"/>
    </row>
    <row r="73" spans="1:15" x14ac:dyDescent="0.3">
      <c r="A73" s="41">
        <v>45550</v>
      </c>
      <c r="B73" s="10" t="s">
        <v>2228</v>
      </c>
      <c r="C73" s="10" t="s">
        <v>14</v>
      </c>
      <c r="D73" s="30">
        <f t="shared" si="5"/>
        <v>181.81818181818181</v>
      </c>
      <c r="E73" s="30">
        <f t="shared" si="3"/>
        <v>18.18181818181818</v>
      </c>
      <c r="F73" s="30">
        <v>200</v>
      </c>
      <c r="G73" s="30">
        <v>50</v>
      </c>
      <c r="H73" s="13">
        <f t="shared" si="4"/>
        <v>150</v>
      </c>
      <c r="I73" s="1" t="s">
        <v>2495</v>
      </c>
      <c r="J73" s="30">
        <v>200</v>
      </c>
      <c r="K73" s="30"/>
      <c r="L73" s="1"/>
      <c r="M73" s="30"/>
      <c r="N73" s="1"/>
      <c r="O73" s="1"/>
    </row>
    <row r="74" spans="1:15" x14ac:dyDescent="0.3">
      <c r="A74" s="41">
        <v>45550</v>
      </c>
      <c r="B74" s="10" t="s">
        <v>2229</v>
      </c>
      <c r="C74" s="10" t="s">
        <v>14</v>
      </c>
      <c r="D74" s="30">
        <f t="shared" si="5"/>
        <v>245.45454545454544</v>
      </c>
      <c r="E74" s="30">
        <f t="shared" si="3"/>
        <v>24.545454545454547</v>
      </c>
      <c r="F74" s="30">
        <v>270</v>
      </c>
      <c r="G74" s="30">
        <v>50</v>
      </c>
      <c r="H74" s="13">
        <f t="shared" si="4"/>
        <v>220</v>
      </c>
      <c r="I74" s="1" t="s">
        <v>2496</v>
      </c>
      <c r="J74" s="30">
        <v>270</v>
      </c>
      <c r="K74" s="30"/>
      <c r="L74" s="1"/>
      <c r="M74" s="30"/>
      <c r="N74" s="1"/>
      <c r="O74" s="1"/>
    </row>
    <row r="75" spans="1:15" x14ac:dyDescent="0.3">
      <c r="A75" s="41">
        <v>45550</v>
      </c>
      <c r="B75" s="10" t="s">
        <v>2230</v>
      </c>
      <c r="C75" s="10" t="s">
        <v>14</v>
      </c>
      <c r="D75" s="30">
        <f t="shared" si="5"/>
        <v>236.36363636363635</v>
      </c>
      <c r="E75" s="30">
        <f t="shared" si="3"/>
        <v>23.636363636363637</v>
      </c>
      <c r="F75" s="30">
        <v>260</v>
      </c>
      <c r="G75" s="30">
        <v>100</v>
      </c>
      <c r="H75" s="13">
        <f t="shared" si="4"/>
        <v>160</v>
      </c>
      <c r="I75" s="1" t="s">
        <v>2497</v>
      </c>
      <c r="J75" s="30">
        <v>220</v>
      </c>
      <c r="K75" s="30">
        <v>40</v>
      </c>
      <c r="L75" s="1" t="s">
        <v>223</v>
      </c>
      <c r="M75" s="30"/>
      <c r="N75" s="1"/>
      <c r="O75" s="1"/>
    </row>
    <row r="76" spans="1:15" x14ac:dyDescent="0.3">
      <c r="A76" s="41">
        <v>45551</v>
      </c>
      <c r="B76" s="10" t="s">
        <v>2231</v>
      </c>
      <c r="C76" s="10" t="s">
        <v>14</v>
      </c>
      <c r="D76" s="30">
        <f t="shared" si="5"/>
        <v>245.45454545454544</v>
      </c>
      <c r="E76" s="30">
        <f t="shared" si="3"/>
        <v>24.545454545454547</v>
      </c>
      <c r="F76" s="30">
        <v>270</v>
      </c>
      <c r="G76" s="30">
        <v>50</v>
      </c>
      <c r="H76" s="13">
        <f t="shared" si="4"/>
        <v>220</v>
      </c>
      <c r="I76" s="1" t="s">
        <v>2498</v>
      </c>
      <c r="J76" s="30">
        <v>270</v>
      </c>
      <c r="K76" s="30"/>
      <c r="L76" s="1"/>
      <c r="M76" s="30"/>
      <c r="N76" s="1"/>
      <c r="O76" s="1"/>
    </row>
    <row r="77" spans="1:15" x14ac:dyDescent="0.3">
      <c r="A77" s="41">
        <v>45551</v>
      </c>
      <c r="B77" s="10" t="s">
        <v>2232</v>
      </c>
      <c r="C77" s="10" t="s">
        <v>14</v>
      </c>
      <c r="D77" s="30">
        <f t="shared" si="5"/>
        <v>127.27272727272727</v>
      </c>
      <c r="E77" s="30">
        <f t="shared" si="3"/>
        <v>12.727272727272727</v>
      </c>
      <c r="F77" s="30">
        <v>140</v>
      </c>
      <c r="G77" s="30"/>
      <c r="H77" s="13">
        <f t="shared" si="4"/>
        <v>140</v>
      </c>
      <c r="I77" s="1" t="s">
        <v>402</v>
      </c>
      <c r="J77" s="30">
        <v>140</v>
      </c>
      <c r="K77" s="30"/>
      <c r="L77" s="1"/>
      <c r="M77" s="30"/>
      <c r="N77" s="1"/>
      <c r="O77" s="1"/>
    </row>
    <row r="78" spans="1:15" x14ac:dyDescent="0.3">
      <c r="A78" s="41">
        <v>45553</v>
      </c>
      <c r="B78" s="10" t="s">
        <v>2233</v>
      </c>
      <c r="C78" s="10" t="s">
        <v>14</v>
      </c>
      <c r="D78" s="30">
        <f t="shared" si="5"/>
        <v>127.27272727272727</v>
      </c>
      <c r="E78" s="30">
        <f t="shared" si="3"/>
        <v>12.727272727272727</v>
      </c>
      <c r="F78" s="30">
        <v>140</v>
      </c>
      <c r="G78" s="30"/>
      <c r="H78" s="13">
        <f t="shared" si="4"/>
        <v>140</v>
      </c>
      <c r="I78" s="1" t="s">
        <v>402</v>
      </c>
      <c r="J78" s="30">
        <v>140</v>
      </c>
      <c r="K78" s="30"/>
      <c r="L78" s="1"/>
      <c r="M78" s="30"/>
      <c r="N78" s="1"/>
      <c r="O78" s="1"/>
    </row>
    <row r="79" spans="1:15" x14ac:dyDescent="0.3">
      <c r="A79" s="41">
        <v>45554</v>
      </c>
      <c r="B79" s="10" t="s">
        <v>2234</v>
      </c>
      <c r="C79" s="10" t="s">
        <v>14</v>
      </c>
      <c r="D79" s="30">
        <f t="shared" si="5"/>
        <v>231.81818181818181</v>
      </c>
      <c r="E79" s="30">
        <f t="shared" si="3"/>
        <v>23.18181818181818</v>
      </c>
      <c r="F79" s="30">
        <v>255</v>
      </c>
      <c r="G79" s="30">
        <v>50</v>
      </c>
      <c r="H79" s="13">
        <f t="shared" si="4"/>
        <v>205</v>
      </c>
      <c r="I79" s="1" t="s">
        <v>2475</v>
      </c>
      <c r="J79" s="30">
        <v>170</v>
      </c>
      <c r="K79" s="30">
        <v>40</v>
      </c>
      <c r="L79" s="1" t="s">
        <v>223</v>
      </c>
      <c r="M79" s="30">
        <v>45</v>
      </c>
      <c r="N79" s="1" t="s">
        <v>16</v>
      </c>
      <c r="O79" s="1"/>
    </row>
    <row r="80" spans="1:15" x14ac:dyDescent="0.3">
      <c r="A80" s="41">
        <v>45555</v>
      </c>
      <c r="B80" s="10" t="s">
        <v>2235</v>
      </c>
      <c r="C80" s="10" t="s">
        <v>14</v>
      </c>
      <c r="D80" s="30">
        <f t="shared" si="5"/>
        <v>245.45454545454544</v>
      </c>
      <c r="E80" s="30">
        <f t="shared" si="3"/>
        <v>24.545454545454547</v>
      </c>
      <c r="F80" s="30">
        <v>270</v>
      </c>
      <c r="G80" s="30">
        <v>50</v>
      </c>
      <c r="H80" s="13">
        <f t="shared" si="4"/>
        <v>220</v>
      </c>
      <c r="I80" s="1" t="s">
        <v>2499</v>
      </c>
      <c r="J80" s="30">
        <v>270</v>
      </c>
      <c r="K80" s="30"/>
      <c r="L80" s="1"/>
      <c r="M80" s="30"/>
      <c r="N80" s="1"/>
      <c r="O80" s="1"/>
    </row>
    <row r="81" spans="1:15" x14ac:dyDescent="0.3">
      <c r="A81" s="41">
        <v>45555</v>
      </c>
      <c r="B81" s="10" t="s">
        <v>2236</v>
      </c>
      <c r="C81" s="10" t="s">
        <v>14</v>
      </c>
      <c r="D81" s="30">
        <f t="shared" si="5"/>
        <v>199.99999999999997</v>
      </c>
      <c r="E81" s="30">
        <f t="shared" si="3"/>
        <v>19.999999999999996</v>
      </c>
      <c r="F81" s="30">
        <v>220</v>
      </c>
      <c r="G81" s="30">
        <v>50</v>
      </c>
      <c r="H81" s="13">
        <f t="shared" si="4"/>
        <v>170</v>
      </c>
      <c r="I81" s="1" t="s">
        <v>2500</v>
      </c>
      <c r="J81" s="30">
        <v>220</v>
      </c>
      <c r="K81" s="30"/>
      <c r="L81" s="1"/>
      <c r="M81" s="30"/>
      <c r="N81" s="1"/>
      <c r="O81" s="1"/>
    </row>
    <row r="82" spans="1:15" x14ac:dyDescent="0.3">
      <c r="A82" s="41">
        <v>45555</v>
      </c>
      <c r="B82" s="10" t="s">
        <v>2237</v>
      </c>
      <c r="C82" s="10" t="s">
        <v>14</v>
      </c>
      <c r="D82" s="30">
        <f t="shared" si="5"/>
        <v>272.72727272727269</v>
      </c>
      <c r="E82" s="30">
        <f t="shared" si="3"/>
        <v>27.27272727272727</v>
      </c>
      <c r="F82" s="30">
        <v>300</v>
      </c>
      <c r="G82" s="30">
        <v>50</v>
      </c>
      <c r="H82" s="13">
        <f t="shared" si="4"/>
        <v>250</v>
      </c>
      <c r="I82" s="1" t="s">
        <v>2499</v>
      </c>
      <c r="J82" s="30">
        <v>270</v>
      </c>
      <c r="K82" s="30">
        <v>30</v>
      </c>
      <c r="L82" s="1" t="s">
        <v>223</v>
      </c>
      <c r="M82" s="30"/>
      <c r="N82" s="1"/>
      <c r="O82" s="1"/>
    </row>
    <row r="83" spans="1:15" x14ac:dyDescent="0.3">
      <c r="A83" s="41">
        <v>45555</v>
      </c>
      <c r="B83" s="10" t="s">
        <v>2238</v>
      </c>
      <c r="C83" s="10" t="s">
        <v>14</v>
      </c>
      <c r="D83" s="30">
        <f t="shared" si="5"/>
        <v>172.72727272727272</v>
      </c>
      <c r="E83" s="30">
        <f t="shared" si="3"/>
        <v>17.272727272727273</v>
      </c>
      <c r="F83" s="30">
        <v>190</v>
      </c>
      <c r="G83" s="30">
        <v>50</v>
      </c>
      <c r="H83" s="13">
        <f t="shared" si="4"/>
        <v>140</v>
      </c>
      <c r="I83" s="1" t="s">
        <v>2501</v>
      </c>
      <c r="J83" s="30">
        <v>170</v>
      </c>
      <c r="K83" s="30">
        <v>20</v>
      </c>
      <c r="L83" s="1" t="s">
        <v>223</v>
      </c>
      <c r="M83" s="30"/>
      <c r="N83" s="1"/>
      <c r="O83" s="1"/>
    </row>
    <row r="84" spans="1:15" x14ac:dyDescent="0.3">
      <c r="A84" s="41">
        <v>45555</v>
      </c>
      <c r="B84" s="10" t="s">
        <v>2239</v>
      </c>
      <c r="C84" s="10" t="s">
        <v>14</v>
      </c>
      <c r="D84" s="30">
        <f t="shared" si="5"/>
        <v>127.27272727272727</v>
      </c>
      <c r="E84" s="30">
        <f t="shared" si="3"/>
        <v>12.727272727272727</v>
      </c>
      <c r="F84" s="30">
        <v>140</v>
      </c>
      <c r="G84" s="30"/>
      <c r="H84" s="13">
        <f t="shared" si="4"/>
        <v>140</v>
      </c>
      <c r="I84" s="1" t="s">
        <v>402</v>
      </c>
      <c r="J84" s="30">
        <v>140</v>
      </c>
      <c r="K84" s="30"/>
      <c r="L84" s="1"/>
      <c r="M84" s="30"/>
      <c r="N84" s="1"/>
      <c r="O84" s="1"/>
    </row>
    <row r="85" spans="1:15" x14ac:dyDescent="0.3">
      <c r="A85" s="41">
        <v>45556</v>
      </c>
      <c r="B85" s="10" t="s">
        <v>2240</v>
      </c>
      <c r="C85" s="10" t="s">
        <v>14</v>
      </c>
      <c r="D85" s="30">
        <f t="shared" si="5"/>
        <v>272.72727272727269</v>
      </c>
      <c r="E85" s="30">
        <f t="shared" si="3"/>
        <v>27.27272727272727</v>
      </c>
      <c r="F85" s="30">
        <v>300</v>
      </c>
      <c r="G85" s="30">
        <v>50</v>
      </c>
      <c r="H85" s="13">
        <f t="shared" si="4"/>
        <v>250</v>
      </c>
      <c r="I85" s="1" t="s">
        <v>2502</v>
      </c>
      <c r="J85" s="30">
        <v>270</v>
      </c>
      <c r="K85" s="30">
        <v>30</v>
      </c>
      <c r="L85" s="1" t="s">
        <v>223</v>
      </c>
      <c r="M85" s="30"/>
      <c r="N85" s="1"/>
      <c r="O85" s="1"/>
    </row>
    <row r="86" spans="1:15" x14ac:dyDescent="0.3">
      <c r="A86" s="41">
        <v>45556</v>
      </c>
      <c r="B86" s="10" t="s">
        <v>2241</v>
      </c>
      <c r="C86" s="10" t="s">
        <v>14</v>
      </c>
      <c r="D86" s="30">
        <f t="shared" si="5"/>
        <v>313.63636363636363</v>
      </c>
      <c r="E86" s="30">
        <f t="shared" si="3"/>
        <v>31.36363636363636</v>
      </c>
      <c r="F86" s="30">
        <v>345</v>
      </c>
      <c r="G86" s="30">
        <v>50</v>
      </c>
      <c r="H86" s="13">
        <f t="shared" si="4"/>
        <v>295</v>
      </c>
      <c r="I86" s="1" t="s">
        <v>2504</v>
      </c>
      <c r="J86" s="30">
        <v>270</v>
      </c>
      <c r="K86" s="30">
        <v>30</v>
      </c>
      <c r="L86" s="1" t="s">
        <v>223</v>
      </c>
      <c r="M86" s="30">
        <v>45</v>
      </c>
      <c r="N86" s="1" t="s">
        <v>16</v>
      </c>
      <c r="O86" s="1"/>
    </row>
    <row r="87" spans="1:15" x14ac:dyDescent="0.3">
      <c r="A87" s="41">
        <v>45556</v>
      </c>
      <c r="B87" s="10" t="s">
        <v>2242</v>
      </c>
      <c r="C87" s="10" t="s">
        <v>14</v>
      </c>
      <c r="D87" s="30">
        <f t="shared" si="5"/>
        <v>240.90909090909088</v>
      </c>
      <c r="E87" s="30">
        <f t="shared" si="3"/>
        <v>24.09090909090909</v>
      </c>
      <c r="F87" s="30">
        <v>265</v>
      </c>
      <c r="G87" s="30">
        <v>95</v>
      </c>
      <c r="H87" s="13">
        <f t="shared" si="4"/>
        <v>170</v>
      </c>
      <c r="I87" s="1" t="s">
        <v>2505</v>
      </c>
      <c r="J87" s="30">
        <v>220</v>
      </c>
      <c r="K87" s="30"/>
      <c r="L87" s="1"/>
      <c r="M87" s="30">
        <v>45</v>
      </c>
      <c r="N87" s="1" t="s">
        <v>16</v>
      </c>
      <c r="O87" s="1"/>
    </row>
    <row r="88" spans="1:15" x14ac:dyDescent="0.3">
      <c r="A88" s="41">
        <v>45556</v>
      </c>
      <c r="B88" s="10" t="s">
        <v>2243</v>
      </c>
      <c r="C88" s="10" t="s">
        <v>14</v>
      </c>
      <c r="D88" s="30">
        <f t="shared" si="5"/>
        <v>245.45454545454544</v>
      </c>
      <c r="E88" s="30">
        <f t="shared" si="3"/>
        <v>24.545454545454547</v>
      </c>
      <c r="F88" s="30">
        <v>270</v>
      </c>
      <c r="G88" s="30">
        <v>50</v>
      </c>
      <c r="H88" s="13">
        <f t="shared" si="4"/>
        <v>220</v>
      </c>
      <c r="I88" s="1" t="s">
        <v>2503</v>
      </c>
      <c r="J88" s="30">
        <v>270</v>
      </c>
      <c r="K88" s="30"/>
      <c r="L88" s="1"/>
      <c r="M88" s="30"/>
      <c r="N88" s="1"/>
      <c r="O88" s="1"/>
    </row>
    <row r="89" spans="1:15" x14ac:dyDescent="0.3">
      <c r="A89" s="41">
        <v>45556</v>
      </c>
      <c r="B89" s="10" t="s">
        <v>2244</v>
      </c>
      <c r="C89" s="10" t="s">
        <v>14</v>
      </c>
      <c r="D89" s="30">
        <f t="shared" si="5"/>
        <v>254.54545454545453</v>
      </c>
      <c r="E89" s="30">
        <f t="shared" si="3"/>
        <v>25.454545454545453</v>
      </c>
      <c r="F89" s="30">
        <v>280</v>
      </c>
      <c r="G89" s="30">
        <v>50</v>
      </c>
      <c r="H89" s="13">
        <f t="shared" si="4"/>
        <v>230</v>
      </c>
      <c r="I89" s="1" t="s">
        <v>2506</v>
      </c>
      <c r="J89" s="30">
        <v>220</v>
      </c>
      <c r="K89" s="30">
        <v>60</v>
      </c>
      <c r="L89" s="1" t="s">
        <v>223</v>
      </c>
      <c r="M89" s="30"/>
      <c r="N89" s="1"/>
      <c r="O89" s="1"/>
    </row>
    <row r="90" spans="1:15" x14ac:dyDescent="0.3">
      <c r="A90" s="41">
        <v>45556</v>
      </c>
      <c r="B90" s="10" t="s">
        <v>2245</v>
      </c>
      <c r="C90" s="10" t="s">
        <v>14</v>
      </c>
      <c r="D90" s="30">
        <f t="shared" si="5"/>
        <v>199.99999999999997</v>
      </c>
      <c r="E90" s="30">
        <f t="shared" si="3"/>
        <v>19.999999999999996</v>
      </c>
      <c r="F90" s="30">
        <v>220</v>
      </c>
      <c r="G90" s="30">
        <v>50</v>
      </c>
      <c r="H90" s="13">
        <f t="shared" si="4"/>
        <v>170</v>
      </c>
      <c r="I90" s="1" t="s">
        <v>2507</v>
      </c>
      <c r="J90" s="30">
        <v>220</v>
      </c>
      <c r="K90" s="30"/>
      <c r="L90" s="1"/>
      <c r="M90" s="30"/>
      <c r="N90" s="1"/>
      <c r="O90" s="1"/>
    </row>
    <row r="91" spans="1:15" x14ac:dyDescent="0.3">
      <c r="A91" s="41">
        <v>45556</v>
      </c>
      <c r="B91" s="10" t="s">
        <v>2246</v>
      </c>
      <c r="C91" s="10" t="s">
        <v>14</v>
      </c>
      <c r="D91" s="30">
        <f t="shared" si="5"/>
        <v>218.18181818181816</v>
      </c>
      <c r="E91" s="30">
        <f t="shared" si="3"/>
        <v>21.818181818181817</v>
      </c>
      <c r="F91" s="30">
        <v>240</v>
      </c>
      <c r="G91" s="30">
        <v>50</v>
      </c>
      <c r="H91" s="13">
        <f t="shared" si="4"/>
        <v>190</v>
      </c>
      <c r="I91" s="1" t="s">
        <v>2508</v>
      </c>
      <c r="J91" s="30">
        <v>220</v>
      </c>
      <c r="K91" s="30">
        <v>20</v>
      </c>
      <c r="L91" s="1" t="s">
        <v>223</v>
      </c>
      <c r="M91" s="30"/>
      <c r="N91" s="1"/>
      <c r="O91" s="1"/>
    </row>
    <row r="92" spans="1:15" x14ac:dyDescent="0.3">
      <c r="A92" s="41">
        <v>45556</v>
      </c>
      <c r="B92" s="10" t="s">
        <v>2247</v>
      </c>
      <c r="C92" s="10" t="s">
        <v>14</v>
      </c>
      <c r="D92" s="30">
        <f t="shared" si="5"/>
        <v>199.99999999999997</v>
      </c>
      <c r="E92" s="30">
        <f t="shared" si="3"/>
        <v>19.999999999999996</v>
      </c>
      <c r="F92" s="30">
        <v>220</v>
      </c>
      <c r="G92" s="30">
        <v>50</v>
      </c>
      <c r="H92" s="13">
        <f t="shared" si="4"/>
        <v>170</v>
      </c>
      <c r="I92" s="1" t="s">
        <v>1357</v>
      </c>
      <c r="J92" s="30">
        <v>220</v>
      </c>
      <c r="K92" s="30"/>
      <c r="L92" s="1"/>
      <c r="M92" s="30"/>
      <c r="N92" s="1"/>
      <c r="O92" s="1"/>
    </row>
    <row r="93" spans="1:15" x14ac:dyDescent="0.3">
      <c r="A93" s="41">
        <v>45556</v>
      </c>
      <c r="B93" s="10" t="s">
        <v>2248</v>
      </c>
      <c r="C93" s="10" t="s">
        <v>14</v>
      </c>
      <c r="D93" s="30">
        <f t="shared" si="5"/>
        <v>190.90909090909091</v>
      </c>
      <c r="E93" s="30">
        <f t="shared" si="3"/>
        <v>19.09090909090909</v>
      </c>
      <c r="F93" s="30">
        <v>210</v>
      </c>
      <c r="G93" s="30">
        <v>50</v>
      </c>
      <c r="H93" s="13">
        <f t="shared" si="4"/>
        <v>160</v>
      </c>
      <c r="I93" s="1" t="s">
        <v>1357</v>
      </c>
      <c r="J93" s="30">
        <v>170</v>
      </c>
      <c r="K93" s="30">
        <v>40</v>
      </c>
      <c r="L93" s="1" t="s">
        <v>223</v>
      </c>
      <c r="M93" s="30"/>
      <c r="N93" s="1"/>
      <c r="O93" s="1"/>
    </row>
    <row r="94" spans="1:15" x14ac:dyDescent="0.3">
      <c r="A94" s="41">
        <v>45556</v>
      </c>
      <c r="B94" s="10" t="s">
        <v>2249</v>
      </c>
      <c r="C94" s="10" t="s">
        <v>14</v>
      </c>
      <c r="D94" s="30">
        <f t="shared" si="5"/>
        <v>118.18181818181817</v>
      </c>
      <c r="E94" s="30">
        <f t="shared" si="3"/>
        <v>11.818181818181818</v>
      </c>
      <c r="F94" s="30">
        <v>130</v>
      </c>
      <c r="G94" s="30"/>
      <c r="H94" s="13">
        <f t="shared" si="4"/>
        <v>130</v>
      </c>
      <c r="I94" s="1" t="s">
        <v>403</v>
      </c>
      <c r="J94" s="30">
        <v>130</v>
      </c>
      <c r="K94" s="30"/>
      <c r="L94" s="1"/>
      <c r="M94" s="30"/>
      <c r="N94" s="1"/>
      <c r="O94" s="1"/>
    </row>
    <row r="95" spans="1:15" x14ac:dyDescent="0.3">
      <c r="A95" s="41">
        <v>45556</v>
      </c>
      <c r="B95" s="10" t="s">
        <v>2250</v>
      </c>
      <c r="C95" s="10" t="s">
        <v>14</v>
      </c>
      <c r="D95" s="30">
        <f t="shared" si="5"/>
        <v>145.45454545454544</v>
      </c>
      <c r="E95" s="30">
        <f t="shared" si="3"/>
        <v>14.545454545454545</v>
      </c>
      <c r="F95" s="30">
        <v>160</v>
      </c>
      <c r="G95" s="30"/>
      <c r="H95" s="13">
        <f t="shared" si="4"/>
        <v>160</v>
      </c>
      <c r="I95" s="1" t="s">
        <v>402</v>
      </c>
      <c r="J95" s="30">
        <v>160</v>
      </c>
      <c r="K95" s="30"/>
      <c r="L95" s="1"/>
      <c r="M95" s="30"/>
      <c r="N95" s="1"/>
      <c r="O95" s="1"/>
    </row>
    <row r="96" spans="1:15" x14ac:dyDescent="0.3">
      <c r="A96" s="41">
        <v>45556</v>
      </c>
      <c r="B96" s="10" t="s">
        <v>2251</v>
      </c>
      <c r="C96" s="10" t="s">
        <v>14</v>
      </c>
      <c r="D96" s="30">
        <f t="shared" si="5"/>
        <v>154.54545454545453</v>
      </c>
      <c r="E96" s="30">
        <f t="shared" si="3"/>
        <v>15.454545454545453</v>
      </c>
      <c r="F96" s="30">
        <v>170</v>
      </c>
      <c r="G96" s="30">
        <v>50</v>
      </c>
      <c r="H96" s="13">
        <f t="shared" si="4"/>
        <v>120</v>
      </c>
      <c r="I96" s="1" t="s">
        <v>2509</v>
      </c>
      <c r="J96" s="30">
        <v>170</v>
      </c>
      <c r="K96" s="30"/>
      <c r="L96" s="1"/>
      <c r="M96" s="30"/>
      <c r="N96" s="1"/>
      <c r="O96" s="1"/>
    </row>
    <row r="97" spans="1:15" x14ac:dyDescent="0.3">
      <c r="A97" s="41">
        <v>45556</v>
      </c>
      <c r="B97" s="10" t="s">
        <v>2252</v>
      </c>
      <c r="C97" s="10" t="s">
        <v>14</v>
      </c>
      <c r="D97" s="30">
        <f t="shared" si="5"/>
        <v>154.54545454545453</v>
      </c>
      <c r="E97" s="30">
        <f t="shared" si="3"/>
        <v>15.454545454545453</v>
      </c>
      <c r="F97" s="30">
        <v>170</v>
      </c>
      <c r="G97" s="30">
        <v>50</v>
      </c>
      <c r="H97" s="13">
        <f t="shared" si="4"/>
        <v>120</v>
      </c>
      <c r="I97" s="1" t="s">
        <v>2510</v>
      </c>
      <c r="J97" s="30">
        <v>170</v>
      </c>
      <c r="K97" s="30"/>
      <c r="L97" s="1"/>
      <c r="M97" s="30"/>
      <c r="N97" s="1"/>
      <c r="O97" s="1"/>
    </row>
    <row r="98" spans="1:15" x14ac:dyDescent="0.3">
      <c r="A98" s="41">
        <v>45556</v>
      </c>
      <c r="B98" s="10" t="s">
        <v>2253</v>
      </c>
      <c r="C98" s="10" t="s">
        <v>14</v>
      </c>
      <c r="D98" s="30">
        <f t="shared" si="5"/>
        <v>127.27272727272727</v>
      </c>
      <c r="E98" s="30">
        <f t="shared" si="3"/>
        <v>12.727272727272727</v>
      </c>
      <c r="F98" s="30">
        <v>140</v>
      </c>
      <c r="G98" s="30"/>
      <c r="H98" s="13">
        <f t="shared" si="4"/>
        <v>140</v>
      </c>
      <c r="I98" s="1" t="s">
        <v>2511</v>
      </c>
      <c r="J98" s="30">
        <v>140</v>
      </c>
      <c r="K98" s="30"/>
      <c r="L98" s="1"/>
      <c r="M98" s="30"/>
      <c r="N98" s="1"/>
      <c r="O98" s="1"/>
    </row>
    <row r="99" spans="1:15" x14ac:dyDescent="0.3">
      <c r="A99" s="41">
        <v>45556</v>
      </c>
      <c r="B99" s="10" t="s">
        <v>2254</v>
      </c>
      <c r="C99" s="10" t="s">
        <v>14</v>
      </c>
      <c r="D99" s="30">
        <f t="shared" si="5"/>
        <v>181.81818181818181</v>
      </c>
      <c r="E99" s="30">
        <f t="shared" si="3"/>
        <v>18.18181818181818</v>
      </c>
      <c r="F99" s="30">
        <v>200</v>
      </c>
      <c r="G99" s="30">
        <v>50</v>
      </c>
      <c r="H99" s="13">
        <f t="shared" si="4"/>
        <v>150</v>
      </c>
      <c r="I99" s="1" t="s">
        <v>2512</v>
      </c>
      <c r="J99" s="30">
        <v>170</v>
      </c>
      <c r="K99" s="30">
        <v>30</v>
      </c>
      <c r="L99" s="1" t="s">
        <v>223</v>
      </c>
      <c r="M99" s="30"/>
      <c r="N99" s="1"/>
      <c r="O99" s="1"/>
    </row>
    <row r="100" spans="1:15" x14ac:dyDescent="0.3">
      <c r="A100" s="41">
        <v>45556</v>
      </c>
      <c r="B100" s="10" t="s">
        <v>2255</v>
      </c>
      <c r="C100" s="10" t="s">
        <v>14</v>
      </c>
      <c r="D100" s="30">
        <f t="shared" si="5"/>
        <v>181.81818181818181</v>
      </c>
      <c r="E100" s="30">
        <f t="shared" si="3"/>
        <v>18.18181818181818</v>
      </c>
      <c r="F100" s="30">
        <v>200</v>
      </c>
      <c r="G100" s="30">
        <v>50</v>
      </c>
      <c r="H100" s="13">
        <f t="shared" si="4"/>
        <v>150</v>
      </c>
      <c r="I100" s="1" t="s">
        <v>2513</v>
      </c>
      <c r="J100" s="30">
        <v>170</v>
      </c>
      <c r="K100" s="30">
        <v>30</v>
      </c>
      <c r="L100" s="1" t="s">
        <v>223</v>
      </c>
      <c r="M100" s="30"/>
      <c r="N100" s="1"/>
      <c r="O100" s="1"/>
    </row>
    <row r="101" spans="1:15" x14ac:dyDescent="0.3">
      <c r="A101" s="41">
        <v>45556</v>
      </c>
      <c r="B101" s="10" t="s">
        <v>2256</v>
      </c>
      <c r="C101" s="10" t="s">
        <v>14</v>
      </c>
      <c r="D101" s="30">
        <f t="shared" si="5"/>
        <v>181.81818181818181</v>
      </c>
      <c r="E101" s="30">
        <f t="shared" si="3"/>
        <v>18.18181818181818</v>
      </c>
      <c r="F101" s="30">
        <v>200</v>
      </c>
      <c r="G101" s="30">
        <v>50</v>
      </c>
      <c r="H101" s="13">
        <f t="shared" si="4"/>
        <v>150</v>
      </c>
      <c r="I101" s="1" t="s">
        <v>2514</v>
      </c>
      <c r="J101" s="30">
        <v>170</v>
      </c>
      <c r="K101" s="30">
        <v>30</v>
      </c>
      <c r="L101" s="1" t="s">
        <v>223</v>
      </c>
      <c r="M101" s="30"/>
      <c r="N101" s="1"/>
      <c r="O101" s="1"/>
    </row>
    <row r="102" spans="1:15" x14ac:dyDescent="0.3">
      <c r="A102" s="41">
        <v>45556</v>
      </c>
      <c r="B102" s="10" t="s">
        <v>2257</v>
      </c>
      <c r="C102" s="10" t="s">
        <v>14</v>
      </c>
      <c r="D102" s="30">
        <f t="shared" si="5"/>
        <v>127.27272727272727</v>
      </c>
      <c r="E102" s="30">
        <f t="shared" si="3"/>
        <v>12.727272727272727</v>
      </c>
      <c r="F102" s="30">
        <v>140</v>
      </c>
      <c r="G102" s="30"/>
      <c r="H102" s="13">
        <f t="shared" si="4"/>
        <v>140</v>
      </c>
      <c r="I102" s="1" t="s">
        <v>2515</v>
      </c>
      <c r="J102" s="30">
        <v>140</v>
      </c>
      <c r="K102" s="30"/>
      <c r="L102" s="1"/>
      <c r="M102" s="30"/>
      <c r="N102" s="1"/>
      <c r="O102" s="1"/>
    </row>
    <row r="103" spans="1:15" x14ac:dyDescent="0.3">
      <c r="A103" s="41">
        <v>45556</v>
      </c>
      <c r="B103" s="10" t="s">
        <v>2258</v>
      </c>
      <c r="C103" s="10" t="s">
        <v>14</v>
      </c>
      <c r="D103" s="30">
        <f t="shared" si="5"/>
        <v>127.27272727272727</v>
      </c>
      <c r="E103" s="30">
        <f t="shared" si="3"/>
        <v>12.727272727272727</v>
      </c>
      <c r="F103" s="30">
        <v>140</v>
      </c>
      <c r="G103" s="30"/>
      <c r="H103" s="13">
        <f t="shared" si="4"/>
        <v>140</v>
      </c>
      <c r="I103" s="1" t="s">
        <v>402</v>
      </c>
      <c r="J103" s="30">
        <v>140</v>
      </c>
      <c r="K103" s="30"/>
      <c r="L103" s="1"/>
      <c r="M103" s="30"/>
      <c r="N103" s="1"/>
      <c r="O103" s="1"/>
    </row>
    <row r="104" spans="1:15" x14ac:dyDescent="0.3">
      <c r="A104" s="41">
        <v>45556</v>
      </c>
      <c r="B104" s="10" t="s">
        <v>2259</v>
      </c>
      <c r="C104" s="10" t="s">
        <v>14</v>
      </c>
      <c r="D104" s="30">
        <f t="shared" si="5"/>
        <v>154.54545454545453</v>
      </c>
      <c r="E104" s="30">
        <f t="shared" si="3"/>
        <v>15.454545454545453</v>
      </c>
      <c r="F104" s="30">
        <v>170</v>
      </c>
      <c r="G104" s="30">
        <v>50</v>
      </c>
      <c r="H104" s="13">
        <f t="shared" si="4"/>
        <v>120</v>
      </c>
      <c r="I104" s="1" t="s">
        <v>2516</v>
      </c>
      <c r="J104" s="30">
        <v>170</v>
      </c>
      <c r="K104" s="30"/>
      <c r="L104" s="1"/>
      <c r="M104" s="30"/>
      <c r="N104" s="1"/>
      <c r="O104" s="1"/>
    </row>
    <row r="105" spans="1:15" x14ac:dyDescent="0.3">
      <c r="A105" s="41">
        <v>45556</v>
      </c>
      <c r="B105" s="10" t="s">
        <v>2260</v>
      </c>
      <c r="C105" s="10" t="s">
        <v>14</v>
      </c>
      <c r="D105" s="30">
        <f t="shared" si="5"/>
        <v>236.36363636363635</v>
      </c>
      <c r="E105" s="30">
        <f t="shared" si="3"/>
        <v>23.636363636363637</v>
      </c>
      <c r="F105" s="30">
        <v>260</v>
      </c>
      <c r="G105" s="30">
        <v>50</v>
      </c>
      <c r="H105" s="13">
        <f t="shared" si="4"/>
        <v>210</v>
      </c>
      <c r="I105" s="1" t="s">
        <v>2517</v>
      </c>
      <c r="J105" s="30">
        <v>220</v>
      </c>
      <c r="K105" s="30">
        <v>40</v>
      </c>
      <c r="L105" s="1" t="s">
        <v>223</v>
      </c>
      <c r="M105" s="30"/>
      <c r="N105" s="1"/>
      <c r="O105" s="1"/>
    </row>
    <row r="106" spans="1:15" x14ac:dyDescent="0.3">
      <c r="A106" s="41">
        <v>45556</v>
      </c>
      <c r="B106" s="10" t="s">
        <v>2261</v>
      </c>
      <c r="C106" s="10" t="s">
        <v>14</v>
      </c>
      <c r="D106" s="30">
        <f t="shared" si="5"/>
        <v>181.81818181818181</v>
      </c>
      <c r="E106" s="30">
        <f t="shared" si="3"/>
        <v>18.18181818181818</v>
      </c>
      <c r="F106" s="30">
        <v>200</v>
      </c>
      <c r="G106" s="30"/>
      <c r="H106" s="13">
        <f t="shared" si="4"/>
        <v>200</v>
      </c>
      <c r="I106" s="1" t="s">
        <v>402</v>
      </c>
      <c r="J106" s="30">
        <v>200</v>
      </c>
      <c r="K106" s="30"/>
      <c r="L106" s="1"/>
      <c r="M106" s="30"/>
      <c r="N106" s="1"/>
      <c r="O106" s="1"/>
    </row>
    <row r="107" spans="1:15" x14ac:dyDescent="0.3">
      <c r="A107" s="41">
        <v>45556</v>
      </c>
      <c r="B107" s="10" t="s">
        <v>2262</v>
      </c>
      <c r="C107" s="10" t="s">
        <v>14</v>
      </c>
      <c r="D107" s="30">
        <f t="shared" si="5"/>
        <v>281.81818181818181</v>
      </c>
      <c r="E107" s="30">
        <f t="shared" si="3"/>
        <v>28.18181818181818</v>
      </c>
      <c r="F107" s="30">
        <v>310</v>
      </c>
      <c r="G107" s="30">
        <v>50</v>
      </c>
      <c r="H107" s="13">
        <f t="shared" si="4"/>
        <v>260</v>
      </c>
      <c r="I107" s="1" t="s">
        <v>2518</v>
      </c>
      <c r="J107" s="30">
        <v>270</v>
      </c>
      <c r="K107" s="30">
        <v>40</v>
      </c>
      <c r="L107" s="1" t="s">
        <v>223</v>
      </c>
      <c r="M107" s="30"/>
      <c r="N107" s="1"/>
      <c r="O107" s="1"/>
    </row>
    <row r="108" spans="1:15" x14ac:dyDescent="0.3">
      <c r="A108" s="41">
        <v>45556</v>
      </c>
      <c r="B108" s="10" t="s">
        <v>2263</v>
      </c>
      <c r="C108" s="10" t="s">
        <v>14</v>
      </c>
      <c r="D108" s="30">
        <f t="shared" si="5"/>
        <v>190.90909090909091</v>
      </c>
      <c r="E108" s="30">
        <f t="shared" si="3"/>
        <v>19.09090909090909</v>
      </c>
      <c r="F108" s="30">
        <v>210</v>
      </c>
      <c r="G108" s="30"/>
      <c r="H108" s="13">
        <f t="shared" si="4"/>
        <v>210</v>
      </c>
      <c r="I108" s="1" t="s">
        <v>721</v>
      </c>
      <c r="J108" s="30">
        <v>210</v>
      </c>
      <c r="K108" s="30"/>
      <c r="L108" s="1"/>
      <c r="M108" s="30"/>
      <c r="N108" s="1"/>
      <c r="O108" s="1"/>
    </row>
    <row r="109" spans="1:15" x14ac:dyDescent="0.3">
      <c r="A109" s="41">
        <v>45556</v>
      </c>
      <c r="B109" s="10" t="s">
        <v>2264</v>
      </c>
      <c r="C109" s="10" t="s">
        <v>14</v>
      </c>
      <c r="D109" s="30">
        <f t="shared" si="5"/>
        <v>281.81818181818181</v>
      </c>
      <c r="E109" s="30">
        <f t="shared" si="3"/>
        <v>28.18181818181818</v>
      </c>
      <c r="F109" s="30">
        <v>310</v>
      </c>
      <c r="G109" s="30">
        <v>50</v>
      </c>
      <c r="H109" s="13">
        <f t="shared" si="4"/>
        <v>260</v>
      </c>
      <c r="I109" s="1" t="s">
        <v>2519</v>
      </c>
      <c r="J109" s="30">
        <v>270</v>
      </c>
      <c r="K109" s="30">
        <v>40</v>
      </c>
      <c r="L109" s="1" t="s">
        <v>223</v>
      </c>
      <c r="M109" s="30"/>
      <c r="N109" s="1"/>
      <c r="O109" s="1"/>
    </row>
    <row r="110" spans="1:15" x14ac:dyDescent="0.3">
      <c r="A110" s="41">
        <v>45556</v>
      </c>
      <c r="B110" s="10" t="s">
        <v>2265</v>
      </c>
      <c r="C110" s="10" t="s">
        <v>14</v>
      </c>
      <c r="D110" s="30">
        <f t="shared" si="5"/>
        <v>199.99999999999997</v>
      </c>
      <c r="E110" s="30">
        <f t="shared" si="3"/>
        <v>19.999999999999996</v>
      </c>
      <c r="F110" s="30">
        <v>220</v>
      </c>
      <c r="G110" s="30">
        <v>50</v>
      </c>
      <c r="H110" s="13">
        <f t="shared" si="4"/>
        <v>170</v>
      </c>
      <c r="I110" s="1" t="s">
        <v>2520</v>
      </c>
      <c r="J110" s="30">
        <v>220</v>
      </c>
      <c r="K110" s="30"/>
      <c r="L110" s="1"/>
      <c r="M110" s="30"/>
      <c r="N110" s="1"/>
      <c r="O110" s="1"/>
    </row>
    <row r="111" spans="1:15" x14ac:dyDescent="0.3">
      <c r="A111" s="41">
        <v>45558</v>
      </c>
      <c r="B111" s="10" t="s">
        <v>2266</v>
      </c>
      <c r="C111" s="10" t="s">
        <v>14</v>
      </c>
      <c r="D111" s="30">
        <f t="shared" si="5"/>
        <v>199.99999999999997</v>
      </c>
      <c r="E111" s="30">
        <f t="shared" si="3"/>
        <v>19.999999999999996</v>
      </c>
      <c r="F111" s="30">
        <v>220</v>
      </c>
      <c r="G111" s="30">
        <v>50</v>
      </c>
      <c r="H111" s="13">
        <f t="shared" si="4"/>
        <v>170</v>
      </c>
      <c r="I111" s="1" t="s">
        <v>2521</v>
      </c>
      <c r="J111" s="30">
        <v>220</v>
      </c>
      <c r="K111" s="30"/>
      <c r="L111" s="1"/>
      <c r="M111" s="30"/>
      <c r="N111" s="1"/>
      <c r="O111" s="1"/>
    </row>
    <row r="112" spans="1:15" x14ac:dyDescent="0.3">
      <c r="A112" s="41">
        <v>45559</v>
      </c>
      <c r="B112" s="10" t="s">
        <v>2267</v>
      </c>
      <c r="C112" s="10" t="s">
        <v>14</v>
      </c>
      <c r="D112" s="30">
        <f t="shared" si="5"/>
        <v>163.63636363636363</v>
      </c>
      <c r="E112" s="30">
        <f t="shared" si="3"/>
        <v>16.363636363636363</v>
      </c>
      <c r="F112" s="30">
        <v>180</v>
      </c>
      <c r="G112" s="30"/>
      <c r="H112" s="13">
        <f t="shared" si="4"/>
        <v>180</v>
      </c>
      <c r="I112" s="1" t="s">
        <v>402</v>
      </c>
      <c r="J112" s="30">
        <v>180</v>
      </c>
      <c r="K112" s="30"/>
      <c r="L112" s="1"/>
      <c r="M112" s="30"/>
      <c r="N112" s="1"/>
      <c r="O112" s="1"/>
    </row>
    <row r="113" spans="1:15" x14ac:dyDescent="0.3">
      <c r="A113" s="41">
        <v>45560</v>
      </c>
      <c r="B113" s="10" t="s">
        <v>2268</v>
      </c>
      <c r="C113" s="10" t="s">
        <v>14</v>
      </c>
      <c r="D113" s="30">
        <f t="shared" si="5"/>
        <v>172.72727272727272</v>
      </c>
      <c r="E113" s="30">
        <f t="shared" si="3"/>
        <v>17.272727272727273</v>
      </c>
      <c r="F113" s="30">
        <v>190</v>
      </c>
      <c r="G113" s="30">
        <v>50</v>
      </c>
      <c r="H113" s="13">
        <f t="shared" si="4"/>
        <v>140</v>
      </c>
      <c r="I113" s="1" t="s">
        <v>2522</v>
      </c>
      <c r="J113" s="30">
        <v>170</v>
      </c>
      <c r="K113" s="30">
        <v>20</v>
      </c>
      <c r="L113" s="1" t="s">
        <v>223</v>
      </c>
      <c r="M113" s="30"/>
      <c r="N113" s="1"/>
      <c r="O113" s="1"/>
    </row>
    <row r="114" spans="1:15" x14ac:dyDescent="0.3">
      <c r="A114" s="41">
        <v>45560</v>
      </c>
      <c r="B114" s="10" t="s">
        <v>2269</v>
      </c>
      <c r="C114" s="10" t="s">
        <v>14</v>
      </c>
      <c r="D114" s="30">
        <f t="shared" si="5"/>
        <v>209.09090909090907</v>
      </c>
      <c r="E114" s="30">
        <f t="shared" si="3"/>
        <v>20.909090909090907</v>
      </c>
      <c r="F114" s="30">
        <v>230</v>
      </c>
      <c r="G114" s="30">
        <v>50</v>
      </c>
      <c r="H114" s="13">
        <f t="shared" si="4"/>
        <v>180</v>
      </c>
      <c r="I114" s="1" t="s">
        <v>2523</v>
      </c>
      <c r="J114" s="30">
        <v>170</v>
      </c>
      <c r="K114" s="30">
        <v>60</v>
      </c>
      <c r="L114" s="1" t="s">
        <v>223</v>
      </c>
      <c r="M114" s="30"/>
      <c r="N114" s="1"/>
      <c r="O114" s="1"/>
    </row>
    <row r="115" spans="1:15" x14ac:dyDescent="0.3">
      <c r="A115" s="41">
        <v>45561</v>
      </c>
      <c r="B115" s="10" t="s">
        <v>2270</v>
      </c>
      <c r="C115" s="10" t="s">
        <v>14</v>
      </c>
      <c r="D115" s="30">
        <f t="shared" si="5"/>
        <v>309.09090909090907</v>
      </c>
      <c r="E115" s="30">
        <f t="shared" si="3"/>
        <v>30.909090909090907</v>
      </c>
      <c r="F115" s="30">
        <v>340</v>
      </c>
      <c r="G115" s="30">
        <v>340</v>
      </c>
      <c r="H115" s="13">
        <f t="shared" si="4"/>
        <v>0</v>
      </c>
      <c r="I115" s="1" t="s">
        <v>2524</v>
      </c>
      <c r="J115" s="30">
        <v>340</v>
      </c>
      <c r="K115" s="30"/>
      <c r="L115" s="1"/>
      <c r="M115" s="30"/>
      <c r="N115" s="1"/>
      <c r="O115" s="1"/>
    </row>
    <row r="116" spans="1:15" x14ac:dyDescent="0.3">
      <c r="A116" s="41">
        <v>45561</v>
      </c>
      <c r="B116" s="10" t="s">
        <v>2271</v>
      </c>
      <c r="C116" s="10" t="s">
        <v>14</v>
      </c>
      <c r="D116" s="30">
        <f t="shared" si="5"/>
        <v>327.27272727272725</v>
      </c>
      <c r="E116" s="30">
        <f t="shared" si="3"/>
        <v>32.727272727272727</v>
      </c>
      <c r="F116" s="30">
        <v>360</v>
      </c>
      <c r="G116" s="30">
        <v>360</v>
      </c>
      <c r="H116" s="13">
        <f t="shared" si="4"/>
        <v>0</v>
      </c>
      <c r="I116" s="1" t="s">
        <v>2525</v>
      </c>
      <c r="J116" s="30">
        <v>360</v>
      </c>
      <c r="K116" s="30"/>
      <c r="L116" s="1"/>
      <c r="M116" s="30"/>
      <c r="N116" s="1"/>
      <c r="O116" s="1"/>
    </row>
    <row r="117" spans="1:15" x14ac:dyDescent="0.3">
      <c r="A117" s="41">
        <v>45561</v>
      </c>
      <c r="B117" s="10" t="s">
        <v>2272</v>
      </c>
      <c r="C117" s="10" t="s">
        <v>14</v>
      </c>
      <c r="D117" s="30">
        <f t="shared" si="5"/>
        <v>190.90909090909091</v>
      </c>
      <c r="E117" s="30">
        <f t="shared" si="3"/>
        <v>19.09090909090909</v>
      </c>
      <c r="F117" s="30">
        <v>210</v>
      </c>
      <c r="G117" s="30">
        <v>50</v>
      </c>
      <c r="H117" s="13">
        <f t="shared" si="4"/>
        <v>160</v>
      </c>
      <c r="I117" s="1" t="s">
        <v>2526</v>
      </c>
      <c r="J117" s="30">
        <v>170</v>
      </c>
      <c r="K117" s="30">
        <v>30</v>
      </c>
      <c r="L117" s="1" t="s">
        <v>223</v>
      </c>
      <c r="M117" s="30"/>
      <c r="N117" s="1"/>
      <c r="O117" s="1"/>
    </row>
    <row r="118" spans="1:15" x14ac:dyDescent="0.3">
      <c r="A118" s="41">
        <v>45562</v>
      </c>
      <c r="B118" s="10" t="s">
        <v>2273</v>
      </c>
      <c r="C118" s="10" t="s">
        <v>14</v>
      </c>
      <c r="D118" s="30">
        <f t="shared" si="5"/>
        <v>163.63636363636363</v>
      </c>
      <c r="E118" s="30">
        <f t="shared" si="3"/>
        <v>16.363636363636363</v>
      </c>
      <c r="F118" s="30">
        <v>180</v>
      </c>
      <c r="G118" s="30"/>
      <c r="H118" s="13">
        <f t="shared" si="4"/>
        <v>180</v>
      </c>
      <c r="I118" s="1" t="s">
        <v>402</v>
      </c>
      <c r="J118" s="30">
        <v>180</v>
      </c>
      <c r="K118" s="30"/>
      <c r="L118" s="1"/>
      <c r="M118" s="30"/>
      <c r="N118" s="1"/>
      <c r="O118" s="1"/>
    </row>
    <row r="119" spans="1:15" x14ac:dyDescent="0.3">
      <c r="A119" s="41">
        <v>45562</v>
      </c>
      <c r="B119" s="10" t="s">
        <v>2274</v>
      </c>
      <c r="C119" s="10" t="s">
        <v>14</v>
      </c>
      <c r="D119" s="30">
        <f t="shared" si="5"/>
        <v>199.99999999999997</v>
      </c>
      <c r="E119" s="30">
        <f t="shared" si="3"/>
        <v>19.999999999999996</v>
      </c>
      <c r="F119" s="30">
        <v>220</v>
      </c>
      <c r="G119" s="30"/>
      <c r="H119" s="13">
        <f t="shared" si="4"/>
        <v>220</v>
      </c>
      <c r="I119" s="1" t="s">
        <v>2527</v>
      </c>
      <c r="J119" s="30">
        <v>220</v>
      </c>
      <c r="K119" s="30"/>
      <c r="L119" s="1"/>
      <c r="M119" s="30"/>
      <c r="N119" s="1"/>
      <c r="O119" s="1"/>
    </row>
    <row r="120" spans="1:15" x14ac:dyDescent="0.3">
      <c r="A120" s="41">
        <v>45562</v>
      </c>
      <c r="B120" s="10" t="s">
        <v>2275</v>
      </c>
      <c r="C120" s="10" t="s">
        <v>14</v>
      </c>
      <c r="D120" s="30">
        <f t="shared" si="5"/>
        <v>236.36363636363635</v>
      </c>
      <c r="E120" s="30">
        <f t="shared" si="3"/>
        <v>23.636363636363637</v>
      </c>
      <c r="F120" s="30">
        <v>260</v>
      </c>
      <c r="G120" s="30">
        <v>260</v>
      </c>
      <c r="H120" s="13">
        <f t="shared" si="4"/>
        <v>0</v>
      </c>
      <c r="I120" s="1" t="s">
        <v>2528</v>
      </c>
      <c r="J120" s="30">
        <v>260</v>
      </c>
      <c r="K120" s="30"/>
      <c r="L120" s="1"/>
      <c r="M120" s="30"/>
      <c r="N120" s="1"/>
      <c r="O120" s="1"/>
    </row>
    <row r="121" spans="1:15" x14ac:dyDescent="0.3">
      <c r="A121" s="41">
        <v>45562</v>
      </c>
      <c r="B121" s="10" t="s">
        <v>2276</v>
      </c>
      <c r="C121" s="10" t="s">
        <v>14</v>
      </c>
      <c r="D121" s="30">
        <f t="shared" si="5"/>
        <v>199.99999999999997</v>
      </c>
      <c r="E121" s="30">
        <f t="shared" si="3"/>
        <v>19.999999999999996</v>
      </c>
      <c r="F121" s="30">
        <v>220</v>
      </c>
      <c r="G121" s="30"/>
      <c r="H121" s="13">
        <f t="shared" si="4"/>
        <v>220</v>
      </c>
      <c r="I121" s="1" t="s">
        <v>2529</v>
      </c>
      <c r="J121" s="30">
        <v>220</v>
      </c>
      <c r="K121" s="30"/>
      <c r="L121" s="1"/>
      <c r="M121" s="30"/>
      <c r="N121" s="1"/>
      <c r="O121" s="1"/>
    </row>
    <row r="122" spans="1:15" x14ac:dyDescent="0.3">
      <c r="A122" s="41">
        <v>45562</v>
      </c>
      <c r="B122" s="10" t="s">
        <v>2277</v>
      </c>
      <c r="C122" s="10" t="s">
        <v>14</v>
      </c>
      <c r="D122" s="30">
        <f t="shared" si="5"/>
        <v>213.63636363636363</v>
      </c>
      <c r="E122" s="30">
        <f t="shared" si="3"/>
        <v>21.36363636363636</v>
      </c>
      <c r="F122" s="30">
        <v>235</v>
      </c>
      <c r="G122" s="30">
        <v>135</v>
      </c>
      <c r="H122" s="13">
        <f t="shared" si="4"/>
        <v>100</v>
      </c>
      <c r="I122" s="1" t="s">
        <v>2530</v>
      </c>
      <c r="J122" s="30">
        <v>170</v>
      </c>
      <c r="K122" s="30">
        <v>20</v>
      </c>
      <c r="L122" s="1" t="s">
        <v>223</v>
      </c>
      <c r="M122" s="30">
        <v>45</v>
      </c>
      <c r="N122" s="1" t="s">
        <v>16</v>
      </c>
      <c r="O122" s="1"/>
    </row>
    <row r="123" spans="1:15" x14ac:dyDescent="0.3">
      <c r="A123" s="41">
        <v>45562</v>
      </c>
      <c r="B123" s="10" t="s">
        <v>2278</v>
      </c>
      <c r="C123" s="10" t="s">
        <v>14</v>
      </c>
      <c r="D123" s="30">
        <f t="shared" si="5"/>
        <v>213.63636363636363</v>
      </c>
      <c r="E123" s="30">
        <f t="shared" si="3"/>
        <v>21.36363636363636</v>
      </c>
      <c r="F123" s="30">
        <v>235</v>
      </c>
      <c r="G123" s="30">
        <v>50</v>
      </c>
      <c r="H123" s="13">
        <f t="shared" si="4"/>
        <v>185</v>
      </c>
      <c r="I123" s="1" t="s">
        <v>2531</v>
      </c>
      <c r="J123" s="30">
        <v>170</v>
      </c>
      <c r="K123" s="30">
        <v>20</v>
      </c>
      <c r="L123" s="1" t="s">
        <v>223</v>
      </c>
      <c r="M123" s="30">
        <v>45</v>
      </c>
      <c r="N123" s="1" t="s">
        <v>16</v>
      </c>
      <c r="O123" s="1"/>
    </row>
    <row r="124" spans="1:15" x14ac:dyDescent="0.3">
      <c r="A124" s="41">
        <v>45562</v>
      </c>
      <c r="B124" s="10" t="s">
        <v>2279</v>
      </c>
      <c r="C124" s="10" t="s">
        <v>14</v>
      </c>
      <c r="D124" s="30">
        <f t="shared" si="5"/>
        <v>127.27272727272727</v>
      </c>
      <c r="E124" s="30">
        <f t="shared" si="3"/>
        <v>12.727272727272727</v>
      </c>
      <c r="F124" s="30">
        <v>140</v>
      </c>
      <c r="G124" s="30"/>
      <c r="H124" s="13">
        <f t="shared" si="4"/>
        <v>140</v>
      </c>
      <c r="I124" s="1" t="s">
        <v>402</v>
      </c>
      <c r="J124" s="30">
        <v>140</v>
      </c>
      <c r="K124" s="30"/>
      <c r="L124" s="1"/>
      <c r="M124" s="30"/>
      <c r="N124" s="1"/>
      <c r="O124" s="1"/>
    </row>
    <row r="125" spans="1:15" x14ac:dyDescent="0.3">
      <c r="A125" s="41">
        <v>45562</v>
      </c>
      <c r="B125" s="10" t="s">
        <v>2280</v>
      </c>
      <c r="C125" s="10" t="s">
        <v>14</v>
      </c>
      <c r="D125" s="30">
        <f t="shared" si="5"/>
        <v>127.27272727272727</v>
      </c>
      <c r="E125" s="30">
        <f t="shared" si="3"/>
        <v>12.727272727272727</v>
      </c>
      <c r="F125" s="30">
        <v>140</v>
      </c>
      <c r="G125" s="30"/>
      <c r="H125" s="13">
        <f t="shared" si="4"/>
        <v>140</v>
      </c>
      <c r="I125" s="1" t="s">
        <v>2532</v>
      </c>
      <c r="J125" s="30">
        <v>140</v>
      </c>
      <c r="K125" s="30"/>
      <c r="L125" s="1"/>
      <c r="M125" s="30"/>
      <c r="N125" s="1"/>
      <c r="O125" s="1"/>
    </row>
    <row r="126" spans="1:15" x14ac:dyDescent="0.3">
      <c r="A126" s="41">
        <v>45562</v>
      </c>
      <c r="B126" s="10" t="s">
        <v>2281</v>
      </c>
      <c r="C126" s="10" t="s">
        <v>14</v>
      </c>
      <c r="D126" s="30">
        <f t="shared" si="5"/>
        <v>154.54545454545453</v>
      </c>
      <c r="E126" s="30">
        <f t="shared" si="3"/>
        <v>15.454545454545453</v>
      </c>
      <c r="F126" s="30">
        <v>170</v>
      </c>
      <c r="G126" s="30">
        <v>50</v>
      </c>
      <c r="H126" s="13">
        <f t="shared" si="4"/>
        <v>120</v>
      </c>
      <c r="I126" s="103" t="s">
        <v>2533</v>
      </c>
      <c r="J126" s="30">
        <v>170</v>
      </c>
      <c r="K126" s="30"/>
      <c r="L126" s="1"/>
      <c r="M126" s="30"/>
      <c r="N126" s="1"/>
      <c r="O126" s="1"/>
    </row>
    <row r="127" spans="1:15" x14ac:dyDescent="0.3">
      <c r="A127" s="41">
        <v>45563</v>
      </c>
      <c r="B127" s="10" t="s">
        <v>2282</v>
      </c>
      <c r="C127" s="10" t="s">
        <v>14</v>
      </c>
      <c r="D127" s="30">
        <f t="shared" si="5"/>
        <v>199.99999999999997</v>
      </c>
      <c r="E127" s="30">
        <f t="shared" si="3"/>
        <v>19.999999999999996</v>
      </c>
      <c r="F127" s="30">
        <v>220</v>
      </c>
      <c r="G127" s="30">
        <v>50</v>
      </c>
      <c r="H127" s="13">
        <f t="shared" si="4"/>
        <v>170</v>
      </c>
      <c r="I127" s="1" t="s">
        <v>2534</v>
      </c>
      <c r="J127" s="30">
        <v>170</v>
      </c>
      <c r="K127" s="30">
        <v>50</v>
      </c>
      <c r="L127" s="1" t="s">
        <v>223</v>
      </c>
      <c r="M127" s="30"/>
      <c r="N127" s="1"/>
      <c r="O127" s="1"/>
    </row>
    <row r="128" spans="1:15" x14ac:dyDescent="0.3">
      <c r="A128" s="41">
        <v>45563</v>
      </c>
      <c r="B128" s="10" t="s">
        <v>2283</v>
      </c>
      <c r="C128" s="10" t="s">
        <v>14</v>
      </c>
      <c r="D128" s="30">
        <f t="shared" si="5"/>
        <v>236.36363636363635</v>
      </c>
      <c r="E128" s="30">
        <f t="shared" si="3"/>
        <v>23.636363636363637</v>
      </c>
      <c r="F128" s="30">
        <v>260</v>
      </c>
      <c r="G128" s="30">
        <v>50</v>
      </c>
      <c r="H128" s="13">
        <f t="shared" si="4"/>
        <v>210</v>
      </c>
      <c r="I128" s="1" t="s">
        <v>2535</v>
      </c>
      <c r="J128" s="30">
        <v>260</v>
      </c>
      <c r="K128" s="30"/>
      <c r="L128" s="1"/>
      <c r="M128" s="30"/>
      <c r="N128" s="1"/>
      <c r="O128" s="1"/>
    </row>
    <row r="129" spans="1:15" x14ac:dyDescent="0.3">
      <c r="A129" s="41">
        <v>45563</v>
      </c>
      <c r="B129" s="10" t="s">
        <v>2284</v>
      </c>
      <c r="C129" s="10" t="s">
        <v>14</v>
      </c>
      <c r="D129" s="30">
        <f t="shared" si="5"/>
        <v>163.63636363636363</v>
      </c>
      <c r="E129" s="30">
        <f t="shared" si="3"/>
        <v>16.363636363636363</v>
      </c>
      <c r="F129" s="30">
        <v>180</v>
      </c>
      <c r="G129" s="30"/>
      <c r="H129" s="13">
        <f t="shared" si="4"/>
        <v>180</v>
      </c>
      <c r="I129" s="1" t="s">
        <v>720</v>
      </c>
      <c r="J129" s="30">
        <v>180</v>
      </c>
      <c r="K129" s="30"/>
      <c r="L129" s="1"/>
      <c r="M129" s="30"/>
      <c r="N129" s="1"/>
      <c r="O129" s="1"/>
    </row>
    <row r="130" spans="1:15" x14ac:dyDescent="0.3">
      <c r="A130" s="41">
        <v>45563</v>
      </c>
      <c r="B130" s="10" t="s">
        <v>2285</v>
      </c>
      <c r="C130" s="10" t="s">
        <v>14</v>
      </c>
      <c r="D130" s="30">
        <f t="shared" si="5"/>
        <v>136.36363636363635</v>
      </c>
      <c r="E130" s="30">
        <f t="shared" si="3"/>
        <v>13.636363636363635</v>
      </c>
      <c r="F130" s="30">
        <v>150</v>
      </c>
      <c r="G130" s="30"/>
      <c r="H130" s="13">
        <f t="shared" si="4"/>
        <v>150</v>
      </c>
      <c r="I130" s="1" t="s">
        <v>403</v>
      </c>
      <c r="J130" s="30">
        <v>150</v>
      </c>
      <c r="K130" s="30"/>
      <c r="L130" s="1"/>
      <c r="M130" s="30"/>
      <c r="N130" s="1"/>
      <c r="O130" s="1"/>
    </row>
    <row r="131" spans="1:15" x14ac:dyDescent="0.3">
      <c r="A131" s="41">
        <v>45563</v>
      </c>
      <c r="B131" s="10" t="s">
        <v>2286</v>
      </c>
      <c r="C131" s="10" t="s">
        <v>14</v>
      </c>
      <c r="D131" s="30">
        <f t="shared" si="5"/>
        <v>109.09090909090908</v>
      </c>
      <c r="E131" s="30">
        <f t="shared" ref="E131:E153" si="6">D131*10/100</f>
        <v>10.909090909090908</v>
      </c>
      <c r="F131" s="30">
        <v>120</v>
      </c>
      <c r="G131" s="30">
        <v>50</v>
      </c>
      <c r="H131" s="13">
        <f t="shared" ref="H131:H153" si="7">F131-G131</f>
        <v>70</v>
      </c>
      <c r="I131" s="1" t="s">
        <v>2536</v>
      </c>
      <c r="J131" s="30">
        <v>170</v>
      </c>
      <c r="K131" s="30"/>
      <c r="L131" s="1"/>
      <c r="M131" s="30"/>
      <c r="N131" s="1"/>
      <c r="O131" s="1"/>
    </row>
    <row r="132" spans="1:15" x14ac:dyDescent="0.3">
      <c r="A132" s="41">
        <v>45563</v>
      </c>
      <c r="B132" s="10" t="s">
        <v>2287</v>
      </c>
      <c r="C132" s="10" t="s">
        <v>14</v>
      </c>
      <c r="D132" s="30">
        <f t="shared" ref="D132:D153" si="8">F132/1.1</f>
        <v>172.72727272727272</v>
      </c>
      <c r="E132" s="30">
        <f t="shared" si="6"/>
        <v>17.272727272727273</v>
      </c>
      <c r="F132" s="30">
        <v>190</v>
      </c>
      <c r="G132" s="30">
        <v>50</v>
      </c>
      <c r="H132" s="13">
        <f t="shared" si="7"/>
        <v>140</v>
      </c>
      <c r="I132" s="1" t="s">
        <v>2537</v>
      </c>
      <c r="J132" s="30">
        <v>170</v>
      </c>
      <c r="K132" s="30">
        <v>20</v>
      </c>
      <c r="L132" s="1" t="s">
        <v>223</v>
      </c>
      <c r="M132" s="30"/>
      <c r="N132" s="1"/>
      <c r="O132" s="1"/>
    </row>
    <row r="133" spans="1:15" x14ac:dyDescent="0.3">
      <c r="A133" s="41">
        <v>45563</v>
      </c>
      <c r="B133" s="10" t="s">
        <v>2288</v>
      </c>
      <c r="C133" s="10" t="s">
        <v>14</v>
      </c>
      <c r="D133" s="30">
        <f t="shared" si="8"/>
        <v>181.81818181818181</v>
      </c>
      <c r="E133" s="30">
        <f t="shared" si="6"/>
        <v>18.18181818181818</v>
      </c>
      <c r="F133" s="30">
        <v>200</v>
      </c>
      <c r="G133" s="30">
        <v>50</v>
      </c>
      <c r="H133" s="13">
        <f t="shared" si="7"/>
        <v>150</v>
      </c>
      <c r="I133" s="1" t="s">
        <v>2538</v>
      </c>
      <c r="J133" s="30">
        <v>170</v>
      </c>
      <c r="K133" s="30">
        <v>30</v>
      </c>
      <c r="L133" s="1" t="s">
        <v>223</v>
      </c>
      <c r="M133" s="30"/>
      <c r="N133" s="1"/>
      <c r="O133" s="1"/>
    </row>
    <row r="134" spans="1:15" x14ac:dyDescent="0.3">
      <c r="A134" s="41">
        <v>45563</v>
      </c>
      <c r="B134" s="10" t="s">
        <v>2289</v>
      </c>
      <c r="C134" s="10" t="s">
        <v>14</v>
      </c>
      <c r="D134" s="30">
        <f t="shared" si="8"/>
        <v>213.63636363636363</v>
      </c>
      <c r="E134" s="30">
        <f t="shared" si="6"/>
        <v>21.36363636363636</v>
      </c>
      <c r="F134" s="30">
        <v>235</v>
      </c>
      <c r="G134" s="30">
        <v>50</v>
      </c>
      <c r="H134" s="13">
        <f t="shared" si="7"/>
        <v>185</v>
      </c>
      <c r="I134" s="1" t="s">
        <v>2539</v>
      </c>
      <c r="J134" s="30">
        <v>170</v>
      </c>
      <c r="K134" s="30">
        <v>20</v>
      </c>
      <c r="L134" s="1" t="s">
        <v>223</v>
      </c>
      <c r="M134" s="30">
        <v>45</v>
      </c>
      <c r="N134" s="1" t="s">
        <v>16</v>
      </c>
      <c r="O134" s="1"/>
    </row>
    <row r="135" spans="1:15" x14ac:dyDescent="0.3">
      <c r="A135" s="41">
        <v>45563</v>
      </c>
      <c r="B135" s="10" t="s">
        <v>2290</v>
      </c>
      <c r="C135" s="10" t="s">
        <v>14</v>
      </c>
      <c r="D135" s="30">
        <f t="shared" si="8"/>
        <v>154.54545454545453</v>
      </c>
      <c r="E135" s="30">
        <f t="shared" si="6"/>
        <v>15.454545454545453</v>
      </c>
      <c r="F135" s="30">
        <v>170</v>
      </c>
      <c r="G135" s="30">
        <v>50</v>
      </c>
      <c r="H135" s="13">
        <f t="shared" si="7"/>
        <v>120</v>
      </c>
      <c r="I135" s="1" t="s">
        <v>2540</v>
      </c>
      <c r="J135" s="30">
        <v>170</v>
      </c>
      <c r="K135" s="30"/>
      <c r="L135" s="1"/>
      <c r="M135" s="30"/>
      <c r="N135" s="1"/>
      <c r="O135" s="1"/>
    </row>
    <row r="136" spans="1:15" x14ac:dyDescent="0.3">
      <c r="A136" s="41">
        <v>45563</v>
      </c>
      <c r="B136" s="10" t="s">
        <v>2291</v>
      </c>
      <c r="C136" s="10" t="s">
        <v>14</v>
      </c>
      <c r="D136" s="30">
        <f t="shared" si="8"/>
        <v>154.54545454545453</v>
      </c>
      <c r="E136" s="30">
        <f t="shared" si="6"/>
        <v>15.454545454545453</v>
      </c>
      <c r="F136" s="30">
        <v>170</v>
      </c>
      <c r="G136" s="30">
        <v>50</v>
      </c>
      <c r="H136" s="13">
        <f t="shared" si="7"/>
        <v>120</v>
      </c>
      <c r="I136" s="1" t="s">
        <v>2541</v>
      </c>
      <c r="J136" s="30">
        <v>170</v>
      </c>
      <c r="K136" s="30"/>
      <c r="L136" s="1"/>
      <c r="M136" s="30"/>
      <c r="N136" s="1"/>
      <c r="O136" s="1"/>
    </row>
    <row r="137" spans="1:15" x14ac:dyDescent="0.3">
      <c r="A137" s="41">
        <v>45563</v>
      </c>
      <c r="B137" s="10" t="s">
        <v>2351</v>
      </c>
      <c r="C137" s="10" t="s">
        <v>14</v>
      </c>
      <c r="D137" s="30">
        <f t="shared" si="8"/>
        <v>154.54545454545453</v>
      </c>
      <c r="E137" s="30">
        <f t="shared" si="6"/>
        <v>15.454545454545453</v>
      </c>
      <c r="F137" s="30">
        <v>170</v>
      </c>
      <c r="G137" s="30">
        <v>170</v>
      </c>
      <c r="H137" s="13">
        <f t="shared" si="7"/>
        <v>0</v>
      </c>
      <c r="I137" s="1" t="s">
        <v>1357</v>
      </c>
      <c r="J137" s="30">
        <v>170</v>
      </c>
      <c r="K137" s="30"/>
      <c r="L137" s="1"/>
      <c r="M137" s="30"/>
      <c r="N137" s="1"/>
      <c r="O137" s="1"/>
    </row>
    <row r="138" spans="1:15" x14ac:dyDescent="0.3">
      <c r="A138" s="41">
        <v>45563</v>
      </c>
      <c r="B138" s="10" t="s">
        <v>2352</v>
      </c>
      <c r="C138" s="10" t="s">
        <v>14</v>
      </c>
      <c r="D138" s="30">
        <f t="shared" si="8"/>
        <v>154.54545454545453</v>
      </c>
      <c r="E138" s="30">
        <f t="shared" si="6"/>
        <v>15.454545454545453</v>
      </c>
      <c r="F138" s="30">
        <v>170</v>
      </c>
      <c r="G138" s="30">
        <v>50</v>
      </c>
      <c r="H138" s="13">
        <f t="shared" si="7"/>
        <v>120</v>
      </c>
      <c r="I138" s="1" t="s">
        <v>2329</v>
      </c>
      <c r="J138" s="30">
        <v>170</v>
      </c>
      <c r="K138" s="30"/>
      <c r="L138" s="1"/>
      <c r="M138" s="30"/>
      <c r="N138" s="1"/>
      <c r="O138" s="1"/>
    </row>
    <row r="139" spans="1:15" x14ac:dyDescent="0.3">
      <c r="A139" s="41">
        <v>45563</v>
      </c>
      <c r="B139" s="10" t="s">
        <v>2353</v>
      </c>
      <c r="C139" s="10" t="s">
        <v>14</v>
      </c>
      <c r="D139" s="30">
        <f t="shared" si="8"/>
        <v>209.09090909090907</v>
      </c>
      <c r="E139" s="30">
        <f t="shared" si="6"/>
        <v>20.909090909090907</v>
      </c>
      <c r="F139" s="30">
        <v>230</v>
      </c>
      <c r="G139" s="30"/>
      <c r="H139" s="13">
        <f t="shared" si="7"/>
        <v>230</v>
      </c>
      <c r="I139" s="1" t="s">
        <v>2542</v>
      </c>
      <c r="J139" s="30">
        <v>230</v>
      </c>
      <c r="K139" s="30"/>
      <c r="L139" s="1"/>
      <c r="M139" s="30"/>
      <c r="N139" s="1"/>
      <c r="O139" s="1"/>
    </row>
    <row r="140" spans="1:15" x14ac:dyDescent="0.3">
      <c r="A140" s="41">
        <v>45563</v>
      </c>
      <c r="B140" s="10" t="s">
        <v>2354</v>
      </c>
      <c r="C140" s="10" t="s">
        <v>14</v>
      </c>
      <c r="D140" s="30">
        <f t="shared" si="8"/>
        <v>199.99999999999997</v>
      </c>
      <c r="E140" s="30">
        <f t="shared" si="6"/>
        <v>19.999999999999996</v>
      </c>
      <c r="F140" s="30">
        <v>220</v>
      </c>
      <c r="G140" s="30">
        <v>50</v>
      </c>
      <c r="H140" s="13">
        <f t="shared" si="7"/>
        <v>170</v>
      </c>
      <c r="I140" s="1" t="s">
        <v>2543</v>
      </c>
      <c r="J140" s="30">
        <v>220</v>
      </c>
      <c r="K140" s="30"/>
      <c r="L140" s="1"/>
      <c r="M140" s="30"/>
      <c r="N140" s="1"/>
      <c r="O140" s="1"/>
    </row>
    <row r="141" spans="1:15" x14ac:dyDescent="0.3">
      <c r="A141" s="41">
        <v>45563</v>
      </c>
      <c r="B141" s="10" t="s">
        <v>2355</v>
      </c>
      <c r="C141" s="10" t="s">
        <v>14</v>
      </c>
      <c r="D141" s="30">
        <f t="shared" si="8"/>
        <v>281.81818181818181</v>
      </c>
      <c r="E141" s="30">
        <f t="shared" si="6"/>
        <v>28.18181818181818</v>
      </c>
      <c r="F141" s="30">
        <v>310</v>
      </c>
      <c r="G141" s="30">
        <v>50</v>
      </c>
      <c r="H141" s="13">
        <f t="shared" si="7"/>
        <v>260</v>
      </c>
      <c r="I141" s="1" t="s">
        <v>2544</v>
      </c>
      <c r="J141" s="30">
        <v>270</v>
      </c>
      <c r="K141" s="30">
        <v>40</v>
      </c>
      <c r="L141" s="1" t="s">
        <v>223</v>
      </c>
      <c r="M141" s="30"/>
      <c r="N141" s="1"/>
      <c r="O141" s="1"/>
    </row>
    <row r="142" spans="1:15" x14ac:dyDescent="0.3">
      <c r="A142" s="41">
        <v>45563</v>
      </c>
      <c r="B142" s="10" t="s">
        <v>2356</v>
      </c>
      <c r="C142" s="10" t="s">
        <v>14</v>
      </c>
      <c r="D142" s="30">
        <f t="shared" si="8"/>
        <v>172.72727272727272</v>
      </c>
      <c r="E142" s="30">
        <f t="shared" si="6"/>
        <v>17.272727272727273</v>
      </c>
      <c r="F142" s="30">
        <v>190</v>
      </c>
      <c r="G142" s="30">
        <v>190</v>
      </c>
      <c r="H142" s="13">
        <f t="shared" si="7"/>
        <v>0</v>
      </c>
      <c r="I142" s="1" t="s">
        <v>893</v>
      </c>
      <c r="J142" s="30">
        <v>190</v>
      </c>
      <c r="K142" s="30"/>
      <c r="L142" s="1"/>
      <c r="M142" s="30"/>
      <c r="N142" s="1"/>
      <c r="O142" s="1"/>
    </row>
    <row r="143" spans="1:15" x14ac:dyDescent="0.3">
      <c r="A143" s="41">
        <v>45563</v>
      </c>
      <c r="B143" s="10" t="s">
        <v>2357</v>
      </c>
      <c r="C143" s="10" t="s">
        <v>14</v>
      </c>
      <c r="D143" s="30">
        <f t="shared" si="8"/>
        <v>245.45454545454544</v>
      </c>
      <c r="E143" s="30">
        <f t="shared" si="6"/>
        <v>24.545454545454547</v>
      </c>
      <c r="F143" s="30">
        <v>270</v>
      </c>
      <c r="G143" s="30">
        <v>50</v>
      </c>
      <c r="H143" s="13">
        <f t="shared" si="7"/>
        <v>220</v>
      </c>
      <c r="I143" s="1" t="s">
        <v>2545</v>
      </c>
      <c r="J143" s="30">
        <v>270</v>
      </c>
      <c r="K143" s="30"/>
      <c r="L143" s="1"/>
      <c r="M143" s="30"/>
      <c r="N143" s="1"/>
      <c r="O143" s="1"/>
    </row>
    <row r="144" spans="1:15" x14ac:dyDescent="0.3">
      <c r="A144" s="41">
        <v>45563</v>
      </c>
      <c r="B144" s="10" t="s">
        <v>2358</v>
      </c>
      <c r="C144" s="10" t="s">
        <v>14</v>
      </c>
      <c r="D144" s="30">
        <f t="shared" si="8"/>
        <v>254.54545454545453</v>
      </c>
      <c r="E144" s="30">
        <f t="shared" si="6"/>
        <v>25.454545454545453</v>
      </c>
      <c r="F144" s="30">
        <v>280</v>
      </c>
      <c r="G144" s="30">
        <v>50</v>
      </c>
      <c r="H144" s="13">
        <f t="shared" si="7"/>
        <v>230</v>
      </c>
      <c r="I144" s="1" t="s">
        <v>2546</v>
      </c>
      <c r="J144" s="30">
        <v>220</v>
      </c>
      <c r="K144" s="30">
        <v>60</v>
      </c>
      <c r="L144" s="1" t="s">
        <v>223</v>
      </c>
      <c r="M144" s="30"/>
      <c r="N144" s="1"/>
      <c r="O144" s="1"/>
    </row>
    <row r="145" spans="1:15" x14ac:dyDescent="0.3">
      <c r="A145" s="41">
        <v>45563</v>
      </c>
      <c r="B145" s="10" t="s">
        <v>2359</v>
      </c>
      <c r="C145" s="10" t="s">
        <v>14</v>
      </c>
      <c r="D145" s="30">
        <f t="shared" si="8"/>
        <v>281.81818181818181</v>
      </c>
      <c r="E145" s="30">
        <f t="shared" si="6"/>
        <v>28.18181818181818</v>
      </c>
      <c r="F145" s="30">
        <v>310</v>
      </c>
      <c r="G145" s="30">
        <v>50</v>
      </c>
      <c r="H145" s="13">
        <f t="shared" si="7"/>
        <v>260</v>
      </c>
      <c r="I145" s="1" t="s">
        <v>2547</v>
      </c>
      <c r="J145" s="30">
        <v>270</v>
      </c>
      <c r="K145" s="30">
        <v>40</v>
      </c>
      <c r="L145" s="1" t="s">
        <v>223</v>
      </c>
      <c r="M145" s="30"/>
      <c r="N145" s="1"/>
      <c r="O145" s="1"/>
    </row>
    <row r="146" spans="1:15" x14ac:dyDescent="0.3">
      <c r="A146" s="41">
        <v>45563</v>
      </c>
      <c r="B146" s="10" t="s">
        <v>2360</v>
      </c>
      <c r="C146" s="10" t="s">
        <v>14</v>
      </c>
      <c r="D146" s="30">
        <f t="shared" si="8"/>
        <v>263.63636363636363</v>
      </c>
      <c r="E146" s="30">
        <f t="shared" si="6"/>
        <v>26.36363636363636</v>
      </c>
      <c r="F146" s="30">
        <v>290</v>
      </c>
      <c r="G146" s="30">
        <v>50</v>
      </c>
      <c r="H146" s="13">
        <f t="shared" si="7"/>
        <v>240</v>
      </c>
      <c r="I146" s="1" t="s">
        <v>2548</v>
      </c>
      <c r="J146" s="30">
        <v>270</v>
      </c>
      <c r="K146" s="30">
        <v>20</v>
      </c>
      <c r="L146" s="1"/>
      <c r="M146" s="30"/>
      <c r="N146" s="1"/>
      <c r="O146" s="1"/>
    </row>
    <row r="147" spans="1:15" x14ac:dyDescent="0.3">
      <c r="A147" s="41">
        <v>45563</v>
      </c>
      <c r="B147" s="10" t="s">
        <v>2361</v>
      </c>
      <c r="C147" s="10" t="s">
        <v>14</v>
      </c>
      <c r="D147" s="30">
        <f t="shared" si="8"/>
        <v>336.36363636363632</v>
      </c>
      <c r="E147" s="30">
        <f t="shared" si="6"/>
        <v>33.636363636363633</v>
      </c>
      <c r="F147" s="30">
        <v>370</v>
      </c>
      <c r="G147" s="30">
        <v>50</v>
      </c>
      <c r="H147" s="13">
        <f t="shared" si="7"/>
        <v>320</v>
      </c>
      <c r="I147" s="1" t="s">
        <v>2549</v>
      </c>
      <c r="J147" s="30">
        <v>370</v>
      </c>
      <c r="K147" s="30"/>
      <c r="L147" s="1"/>
      <c r="M147" s="30"/>
      <c r="N147" s="1"/>
      <c r="O147" s="1"/>
    </row>
    <row r="148" spans="1:15" x14ac:dyDescent="0.3">
      <c r="A148" s="41">
        <v>45563</v>
      </c>
      <c r="B148" s="10" t="s">
        <v>2362</v>
      </c>
      <c r="C148" s="10" t="s">
        <v>14</v>
      </c>
      <c r="D148" s="30">
        <f t="shared" si="8"/>
        <v>245.45454545454544</v>
      </c>
      <c r="E148" s="30">
        <f t="shared" si="6"/>
        <v>24.545454545454547</v>
      </c>
      <c r="F148" s="30">
        <v>270</v>
      </c>
      <c r="G148" s="30">
        <v>50</v>
      </c>
      <c r="H148" s="13">
        <f t="shared" si="7"/>
        <v>220</v>
      </c>
      <c r="I148" s="1" t="s">
        <v>2550</v>
      </c>
      <c r="J148" s="30">
        <v>270</v>
      </c>
      <c r="K148" s="30"/>
      <c r="L148" s="1"/>
      <c r="M148" s="30"/>
      <c r="N148" s="1"/>
      <c r="O148" s="1"/>
    </row>
    <row r="149" spans="1:15" x14ac:dyDescent="0.3">
      <c r="A149" s="41">
        <v>45563</v>
      </c>
      <c r="B149" s="10" t="s">
        <v>2363</v>
      </c>
      <c r="C149" s="10" t="s">
        <v>14</v>
      </c>
      <c r="D149" s="30">
        <f t="shared" si="8"/>
        <v>245.45454545454544</v>
      </c>
      <c r="E149" s="30">
        <f t="shared" si="6"/>
        <v>24.545454545454547</v>
      </c>
      <c r="F149" s="30">
        <v>270</v>
      </c>
      <c r="G149" s="30">
        <v>50</v>
      </c>
      <c r="H149" s="13">
        <f t="shared" si="7"/>
        <v>220</v>
      </c>
      <c r="I149" s="1" t="s">
        <v>2551</v>
      </c>
      <c r="J149" s="30">
        <v>270</v>
      </c>
      <c r="K149" s="30"/>
      <c r="L149" s="1"/>
      <c r="M149" s="30"/>
      <c r="N149" s="1"/>
      <c r="O149" s="1"/>
    </row>
    <row r="150" spans="1:15" x14ac:dyDescent="0.3">
      <c r="A150" s="41">
        <v>45564</v>
      </c>
      <c r="B150" s="10" t="s">
        <v>2364</v>
      </c>
      <c r="C150" s="10" t="s">
        <v>14</v>
      </c>
      <c r="D150" s="30">
        <f t="shared" si="8"/>
        <v>172.72727272727272</v>
      </c>
      <c r="E150" s="30">
        <f t="shared" si="6"/>
        <v>17.272727272727273</v>
      </c>
      <c r="F150" s="30">
        <v>190</v>
      </c>
      <c r="G150" s="30">
        <v>50</v>
      </c>
      <c r="H150" s="13">
        <f t="shared" si="7"/>
        <v>140</v>
      </c>
      <c r="I150" s="1" t="s">
        <v>2552</v>
      </c>
      <c r="J150" s="30">
        <v>190</v>
      </c>
      <c r="K150" s="30"/>
      <c r="L150" s="1"/>
      <c r="M150" s="30"/>
      <c r="N150" s="1"/>
      <c r="O150" s="1"/>
    </row>
    <row r="151" spans="1:15" x14ac:dyDescent="0.3">
      <c r="A151" s="41">
        <v>45564</v>
      </c>
      <c r="B151" s="10" t="s">
        <v>2365</v>
      </c>
      <c r="C151" s="10" t="s">
        <v>14</v>
      </c>
      <c r="D151" s="30">
        <f t="shared" si="8"/>
        <v>390.90909090909088</v>
      </c>
      <c r="E151" s="30">
        <f t="shared" si="6"/>
        <v>39.090909090909093</v>
      </c>
      <c r="F151" s="30">
        <v>430</v>
      </c>
      <c r="G151" s="30">
        <v>50</v>
      </c>
      <c r="H151" s="13">
        <f t="shared" si="7"/>
        <v>380</v>
      </c>
      <c r="I151" s="1" t="s">
        <v>2553</v>
      </c>
      <c r="J151" s="30">
        <v>220</v>
      </c>
      <c r="K151" s="30"/>
      <c r="L151" s="1"/>
      <c r="M151" s="30">
        <v>160</v>
      </c>
      <c r="N151" s="1" t="s">
        <v>949</v>
      </c>
      <c r="O151" s="1"/>
    </row>
    <row r="152" spans="1:15" x14ac:dyDescent="0.3">
      <c r="A152" s="41">
        <v>45565</v>
      </c>
      <c r="B152" s="10" t="s">
        <v>2366</v>
      </c>
      <c r="C152" s="10" t="s">
        <v>14</v>
      </c>
      <c r="D152" s="30">
        <f t="shared" si="8"/>
        <v>154.54545454545453</v>
      </c>
      <c r="E152" s="30">
        <f t="shared" si="6"/>
        <v>15.454545454545453</v>
      </c>
      <c r="F152" s="30">
        <v>170</v>
      </c>
      <c r="G152" s="30">
        <v>50</v>
      </c>
      <c r="H152" s="13">
        <f t="shared" si="7"/>
        <v>120</v>
      </c>
      <c r="I152" s="1" t="s">
        <v>2329</v>
      </c>
      <c r="J152" s="30">
        <v>170</v>
      </c>
      <c r="K152" s="30"/>
      <c r="L152" s="1"/>
      <c r="M152" s="30"/>
      <c r="N152" s="1"/>
      <c r="O152" s="1"/>
    </row>
    <row r="153" spans="1:15" x14ac:dyDescent="0.3">
      <c r="A153" s="41">
        <v>45565</v>
      </c>
      <c r="B153" s="10" t="s">
        <v>2367</v>
      </c>
      <c r="C153" s="10" t="s">
        <v>14</v>
      </c>
      <c r="D153" s="30">
        <f t="shared" si="8"/>
        <v>154.54545454545453</v>
      </c>
      <c r="E153" s="30">
        <f t="shared" si="6"/>
        <v>15.454545454545453</v>
      </c>
      <c r="F153" s="30">
        <v>170</v>
      </c>
      <c r="G153" s="30">
        <v>50</v>
      </c>
      <c r="H153" s="13">
        <f t="shared" si="7"/>
        <v>120</v>
      </c>
      <c r="I153" s="1" t="s">
        <v>2554</v>
      </c>
      <c r="J153" s="30">
        <v>170</v>
      </c>
      <c r="K153" s="30"/>
      <c r="L153" s="1"/>
      <c r="M153" s="30"/>
      <c r="N153" s="1"/>
      <c r="O153" s="1"/>
    </row>
    <row r="154" spans="1:15" x14ac:dyDescent="0.3">
      <c r="A154" s="116" t="s">
        <v>2</v>
      </c>
      <c r="B154" s="116"/>
      <c r="C154" s="116"/>
      <c r="D154" s="96">
        <f>SUM(D3:D153)</f>
        <v>31500</v>
      </c>
      <c r="E154" s="30">
        <f>SUM(E3:E153)</f>
        <v>3149.9999999999991</v>
      </c>
      <c r="F154" s="30">
        <f>SUM(F3:F153)</f>
        <v>34650</v>
      </c>
      <c r="G154" s="30">
        <f>SUM(G3:G153)</f>
        <v>7850</v>
      </c>
      <c r="H154" s="30">
        <f>SUM(H3:H153)</f>
        <v>26800</v>
      </c>
    </row>
    <row r="155" spans="1:15" x14ac:dyDescent="0.3">
      <c r="D155" t="s">
        <v>1817</v>
      </c>
      <c r="E155" t="s">
        <v>267</v>
      </c>
      <c r="F155" t="s">
        <v>2</v>
      </c>
      <c r="G155" t="s">
        <v>1819</v>
      </c>
      <c r="H155" t="s">
        <v>13</v>
      </c>
    </row>
  </sheetData>
  <mergeCells count="15">
    <mergeCell ref="N1:N2"/>
    <mergeCell ref="O1:O2"/>
    <mergeCell ref="A154:C154"/>
    <mergeCell ref="G1:H1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C9FD-1C8E-4883-9150-F2ABC8406037}">
  <dimension ref="A1:P149"/>
  <sheetViews>
    <sheetView topLeftCell="A117" workbookViewId="0">
      <selection activeCell="I153" sqref="I153"/>
    </sheetView>
  </sheetViews>
  <sheetFormatPr baseColWidth="10" defaultRowHeight="14.4" x14ac:dyDescent="0.3"/>
  <cols>
    <col min="2" max="2" width="22.44140625" customWidth="1"/>
    <col min="3" max="3" width="39.33203125" customWidth="1"/>
    <col min="6" max="6" width="13" bestFit="1" customWidth="1"/>
    <col min="9" max="9" width="16.33203125" customWidth="1"/>
    <col min="10" max="10" width="13" bestFit="1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8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4"/>
      <c r="N2" s="117"/>
      <c r="O2" s="114"/>
    </row>
    <row r="3" spans="1:15" x14ac:dyDescent="0.3">
      <c r="A3" s="41">
        <v>45566</v>
      </c>
      <c r="B3" s="10" t="s">
        <v>2368</v>
      </c>
      <c r="C3" s="10" t="s">
        <v>14</v>
      </c>
      <c r="D3" s="30">
        <f>F3/1.1</f>
        <v>145.45454545454544</v>
      </c>
      <c r="E3" s="30">
        <f t="shared" ref="E3:E66" si="0">D3*10/100</f>
        <v>14.545454545454545</v>
      </c>
      <c r="F3" s="30">
        <v>160</v>
      </c>
      <c r="G3" s="30"/>
      <c r="H3" s="13">
        <f t="shared" ref="H3:H66" si="1">F3-G3</f>
        <v>160</v>
      </c>
      <c r="I3" s="1" t="s">
        <v>402</v>
      </c>
      <c r="J3" s="30">
        <v>160</v>
      </c>
      <c r="K3" s="30"/>
      <c r="L3" s="1"/>
      <c r="M3" s="1"/>
      <c r="N3" s="1"/>
      <c r="O3" s="1"/>
    </row>
    <row r="4" spans="1:15" x14ac:dyDescent="0.3">
      <c r="A4" s="41">
        <v>45566</v>
      </c>
      <c r="B4" s="10" t="s">
        <v>2369</v>
      </c>
      <c r="C4" s="10" t="s">
        <v>14</v>
      </c>
      <c r="D4" s="30">
        <f t="shared" ref="D4:D67" si="2">F4/1.1</f>
        <v>145.45454545454544</v>
      </c>
      <c r="E4" s="30">
        <f t="shared" si="0"/>
        <v>14.545454545454545</v>
      </c>
      <c r="F4" s="30">
        <v>160</v>
      </c>
      <c r="G4" s="30"/>
      <c r="H4" s="13">
        <f t="shared" si="1"/>
        <v>160</v>
      </c>
      <c r="I4" s="1" t="s">
        <v>2689</v>
      </c>
      <c r="J4" s="30">
        <v>160</v>
      </c>
      <c r="K4" s="30"/>
      <c r="L4" s="1"/>
      <c r="M4" s="30"/>
      <c r="N4" s="1"/>
      <c r="O4" s="1"/>
    </row>
    <row r="5" spans="1:15" x14ac:dyDescent="0.3">
      <c r="A5" s="41">
        <v>45567</v>
      </c>
      <c r="B5" s="10" t="s">
        <v>2370</v>
      </c>
      <c r="C5" s="10" t="s">
        <v>14</v>
      </c>
      <c r="D5" s="30">
        <f t="shared" si="2"/>
        <v>127.27272727272727</v>
      </c>
      <c r="E5" s="30">
        <f t="shared" si="0"/>
        <v>12.727272727272727</v>
      </c>
      <c r="F5" s="30">
        <v>140</v>
      </c>
      <c r="G5" s="30"/>
      <c r="H5" s="13">
        <f t="shared" si="1"/>
        <v>140</v>
      </c>
      <c r="I5" s="1" t="s">
        <v>402</v>
      </c>
      <c r="J5" s="30">
        <v>140</v>
      </c>
      <c r="K5" s="30"/>
      <c r="L5" s="1"/>
      <c r="M5" s="30"/>
      <c r="N5" s="1"/>
      <c r="O5" s="1"/>
    </row>
    <row r="6" spans="1:15" x14ac:dyDescent="0.3">
      <c r="A6" s="41">
        <v>45567</v>
      </c>
      <c r="B6" s="10" t="s">
        <v>2371</v>
      </c>
      <c r="C6" s="10" t="s">
        <v>14</v>
      </c>
      <c r="D6" s="30">
        <f t="shared" si="2"/>
        <v>154.54545454545453</v>
      </c>
      <c r="E6" s="30">
        <f t="shared" si="0"/>
        <v>15.454545454545453</v>
      </c>
      <c r="F6" s="30">
        <v>170</v>
      </c>
      <c r="G6" s="30">
        <v>50</v>
      </c>
      <c r="H6" s="13">
        <f t="shared" si="1"/>
        <v>120</v>
      </c>
      <c r="I6" s="1" t="s">
        <v>2690</v>
      </c>
      <c r="J6" s="30">
        <v>170</v>
      </c>
      <c r="K6" s="30"/>
      <c r="L6" s="1"/>
      <c r="M6" s="30"/>
      <c r="N6" s="1"/>
      <c r="O6" s="1"/>
    </row>
    <row r="7" spans="1:15" x14ac:dyDescent="0.3">
      <c r="A7" s="41">
        <v>45567</v>
      </c>
      <c r="B7" s="10" t="s">
        <v>2372</v>
      </c>
      <c r="C7" s="10" t="s">
        <v>14</v>
      </c>
      <c r="D7" s="30">
        <f t="shared" si="2"/>
        <v>199.99999999999997</v>
      </c>
      <c r="E7" s="30">
        <f t="shared" si="0"/>
        <v>19.999999999999996</v>
      </c>
      <c r="F7" s="30">
        <v>220</v>
      </c>
      <c r="G7" s="30">
        <v>50</v>
      </c>
      <c r="H7" s="13">
        <f t="shared" si="1"/>
        <v>170</v>
      </c>
      <c r="I7" s="1" t="s">
        <v>2691</v>
      </c>
      <c r="J7" s="30">
        <v>220</v>
      </c>
      <c r="K7" s="30"/>
      <c r="L7" s="1"/>
      <c r="M7" s="30"/>
      <c r="N7" s="1"/>
      <c r="O7" s="1"/>
    </row>
    <row r="8" spans="1:15" x14ac:dyDescent="0.3">
      <c r="A8" s="41">
        <v>45568</v>
      </c>
      <c r="B8" s="10" t="s">
        <v>2373</v>
      </c>
      <c r="C8" s="10" t="s">
        <v>14</v>
      </c>
      <c r="D8" s="30">
        <f t="shared" si="2"/>
        <v>300</v>
      </c>
      <c r="E8" s="30">
        <f t="shared" si="0"/>
        <v>30</v>
      </c>
      <c r="F8" s="30">
        <v>330</v>
      </c>
      <c r="G8" s="30">
        <v>50</v>
      </c>
      <c r="H8" s="13">
        <f t="shared" si="1"/>
        <v>280</v>
      </c>
      <c r="I8" s="1" t="s">
        <v>2692</v>
      </c>
      <c r="J8" s="30">
        <v>270</v>
      </c>
      <c r="K8" s="30">
        <v>60</v>
      </c>
      <c r="L8" s="1" t="s">
        <v>223</v>
      </c>
      <c r="M8" s="30"/>
      <c r="N8" s="1"/>
      <c r="O8" s="1"/>
    </row>
    <row r="9" spans="1:15" x14ac:dyDescent="0.3">
      <c r="A9" s="41">
        <v>45568</v>
      </c>
      <c r="B9" s="10" t="s">
        <v>2374</v>
      </c>
      <c r="C9" s="10" t="s">
        <v>14</v>
      </c>
      <c r="D9" s="30">
        <f t="shared" si="2"/>
        <v>145.45454545454544</v>
      </c>
      <c r="E9" s="30">
        <f t="shared" si="0"/>
        <v>14.545454545454545</v>
      </c>
      <c r="F9" s="30">
        <v>160</v>
      </c>
      <c r="G9" s="30"/>
      <c r="H9" s="13">
        <f t="shared" si="1"/>
        <v>160</v>
      </c>
      <c r="I9" s="1" t="s">
        <v>402</v>
      </c>
      <c r="J9" s="30">
        <v>160</v>
      </c>
      <c r="K9" s="30"/>
      <c r="L9" s="1"/>
      <c r="M9" s="30"/>
      <c r="N9" s="1"/>
      <c r="O9" s="1"/>
    </row>
    <row r="10" spans="1:15" x14ac:dyDescent="0.3">
      <c r="A10" s="41">
        <v>45569</v>
      </c>
      <c r="B10" s="10" t="s">
        <v>2375</v>
      </c>
      <c r="C10" s="10" t="s">
        <v>14</v>
      </c>
      <c r="D10" s="30">
        <f t="shared" si="2"/>
        <v>172.72727272727272</v>
      </c>
      <c r="E10" s="30">
        <f t="shared" si="0"/>
        <v>17.272727272727273</v>
      </c>
      <c r="F10" s="30">
        <v>190</v>
      </c>
      <c r="G10" s="30">
        <v>50</v>
      </c>
      <c r="H10" s="13">
        <f t="shared" si="1"/>
        <v>140</v>
      </c>
      <c r="I10" s="1" t="s">
        <v>2693</v>
      </c>
      <c r="J10" s="30">
        <v>190</v>
      </c>
      <c r="K10" s="30"/>
      <c r="L10" s="1"/>
      <c r="M10" s="30"/>
      <c r="N10" s="1"/>
      <c r="O10" s="1"/>
    </row>
    <row r="11" spans="1:15" x14ac:dyDescent="0.3">
      <c r="A11" s="41">
        <v>45569</v>
      </c>
      <c r="B11" s="10" t="s">
        <v>2376</v>
      </c>
      <c r="C11" s="10" t="s">
        <v>14</v>
      </c>
      <c r="D11" s="30">
        <f t="shared" si="2"/>
        <v>163.63636363636363</v>
      </c>
      <c r="E11" s="30">
        <f t="shared" si="0"/>
        <v>16.363636363636363</v>
      </c>
      <c r="F11" s="30">
        <v>180</v>
      </c>
      <c r="G11" s="30"/>
      <c r="H11" s="13">
        <f t="shared" si="1"/>
        <v>180</v>
      </c>
      <c r="I11" s="1" t="s">
        <v>402</v>
      </c>
      <c r="J11" s="30">
        <v>180</v>
      </c>
      <c r="K11" s="30"/>
      <c r="L11" s="1"/>
      <c r="M11" s="30"/>
      <c r="N11" s="1"/>
      <c r="O11" s="1"/>
    </row>
    <row r="12" spans="1:15" x14ac:dyDescent="0.3">
      <c r="A12" s="41">
        <v>45569</v>
      </c>
      <c r="B12" s="10" t="s">
        <v>2377</v>
      </c>
      <c r="C12" s="10" t="s">
        <v>14</v>
      </c>
      <c r="D12" s="30">
        <f t="shared" si="2"/>
        <v>209.09090909090907</v>
      </c>
      <c r="E12" s="30">
        <f t="shared" si="0"/>
        <v>20.909090909090907</v>
      </c>
      <c r="F12" s="30">
        <v>230</v>
      </c>
      <c r="G12" s="30"/>
      <c r="H12" s="13">
        <f t="shared" si="1"/>
        <v>230</v>
      </c>
      <c r="I12" s="1" t="s">
        <v>2694</v>
      </c>
      <c r="J12" s="30">
        <v>230</v>
      </c>
      <c r="K12" s="30"/>
      <c r="L12" s="1"/>
      <c r="M12" s="30"/>
      <c r="N12" s="1"/>
      <c r="O12" s="1"/>
    </row>
    <row r="13" spans="1:15" x14ac:dyDescent="0.3">
      <c r="A13" s="41">
        <v>45569</v>
      </c>
      <c r="B13" s="10" t="s">
        <v>2378</v>
      </c>
      <c r="C13" s="10" t="s">
        <v>14</v>
      </c>
      <c r="D13" s="30">
        <f t="shared" si="2"/>
        <v>154.54545454545453</v>
      </c>
      <c r="E13" s="30">
        <f t="shared" si="0"/>
        <v>15.454545454545453</v>
      </c>
      <c r="F13" s="30">
        <v>170</v>
      </c>
      <c r="G13" s="30">
        <v>50</v>
      </c>
      <c r="H13" s="13">
        <f t="shared" si="1"/>
        <v>120</v>
      </c>
      <c r="I13" s="1" t="s">
        <v>2529</v>
      </c>
      <c r="J13" s="30">
        <v>120</v>
      </c>
      <c r="K13" s="30"/>
      <c r="L13" s="1"/>
      <c r="M13" s="30"/>
      <c r="N13" s="1"/>
      <c r="O13" s="1"/>
    </row>
    <row r="14" spans="1:15" x14ac:dyDescent="0.3">
      <c r="A14" s="41">
        <v>45569</v>
      </c>
      <c r="B14" s="10" t="s">
        <v>2379</v>
      </c>
      <c r="C14" s="10" t="s">
        <v>14</v>
      </c>
      <c r="D14" s="30">
        <f t="shared" si="2"/>
        <v>309.09090909090907</v>
      </c>
      <c r="E14" s="30">
        <f t="shared" si="0"/>
        <v>30.909090909090907</v>
      </c>
      <c r="F14" s="30">
        <v>340</v>
      </c>
      <c r="G14" s="30">
        <v>100</v>
      </c>
      <c r="H14" s="13">
        <f t="shared" si="1"/>
        <v>240</v>
      </c>
      <c r="I14" s="1" t="s">
        <v>2695</v>
      </c>
      <c r="J14" s="30">
        <v>340</v>
      </c>
      <c r="K14" s="30"/>
      <c r="L14" s="1"/>
      <c r="M14" s="30"/>
      <c r="N14" s="1"/>
      <c r="O14" s="1"/>
    </row>
    <row r="15" spans="1:15" x14ac:dyDescent="0.3">
      <c r="A15" s="41">
        <v>45569</v>
      </c>
      <c r="B15" s="10" t="s">
        <v>2380</v>
      </c>
      <c r="C15" s="10" t="s">
        <v>14</v>
      </c>
      <c r="D15" s="30">
        <f t="shared" si="2"/>
        <v>145.45454545454544</v>
      </c>
      <c r="E15" s="30">
        <f t="shared" si="0"/>
        <v>14.545454545454545</v>
      </c>
      <c r="F15" s="30">
        <v>160</v>
      </c>
      <c r="G15" s="30"/>
      <c r="H15" s="13">
        <f t="shared" si="1"/>
        <v>160</v>
      </c>
      <c r="I15" s="1" t="s">
        <v>402</v>
      </c>
      <c r="J15" s="108">
        <v>160</v>
      </c>
      <c r="K15" s="30"/>
      <c r="L15" s="1"/>
      <c r="M15" s="30"/>
      <c r="N15" s="1"/>
      <c r="O15" s="30"/>
    </row>
    <row r="16" spans="1:15" x14ac:dyDescent="0.3">
      <c r="A16" s="41">
        <v>45569</v>
      </c>
      <c r="B16" s="10" t="s">
        <v>2381</v>
      </c>
      <c r="C16" s="10" t="s">
        <v>14</v>
      </c>
      <c r="D16" s="30">
        <f t="shared" si="2"/>
        <v>190.90909090909091</v>
      </c>
      <c r="E16" s="30">
        <f t="shared" si="0"/>
        <v>19.09090909090909</v>
      </c>
      <c r="F16" s="30">
        <v>210</v>
      </c>
      <c r="G16" s="30">
        <v>50</v>
      </c>
      <c r="H16" s="13">
        <f t="shared" si="1"/>
        <v>160</v>
      </c>
      <c r="I16" s="1" t="s">
        <v>2696</v>
      </c>
      <c r="J16" s="30">
        <v>170</v>
      </c>
      <c r="K16" s="30">
        <v>40</v>
      </c>
      <c r="L16" s="1" t="s">
        <v>223</v>
      </c>
      <c r="M16" s="30"/>
      <c r="N16" s="1"/>
      <c r="O16" s="30"/>
    </row>
    <row r="17" spans="1:15" x14ac:dyDescent="0.3">
      <c r="A17" s="41">
        <v>45570</v>
      </c>
      <c r="B17" s="10" t="s">
        <v>2382</v>
      </c>
      <c r="C17" s="10" t="s">
        <v>14</v>
      </c>
      <c r="D17" s="30">
        <f t="shared" si="2"/>
        <v>245.45454545454544</v>
      </c>
      <c r="E17" s="30">
        <f t="shared" si="0"/>
        <v>24.545454545454547</v>
      </c>
      <c r="F17" s="30">
        <v>270</v>
      </c>
      <c r="G17" s="30">
        <v>50</v>
      </c>
      <c r="H17" s="13">
        <f t="shared" si="1"/>
        <v>220</v>
      </c>
      <c r="I17" s="1" t="s">
        <v>2697</v>
      </c>
      <c r="J17" s="30">
        <v>270</v>
      </c>
      <c r="K17" s="30"/>
      <c r="L17" s="1"/>
      <c r="M17" s="30"/>
      <c r="N17" s="1"/>
      <c r="O17" s="30"/>
    </row>
    <row r="18" spans="1:15" x14ac:dyDescent="0.3">
      <c r="A18" s="41">
        <v>45570</v>
      </c>
      <c r="B18" s="10" t="s">
        <v>2383</v>
      </c>
      <c r="C18" s="10" t="s">
        <v>14</v>
      </c>
      <c r="D18" s="30">
        <f t="shared" si="2"/>
        <v>245.45454545454544</v>
      </c>
      <c r="E18" s="30">
        <f t="shared" si="0"/>
        <v>24.545454545454547</v>
      </c>
      <c r="F18" s="30">
        <v>270</v>
      </c>
      <c r="G18" s="30">
        <v>50</v>
      </c>
      <c r="H18" s="13">
        <f t="shared" si="1"/>
        <v>220</v>
      </c>
      <c r="I18" s="1" t="s">
        <v>2698</v>
      </c>
      <c r="J18" s="30">
        <v>270</v>
      </c>
      <c r="K18" s="30"/>
      <c r="L18" s="1"/>
      <c r="M18" s="30"/>
      <c r="N18" s="1"/>
      <c r="O18" s="30"/>
    </row>
    <row r="19" spans="1:15" x14ac:dyDescent="0.3">
      <c r="A19" s="41">
        <v>45570</v>
      </c>
      <c r="B19" s="10" t="s">
        <v>2384</v>
      </c>
      <c r="C19" s="10" t="s">
        <v>14</v>
      </c>
      <c r="D19" s="30">
        <f t="shared" si="2"/>
        <v>199.99999999999997</v>
      </c>
      <c r="E19" s="30">
        <f t="shared" si="0"/>
        <v>19.999999999999996</v>
      </c>
      <c r="F19" s="30">
        <v>220</v>
      </c>
      <c r="G19" s="30"/>
      <c r="H19" s="13">
        <f t="shared" si="1"/>
        <v>220</v>
      </c>
      <c r="I19" s="1" t="s">
        <v>2348</v>
      </c>
      <c r="J19" s="30">
        <v>220</v>
      </c>
      <c r="K19" s="30"/>
      <c r="L19" s="1"/>
      <c r="M19" s="30"/>
      <c r="N19" s="1"/>
      <c r="O19" s="30"/>
    </row>
    <row r="20" spans="1:15" x14ac:dyDescent="0.3">
      <c r="A20" s="41">
        <v>45570</v>
      </c>
      <c r="B20" s="10" t="s">
        <v>2385</v>
      </c>
      <c r="C20" s="10" t="s">
        <v>14</v>
      </c>
      <c r="D20" s="30">
        <f t="shared" si="2"/>
        <v>245.45454545454544</v>
      </c>
      <c r="E20" s="30">
        <f t="shared" si="0"/>
        <v>24.545454545454547</v>
      </c>
      <c r="F20" s="30">
        <v>270</v>
      </c>
      <c r="G20" s="30">
        <v>50</v>
      </c>
      <c r="H20" s="13">
        <f t="shared" si="1"/>
        <v>220</v>
      </c>
      <c r="I20" s="1" t="s">
        <v>2699</v>
      </c>
      <c r="J20" s="30">
        <v>270</v>
      </c>
      <c r="K20" s="30"/>
      <c r="L20" s="1"/>
      <c r="M20" s="30"/>
      <c r="N20" s="1"/>
      <c r="O20" s="30"/>
    </row>
    <row r="21" spans="1:15" x14ac:dyDescent="0.3">
      <c r="A21" s="41">
        <v>45570</v>
      </c>
      <c r="B21" s="10" t="s">
        <v>2386</v>
      </c>
      <c r="C21" s="10" t="s">
        <v>14</v>
      </c>
      <c r="D21" s="30">
        <f t="shared" si="2"/>
        <v>190.90909090909091</v>
      </c>
      <c r="E21" s="30">
        <f t="shared" si="0"/>
        <v>19.09090909090909</v>
      </c>
      <c r="F21" s="30">
        <v>210</v>
      </c>
      <c r="G21" s="30">
        <v>50</v>
      </c>
      <c r="H21" s="13">
        <f t="shared" si="1"/>
        <v>160</v>
      </c>
      <c r="I21" s="1" t="s">
        <v>2337</v>
      </c>
      <c r="J21" s="30">
        <v>170</v>
      </c>
      <c r="K21" s="30">
        <v>40</v>
      </c>
      <c r="L21" s="1" t="s">
        <v>223</v>
      </c>
      <c r="M21" s="30"/>
      <c r="N21" s="1"/>
      <c r="O21" s="30"/>
    </row>
    <row r="22" spans="1:15" x14ac:dyDescent="0.3">
      <c r="A22" s="41">
        <v>45570</v>
      </c>
      <c r="B22" s="10" t="s">
        <v>2387</v>
      </c>
      <c r="C22" s="10" t="s">
        <v>14</v>
      </c>
      <c r="D22" s="30">
        <f t="shared" si="2"/>
        <v>127.27272727272727</v>
      </c>
      <c r="E22" s="30">
        <f t="shared" si="0"/>
        <v>12.727272727272727</v>
      </c>
      <c r="F22" s="30">
        <v>140</v>
      </c>
      <c r="G22" s="30"/>
      <c r="H22" s="13">
        <f t="shared" si="1"/>
        <v>140</v>
      </c>
      <c r="I22" s="103" t="s">
        <v>402</v>
      </c>
      <c r="J22" s="30">
        <v>140</v>
      </c>
      <c r="K22" s="30"/>
      <c r="L22" s="1"/>
      <c r="M22" s="30"/>
      <c r="N22" s="1"/>
      <c r="O22" s="1"/>
    </row>
    <row r="23" spans="1:15" x14ac:dyDescent="0.3">
      <c r="A23" s="41">
        <v>45570</v>
      </c>
      <c r="B23" s="10" t="s">
        <v>2388</v>
      </c>
      <c r="C23" s="10" t="s">
        <v>14</v>
      </c>
      <c r="D23" s="30">
        <f t="shared" si="2"/>
        <v>263.63636363636363</v>
      </c>
      <c r="E23" s="30">
        <f t="shared" si="0"/>
        <v>26.36363636363636</v>
      </c>
      <c r="F23" s="30">
        <v>290</v>
      </c>
      <c r="G23" s="30">
        <v>50</v>
      </c>
      <c r="H23" s="13">
        <f t="shared" si="1"/>
        <v>240</v>
      </c>
      <c r="I23" s="1" t="s">
        <v>2700</v>
      </c>
      <c r="J23" s="30">
        <v>270</v>
      </c>
      <c r="K23" s="30">
        <v>20</v>
      </c>
      <c r="L23" s="1" t="s">
        <v>223</v>
      </c>
      <c r="M23" s="30"/>
      <c r="N23" s="1"/>
      <c r="O23" s="1"/>
    </row>
    <row r="24" spans="1:15" x14ac:dyDescent="0.3">
      <c r="A24" s="41">
        <v>45570</v>
      </c>
      <c r="B24" s="10" t="s">
        <v>2389</v>
      </c>
      <c r="C24" s="10" t="s">
        <v>14</v>
      </c>
      <c r="D24" s="30">
        <f t="shared" si="2"/>
        <v>218.18181818181816</v>
      </c>
      <c r="E24" s="30">
        <f t="shared" si="0"/>
        <v>21.818181818181817</v>
      </c>
      <c r="F24" s="30">
        <v>240</v>
      </c>
      <c r="G24" s="30">
        <v>50</v>
      </c>
      <c r="H24" s="13">
        <f t="shared" si="1"/>
        <v>190</v>
      </c>
      <c r="I24" s="1" t="s">
        <v>2701</v>
      </c>
      <c r="J24" s="30">
        <v>220</v>
      </c>
      <c r="K24" s="30">
        <v>20</v>
      </c>
      <c r="L24" s="1" t="s">
        <v>223</v>
      </c>
      <c r="M24" s="30"/>
      <c r="N24" s="1"/>
      <c r="O24" s="1"/>
    </row>
    <row r="25" spans="1:15" x14ac:dyDescent="0.3">
      <c r="A25" s="41">
        <v>45570</v>
      </c>
      <c r="B25" s="10" t="s">
        <v>2390</v>
      </c>
      <c r="C25" s="10" t="s">
        <v>14</v>
      </c>
      <c r="D25" s="30">
        <f t="shared" si="2"/>
        <v>172.72727272727272</v>
      </c>
      <c r="E25" s="30">
        <f t="shared" si="0"/>
        <v>17.272727272727273</v>
      </c>
      <c r="F25" s="30">
        <v>190</v>
      </c>
      <c r="G25" s="30">
        <v>50</v>
      </c>
      <c r="H25" s="13">
        <f t="shared" si="1"/>
        <v>140</v>
      </c>
      <c r="I25" s="1" t="s">
        <v>2702</v>
      </c>
      <c r="J25" s="30">
        <v>170</v>
      </c>
      <c r="K25" s="30">
        <v>20</v>
      </c>
      <c r="L25" s="1" t="s">
        <v>223</v>
      </c>
      <c r="M25" s="30"/>
      <c r="N25" s="1"/>
      <c r="O25" s="1"/>
    </row>
    <row r="26" spans="1:15" x14ac:dyDescent="0.3">
      <c r="A26" s="41">
        <v>45570</v>
      </c>
      <c r="B26" s="10" t="s">
        <v>2391</v>
      </c>
      <c r="C26" s="10" t="s">
        <v>14</v>
      </c>
      <c r="D26" s="30">
        <f t="shared" si="2"/>
        <v>172.72727272727272</v>
      </c>
      <c r="E26" s="30">
        <f t="shared" si="0"/>
        <v>17.272727272727273</v>
      </c>
      <c r="F26" s="30">
        <v>190</v>
      </c>
      <c r="G26" s="30">
        <v>50</v>
      </c>
      <c r="H26" s="13">
        <f t="shared" si="1"/>
        <v>140</v>
      </c>
      <c r="I26" s="1" t="s">
        <v>2703</v>
      </c>
      <c r="J26" s="30">
        <v>170</v>
      </c>
      <c r="K26" s="30">
        <v>20</v>
      </c>
      <c r="L26" s="1" t="s">
        <v>223</v>
      </c>
      <c r="M26" s="30"/>
      <c r="N26" s="1"/>
      <c r="O26" s="1"/>
    </row>
    <row r="27" spans="1:15" x14ac:dyDescent="0.3">
      <c r="A27" s="41">
        <v>45570</v>
      </c>
      <c r="B27" s="10" t="s">
        <v>2392</v>
      </c>
      <c r="C27" s="10" t="s">
        <v>14</v>
      </c>
      <c r="D27" s="30">
        <f t="shared" si="2"/>
        <v>154.54545454545453</v>
      </c>
      <c r="E27" s="30">
        <f t="shared" si="0"/>
        <v>15.454545454545453</v>
      </c>
      <c r="F27" s="30">
        <v>170</v>
      </c>
      <c r="G27" s="30">
        <v>50</v>
      </c>
      <c r="H27" s="13">
        <f t="shared" si="1"/>
        <v>120</v>
      </c>
      <c r="I27" s="1" t="s">
        <v>2704</v>
      </c>
      <c r="J27" s="30">
        <v>170</v>
      </c>
      <c r="K27" s="30"/>
      <c r="L27" s="1"/>
      <c r="M27" s="30"/>
      <c r="N27" s="1"/>
      <c r="O27" s="1"/>
    </row>
    <row r="28" spans="1:15" x14ac:dyDescent="0.3">
      <c r="A28" s="41">
        <v>45570</v>
      </c>
      <c r="B28" s="10" t="s">
        <v>2393</v>
      </c>
      <c r="C28" s="10" t="s">
        <v>14</v>
      </c>
      <c r="D28" s="30">
        <f t="shared" si="2"/>
        <v>154.54545454545453</v>
      </c>
      <c r="E28" s="30">
        <f t="shared" si="0"/>
        <v>15.454545454545453</v>
      </c>
      <c r="F28" s="30">
        <v>170</v>
      </c>
      <c r="G28" s="30">
        <v>50</v>
      </c>
      <c r="H28" s="13">
        <f t="shared" si="1"/>
        <v>120</v>
      </c>
      <c r="I28" s="1" t="s">
        <v>2705</v>
      </c>
      <c r="J28" s="30">
        <v>170</v>
      </c>
      <c r="K28" s="30"/>
      <c r="L28" s="1"/>
      <c r="M28" s="30"/>
      <c r="N28" s="1"/>
      <c r="O28" s="1"/>
    </row>
    <row r="29" spans="1:15" x14ac:dyDescent="0.3">
      <c r="A29" s="41">
        <v>45571</v>
      </c>
      <c r="B29" s="10" t="s">
        <v>2394</v>
      </c>
      <c r="C29" s="10" t="s">
        <v>14</v>
      </c>
      <c r="D29" s="30">
        <f t="shared" si="2"/>
        <v>163.63636363636363</v>
      </c>
      <c r="E29" s="30">
        <f t="shared" si="0"/>
        <v>16.363636363636363</v>
      </c>
      <c r="F29" s="30">
        <v>180</v>
      </c>
      <c r="G29" s="30"/>
      <c r="H29" s="13">
        <f t="shared" si="1"/>
        <v>180</v>
      </c>
      <c r="I29" s="1" t="s">
        <v>402</v>
      </c>
      <c r="J29" s="30">
        <v>180</v>
      </c>
      <c r="K29" s="30"/>
      <c r="L29" s="1"/>
      <c r="M29" s="30"/>
      <c r="N29" s="1"/>
      <c r="O29" s="1"/>
    </row>
    <row r="30" spans="1:15" x14ac:dyDescent="0.3">
      <c r="A30" s="41">
        <v>45576</v>
      </c>
      <c r="B30" s="10" t="s">
        <v>2395</v>
      </c>
      <c r="C30" s="10" t="s">
        <v>14</v>
      </c>
      <c r="D30" s="30">
        <f t="shared" si="2"/>
        <v>263.63636363636363</v>
      </c>
      <c r="E30" s="30">
        <f t="shared" si="0"/>
        <v>26.36363636363636</v>
      </c>
      <c r="F30" s="30">
        <v>290</v>
      </c>
      <c r="G30" s="30">
        <v>50</v>
      </c>
      <c r="H30" s="13">
        <f t="shared" si="1"/>
        <v>240</v>
      </c>
      <c r="I30" s="1" t="s">
        <v>2710</v>
      </c>
      <c r="J30" s="30">
        <v>270</v>
      </c>
      <c r="K30" s="30">
        <v>20</v>
      </c>
      <c r="L30" s="1" t="s">
        <v>223</v>
      </c>
      <c r="M30" s="30"/>
      <c r="N30" s="1"/>
      <c r="O30" s="1"/>
    </row>
    <row r="31" spans="1:15" x14ac:dyDescent="0.3">
      <c r="A31" s="41">
        <v>45576</v>
      </c>
      <c r="B31" s="10" t="s">
        <v>2396</v>
      </c>
      <c r="C31" s="10" t="s">
        <v>14</v>
      </c>
      <c r="D31" s="30">
        <f t="shared" si="2"/>
        <v>281.81818181818181</v>
      </c>
      <c r="E31" s="30">
        <f t="shared" si="0"/>
        <v>28.18181818181818</v>
      </c>
      <c r="F31" s="30">
        <v>310</v>
      </c>
      <c r="G31" s="30">
        <v>50</v>
      </c>
      <c r="H31" s="13">
        <f t="shared" si="1"/>
        <v>260</v>
      </c>
      <c r="I31" s="1" t="s">
        <v>2708</v>
      </c>
      <c r="J31" s="30">
        <v>270</v>
      </c>
      <c r="K31" s="30">
        <v>40</v>
      </c>
      <c r="L31" s="1" t="s">
        <v>223</v>
      </c>
      <c r="M31" s="30"/>
      <c r="N31" s="1"/>
      <c r="O31" s="1"/>
    </row>
    <row r="32" spans="1:15" x14ac:dyDescent="0.3">
      <c r="A32" s="41">
        <v>45576</v>
      </c>
      <c r="B32" s="10" t="s">
        <v>2397</v>
      </c>
      <c r="C32" s="10" t="s">
        <v>14</v>
      </c>
      <c r="D32" s="30">
        <f t="shared" si="2"/>
        <v>181.81818181818181</v>
      </c>
      <c r="E32" s="30">
        <f t="shared" si="0"/>
        <v>18.18181818181818</v>
      </c>
      <c r="F32" s="30">
        <v>200</v>
      </c>
      <c r="G32" s="30">
        <v>50</v>
      </c>
      <c r="H32" s="13">
        <f t="shared" si="1"/>
        <v>150</v>
      </c>
      <c r="I32" s="1" t="s">
        <v>2711</v>
      </c>
      <c r="J32" s="30">
        <v>170</v>
      </c>
      <c r="K32" s="30">
        <v>30</v>
      </c>
      <c r="L32" s="1" t="s">
        <v>223</v>
      </c>
      <c r="M32" s="30"/>
      <c r="N32" s="1"/>
      <c r="O32" s="1"/>
    </row>
    <row r="33" spans="1:15" x14ac:dyDescent="0.3">
      <c r="A33" s="41">
        <v>45576</v>
      </c>
      <c r="B33" s="10" t="s">
        <v>2398</v>
      </c>
      <c r="C33" s="10" t="s">
        <v>14</v>
      </c>
      <c r="D33" s="30">
        <f t="shared" si="2"/>
        <v>409.09090909090907</v>
      </c>
      <c r="E33" s="30">
        <f t="shared" si="0"/>
        <v>40.909090909090907</v>
      </c>
      <c r="F33" s="30">
        <v>450</v>
      </c>
      <c r="G33" s="30">
        <v>450</v>
      </c>
      <c r="H33" s="13">
        <f t="shared" si="1"/>
        <v>0</v>
      </c>
      <c r="I33" s="1" t="s">
        <v>2713</v>
      </c>
      <c r="J33" s="30">
        <v>340</v>
      </c>
      <c r="K33" s="30">
        <v>110</v>
      </c>
      <c r="L33" s="1" t="s">
        <v>223</v>
      </c>
      <c r="M33" s="30"/>
      <c r="N33" s="1"/>
      <c r="O33" s="1"/>
    </row>
    <row r="34" spans="1:15" x14ac:dyDescent="0.3">
      <c r="A34" s="41">
        <v>45576</v>
      </c>
      <c r="B34" s="10" t="s">
        <v>2399</v>
      </c>
      <c r="C34" s="10" t="s">
        <v>14</v>
      </c>
      <c r="D34" s="30">
        <f t="shared" si="2"/>
        <v>154.54545454545453</v>
      </c>
      <c r="E34" s="30">
        <f t="shared" si="0"/>
        <v>15.454545454545453</v>
      </c>
      <c r="F34" s="30">
        <v>170</v>
      </c>
      <c r="G34" s="30">
        <v>50</v>
      </c>
      <c r="H34" s="13">
        <f t="shared" si="1"/>
        <v>120</v>
      </c>
      <c r="I34" s="1" t="s">
        <v>2714</v>
      </c>
      <c r="J34" s="30">
        <v>170</v>
      </c>
      <c r="K34" s="30"/>
      <c r="L34" s="1"/>
      <c r="M34" s="30"/>
      <c r="N34" s="1"/>
      <c r="O34" s="1"/>
    </row>
    <row r="35" spans="1:15" x14ac:dyDescent="0.3">
      <c r="A35" s="41">
        <v>45576</v>
      </c>
      <c r="B35" s="10" t="s">
        <v>2400</v>
      </c>
      <c r="C35" s="10" t="s">
        <v>14</v>
      </c>
      <c r="D35" s="30">
        <f t="shared" si="2"/>
        <v>463.63636363636363</v>
      </c>
      <c r="E35" s="30">
        <f t="shared" si="0"/>
        <v>46.36363636363636</v>
      </c>
      <c r="F35" s="30">
        <v>510</v>
      </c>
      <c r="G35" s="30">
        <v>100</v>
      </c>
      <c r="H35" s="13">
        <f t="shared" si="1"/>
        <v>410</v>
      </c>
      <c r="I35" s="1" t="s">
        <v>2715</v>
      </c>
      <c r="J35" s="30">
        <v>510</v>
      </c>
      <c r="K35" s="30"/>
      <c r="L35" s="1"/>
      <c r="M35" s="30"/>
      <c r="N35" s="1"/>
      <c r="O35" s="1"/>
    </row>
    <row r="36" spans="1:15" x14ac:dyDescent="0.3">
      <c r="A36" s="41">
        <v>45576</v>
      </c>
      <c r="B36" s="10" t="s">
        <v>2401</v>
      </c>
      <c r="C36" s="10" t="s">
        <v>14</v>
      </c>
      <c r="D36" s="30">
        <f t="shared" si="2"/>
        <v>209.09090909090907</v>
      </c>
      <c r="E36" s="30">
        <f t="shared" si="0"/>
        <v>20.909090909090907</v>
      </c>
      <c r="F36" s="30">
        <v>230</v>
      </c>
      <c r="G36" s="30"/>
      <c r="H36" s="13">
        <f t="shared" si="1"/>
        <v>230</v>
      </c>
      <c r="I36" s="1" t="s">
        <v>402</v>
      </c>
      <c r="J36" s="30">
        <v>230</v>
      </c>
      <c r="K36" s="30"/>
      <c r="L36" s="1"/>
      <c r="M36" s="30"/>
      <c r="N36" s="1"/>
      <c r="O36" s="1"/>
    </row>
    <row r="37" spans="1:15" x14ac:dyDescent="0.3">
      <c r="A37" s="41">
        <v>45576</v>
      </c>
      <c r="B37" s="10" t="s">
        <v>2402</v>
      </c>
      <c r="C37" s="10" t="s">
        <v>14</v>
      </c>
      <c r="D37" s="30">
        <f t="shared" si="2"/>
        <v>336.36363636363632</v>
      </c>
      <c r="E37" s="30">
        <f t="shared" si="0"/>
        <v>33.636363636363633</v>
      </c>
      <c r="F37" s="30">
        <v>370</v>
      </c>
      <c r="G37" s="30">
        <v>50</v>
      </c>
      <c r="H37" s="13">
        <f t="shared" si="1"/>
        <v>320</v>
      </c>
      <c r="I37" s="1" t="s">
        <v>2716</v>
      </c>
      <c r="J37" s="30">
        <v>370</v>
      </c>
      <c r="K37" s="30"/>
      <c r="L37" s="1"/>
      <c r="M37" s="30"/>
      <c r="N37" s="1"/>
      <c r="O37" s="1"/>
    </row>
    <row r="38" spans="1:15" x14ac:dyDescent="0.3">
      <c r="A38" s="41">
        <v>45576</v>
      </c>
      <c r="B38" s="10" t="s">
        <v>2403</v>
      </c>
      <c r="C38" s="10" t="s">
        <v>14</v>
      </c>
      <c r="D38" s="30">
        <f t="shared" si="2"/>
        <v>172.72727272727272</v>
      </c>
      <c r="E38" s="30">
        <f t="shared" si="0"/>
        <v>17.272727272727273</v>
      </c>
      <c r="F38" s="30">
        <v>190</v>
      </c>
      <c r="G38" s="30">
        <v>50</v>
      </c>
      <c r="H38" s="13">
        <f t="shared" si="1"/>
        <v>140</v>
      </c>
      <c r="I38" s="1" t="s">
        <v>2717</v>
      </c>
      <c r="J38" s="30">
        <v>190</v>
      </c>
      <c r="K38" s="30"/>
      <c r="L38" s="1"/>
      <c r="M38" s="30"/>
      <c r="N38" s="1"/>
      <c r="O38" s="1"/>
    </row>
    <row r="39" spans="1:15" x14ac:dyDescent="0.3">
      <c r="A39" s="41">
        <v>45576</v>
      </c>
      <c r="B39" s="10" t="s">
        <v>2404</v>
      </c>
      <c r="C39" s="10" t="s">
        <v>14</v>
      </c>
      <c r="D39" s="30">
        <f t="shared" si="2"/>
        <v>172.72727272727272</v>
      </c>
      <c r="E39" s="30">
        <f t="shared" si="0"/>
        <v>17.272727272727273</v>
      </c>
      <c r="F39" s="30">
        <v>190</v>
      </c>
      <c r="G39" s="30"/>
      <c r="H39" s="13">
        <f t="shared" si="1"/>
        <v>190</v>
      </c>
      <c r="I39" s="1" t="s">
        <v>402</v>
      </c>
      <c r="J39" s="30">
        <v>190</v>
      </c>
      <c r="K39" s="30"/>
      <c r="L39" s="1"/>
      <c r="M39" s="30"/>
      <c r="N39" s="1"/>
      <c r="O39" s="1"/>
    </row>
    <row r="40" spans="1:15" x14ac:dyDescent="0.3">
      <c r="A40" s="41">
        <v>45577</v>
      </c>
      <c r="B40" s="10" t="s">
        <v>2405</v>
      </c>
      <c r="C40" s="10" t="s">
        <v>14</v>
      </c>
      <c r="D40" s="30">
        <f t="shared" si="2"/>
        <v>281.81818181818181</v>
      </c>
      <c r="E40" s="30">
        <f t="shared" si="0"/>
        <v>28.18181818181818</v>
      </c>
      <c r="F40" s="30">
        <v>310</v>
      </c>
      <c r="G40" s="30">
        <v>50</v>
      </c>
      <c r="H40" s="13">
        <f t="shared" si="1"/>
        <v>260</v>
      </c>
      <c r="I40" s="1" t="s">
        <v>2718</v>
      </c>
      <c r="J40" s="30">
        <v>270</v>
      </c>
      <c r="K40" s="30">
        <v>40</v>
      </c>
      <c r="L40" s="1" t="s">
        <v>223</v>
      </c>
      <c r="M40" s="30"/>
      <c r="N40" s="1"/>
      <c r="O40" s="1"/>
    </row>
    <row r="41" spans="1:15" x14ac:dyDescent="0.3">
      <c r="A41" s="41">
        <v>45577</v>
      </c>
      <c r="B41" s="10" t="s">
        <v>2406</v>
      </c>
      <c r="C41" s="10" t="s">
        <v>14</v>
      </c>
      <c r="D41" s="30">
        <f t="shared" si="2"/>
        <v>245.45454545454544</v>
      </c>
      <c r="E41" s="30">
        <f t="shared" si="0"/>
        <v>24.545454545454547</v>
      </c>
      <c r="F41" s="30">
        <v>270</v>
      </c>
      <c r="G41" s="30">
        <v>50</v>
      </c>
      <c r="H41" s="13">
        <f t="shared" si="1"/>
        <v>220</v>
      </c>
      <c r="I41" s="1" t="s">
        <v>2719</v>
      </c>
      <c r="J41" s="30">
        <v>270</v>
      </c>
      <c r="K41" s="30"/>
      <c r="L41" s="1"/>
      <c r="M41" s="30"/>
      <c r="N41" s="1"/>
      <c r="O41" s="1"/>
    </row>
    <row r="42" spans="1:15" x14ac:dyDescent="0.3">
      <c r="A42" s="41">
        <v>45577</v>
      </c>
      <c r="B42" s="10" t="s">
        <v>2407</v>
      </c>
      <c r="C42" s="10" t="s">
        <v>14</v>
      </c>
      <c r="D42" s="30">
        <f t="shared" si="2"/>
        <v>245.45454545454544</v>
      </c>
      <c r="E42" s="30">
        <f t="shared" si="0"/>
        <v>24.545454545454547</v>
      </c>
      <c r="F42" s="30">
        <v>270</v>
      </c>
      <c r="G42" s="30">
        <v>50</v>
      </c>
      <c r="H42" s="13">
        <f t="shared" si="1"/>
        <v>220</v>
      </c>
      <c r="I42" s="1" t="s">
        <v>2720</v>
      </c>
      <c r="J42" s="30">
        <v>270</v>
      </c>
      <c r="K42" s="30"/>
      <c r="L42" s="1"/>
      <c r="M42" s="30"/>
      <c r="N42" s="1"/>
      <c r="O42" s="1"/>
    </row>
    <row r="43" spans="1:15" x14ac:dyDescent="0.3">
      <c r="A43" s="41">
        <v>45577</v>
      </c>
      <c r="B43" s="10" t="s">
        <v>2408</v>
      </c>
      <c r="C43" s="10" t="s">
        <v>14</v>
      </c>
      <c r="D43" s="30">
        <f t="shared" si="2"/>
        <v>263.63636363636363</v>
      </c>
      <c r="E43" s="30">
        <f t="shared" si="0"/>
        <v>26.36363636363636</v>
      </c>
      <c r="F43" s="30">
        <v>290</v>
      </c>
      <c r="G43" s="30">
        <v>50</v>
      </c>
      <c r="H43" s="13">
        <f t="shared" si="1"/>
        <v>240</v>
      </c>
      <c r="I43" s="1" t="s">
        <v>2721</v>
      </c>
      <c r="J43" s="30">
        <v>270</v>
      </c>
      <c r="K43" s="30">
        <v>20</v>
      </c>
      <c r="L43" s="1" t="s">
        <v>223</v>
      </c>
      <c r="M43" s="30"/>
      <c r="N43" s="1"/>
      <c r="O43" s="1"/>
    </row>
    <row r="44" spans="1:15" x14ac:dyDescent="0.3">
      <c r="A44" s="41">
        <v>45577</v>
      </c>
      <c r="B44" s="10" t="s">
        <v>2409</v>
      </c>
      <c r="C44" s="10" t="s">
        <v>14</v>
      </c>
      <c r="D44" s="30">
        <f t="shared" si="2"/>
        <v>281.81818181818181</v>
      </c>
      <c r="E44" s="30">
        <f t="shared" si="0"/>
        <v>28.18181818181818</v>
      </c>
      <c r="F44" s="30">
        <v>310</v>
      </c>
      <c r="G44" s="30">
        <v>50</v>
      </c>
      <c r="H44" s="13">
        <f t="shared" si="1"/>
        <v>260</v>
      </c>
      <c r="I44" s="103" t="s">
        <v>2722</v>
      </c>
      <c r="J44" s="30">
        <v>270</v>
      </c>
      <c r="K44" s="30">
        <v>40</v>
      </c>
      <c r="L44" s="1" t="s">
        <v>223</v>
      </c>
      <c r="M44" s="30"/>
      <c r="N44" s="1"/>
      <c r="O44" s="1"/>
    </row>
    <row r="45" spans="1:15" x14ac:dyDescent="0.3">
      <c r="A45" s="41">
        <v>45577</v>
      </c>
      <c r="B45" s="10" t="s">
        <v>2410</v>
      </c>
      <c r="C45" s="10" t="s">
        <v>14</v>
      </c>
      <c r="D45" s="30">
        <f t="shared" si="2"/>
        <v>545.45454545454538</v>
      </c>
      <c r="E45" s="30">
        <f t="shared" si="0"/>
        <v>54.54545454545454</v>
      </c>
      <c r="F45" s="30">
        <v>600</v>
      </c>
      <c r="G45" s="30">
        <v>50</v>
      </c>
      <c r="H45" s="13">
        <f t="shared" si="1"/>
        <v>550</v>
      </c>
      <c r="I45" s="1" t="s">
        <v>2724</v>
      </c>
      <c r="J45" s="30">
        <v>600</v>
      </c>
      <c r="K45" s="30"/>
      <c r="L45" s="1"/>
      <c r="M45" s="30"/>
      <c r="N45" s="1"/>
      <c r="O45" s="1"/>
    </row>
    <row r="46" spans="1:15" x14ac:dyDescent="0.3">
      <c r="A46" s="41">
        <v>45577</v>
      </c>
      <c r="B46" s="10" t="s">
        <v>2411</v>
      </c>
      <c r="C46" s="10" t="s">
        <v>14</v>
      </c>
      <c r="D46" s="30">
        <f t="shared" si="2"/>
        <v>245.45454545454544</v>
      </c>
      <c r="E46" s="30">
        <f t="shared" si="0"/>
        <v>24.545454545454547</v>
      </c>
      <c r="F46" s="30">
        <v>270</v>
      </c>
      <c r="G46" s="30">
        <v>50</v>
      </c>
      <c r="H46" s="13">
        <f t="shared" si="1"/>
        <v>220</v>
      </c>
      <c r="I46" s="1" t="s">
        <v>2725</v>
      </c>
      <c r="J46" s="30">
        <v>270</v>
      </c>
      <c r="K46" s="30"/>
      <c r="L46" s="1"/>
      <c r="M46" s="30"/>
      <c r="N46" s="1"/>
      <c r="O46" s="1"/>
    </row>
    <row r="47" spans="1:15" x14ac:dyDescent="0.3">
      <c r="A47" s="41">
        <v>45577</v>
      </c>
      <c r="B47" s="10" t="s">
        <v>2412</v>
      </c>
      <c r="C47" s="10" t="s">
        <v>14</v>
      </c>
      <c r="D47" s="30">
        <f t="shared" si="2"/>
        <v>240.90909090909088</v>
      </c>
      <c r="E47" s="30">
        <f t="shared" si="0"/>
        <v>24.09090909090909</v>
      </c>
      <c r="F47" s="30">
        <v>265</v>
      </c>
      <c r="G47" s="30">
        <v>50</v>
      </c>
      <c r="H47" s="13">
        <f t="shared" si="1"/>
        <v>215</v>
      </c>
      <c r="I47" s="1" t="s">
        <v>2726</v>
      </c>
      <c r="J47" s="30">
        <v>220</v>
      </c>
      <c r="K47" s="30"/>
      <c r="L47" s="1"/>
      <c r="M47" s="30">
        <v>45</v>
      </c>
      <c r="N47" s="1" t="s">
        <v>16</v>
      </c>
      <c r="O47" s="1"/>
    </row>
    <row r="48" spans="1:15" x14ac:dyDescent="0.3">
      <c r="A48" s="41">
        <v>45577</v>
      </c>
      <c r="B48" s="10" t="s">
        <v>2413</v>
      </c>
      <c r="C48" s="10" t="s">
        <v>14</v>
      </c>
      <c r="D48" s="30">
        <f t="shared" si="2"/>
        <v>236.36363636363635</v>
      </c>
      <c r="E48" s="30">
        <f t="shared" si="0"/>
        <v>23.636363636363637</v>
      </c>
      <c r="F48" s="30">
        <v>260</v>
      </c>
      <c r="G48" s="30">
        <v>50</v>
      </c>
      <c r="H48" s="13">
        <f t="shared" si="1"/>
        <v>210</v>
      </c>
      <c r="I48" s="1" t="s">
        <v>2727</v>
      </c>
      <c r="J48" s="30">
        <v>270</v>
      </c>
      <c r="K48" s="30">
        <v>40</v>
      </c>
      <c r="L48" s="1" t="s">
        <v>223</v>
      </c>
      <c r="M48" s="30"/>
      <c r="N48" s="1"/>
      <c r="O48" s="1"/>
    </row>
    <row r="49" spans="1:15" x14ac:dyDescent="0.3">
      <c r="A49" s="41">
        <v>45577</v>
      </c>
      <c r="B49" s="10" t="s">
        <v>2414</v>
      </c>
      <c r="C49" s="10" t="s">
        <v>14</v>
      </c>
      <c r="D49" s="30">
        <f t="shared" si="2"/>
        <v>363.63636363636363</v>
      </c>
      <c r="E49" s="30">
        <f t="shared" si="0"/>
        <v>36.36363636363636</v>
      </c>
      <c r="F49" s="30">
        <v>400</v>
      </c>
      <c r="G49" s="30">
        <v>100</v>
      </c>
      <c r="H49" s="13">
        <f t="shared" si="1"/>
        <v>300</v>
      </c>
      <c r="I49" s="1" t="s">
        <v>2728</v>
      </c>
      <c r="J49" s="30">
        <v>400</v>
      </c>
      <c r="K49" s="30"/>
      <c r="L49" s="1"/>
      <c r="M49" s="30"/>
      <c r="N49" s="1"/>
      <c r="O49" s="1"/>
    </row>
    <row r="50" spans="1:15" x14ac:dyDescent="0.3">
      <c r="A50" s="41">
        <v>45577</v>
      </c>
      <c r="B50" s="10" t="s">
        <v>2415</v>
      </c>
      <c r="C50" s="10" t="s">
        <v>14</v>
      </c>
      <c r="D50" s="30">
        <f t="shared" si="2"/>
        <v>736.36363636363626</v>
      </c>
      <c r="E50" s="30">
        <f t="shared" si="0"/>
        <v>73.636363636363626</v>
      </c>
      <c r="F50" s="30">
        <v>810</v>
      </c>
      <c r="G50" s="30">
        <v>100</v>
      </c>
      <c r="H50" s="13">
        <f t="shared" si="1"/>
        <v>710</v>
      </c>
      <c r="I50" s="1" t="s">
        <v>2729</v>
      </c>
      <c r="J50" s="30">
        <v>810</v>
      </c>
      <c r="K50" s="30"/>
      <c r="L50" s="1"/>
      <c r="M50" s="30"/>
      <c r="N50" s="1"/>
      <c r="O50" s="1"/>
    </row>
    <row r="51" spans="1:15" x14ac:dyDescent="0.3">
      <c r="A51" s="41">
        <v>45577</v>
      </c>
      <c r="B51" s="10" t="s">
        <v>2416</v>
      </c>
      <c r="C51" s="10" t="s">
        <v>14</v>
      </c>
      <c r="D51" s="30">
        <f t="shared" si="2"/>
        <v>172.72727272727272</v>
      </c>
      <c r="E51" s="30">
        <f t="shared" si="0"/>
        <v>17.272727272727273</v>
      </c>
      <c r="F51" s="30">
        <v>190</v>
      </c>
      <c r="G51" s="30"/>
      <c r="H51" s="13">
        <f t="shared" si="1"/>
        <v>190</v>
      </c>
      <c r="I51" s="1" t="s">
        <v>2730</v>
      </c>
      <c r="J51" s="30">
        <v>190</v>
      </c>
      <c r="K51" s="30"/>
      <c r="L51" s="1"/>
      <c r="M51" s="30"/>
      <c r="N51" s="1"/>
      <c r="O51" s="1"/>
    </row>
    <row r="52" spans="1:15" x14ac:dyDescent="0.3">
      <c r="A52" s="41">
        <v>45577</v>
      </c>
      <c r="B52" s="10" t="s">
        <v>2417</v>
      </c>
      <c r="C52" s="10" t="s">
        <v>14</v>
      </c>
      <c r="D52" s="30">
        <f t="shared" si="2"/>
        <v>263.63636363636363</v>
      </c>
      <c r="E52" s="30">
        <f t="shared" si="0"/>
        <v>26.36363636363636</v>
      </c>
      <c r="F52" s="30">
        <v>290</v>
      </c>
      <c r="G52" s="30">
        <v>290</v>
      </c>
      <c r="H52" s="13">
        <f t="shared" si="1"/>
        <v>0</v>
      </c>
      <c r="I52" s="1" t="s">
        <v>2731</v>
      </c>
      <c r="J52" s="30">
        <v>270</v>
      </c>
      <c r="K52" s="30"/>
      <c r="L52" s="1"/>
      <c r="M52" s="30"/>
      <c r="N52" s="1"/>
      <c r="O52" s="30"/>
    </row>
    <row r="53" spans="1:15" x14ac:dyDescent="0.3">
      <c r="A53" s="41">
        <v>45577</v>
      </c>
      <c r="B53" s="10" t="s">
        <v>2418</v>
      </c>
      <c r="C53" s="10" t="s">
        <v>14</v>
      </c>
      <c r="D53" s="30">
        <f t="shared" si="2"/>
        <v>172.72727272727272</v>
      </c>
      <c r="E53" s="30">
        <f t="shared" si="0"/>
        <v>17.272727272727273</v>
      </c>
      <c r="F53" s="30">
        <v>190</v>
      </c>
      <c r="G53" s="30">
        <v>50</v>
      </c>
      <c r="H53" s="13">
        <f t="shared" si="1"/>
        <v>140</v>
      </c>
      <c r="I53" s="1" t="s">
        <v>2732</v>
      </c>
      <c r="J53" s="30">
        <v>170</v>
      </c>
      <c r="K53" s="30">
        <v>20</v>
      </c>
      <c r="L53" s="1" t="s">
        <v>223</v>
      </c>
      <c r="M53" s="30"/>
      <c r="N53" s="1"/>
      <c r="O53" s="1"/>
    </row>
    <row r="54" spans="1:15" x14ac:dyDescent="0.3">
      <c r="A54" s="41">
        <v>45577</v>
      </c>
      <c r="B54" s="10" t="s">
        <v>2419</v>
      </c>
      <c r="C54" s="10" t="s">
        <v>14</v>
      </c>
      <c r="D54" s="30">
        <f t="shared" si="2"/>
        <v>172.72727272727272</v>
      </c>
      <c r="E54" s="30">
        <f t="shared" si="0"/>
        <v>17.272727272727273</v>
      </c>
      <c r="F54" s="30">
        <v>190</v>
      </c>
      <c r="G54" s="30">
        <v>50</v>
      </c>
      <c r="H54" s="13">
        <f t="shared" si="1"/>
        <v>140</v>
      </c>
      <c r="I54" s="1" t="s">
        <v>2733</v>
      </c>
      <c r="J54" s="30">
        <v>170</v>
      </c>
      <c r="K54" s="30">
        <v>20</v>
      </c>
      <c r="L54" s="1" t="s">
        <v>223</v>
      </c>
      <c r="M54" s="30"/>
      <c r="N54" s="1"/>
      <c r="O54" s="1"/>
    </row>
    <row r="55" spans="1:15" x14ac:dyDescent="0.3">
      <c r="A55" s="41">
        <v>45577</v>
      </c>
      <c r="B55" s="10" t="s">
        <v>2420</v>
      </c>
      <c r="C55" s="10" t="s">
        <v>14</v>
      </c>
      <c r="D55" s="30">
        <f t="shared" si="2"/>
        <v>190.90909090909091</v>
      </c>
      <c r="E55" s="30">
        <f t="shared" si="0"/>
        <v>19.09090909090909</v>
      </c>
      <c r="F55" s="30">
        <v>210</v>
      </c>
      <c r="G55" s="30">
        <v>50</v>
      </c>
      <c r="H55" s="13">
        <f t="shared" si="1"/>
        <v>160</v>
      </c>
      <c r="I55" s="1" t="s">
        <v>2734</v>
      </c>
      <c r="J55" s="30">
        <v>170</v>
      </c>
      <c r="K55" s="30">
        <v>40</v>
      </c>
      <c r="L55" s="1" t="s">
        <v>223</v>
      </c>
      <c r="M55" s="30"/>
      <c r="N55" s="1"/>
      <c r="O55" s="1"/>
    </row>
    <row r="56" spans="1:15" x14ac:dyDescent="0.3">
      <c r="A56" s="41">
        <v>45577</v>
      </c>
      <c r="B56" s="10" t="s">
        <v>2421</v>
      </c>
      <c r="C56" s="10" t="s">
        <v>14</v>
      </c>
      <c r="D56" s="30">
        <f t="shared" si="2"/>
        <v>154.54545454545453</v>
      </c>
      <c r="E56" s="30">
        <f t="shared" si="0"/>
        <v>15.454545454545453</v>
      </c>
      <c r="F56" s="30">
        <v>170</v>
      </c>
      <c r="G56" s="30">
        <v>50</v>
      </c>
      <c r="H56" s="13">
        <f t="shared" si="1"/>
        <v>120</v>
      </c>
      <c r="I56" s="1" t="s">
        <v>2735</v>
      </c>
      <c r="J56" s="30">
        <v>170</v>
      </c>
      <c r="K56" s="30"/>
      <c r="L56" s="1"/>
      <c r="M56" s="30"/>
      <c r="N56" s="1"/>
      <c r="O56" s="1"/>
    </row>
    <row r="57" spans="1:15" x14ac:dyDescent="0.3">
      <c r="A57" s="41">
        <v>45577</v>
      </c>
      <c r="B57" s="10" t="s">
        <v>2422</v>
      </c>
      <c r="C57" s="10" t="s">
        <v>14</v>
      </c>
      <c r="D57" s="30">
        <f t="shared" si="2"/>
        <v>172.72727272727272</v>
      </c>
      <c r="E57" s="30">
        <f t="shared" si="0"/>
        <v>17.272727272727273</v>
      </c>
      <c r="F57" s="30">
        <v>190</v>
      </c>
      <c r="G57" s="30">
        <v>50</v>
      </c>
      <c r="H57" s="13">
        <f t="shared" si="1"/>
        <v>140</v>
      </c>
      <c r="I57" s="1" t="s">
        <v>2736</v>
      </c>
      <c r="J57" s="30">
        <v>170</v>
      </c>
      <c r="K57" s="30">
        <v>20</v>
      </c>
      <c r="L57" s="1" t="s">
        <v>223</v>
      </c>
      <c r="M57" s="30"/>
      <c r="N57" s="1"/>
      <c r="O57" s="1"/>
    </row>
    <row r="58" spans="1:15" x14ac:dyDescent="0.3">
      <c r="A58" s="41">
        <v>45577</v>
      </c>
      <c r="B58" s="10" t="s">
        <v>2423</v>
      </c>
      <c r="C58" s="10" t="s">
        <v>14</v>
      </c>
      <c r="D58" s="30">
        <f t="shared" si="2"/>
        <v>327.27272727272725</v>
      </c>
      <c r="E58" s="30">
        <f t="shared" si="0"/>
        <v>32.727272727272727</v>
      </c>
      <c r="F58" s="30">
        <v>360</v>
      </c>
      <c r="G58" s="30">
        <v>50</v>
      </c>
      <c r="H58" s="13">
        <f t="shared" si="1"/>
        <v>310</v>
      </c>
      <c r="I58" s="1" t="s">
        <v>2737</v>
      </c>
      <c r="J58" s="30">
        <v>360</v>
      </c>
      <c r="K58" s="30"/>
      <c r="L58" s="1"/>
      <c r="M58" s="30"/>
      <c r="N58" s="1"/>
      <c r="O58" s="1"/>
    </row>
    <row r="59" spans="1:15" x14ac:dyDescent="0.3">
      <c r="A59" s="41">
        <v>45577</v>
      </c>
      <c r="B59" s="10" t="s">
        <v>2424</v>
      </c>
      <c r="C59" s="10" t="s">
        <v>14</v>
      </c>
      <c r="D59" s="30">
        <f t="shared" si="2"/>
        <v>336.36363636363632</v>
      </c>
      <c r="E59" s="30">
        <f t="shared" si="0"/>
        <v>33.636363636363633</v>
      </c>
      <c r="F59" s="30">
        <v>370</v>
      </c>
      <c r="G59" s="30">
        <v>50</v>
      </c>
      <c r="H59" s="13">
        <f t="shared" si="1"/>
        <v>320</v>
      </c>
      <c r="I59" s="1" t="s">
        <v>2738</v>
      </c>
      <c r="J59" s="30">
        <v>370</v>
      </c>
      <c r="K59" s="30"/>
      <c r="L59" s="1"/>
      <c r="M59" s="30"/>
      <c r="N59" s="1"/>
      <c r="O59" s="1"/>
    </row>
    <row r="60" spans="1:15" x14ac:dyDescent="0.3">
      <c r="A60" s="41">
        <v>45577</v>
      </c>
      <c r="B60" s="10" t="s">
        <v>2425</v>
      </c>
      <c r="C60" s="10" t="s">
        <v>14</v>
      </c>
      <c r="D60" s="30">
        <f t="shared" si="2"/>
        <v>154.54545454545453</v>
      </c>
      <c r="E60" s="30">
        <f t="shared" si="0"/>
        <v>15.454545454545453</v>
      </c>
      <c r="F60" s="30">
        <v>170</v>
      </c>
      <c r="G60" s="30">
        <v>170</v>
      </c>
      <c r="H60" s="13">
        <f t="shared" si="1"/>
        <v>0</v>
      </c>
      <c r="I60" s="1" t="s">
        <v>2739</v>
      </c>
      <c r="J60" s="30">
        <v>170</v>
      </c>
      <c r="K60" s="30"/>
      <c r="L60" s="1"/>
      <c r="M60" s="30"/>
      <c r="N60" s="1"/>
      <c r="O60" s="1"/>
    </row>
    <row r="61" spans="1:15" x14ac:dyDescent="0.3">
      <c r="A61" s="41">
        <v>45577</v>
      </c>
      <c r="B61" s="10" t="s">
        <v>2426</v>
      </c>
      <c r="C61" s="10" t="s">
        <v>14</v>
      </c>
      <c r="D61" s="30">
        <f t="shared" si="2"/>
        <v>172.72727272727272</v>
      </c>
      <c r="E61" s="30">
        <f t="shared" si="0"/>
        <v>17.272727272727273</v>
      </c>
      <c r="F61" s="30">
        <v>190</v>
      </c>
      <c r="G61" s="30">
        <v>50</v>
      </c>
      <c r="H61" s="13">
        <f t="shared" si="1"/>
        <v>140</v>
      </c>
      <c r="I61" s="1" t="s">
        <v>2740</v>
      </c>
      <c r="J61" s="30">
        <v>170</v>
      </c>
      <c r="K61" s="30">
        <v>20</v>
      </c>
      <c r="L61" s="1" t="s">
        <v>223</v>
      </c>
      <c r="M61" s="30"/>
      <c r="N61" s="1"/>
      <c r="O61" s="1"/>
    </row>
    <row r="62" spans="1:15" x14ac:dyDescent="0.3">
      <c r="A62" s="41">
        <v>45577</v>
      </c>
      <c r="B62" s="10" t="s">
        <v>2427</v>
      </c>
      <c r="C62" s="10" t="s">
        <v>14</v>
      </c>
      <c r="D62" s="30">
        <f t="shared" si="2"/>
        <v>154.54545454545453</v>
      </c>
      <c r="E62" s="30">
        <f t="shared" si="0"/>
        <v>15.454545454545453</v>
      </c>
      <c r="F62" s="30">
        <v>170</v>
      </c>
      <c r="G62" s="30">
        <v>50</v>
      </c>
      <c r="H62" s="13">
        <f t="shared" si="1"/>
        <v>120</v>
      </c>
      <c r="I62" s="1" t="s">
        <v>2707</v>
      </c>
      <c r="J62" s="30">
        <v>170</v>
      </c>
      <c r="K62" s="30"/>
      <c r="L62" s="1"/>
      <c r="M62" s="30"/>
      <c r="N62" s="1"/>
      <c r="O62" s="1"/>
    </row>
    <row r="63" spans="1:15" x14ac:dyDescent="0.3">
      <c r="A63" s="41">
        <v>45577</v>
      </c>
      <c r="B63" s="10" t="s">
        <v>2428</v>
      </c>
      <c r="C63" s="10" t="s">
        <v>14</v>
      </c>
      <c r="D63" s="30">
        <f t="shared" si="2"/>
        <v>163.63636363636363</v>
      </c>
      <c r="E63" s="30">
        <f t="shared" si="0"/>
        <v>16.363636363636363</v>
      </c>
      <c r="F63" s="30">
        <v>180</v>
      </c>
      <c r="G63" s="30"/>
      <c r="H63" s="13">
        <f t="shared" si="1"/>
        <v>180</v>
      </c>
      <c r="I63" s="1" t="s">
        <v>402</v>
      </c>
      <c r="J63" s="30">
        <v>180</v>
      </c>
      <c r="K63" s="30"/>
      <c r="L63" s="1"/>
      <c r="M63" s="30"/>
      <c r="N63" s="1"/>
      <c r="O63" s="1"/>
    </row>
    <row r="64" spans="1:15" x14ac:dyDescent="0.3">
      <c r="A64" s="41">
        <v>45578</v>
      </c>
      <c r="B64" s="10" t="s">
        <v>2429</v>
      </c>
      <c r="C64" s="10" t="s">
        <v>14</v>
      </c>
      <c r="D64" s="30">
        <f t="shared" si="2"/>
        <v>199.99999999999997</v>
      </c>
      <c r="E64" s="30">
        <f t="shared" si="0"/>
        <v>19.999999999999996</v>
      </c>
      <c r="F64" s="30">
        <v>220</v>
      </c>
      <c r="G64" s="30">
        <v>50</v>
      </c>
      <c r="H64" s="13">
        <f t="shared" si="1"/>
        <v>170</v>
      </c>
      <c r="I64" s="1" t="s">
        <v>2741</v>
      </c>
      <c r="J64" s="30">
        <v>220</v>
      </c>
      <c r="K64" s="30"/>
      <c r="L64" s="1"/>
      <c r="M64" s="30"/>
      <c r="N64" s="1"/>
      <c r="O64" s="1"/>
    </row>
    <row r="65" spans="1:16" x14ac:dyDescent="0.3">
      <c r="A65" s="41">
        <v>45578</v>
      </c>
      <c r="B65" s="10" t="s">
        <v>2430</v>
      </c>
      <c r="C65" s="10" t="s">
        <v>14</v>
      </c>
      <c r="D65" s="30">
        <f t="shared" si="2"/>
        <v>259.09090909090907</v>
      </c>
      <c r="E65" s="30">
        <f t="shared" si="0"/>
        <v>25.909090909090907</v>
      </c>
      <c r="F65" s="30">
        <v>285</v>
      </c>
      <c r="G65" s="30">
        <v>50</v>
      </c>
      <c r="H65" s="13">
        <f t="shared" si="1"/>
        <v>235</v>
      </c>
      <c r="I65" s="1" t="s">
        <v>2742</v>
      </c>
      <c r="J65" s="30">
        <v>220</v>
      </c>
      <c r="K65" s="30">
        <v>20</v>
      </c>
      <c r="L65" s="1" t="s">
        <v>223</v>
      </c>
      <c r="M65" s="30">
        <v>45</v>
      </c>
      <c r="N65" s="1" t="s">
        <v>16</v>
      </c>
      <c r="O65" s="1"/>
    </row>
    <row r="66" spans="1:16" x14ac:dyDescent="0.3">
      <c r="A66" s="41">
        <v>45580</v>
      </c>
      <c r="B66" s="110" t="s">
        <v>2431</v>
      </c>
      <c r="C66" s="10" t="s">
        <v>14</v>
      </c>
      <c r="D66" s="30">
        <f t="shared" si="2"/>
        <v>172.72727272727272</v>
      </c>
      <c r="E66" s="30">
        <f t="shared" si="0"/>
        <v>17.272727272727273</v>
      </c>
      <c r="F66" s="30">
        <v>190</v>
      </c>
      <c r="G66" s="30">
        <v>190</v>
      </c>
      <c r="H66" s="13">
        <f t="shared" si="1"/>
        <v>0</v>
      </c>
      <c r="I66" s="1" t="s">
        <v>366</v>
      </c>
      <c r="J66" s="30">
        <v>190</v>
      </c>
      <c r="K66" s="30"/>
      <c r="L66" s="1"/>
      <c r="M66" s="30"/>
      <c r="N66" s="1"/>
      <c r="O66" s="1"/>
      <c r="P66" t="s">
        <v>2706</v>
      </c>
    </row>
    <row r="67" spans="1:16" x14ac:dyDescent="0.3">
      <c r="A67" s="5">
        <v>45580</v>
      </c>
      <c r="B67" s="10" t="s">
        <v>2432</v>
      </c>
      <c r="C67" s="10" t="s">
        <v>14</v>
      </c>
      <c r="D67" s="30">
        <f t="shared" si="2"/>
        <v>199.99999999999997</v>
      </c>
      <c r="E67" s="30">
        <f t="shared" ref="E67:E130" si="3">D67*10/100</f>
        <v>19.999999999999996</v>
      </c>
      <c r="F67" s="30">
        <v>220</v>
      </c>
      <c r="G67" s="30">
        <v>50</v>
      </c>
      <c r="H67" s="13">
        <f t="shared" ref="H67:H130" si="4">F67-G67</f>
        <v>170</v>
      </c>
      <c r="I67" s="1" t="s">
        <v>2743</v>
      </c>
      <c r="J67" s="30">
        <v>220</v>
      </c>
      <c r="K67" s="30"/>
      <c r="L67" s="1"/>
      <c r="M67" s="30"/>
      <c r="N67" s="1"/>
      <c r="O67" s="1"/>
    </row>
    <row r="68" spans="1:16" x14ac:dyDescent="0.3">
      <c r="A68" s="41">
        <v>45580</v>
      </c>
      <c r="B68" s="10" t="s">
        <v>2433</v>
      </c>
      <c r="C68" s="10" t="s">
        <v>14</v>
      </c>
      <c r="D68" s="30">
        <f t="shared" ref="D68:D131" si="5">F68/1.1</f>
        <v>245.45454545454544</v>
      </c>
      <c r="E68" s="30">
        <f t="shared" si="3"/>
        <v>24.545454545454547</v>
      </c>
      <c r="F68" s="30">
        <v>270</v>
      </c>
      <c r="G68" s="30">
        <v>50</v>
      </c>
      <c r="H68" s="13">
        <f t="shared" si="4"/>
        <v>220</v>
      </c>
      <c r="I68" s="1" t="s">
        <v>2744</v>
      </c>
      <c r="J68" s="30">
        <v>270</v>
      </c>
      <c r="K68" s="30"/>
      <c r="L68" s="1"/>
      <c r="M68" s="30"/>
      <c r="N68" s="1"/>
      <c r="O68" s="1"/>
    </row>
    <row r="69" spans="1:16" x14ac:dyDescent="0.3">
      <c r="A69" s="41">
        <v>45582</v>
      </c>
      <c r="B69" s="10" t="s">
        <v>2434</v>
      </c>
      <c r="C69" s="10" t="s">
        <v>14</v>
      </c>
      <c r="D69" s="30">
        <f t="shared" si="5"/>
        <v>154.54545454545453</v>
      </c>
      <c r="E69" s="30">
        <f t="shared" si="3"/>
        <v>15.454545454545453</v>
      </c>
      <c r="F69" s="30">
        <v>170</v>
      </c>
      <c r="G69" s="30">
        <v>50</v>
      </c>
      <c r="H69" s="13">
        <f t="shared" si="4"/>
        <v>120</v>
      </c>
      <c r="I69" s="1" t="s">
        <v>2745</v>
      </c>
      <c r="J69" s="30">
        <v>170</v>
      </c>
      <c r="K69" s="30"/>
      <c r="L69" s="1"/>
      <c r="M69" s="30"/>
      <c r="N69" s="1"/>
      <c r="O69" s="1"/>
    </row>
    <row r="70" spans="1:16" x14ac:dyDescent="0.3">
      <c r="A70" s="41">
        <v>45399</v>
      </c>
      <c r="B70" s="10" t="s">
        <v>2435</v>
      </c>
      <c r="C70" s="10" t="s">
        <v>14</v>
      </c>
      <c r="D70" s="30">
        <f t="shared" si="5"/>
        <v>245.45454545454544</v>
      </c>
      <c r="E70" s="30">
        <f t="shared" si="3"/>
        <v>24.545454545454547</v>
      </c>
      <c r="F70" s="30">
        <v>270</v>
      </c>
      <c r="G70" s="30">
        <v>270</v>
      </c>
      <c r="H70" s="13">
        <f t="shared" si="4"/>
        <v>0</v>
      </c>
      <c r="I70" s="1" t="s">
        <v>2749</v>
      </c>
      <c r="J70" s="30">
        <v>220</v>
      </c>
      <c r="K70" s="30">
        <v>50</v>
      </c>
      <c r="L70" s="1" t="s">
        <v>223</v>
      </c>
      <c r="M70" s="30"/>
      <c r="N70" s="1"/>
      <c r="O70" s="1"/>
    </row>
    <row r="71" spans="1:16" x14ac:dyDescent="0.3">
      <c r="A71" s="41">
        <v>45583</v>
      </c>
      <c r="B71" s="10" t="s">
        <v>2436</v>
      </c>
      <c r="C71" s="10" t="s">
        <v>14</v>
      </c>
      <c r="D71" s="30">
        <f t="shared" si="5"/>
        <v>395.45454545454544</v>
      </c>
      <c r="E71" s="30">
        <f t="shared" si="3"/>
        <v>39.545454545454547</v>
      </c>
      <c r="F71" s="30">
        <v>435</v>
      </c>
      <c r="G71" s="30">
        <v>435</v>
      </c>
      <c r="H71" s="13">
        <f t="shared" si="4"/>
        <v>0</v>
      </c>
      <c r="I71" s="1" t="s">
        <v>2747</v>
      </c>
      <c r="J71" s="30">
        <v>375</v>
      </c>
      <c r="K71" s="30">
        <v>60</v>
      </c>
      <c r="L71" s="1" t="s">
        <v>223</v>
      </c>
      <c r="M71" s="30"/>
      <c r="N71" s="1"/>
      <c r="O71" s="1"/>
    </row>
    <row r="72" spans="1:16" x14ac:dyDescent="0.3">
      <c r="A72" s="41">
        <v>45583</v>
      </c>
      <c r="B72" s="10" t="s">
        <v>2437</v>
      </c>
      <c r="C72" s="10" t="s">
        <v>14</v>
      </c>
      <c r="D72" s="30">
        <f t="shared" si="5"/>
        <v>281.81818181818181</v>
      </c>
      <c r="E72" s="30">
        <f t="shared" si="3"/>
        <v>28.18181818181818</v>
      </c>
      <c r="F72" s="30">
        <v>310</v>
      </c>
      <c r="G72" s="30">
        <v>50</v>
      </c>
      <c r="H72" s="13">
        <f t="shared" si="4"/>
        <v>260</v>
      </c>
      <c r="I72" s="1" t="s">
        <v>2747</v>
      </c>
      <c r="J72" s="30">
        <v>270</v>
      </c>
      <c r="K72" s="30">
        <v>40</v>
      </c>
      <c r="L72" s="1" t="s">
        <v>223</v>
      </c>
      <c r="M72" s="30"/>
      <c r="N72" s="1"/>
      <c r="O72" s="1"/>
    </row>
    <row r="73" spans="1:16" x14ac:dyDescent="0.3">
      <c r="A73" s="41">
        <v>45583</v>
      </c>
      <c r="B73" s="10" t="s">
        <v>2438</v>
      </c>
      <c r="C73" s="10" t="s">
        <v>14</v>
      </c>
      <c r="D73" s="30">
        <f t="shared" si="5"/>
        <v>245.45454545454544</v>
      </c>
      <c r="E73" s="30">
        <f t="shared" si="3"/>
        <v>24.545454545454547</v>
      </c>
      <c r="F73" s="30">
        <v>270</v>
      </c>
      <c r="G73" s="30">
        <v>50</v>
      </c>
      <c r="H73" s="13">
        <f t="shared" si="4"/>
        <v>220</v>
      </c>
      <c r="I73" s="1" t="s">
        <v>2748</v>
      </c>
      <c r="J73" s="30">
        <v>270</v>
      </c>
      <c r="K73" s="30"/>
      <c r="L73" s="1"/>
      <c r="M73" s="30"/>
      <c r="N73" s="1"/>
      <c r="O73" s="1"/>
    </row>
    <row r="74" spans="1:16" x14ac:dyDescent="0.3">
      <c r="A74" s="41">
        <v>45583</v>
      </c>
      <c r="B74" s="10" t="s">
        <v>2439</v>
      </c>
      <c r="C74" s="10" t="s">
        <v>14</v>
      </c>
      <c r="D74" s="30">
        <f t="shared" si="5"/>
        <v>154.54545454545453</v>
      </c>
      <c r="E74" s="30">
        <f t="shared" si="3"/>
        <v>15.454545454545453</v>
      </c>
      <c r="F74" s="30">
        <v>170</v>
      </c>
      <c r="G74" s="30">
        <v>50</v>
      </c>
      <c r="H74" s="13">
        <f t="shared" si="4"/>
        <v>120</v>
      </c>
      <c r="I74" s="1" t="s">
        <v>2750</v>
      </c>
      <c r="J74" s="30">
        <v>170</v>
      </c>
      <c r="K74" s="30"/>
      <c r="L74" s="1"/>
      <c r="M74" s="30"/>
      <c r="N74" s="1"/>
      <c r="O74" s="1"/>
    </row>
    <row r="75" spans="1:16" x14ac:dyDescent="0.3">
      <c r="A75" s="41">
        <v>45583</v>
      </c>
      <c r="B75" s="10" t="s">
        <v>2440</v>
      </c>
      <c r="C75" s="10" t="s">
        <v>14</v>
      </c>
      <c r="D75" s="30">
        <f t="shared" si="5"/>
        <v>195.45454545454544</v>
      </c>
      <c r="E75" s="30">
        <f t="shared" si="3"/>
        <v>19.545454545454547</v>
      </c>
      <c r="F75" s="30">
        <v>215</v>
      </c>
      <c r="G75" s="30">
        <v>50</v>
      </c>
      <c r="H75" s="13">
        <f t="shared" si="4"/>
        <v>165</v>
      </c>
      <c r="I75" s="1" t="s">
        <v>2751</v>
      </c>
      <c r="J75" s="30">
        <v>170</v>
      </c>
      <c r="K75" s="30"/>
      <c r="L75" s="1"/>
      <c r="M75" s="30">
        <v>45</v>
      </c>
      <c r="N75" s="1" t="s">
        <v>16</v>
      </c>
      <c r="O75" s="1"/>
    </row>
    <row r="76" spans="1:16" x14ac:dyDescent="0.3">
      <c r="A76" s="41">
        <v>45583</v>
      </c>
      <c r="B76" s="10" t="s">
        <v>2441</v>
      </c>
      <c r="C76" s="10" t="s">
        <v>14</v>
      </c>
      <c r="D76" s="30">
        <f t="shared" si="5"/>
        <v>154.54545454545453</v>
      </c>
      <c r="E76" s="30">
        <f t="shared" si="3"/>
        <v>15.454545454545453</v>
      </c>
      <c r="F76" s="30">
        <v>170</v>
      </c>
      <c r="G76" s="30">
        <v>50</v>
      </c>
      <c r="H76" s="13">
        <f t="shared" si="4"/>
        <v>120</v>
      </c>
      <c r="I76" s="1" t="s">
        <v>2752</v>
      </c>
      <c r="J76" s="30">
        <v>170</v>
      </c>
      <c r="K76" s="30"/>
      <c r="L76" s="1"/>
      <c r="M76" s="30"/>
      <c r="N76" s="1"/>
      <c r="O76" s="1"/>
    </row>
    <row r="77" spans="1:16" x14ac:dyDescent="0.3">
      <c r="A77" s="41">
        <v>45583</v>
      </c>
      <c r="B77" s="10" t="s">
        <v>2442</v>
      </c>
      <c r="C77" s="10" t="s">
        <v>14</v>
      </c>
      <c r="D77" s="30">
        <f t="shared" si="5"/>
        <v>154.54545454545453</v>
      </c>
      <c r="E77" s="30">
        <f t="shared" si="3"/>
        <v>15.454545454545453</v>
      </c>
      <c r="F77" s="30">
        <v>170</v>
      </c>
      <c r="G77" s="30">
        <v>50</v>
      </c>
      <c r="H77" s="13">
        <f t="shared" si="4"/>
        <v>120</v>
      </c>
      <c r="I77" s="1" t="s">
        <v>2753</v>
      </c>
      <c r="J77" s="30">
        <v>170</v>
      </c>
      <c r="K77" s="30"/>
      <c r="L77" s="1"/>
      <c r="M77" s="30"/>
      <c r="N77" s="1"/>
      <c r="O77" s="1"/>
    </row>
    <row r="78" spans="1:16" x14ac:dyDescent="0.3">
      <c r="A78" s="41">
        <v>45583</v>
      </c>
      <c r="B78" s="10" t="s">
        <v>2443</v>
      </c>
      <c r="C78" s="10" t="s">
        <v>14</v>
      </c>
      <c r="D78" s="30">
        <f t="shared" si="5"/>
        <v>154.54545454545453</v>
      </c>
      <c r="E78" s="30">
        <f t="shared" si="3"/>
        <v>15.454545454545453</v>
      </c>
      <c r="F78" s="30">
        <v>170</v>
      </c>
      <c r="G78" s="30">
        <v>50</v>
      </c>
      <c r="H78" s="13">
        <f t="shared" si="4"/>
        <v>120</v>
      </c>
      <c r="I78" s="1" t="s">
        <v>2754</v>
      </c>
      <c r="J78" s="30">
        <v>170</v>
      </c>
      <c r="K78" s="30"/>
      <c r="L78" s="1"/>
      <c r="M78" s="30"/>
      <c r="N78" s="1"/>
      <c r="O78" s="1"/>
    </row>
    <row r="79" spans="1:16" x14ac:dyDescent="0.3">
      <c r="A79" s="41">
        <v>45584</v>
      </c>
      <c r="B79" s="10" t="s">
        <v>2555</v>
      </c>
      <c r="C79" s="10" t="s">
        <v>14</v>
      </c>
      <c r="D79" s="30">
        <f t="shared" si="5"/>
        <v>236.36363636363635</v>
      </c>
      <c r="E79" s="30">
        <f t="shared" si="3"/>
        <v>23.636363636363637</v>
      </c>
      <c r="F79" s="30">
        <v>260</v>
      </c>
      <c r="G79" s="30">
        <v>50</v>
      </c>
      <c r="H79" s="13">
        <f t="shared" si="4"/>
        <v>210</v>
      </c>
      <c r="I79" s="1" t="s">
        <v>2755</v>
      </c>
      <c r="J79" s="30">
        <v>220</v>
      </c>
      <c r="K79" s="30">
        <v>40</v>
      </c>
      <c r="L79" s="1" t="s">
        <v>223</v>
      </c>
      <c r="M79" s="30"/>
      <c r="N79" s="1"/>
      <c r="O79" s="1"/>
    </row>
    <row r="80" spans="1:16" x14ac:dyDescent="0.3">
      <c r="A80" s="41">
        <v>45584</v>
      </c>
      <c r="B80" s="10" t="s">
        <v>2556</v>
      </c>
      <c r="C80" s="10" t="s">
        <v>14</v>
      </c>
      <c r="D80" s="30">
        <f t="shared" si="5"/>
        <v>240.90909090909088</v>
      </c>
      <c r="E80" s="30">
        <f t="shared" si="3"/>
        <v>24.09090909090909</v>
      </c>
      <c r="F80" s="30">
        <v>265</v>
      </c>
      <c r="G80" s="30">
        <v>50</v>
      </c>
      <c r="H80" s="13">
        <f t="shared" si="4"/>
        <v>215</v>
      </c>
      <c r="I80" s="1" t="s">
        <v>2756</v>
      </c>
      <c r="J80" s="30">
        <v>220</v>
      </c>
      <c r="K80" s="30"/>
      <c r="L80" s="1"/>
      <c r="M80" s="30">
        <v>45</v>
      </c>
      <c r="N80" s="1" t="s">
        <v>16</v>
      </c>
      <c r="O80" s="1"/>
    </row>
    <row r="81" spans="1:15" x14ac:dyDescent="0.3">
      <c r="A81" s="41">
        <v>45584</v>
      </c>
      <c r="B81" s="10" t="s">
        <v>2557</v>
      </c>
      <c r="C81" s="10" t="s">
        <v>14</v>
      </c>
      <c r="D81" s="30">
        <f t="shared" si="5"/>
        <v>286.36363636363632</v>
      </c>
      <c r="E81" s="30">
        <f t="shared" si="3"/>
        <v>28.63636363636363</v>
      </c>
      <c r="F81" s="30">
        <v>315</v>
      </c>
      <c r="G81" s="30">
        <v>50</v>
      </c>
      <c r="H81" s="13">
        <f t="shared" si="4"/>
        <v>265</v>
      </c>
      <c r="I81" s="1" t="s">
        <v>2757</v>
      </c>
      <c r="J81" s="30">
        <v>270</v>
      </c>
      <c r="K81" s="30"/>
      <c r="L81" s="1"/>
      <c r="M81" s="30">
        <v>45</v>
      </c>
      <c r="N81" s="1" t="s">
        <v>16</v>
      </c>
      <c r="O81" s="1"/>
    </row>
    <row r="82" spans="1:15" x14ac:dyDescent="0.3">
      <c r="A82" s="41">
        <v>45584</v>
      </c>
      <c r="B82" s="10" t="s">
        <v>2558</v>
      </c>
      <c r="C82" s="10" t="s">
        <v>14</v>
      </c>
      <c r="D82" s="30">
        <f t="shared" si="5"/>
        <v>245.45454545454544</v>
      </c>
      <c r="E82" s="30">
        <f t="shared" si="3"/>
        <v>24.545454545454547</v>
      </c>
      <c r="F82" s="30">
        <v>270</v>
      </c>
      <c r="G82" s="30">
        <v>50</v>
      </c>
      <c r="H82" s="13">
        <f t="shared" si="4"/>
        <v>220</v>
      </c>
      <c r="I82" s="1" t="s">
        <v>2758</v>
      </c>
      <c r="J82" s="30">
        <v>270</v>
      </c>
      <c r="K82" s="30"/>
      <c r="L82" s="1"/>
      <c r="M82" s="30"/>
      <c r="N82" s="1"/>
      <c r="O82" s="1"/>
    </row>
    <row r="83" spans="1:15" x14ac:dyDescent="0.3">
      <c r="A83" s="41">
        <v>45584</v>
      </c>
      <c r="B83" s="10" t="s">
        <v>2559</v>
      </c>
      <c r="C83" s="10" t="s">
        <v>14</v>
      </c>
      <c r="D83" s="30">
        <f t="shared" si="5"/>
        <v>240.90909090909088</v>
      </c>
      <c r="E83" s="30">
        <f t="shared" si="3"/>
        <v>24.09090909090909</v>
      </c>
      <c r="F83" s="30">
        <v>265</v>
      </c>
      <c r="G83" s="30">
        <v>50</v>
      </c>
      <c r="H83" s="13">
        <f t="shared" si="4"/>
        <v>215</v>
      </c>
      <c r="I83" s="1" t="s">
        <v>2055</v>
      </c>
      <c r="J83" s="30">
        <v>220</v>
      </c>
      <c r="K83" s="30"/>
      <c r="L83" s="1"/>
      <c r="M83" s="30">
        <v>45</v>
      </c>
      <c r="N83" s="1" t="s">
        <v>16</v>
      </c>
      <c r="O83" s="1"/>
    </row>
    <row r="84" spans="1:15" x14ac:dyDescent="0.3">
      <c r="A84" s="41">
        <v>45584</v>
      </c>
      <c r="B84" s="10" t="s">
        <v>2560</v>
      </c>
      <c r="C84" s="10" t="s">
        <v>14</v>
      </c>
      <c r="D84" s="30">
        <f t="shared" si="5"/>
        <v>163.63636363636363</v>
      </c>
      <c r="E84" s="30">
        <f t="shared" si="3"/>
        <v>16.363636363636363</v>
      </c>
      <c r="F84" s="30">
        <v>180</v>
      </c>
      <c r="G84" s="30"/>
      <c r="H84" s="13">
        <f t="shared" si="4"/>
        <v>180</v>
      </c>
      <c r="I84" s="1" t="s">
        <v>402</v>
      </c>
      <c r="J84" s="30">
        <v>180</v>
      </c>
      <c r="K84" s="30"/>
      <c r="L84" s="1"/>
      <c r="M84" s="30"/>
      <c r="N84" s="1"/>
      <c r="O84" s="1"/>
    </row>
    <row r="85" spans="1:15" x14ac:dyDescent="0.3">
      <c r="A85" s="41">
        <v>45584</v>
      </c>
      <c r="B85" s="10" t="s">
        <v>2561</v>
      </c>
      <c r="C85" s="10" t="s">
        <v>14</v>
      </c>
      <c r="D85" s="30">
        <f t="shared" si="5"/>
        <v>245.45454545454544</v>
      </c>
      <c r="E85" s="30">
        <f t="shared" si="3"/>
        <v>24.545454545454547</v>
      </c>
      <c r="F85" s="30">
        <v>270</v>
      </c>
      <c r="G85" s="30">
        <v>270</v>
      </c>
      <c r="H85" s="13">
        <f t="shared" si="4"/>
        <v>0</v>
      </c>
      <c r="I85" s="1" t="s">
        <v>2759</v>
      </c>
      <c r="J85" s="30">
        <v>220</v>
      </c>
      <c r="K85" s="30">
        <v>50</v>
      </c>
      <c r="L85" s="1" t="s">
        <v>223</v>
      </c>
      <c r="M85" s="30"/>
      <c r="N85" s="1"/>
      <c r="O85" s="1"/>
    </row>
    <row r="86" spans="1:15" x14ac:dyDescent="0.3">
      <c r="A86" s="41">
        <v>45584</v>
      </c>
      <c r="B86" s="10" t="s">
        <v>2562</v>
      </c>
      <c r="C86" s="10" t="s">
        <v>14</v>
      </c>
      <c r="D86" s="30">
        <f t="shared" si="5"/>
        <v>272.72727272727269</v>
      </c>
      <c r="E86" s="30">
        <f t="shared" si="3"/>
        <v>27.27272727272727</v>
      </c>
      <c r="F86" s="30">
        <v>300</v>
      </c>
      <c r="G86" s="30"/>
      <c r="H86" s="13">
        <f t="shared" si="4"/>
        <v>300</v>
      </c>
      <c r="I86" s="1" t="s">
        <v>2760</v>
      </c>
      <c r="J86" s="30">
        <v>300</v>
      </c>
      <c r="K86" s="30"/>
      <c r="L86" s="1"/>
      <c r="M86" s="30"/>
      <c r="N86" s="1"/>
      <c r="O86" s="1"/>
    </row>
    <row r="87" spans="1:15" x14ac:dyDescent="0.3">
      <c r="A87" s="41">
        <v>45584</v>
      </c>
      <c r="B87" s="10" t="s">
        <v>2563</v>
      </c>
      <c r="C87" s="10" t="s">
        <v>14</v>
      </c>
      <c r="D87" s="30">
        <f t="shared" si="5"/>
        <v>172.72727272727272</v>
      </c>
      <c r="E87" s="30">
        <f t="shared" si="3"/>
        <v>17.272727272727273</v>
      </c>
      <c r="F87" s="30">
        <v>190</v>
      </c>
      <c r="G87" s="30">
        <v>50</v>
      </c>
      <c r="H87" s="13">
        <f t="shared" si="4"/>
        <v>140</v>
      </c>
      <c r="I87" s="1" t="s">
        <v>2761</v>
      </c>
      <c r="J87" s="30">
        <v>170</v>
      </c>
      <c r="K87" s="30">
        <v>20</v>
      </c>
      <c r="L87" s="1" t="s">
        <v>223</v>
      </c>
      <c r="M87" s="30"/>
      <c r="N87" s="1"/>
      <c r="O87" s="1"/>
    </row>
    <row r="88" spans="1:15" x14ac:dyDescent="0.3">
      <c r="A88" s="41">
        <v>45584</v>
      </c>
      <c r="B88" s="10" t="s">
        <v>2564</v>
      </c>
      <c r="C88" s="10" t="s">
        <v>14</v>
      </c>
      <c r="D88" s="30">
        <f t="shared" si="5"/>
        <v>181.81818181818181</v>
      </c>
      <c r="E88" s="30">
        <f t="shared" si="3"/>
        <v>18.18181818181818</v>
      </c>
      <c r="F88" s="30">
        <v>200</v>
      </c>
      <c r="G88" s="30">
        <v>50</v>
      </c>
      <c r="H88" s="13">
        <f t="shared" si="4"/>
        <v>150</v>
      </c>
      <c r="I88" s="1" t="s">
        <v>2762</v>
      </c>
      <c r="J88" s="30">
        <v>170</v>
      </c>
      <c r="K88" s="30">
        <v>30</v>
      </c>
      <c r="L88" s="1" t="s">
        <v>223</v>
      </c>
      <c r="M88" s="30"/>
      <c r="N88" s="1"/>
      <c r="O88" s="1"/>
    </row>
    <row r="89" spans="1:15" x14ac:dyDescent="0.3">
      <c r="A89" s="41">
        <v>45584</v>
      </c>
      <c r="B89" s="10" t="s">
        <v>2565</v>
      </c>
      <c r="C89" s="10" t="s">
        <v>14</v>
      </c>
      <c r="D89" s="30">
        <f t="shared" si="5"/>
        <v>172.72727272727272</v>
      </c>
      <c r="E89" s="30">
        <f t="shared" si="3"/>
        <v>17.272727272727273</v>
      </c>
      <c r="F89" s="30">
        <v>190</v>
      </c>
      <c r="G89" s="30">
        <v>50</v>
      </c>
      <c r="H89" s="13">
        <f t="shared" si="4"/>
        <v>140</v>
      </c>
      <c r="I89" s="1" t="s">
        <v>2763</v>
      </c>
      <c r="J89" s="30">
        <v>170</v>
      </c>
      <c r="K89" s="30">
        <v>20</v>
      </c>
      <c r="L89" s="1" t="s">
        <v>223</v>
      </c>
      <c r="M89" s="30"/>
      <c r="N89" s="1"/>
      <c r="O89" s="1"/>
    </row>
    <row r="90" spans="1:15" x14ac:dyDescent="0.3">
      <c r="A90" s="41">
        <v>45584</v>
      </c>
      <c r="B90" s="10" t="s">
        <v>2566</v>
      </c>
      <c r="C90" s="10" t="s">
        <v>14</v>
      </c>
      <c r="D90" s="30">
        <f t="shared" si="5"/>
        <v>190.90909090909091</v>
      </c>
      <c r="E90" s="30">
        <f t="shared" si="3"/>
        <v>19.09090909090909</v>
      </c>
      <c r="F90" s="30">
        <v>210</v>
      </c>
      <c r="G90" s="30">
        <v>50</v>
      </c>
      <c r="H90" s="13">
        <f t="shared" si="4"/>
        <v>160</v>
      </c>
      <c r="I90" s="1" t="s">
        <v>2764</v>
      </c>
      <c r="J90" s="30">
        <v>170</v>
      </c>
      <c r="K90" s="30">
        <v>40</v>
      </c>
      <c r="L90" s="1" t="s">
        <v>223</v>
      </c>
      <c r="M90" s="30"/>
      <c r="N90" s="1"/>
      <c r="O90" s="1"/>
    </row>
    <row r="91" spans="1:15" x14ac:dyDescent="0.3">
      <c r="A91" s="41">
        <v>45584</v>
      </c>
      <c r="B91" s="10" t="s">
        <v>2567</v>
      </c>
      <c r="C91" s="10" t="s">
        <v>14</v>
      </c>
      <c r="D91" s="30">
        <f t="shared" si="5"/>
        <v>127.27272727272727</v>
      </c>
      <c r="E91" s="30">
        <f t="shared" si="3"/>
        <v>12.727272727272727</v>
      </c>
      <c r="F91" s="30">
        <v>140</v>
      </c>
      <c r="G91" s="30">
        <v>50</v>
      </c>
      <c r="H91" s="13">
        <f t="shared" si="4"/>
        <v>90</v>
      </c>
      <c r="I91" s="1" t="s">
        <v>2765</v>
      </c>
      <c r="J91" s="30">
        <v>140</v>
      </c>
      <c r="K91" s="30"/>
      <c r="L91" s="1"/>
      <c r="M91" s="30"/>
      <c r="N91" s="1"/>
      <c r="O91" s="1"/>
    </row>
    <row r="92" spans="1:15" x14ac:dyDescent="0.3">
      <c r="A92" s="41">
        <v>45584</v>
      </c>
      <c r="B92" s="10" t="s">
        <v>2568</v>
      </c>
      <c r="C92" s="10" t="s">
        <v>14</v>
      </c>
      <c r="D92" s="30">
        <f t="shared" si="5"/>
        <v>190.90909090909091</v>
      </c>
      <c r="E92" s="30">
        <f t="shared" si="3"/>
        <v>19.09090909090909</v>
      </c>
      <c r="F92" s="30">
        <v>210</v>
      </c>
      <c r="G92" s="30">
        <v>50</v>
      </c>
      <c r="H92" s="13">
        <f t="shared" si="4"/>
        <v>160</v>
      </c>
      <c r="I92" s="1" t="s">
        <v>2723</v>
      </c>
      <c r="J92" s="30">
        <v>170</v>
      </c>
      <c r="K92" s="30">
        <v>40</v>
      </c>
      <c r="L92" s="1" t="s">
        <v>223</v>
      </c>
      <c r="M92" s="30"/>
      <c r="N92" s="1"/>
      <c r="O92" s="1"/>
    </row>
    <row r="93" spans="1:15" x14ac:dyDescent="0.3">
      <c r="A93" s="41">
        <v>45584</v>
      </c>
      <c r="B93" s="10" t="s">
        <v>2569</v>
      </c>
      <c r="C93" s="10" t="s">
        <v>14</v>
      </c>
      <c r="D93" s="30">
        <f t="shared" si="5"/>
        <v>304.5454545454545</v>
      </c>
      <c r="E93" s="30">
        <f t="shared" si="3"/>
        <v>30.45454545454545</v>
      </c>
      <c r="F93" s="30">
        <v>335</v>
      </c>
      <c r="G93" s="30">
        <v>50</v>
      </c>
      <c r="H93" s="13">
        <f t="shared" si="4"/>
        <v>285</v>
      </c>
      <c r="I93" s="1" t="s">
        <v>2766</v>
      </c>
      <c r="J93" s="30">
        <v>270</v>
      </c>
      <c r="K93" s="30">
        <v>20</v>
      </c>
      <c r="L93" s="1" t="s">
        <v>223</v>
      </c>
      <c r="M93" s="30">
        <v>45</v>
      </c>
      <c r="N93" s="1" t="s">
        <v>16</v>
      </c>
      <c r="O93" s="1"/>
    </row>
    <row r="94" spans="1:15" x14ac:dyDescent="0.3">
      <c r="A94" s="41">
        <v>45584</v>
      </c>
      <c r="B94" s="10" t="s">
        <v>2570</v>
      </c>
      <c r="C94" s="10" t="s">
        <v>14</v>
      </c>
      <c r="D94" s="30">
        <f t="shared" si="5"/>
        <v>199.99999999999997</v>
      </c>
      <c r="E94" s="30">
        <f t="shared" si="3"/>
        <v>19.999999999999996</v>
      </c>
      <c r="F94" s="30">
        <v>220</v>
      </c>
      <c r="G94" s="30">
        <v>50</v>
      </c>
      <c r="H94" s="13">
        <f t="shared" si="4"/>
        <v>170</v>
      </c>
      <c r="I94" s="1" t="s">
        <v>2767</v>
      </c>
      <c r="J94" s="30">
        <v>220</v>
      </c>
      <c r="K94" s="30"/>
      <c r="L94" s="1"/>
      <c r="M94" s="30"/>
      <c r="N94" s="1"/>
      <c r="O94" s="1"/>
    </row>
    <row r="95" spans="1:15" x14ac:dyDescent="0.3">
      <c r="A95" s="41">
        <v>45584</v>
      </c>
      <c r="B95" s="10" t="s">
        <v>2571</v>
      </c>
      <c r="C95" s="10" t="s">
        <v>14</v>
      </c>
      <c r="D95" s="30">
        <f t="shared" si="5"/>
        <v>286.36363636363632</v>
      </c>
      <c r="E95" s="30">
        <f t="shared" si="3"/>
        <v>28.63636363636363</v>
      </c>
      <c r="F95" s="30">
        <v>315</v>
      </c>
      <c r="G95" s="30">
        <v>50</v>
      </c>
      <c r="H95" s="13">
        <f t="shared" si="4"/>
        <v>265</v>
      </c>
      <c r="I95" s="1" t="s">
        <v>2746</v>
      </c>
      <c r="J95" s="30">
        <v>270</v>
      </c>
      <c r="K95" s="30"/>
      <c r="L95" s="1"/>
      <c r="M95" s="30">
        <v>45</v>
      </c>
      <c r="N95" s="1" t="s">
        <v>2769</v>
      </c>
      <c r="O95" s="1"/>
    </row>
    <row r="96" spans="1:15" x14ac:dyDescent="0.3">
      <c r="A96" s="41">
        <v>45584</v>
      </c>
      <c r="B96" s="10" t="s">
        <v>2572</v>
      </c>
      <c r="C96" s="10" t="s">
        <v>14</v>
      </c>
      <c r="D96" s="30">
        <f t="shared" si="5"/>
        <v>199.99999999999997</v>
      </c>
      <c r="E96" s="30">
        <f t="shared" si="3"/>
        <v>19.999999999999996</v>
      </c>
      <c r="F96" s="30">
        <v>220</v>
      </c>
      <c r="G96" s="30">
        <v>50</v>
      </c>
      <c r="H96" s="13">
        <f t="shared" si="4"/>
        <v>170</v>
      </c>
      <c r="I96" s="1" t="s">
        <v>2768</v>
      </c>
      <c r="J96" s="30">
        <v>220</v>
      </c>
      <c r="K96" s="30"/>
      <c r="L96" s="1"/>
      <c r="M96" s="30"/>
      <c r="N96" s="1"/>
      <c r="O96" s="1"/>
    </row>
    <row r="97" spans="1:15" x14ac:dyDescent="0.3">
      <c r="A97" s="41">
        <v>45584</v>
      </c>
      <c r="B97" s="10" t="s">
        <v>2573</v>
      </c>
      <c r="C97" s="10" t="s">
        <v>14</v>
      </c>
      <c r="D97" s="30">
        <f t="shared" si="5"/>
        <v>290.90909090909088</v>
      </c>
      <c r="E97" s="30">
        <f t="shared" si="3"/>
        <v>29.09090909090909</v>
      </c>
      <c r="F97" s="30">
        <v>320</v>
      </c>
      <c r="G97" s="30">
        <v>50</v>
      </c>
      <c r="H97" s="13">
        <f t="shared" si="4"/>
        <v>270</v>
      </c>
      <c r="I97" s="1" t="s">
        <v>2770</v>
      </c>
      <c r="J97" s="30">
        <v>270</v>
      </c>
      <c r="K97" s="30">
        <v>50</v>
      </c>
      <c r="L97" s="1" t="s">
        <v>223</v>
      </c>
      <c r="M97" s="30"/>
      <c r="N97" s="1"/>
      <c r="O97" s="1"/>
    </row>
    <row r="98" spans="1:15" x14ac:dyDescent="0.3">
      <c r="A98" s="41">
        <v>45584</v>
      </c>
      <c r="B98" s="10" t="s">
        <v>2574</v>
      </c>
      <c r="C98" s="10" t="s">
        <v>14</v>
      </c>
      <c r="D98" s="30">
        <f t="shared" si="5"/>
        <v>199.99999999999997</v>
      </c>
      <c r="E98" s="30">
        <f t="shared" si="3"/>
        <v>19.999999999999996</v>
      </c>
      <c r="F98" s="30">
        <v>220</v>
      </c>
      <c r="G98" s="30">
        <v>50</v>
      </c>
      <c r="H98" s="13">
        <f t="shared" si="4"/>
        <v>170</v>
      </c>
      <c r="I98" s="1" t="s">
        <v>2771</v>
      </c>
      <c r="J98" s="30">
        <v>170</v>
      </c>
      <c r="K98" s="30"/>
      <c r="L98" s="1"/>
      <c r="M98" s="30"/>
      <c r="N98" s="1"/>
      <c r="O98" s="1"/>
    </row>
    <row r="99" spans="1:15" x14ac:dyDescent="0.3">
      <c r="A99" s="41">
        <v>45584</v>
      </c>
      <c r="B99" s="10" t="s">
        <v>2575</v>
      </c>
      <c r="C99" s="10" t="s">
        <v>14</v>
      </c>
      <c r="D99" s="30">
        <f t="shared" si="5"/>
        <v>172.72727272727272</v>
      </c>
      <c r="E99" s="30">
        <f t="shared" si="3"/>
        <v>17.272727272727273</v>
      </c>
      <c r="F99" s="30">
        <v>190</v>
      </c>
      <c r="G99" s="30">
        <v>190</v>
      </c>
      <c r="H99" s="13">
        <f t="shared" si="4"/>
        <v>0</v>
      </c>
      <c r="I99" s="1" t="s">
        <v>2772</v>
      </c>
      <c r="J99" s="30">
        <v>190</v>
      </c>
      <c r="K99" s="30"/>
      <c r="L99" s="1"/>
      <c r="M99" s="30"/>
      <c r="N99" s="1"/>
      <c r="O99" s="1"/>
    </row>
    <row r="100" spans="1:15" x14ac:dyDescent="0.3">
      <c r="A100" s="41">
        <v>45584</v>
      </c>
      <c r="B100" s="10" t="s">
        <v>2576</v>
      </c>
      <c r="C100" s="10" t="s">
        <v>14</v>
      </c>
      <c r="D100" s="30">
        <f t="shared" si="5"/>
        <v>154.54545454545453</v>
      </c>
      <c r="E100" s="30">
        <f t="shared" si="3"/>
        <v>15.454545454545453</v>
      </c>
      <c r="F100" s="30">
        <v>170</v>
      </c>
      <c r="G100" s="30">
        <v>50</v>
      </c>
      <c r="H100" s="13">
        <f t="shared" si="4"/>
        <v>120</v>
      </c>
      <c r="I100" s="1" t="s">
        <v>2773</v>
      </c>
      <c r="J100" s="30">
        <v>170</v>
      </c>
      <c r="K100" s="30"/>
      <c r="L100" s="1"/>
      <c r="M100" s="30"/>
      <c r="N100" s="1"/>
      <c r="O100" s="1"/>
    </row>
    <row r="101" spans="1:15" x14ac:dyDescent="0.3">
      <c r="A101" s="41">
        <v>45584</v>
      </c>
      <c r="B101" s="10" t="s">
        <v>2577</v>
      </c>
      <c r="C101" s="10" t="s">
        <v>14</v>
      </c>
      <c r="D101" s="30">
        <f t="shared" si="5"/>
        <v>190.90909090909091</v>
      </c>
      <c r="E101" s="30">
        <f t="shared" si="3"/>
        <v>19.09090909090909</v>
      </c>
      <c r="F101" s="30">
        <v>210</v>
      </c>
      <c r="G101" s="30">
        <v>50</v>
      </c>
      <c r="H101" s="13">
        <f t="shared" si="4"/>
        <v>160</v>
      </c>
      <c r="I101" s="1" t="s">
        <v>2774</v>
      </c>
      <c r="J101" s="30">
        <v>170</v>
      </c>
      <c r="K101" s="30">
        <v>40</v>
      </c>
      <c r="L101" s="1" t="s">
        <v>223</v>
      </c>
      <c r="M101" s="30"/>
      <c r="N101" s="1"/>
      <c r="O101" s="1"/>
    </row>
    <row r="102" spans="1:15" x14ac:dyDescent="0.3">
      <c r="A102" s="41">
        <v>45584</v>
      </c>
      <c r="B102" s="10" t="s">
        <v>2578</v>
      </c>
      <c r="C102" s="10" t="s">
        <v>14</v>
      </c>
      <c r="D102" s="30">
        <f t="shared" si="5"/>
        <v>172.72727272727272</v>
      </c>
      <c r="E102" s="30">
        <f t="shared" si="3"/>
        <v>17.272727272727273</v>
      </c>
      <c r="F102" s="30">
        <v>190</v>
      </c>
      <c r="G102" s="30">
        <v>50</v>
      </c>
      <c r="H102" s="13">
        <f t="shared" si="4"/>
        <v>140</v>
      </c>
      <c r="I102" s="1" t="s">
        <v>2775</v>
      </c>
      <c r="J102" s="30">
        <v>170</v>
      </c>
      <c r="K102" s="30">
        <v>20</v>
      </c>
      <c r="L102" s="1" t="s">
        <v>223</v>
      </c>
      <c r="M102" s="30"/>
      <c r="N102" s="1"/>
      <c r="O102" s="1"/>
    </row>
    <row r="103" spans="1:15" x14ac:dyDescent="0.3">
      <c r="A103" s="41">
        <v>45584</v>
      </c>
      <c r="B103" s="10" t="s">
        <v>2579</v>
      </c>
      <c r="C103" s="10" t="s">
        <v>14</v>
      </c>
      <c r="D103" s="30">
        <f t="shared" si="5"/>
        <v>154.54545454545453</v>
      </c>
      <c r="E103" s="30">
        <f t="shared" si="3"/>
        <v>15.454545454545453</v>
      </c>
      <c r="F103" s="30">
        <v>170</v>
      </c>
      <c r="G103" s="30">
        <v>50</v>
      </c>
      <c r="H103" s="13">
        <f t="shared" si="4"/>
        <v>120</v>
      </c>
      <c r="I103" s="1" t="s">
        <v>2709</v>
      </c>
      <c r="J103" s="30">
        <v>170</v>
      </c>
      <c r="K103" s="30"/>
      <c r="L103" s="1"/>
      <c r="M103" s="30"/>
      <c r="N103" s="1"/>
      <c r="O103" s="1"/>
    </row>
    <row r="104" spans="1:15" x14ac:dyDescent="0.3">
      <c r="A104" s="41">
        <v>45584</v>
      </c>
      <c r="B104" s="10" t="s">
        <v>2580</v>
      </c>
      <c r="C104" s="10" t="s">
        <v>14</v>
      </c>
      <c r="D104" s="30">
        <f t="shared" si="5"/>
        <v>154.54545454545453</v>
      </c>
      <c r="E104" s="30">
        <f t="shared" si="3"/>
        <v>15.454545454545453</v>
      </c>
      <c r="F104" s="30">
        <v>170</v>
      </c>
      <c r="G104" s="30">
        <v>50</v>
      </c>
      <c r="H104" s="13">
        <f t="shared" si="4"/>
        <v>120</v>
      </c>
      <c r="I104" s="1" t="s">
        <v>2776</v>
      </c>
      <c r="J104" s="30">
        <v>170</v>
      </c>
      <c r="K104" s="30"/>
      <c r="L104" s="1"/>
      <c r="M104" s="30"/>
      <c r="N104" s="1"/>
      <c r="O104" s="1"/>
    </row>
    <row r="105" spans="1:15" x14ac:dyDescent="0.3">
      <c r="A105" s="41">
        <v>45584</v>
      </c>
      <c r="B105" s="10" t="s">
        <v>2581</v>
      </c>
      <c r="C105" s="10" t="s">
        <v>14</v>
      </c>
      <c r="D105" s="30">
        <f t="shared" si="5"/>
        <v>154.54545454545453</v>
      </c>
      <c r="E105" s="30">
        <f t="shared" si="3"/>
        <v>15.454545454545453</v>
      </c>
      <c r="F105" s="30">
        <v>170</v>
      </c>
      <c r="G105" s="30">
        <v>50</v>
      </c>
      <c r="H105" s="13">
        <f t="shared" si="4"/>
        <v>120</v>
      </c>
      <c r="I105" s="1" t="s">
        <v>2777</v>
      </c>
      <c r="J105" s="30">
        <v>170</v>
      </c>
      <c r="K105" s="30"/>
      <c r="L105" s="1"/>
      <c r="M105" s="30"/>
      <c r="N105" s="1"/>
      <c r="O105" s="1"/>
    </row>
    <row r="106" spans="1:15" x14ac:dyDescent="0.3">
      <c r="A106" s="41">
        <v>45584</v>
      </c>
      <c r="B106" s="10" t="s">
        <v>2582</v>
      </c>
      <c r="C106" s="10" t="s">
        <v>14</v>
      </c>
      <c r="D106" s="30">
        <f t="shared" si="5"/>
        <v>154.54545454545453</v>
      </c>
      <c r="E106" s="30">
        <f t="shared" si="3"/>
        <v>15.454545454545453</v>
      </c>
      <c r="F106" s="30">
        <v>170</v>
      </c>
      <c r="G106" s="30">
        <v>50</v>
      </c>
      <c r="H106" s="13">
        <f t="shared" si="4"/>
        <v>120</v>
      </c>
      <c r="I106" s="1" t="s">
        <v>2712</v>
      </c>
      <c r="J106" s="30">
        <v>170</v>
      </c>
      <c r="K106" s="30"/>
      <c r="L106" s="1"/>
      <c r="M106" s="30"/>
      <c r="N106" s="1"/>
      <c r="O106" s="1"/>
    </row>
    <row r="107" spans="1:15" x14ac:dyDescent="0.3">
      <c r="A107" s="41">
        <v>45585</v>
      </c>
      <c r="B107" s="10" t="s">
        <v>2583</v>
      </c>
      <c r="C107" s="10" t="s">
        <v>14</v>
      </c>
      <c r="D107" s="30">
        <f t="shared" si="5"/>
        <v>127.27272727272727</v>
      </c>
      <c r="E107" s="30">
        <f t="shared" si="3"/>
        <v>12.727272727272727</v>
      </c>
      <c r="F107" s="30">
        <v>140</v>
      </c>
      <c r="G107" s="30"/>
      <c r="H107" s="13">
        <f t="shared" si="4"/>
        <v>140</v>
      </c>
      <c r="I107" s="1" t="s">
        <v>402</v>
      </c>
      <c r="J107" s="30">
        <v>140</v>
      </c>
      <c r="K107" s="30"/>
      <c r="L107" s="1"/>
      <c r="M107" s="30"/>
      <c r="N107" s="1"/>
      <c r="O107" s="1"/>
    </row>
    <row r="108" spans="1:15" x14ac:dyDescent="0.3">
      <c r="A108" s="41">
        <v>45585</v>
      </c>
      <c r="B108" s="10" t="s">
        <v>2584</v>
      </c>
      <c r="C108" s="10" t="s">
        <v>14</v>
      </c>
      <c r="D108" s="30">
        <f t="shared" si="5"/>
        <v>327.27272727272725</v>
      </c>
      <c r="E108" s="30">
        <f t="shared" si="3"/>
        <v>32.727272727272727</v>
      </c>
      <c r="F108" s="30">
        <v>360</v>
      </c>
      <c r="G108" s="30">
        <v>50</v>
      </c>
      <c r="H108" s="13">
        <f t="shared" si="4"/>
        <v>310</v>
      </c>
      <c r="I108" s="1" t="s">
        <v>2778</v>
      </c>
      <c r="J108" s="30">
        <v>220</v>
      </c>
      <c r="K108" s="30">
        <v>40</v>
      </c>
      <c r="L108" s="1" t="s">
        <v>223</v>
      </c>
      <c r="M108" s="30">
        <v>100</v>
      </c>
      <c r="N108" s="1" t="s">
        <v>2779</v>
      </c>
      <c r="O108" s="1"/>
    </row>
    <row r="109" spans="1:15" x14ac:dyDescent="0.3">
      <c r="A109" s="41">
        <v>45586</v>
      </c>
      <c r="B109" s="10" t="s">
        <v>2585</v>
      </c>
      <c r="C109" s="10" t="s">
        <v>14</v>
      </c>
      <c r="D109" s="30">
        <f t="shared" si="5"/>
        <v>272.72727272727269</v>
      </c>
      <c r="E109" s="30">
        <f t="shared" si="3"/>
        <v>27.27272727272727</v>
      </c>
      <c r="F109" s="30">
        <v>300</v>
      </c>
      <c r="G109" s="30">
        <v>50</v>
      </c>
      <c r="H109" s="13">
        <f t="shared" si="4"/>
        <v>250</v>
      </c>
      <c r="I109" s="1" t="s">
        <v>2780</v>
      </c>
      <c r="J109" s="30">
        <v>220</v>
      </c>
      <c r="K109" s="30">
        <v>80</v>
      </c>
      <c r="L109" s="1" t="s">
        <v>223</v>
      </c>
      <c r="M109" s="30"/>
      <c r="N109" s="1"/>
      <c r="O109" s="1"/>
    </row>
    <row r="110" spans="1:15" x14ac:dyDescent="0.3">
      <c r="A110" s="41">
        <v>45586</v>
      </c>
      <c r="B110" s="10" t="s">
        <v>2586</v>
      </c>
      <c r="C110" s="10" t="s">
        <v>14</v>
      </c>
      <c r="D110" s="30">
        <f t="shared" si="5"/>
        <v>154.54545454545453</v>
      </c>
      <c r="E110" s="30">
        <f t="shared" si="3"/>
        <v>15.454545454545453</v>
      </c>
      <c r="F110" s="30">
        <v>170</v>
      </c>
      <c r="G110" s="30">
        <v>50</v>
      </c>
      <c r="H110" s="13">
        <f t="shared" si="4"/>
        <v>120</v>
      </c>
      <c r="I110" s="1" t="s">
        <v>2781</v>
      </c>
      <c r="J110" s="30">
        <v>170</v>
      </c>
      <c r="K110" s="30"/>
      <c r="L110" s="1"/>
      <c r="M110" s="30"/>
      <c r="N110" s="1"/>
      <c r="O110" s="1"/>
    </row>
    <row r="111" spans="1:15" x14ac:dyDescent="0.3">
      <c r="A111" s="41">
        <v>45619</v>
      </c>
      <c r="B111" s="10" t="s">
        <v>2587</v>
      </c>
      <c r="C111" s="10" t="s">
        <v>14</v>
      </c>
      <c r="D111" s="30">
        <f t="shared" si="5"/>
        <v>304.5454545454545</v>
      </c>
      <c r="E111" s="30">
        <f t="shared" si="3"/>
        <v>30.45454545454545</v>
      </c>
      <c r="F111" s="30">
        <v>335</v>
      </c>
      <c r="G111" s="30">
        <v>50</v>
      </c>
      <c r="H111" s="13">
        <f t="shared" si="4"/>
        <v>285</v>
      </c>
      <c r="I111" s="1" t="s">
        <v>2782</v>
      </c>
      <c r="J111" s="30">
        <v>270</v>
      </c>
      <c r="K111" s="30">
        <v>20</v>
      </c>
      <c r="L111" s="1" t="s">
        <v>223</v>
      </c>
      <c r="M111" s="30">
        <v>45</v>
      </c>
      <c r="N111" s="1" t="s">
        <v>16</v>
      </c>
      <c r="O111" s="1"/>
    </row>
    <row r="112" spans="1:15" x14ac:dyDescent="0.3">
      <c r="A112" s="41">
        <v>45619</v>
      </c>
      <c r="B112" s="10" t="s">
        <v>2588</v>
      </c>
      <c r="C112" s="10" t="s">
        <v>14</v>
      </c>
      <c r="D112" s="30">
        <f t="shared" si="5"/>
        <v>163.63636363636363</v>
      </c>
      <c r="E112" s="30">
        <f t="shared" si="3"/>
        <v>16.363636363636363</v>
      </c>
      <c r="F112" s="30">
        <v>180</v>
      </c>
      <c r="G112" s="30"/>
      <c r="H112" s="13">
        <f t="shared" si="4"/>
        <v>180</v>
      </c>
      <c r="I112" s="1" t="s">
        <v>402</v>
      </c>
      <c r="J112" s="30">
        <v>180</v>
      </c>
      <c r="K112" s="30"/>
      <c r="L112" s="1"/>
      <c r="M112" s="30"/>
      <c r="N112" s="1"/>
      <c r="O112" s="1"/>
    </row>
    <row r="113" spans="1:15" x14ac:dyDescent="0.3">
      <c r="A113" s="41">
        <v>45620</v>
      </c>
      <c r="B113" s="110" t="s">
        <v>2589</v>
      </c>
      <c r="C113" s="10" t="s">
        <v>14</v>
      </c>
      <c r="D113" s="30">
        <f t="shared" si="5"/>
        <v>518.18181818181813</v>
      </c>
      <c r="E113" s="30">
        <f t="shared" si="3"/>
        <v>51.818181818181813</v>
      </c>
      <c r="F113" s="30">
        <v>570</v>
      </c>
      <c r="G113" s="30"/>
      <c r="H113" s="13">
        <f t="shared" si="4"/>
        <v>570</v>
      </c>
      <c r="I113" s="1"/>
      <c r="J113" s="30">
        <v>570</v>
      </c>
      <c r="K113" s="30"/>
      <c r="L113" s="1"/>
      <c r="M113" s="30"/>
      <c r="N113" s="1"/>
      <c r="O113" s="1"/>
    </row>
    <row r="114" spans="1:15" x14ac:dyDescent="0.3">
      <c r="A114" s="41">
        <v>45589</v>
      </c>
      <c r="B114" s="10" t="s">
        <v>2590</v>
      </c>
      <c r="C114" s="10" t="s">
        <v>14</v>
      </c>
      <c r="D114" s="30">
        <f t="shared" si="5"/>
        <v>154.54545454545453</v>
      </c>
      <c r="E114" s="30">
        <f t="shared" si="3"/>
        <v>15.454545454545453</v>
      </c>
      <c r="F114" s="30">
        <v>170</v>
      </c>
      <c r="G114" s="30">
        <v>50</v>
      </c>
      <c r="H114" s="13">
        <f t="shared" si="4"/>
        <v>120</v>
      </c>
      <c r="I114" s="1" t="s">
        <v>2783</v>
      </c>
      <c r="J114" s="30">
        <v>170</v>
      </c>
      <c r="K114" s="30"/>
      <c r="L114" s="1"/>
      <c r="M114" s="30"/>
      <c r="N114" s="1"/>
      <c r="O114" s="1"/>
    </row>
    <row r="115" spans="1:15" x14ac:dyDescent="0.3">
      <c r="A115" s="41">
        <v>45590</v>
      </c>
      <c r="B115" s="10" t="s">
        <v>2591</v>
      </c>
      <c r="C115" s="10" t="s">
        <v>14</v>
      </c>
      <c r="D115" s="30">
        <f t="shared" si="5"/>
        <v>222.72727272727272</v>
      </c>
      <c r="E115" s="30">
        <f t="shared" si="3"/>
        <v>22.27272727272727</v>
      </c>
      <c r="F115" s="30">
        <v>245</v>
      </c>
      <c r="G115" s="30">
        <v>50</v>
      </c>
      <c r="H115" s="13">
        <f t="shared" si="4"/>
        <v>195</v>
      </c>
      <c r="I115" s="1" t="s">
        <v>2784</v>
      </c>
      <c r="J115" s="30">
        <v>170</v>
      </c>
      <c r="K115" s="30">
        <v>30</v>
      </c>
      <c r="L115" s="1" t="s">
        <v>223</v>
      </c>
      <c r="M115" s="30">
        <v>45</v>
      </c>
      <c r="N115" s="1" t="s">
        <v>16</v>
      </c>
      <c r="O115" s="1"/>
    </row>
    <row r="116" spans="1:15" x14ac:dyDescent="0.3">
      <c r="A116" s="41">
        <v>45590</v>
      </c>
      <c r="B116" s="10" t="s">
        <v>2592</v>
      </c>
      <c r="C116" s="10" t="s">
        <v>14</v>
      </c>
      <c r="D116" s="30">
        <f t="shared" si="5"/>
        <v>222.72727272727272</v>
      </c>
      <c r="E116" s="30">
        <f t="shared" si="3"/>
        <v>22.27272727272727</v>
      </c>
      <c r="F116" s="30">
        <v>245</v>
      </c>
      <c r="G116" s="30">
        <v>50</v>
      </c>
      <c r="H116" s="13">
        <f t="shared" si="4"/>
        <v>195</v>
      </c>
      <c r="I116" s="1" t="s">
        <v>2785</v>
      </c>
      <c r="J116" s="30">
        <v>170</v>
      </c>
      <c r="K116" s="30">
        <v>30</v>
      </c>
      <c r="L116" s="1" t="s">
        <v>223</v>
      </c>
      <c r="M116" s="30">
        <v>45</v>
      </c>
      <c r="N116" s="1" t="s">
        <v>16</v>
      </c>
      <c r="O116" s="1"/>
    </row>
    <row r="117" spans="1:15" x14ac:dyDescent="0.3">
      <c r="A117" s="41">
        <v>45590</v>
      </c>
      <c r="B117" s="10" t="s">
        <v>2593</v>
      </c>
      <c r="C117" s="10" t="s">
        <v>14</v>
      </c>
      <c r="D117" s="30">
        <f t="shared" si="5"/>
        <v>163.63636363636363</v>
      </c>
      <c r="E117" s="30">
        <f t="shared" si="3"/>
        <v>16.363636363636363</v>
      </c>
      <c r="F117" s="30">
        <v>180</v>
      </c>
      <c r="G117" s="30"/>
      <c r="H117" s="13">
        <f t="shared" si="4"/>
        <v>180</v>
      </c>
      <c r="I117" s="1" t="s">
        <v>402</v>
      </c>
      <c r="J117" s="30">
        <v>180</v>
      </c>
      <c r="K117" s="30"/>
      <c r="L117" s="1"/>
      <c r="M117" s="30"/>
      <c r="N117" s="1"/>
      <c r="O117" s="1"/>
    </row>
    <row r="118" spans="1:15" x14ac:dyDescent="0.3">
      <c r="A118" s="41">
        <v>45591</v>
      </c>
      <c r="B118" s="10" t="s">
        <v>2594</v>
      </c>
      <c r="C118" s="10" t="s">
        <v>14</v>
      </c>
      <c r="D118" s="30">
        <f t="shared" si="5"/>
        <v>481.81818181818176</v>
      </c>
      <c r="E118" s="30">
        <f t="shared" si="3"/>
        <v>48.18181818181818</v>
      </c>
      <c r="F118" s="30">
        <v>530</v>
      </c>
      <c r="G118" s="30">
        <v>100</v>
      </c>
      <c r="H118" s="13">
        <f t="shared" si="4"/>
        <v>430</v>
      </c>
      <c r="I118" s="1" t="s">
        <v>2786</v>
      </c>
      <c r="J118" s="30">
        <v>530</v>
      </c>
      <c r="K118" s="30"/>
      <c r="L118" s="1"/>
      <c r="M118" s="30"/>
      <c r="N118" s="1"/>
      <c r="O118" s="1"/>
    </row>
    <row r="119" spans="1:15" x14ac:dyDescent="0.3">
      <c r="A119" s="41">
        <v>45591</v>
      </c>
      <c r="B119" s="10" t="s">
        <v>2595</v>
      </c>
      <c r="C119" s="10" t="s">
        <v>14</v>
      </c>
      <c r="D119" s="30">
        <f t="shared" si="5"/>
        <v>245.45454545454544</v>
      </c>
      <c r="E119" s="30">
        <f t="shared" si="3"/>
        <v>24.545454545454547</v>
      </c>
      <c r="F119" s="30">
        <v>270</v>
      </c>
      <c r="G119" s="30">
        <v>50</v>
      </c>
      <c r="H119" s="13">
        <f t="shared" si="4"/>
        <v>220</v>
      </c>
      <c r="I119" s="1" t="s">
        <v>2787</v>
      </c>
      <c r="J119" s="30">
        <v>270</v>
      </c>
      <c r="K119" s="30"/>
      <c r="L119" s="1"/>
      <c r="M119" s="30"/>
      <c r="N119" s="1"/>
      <c r="O119" s="1"/>
    </row>
    <row r="120" spans="1:15" x14ac:dyDescent="0.3">
      <c r="A120" s="41">
        <v>45591</v>
      </c>
      <c r="B120" s="10" t="s">
        <v>2596</v>
      </c>
      <c r="C120" s="10" t="s">
        <v>14</v>
      </c>
      <c r="D120" s="30">
        <f t="shared" si="5"/>
        <v>536.36363636363637</v>
      </c>
      <c r="E120" s="30">
        <f t="shared" si="3"/>
        <v>53.63636363636364</v>
      </c>
      <c r="F120" s="30">
        <v>590</v>
      </c>
      <c r="G120" s="30">
        <v>50</v>
      </c>
      <c r="H120" s="13">
        <f t="shared" si="4"/>
        <v>540</v>
      </c>
      <c r="I120" s="1" t="s">
        <v>2788</v>
      </c>
      <c r="J120" s="30">
        <v>270</v>
      </c>
      <c r="K120" s="30"/>
      <c r="L120" s="1"/>
      <c r="M120" s="30">
        <v>270</v>
      </c>
      <c r="N120" s="1" t="s">
        <v>279</v>
      </c>
      <c r="O120" s="1"/>
    </row>
    <row r="121" spans="1:15" x14ac:dyDescent="0.3">
      <c r="A121" s="41">
        <v>45591</v>
      </c>
      <c r="B121" s="10" t="s">
        <v>2597</v>
      </c>
      <c r="C121" s="10" t="s">
        <v>14</v>
      </c>
      <c r="D121" s="30">
        <f t="shared" si="5"/>
        <v>245.45454545454544</v>
      </c>
      <c r="E121" s="30">
        <f t="shared" si="3"/>
        <v>24.545454545454547</v>
      </c>
      <c r="F121" s="30">
        <v>270</v>
      </c>
      <c r="G121" s="30">
        <v>50</v>
      </c>
      <c r="H121" s="13">
        <f t="shared" si="4"/>
        <v>220</v>
      </c>
      <c r="I121" s="1" t="s">
        <v>2789</v>
      </c>
      <c r="J121" s="30">
        <v>270</v>
      </c>
      <c r="K121" s="30"/>
      <c r="L121" s="1"/>
      <c r="M121" s="30"/>
      <c r="N121" s="1"/>
      <c r="O121" s="1"/>
    </row>
    <row r="122" spans="1:15" x14ac:dyDescent="0.3">
      <c r="A122" s="41">
        <v>45591</v>
      </c>
      <c r="B122" s="10" t="s">
        <v>2598</v>
      </c>
      <c r="C122" s="10" t="s">
        <v>14</v>
      </c>
      <c r="D122" s="30">
        <f t="shared" si="5"/>
        <v>245.45454545454544</v>
      </c>
      <c r="E122" s="30">
        <f t="shared" si="3"/>
        <v>24.545454545454547</v>
      </c>
      <c r="F122" s="30">
        <v>270</v>
      </c>
      <c r="G122" s="30">
        <v>50</v>
      </c>
      <c r="H122" s="13">
        <f t="shared" si="4"/>
        <v>220</v>
      </c>
      <c r="I122" s="1" t="s">
        <v>2790</v>
      </c>
      <c r="J122" s="30">
        <v>270</v>
      </c>
      <c r="K122" s="30"/>
      <c r="L122" s="1"/>
      <c r="M122" s="30"/>
      <c r="N122" s="1"/>
      <c r="O122" s="1"/>
    </row>
    <row r="123" spans="1:15" x14ac:dyDescent="0.3">
      <c r="A123" s="41">
        <v>45591</v>
      </c>
      <c r="B123" s="10" t="s">
        <v>2599</v>
      </c>
      <c r="C123" s="10" t="s">
        <v>14</v>
      </c>
      <c r="D123" s="30">
        <f t="shared" si="5"/>
        <v>154.54545454545453</v>
      </c>
      <c r="E123" s="30">
        <f t="shared" si="3"/>
        <v>15.454545454545453</v>
      </c>
      <c r="F123" s="30">
        <v>170</v>
      </c>
      <c r="G123" s="30">
        <v>50</v>
      </c>
      <c r="H123" s="13">
        <f t="shared" si="4"/>
        <v>120</v>
      </c>
      <c r="I123" s="1" t="s">
        <v>2791</v>
      </c>
      <c r="J123" s="30">
        <v>170</v>
      </c>
      <c r="K123" s="30"/>
      <c r="L123" s="1"/>
      <c r="M123" s="30"/>
      <c r="N123" s="1"/>
      <c r="O123" s="1"/>
    </row>
    <row r="124" spans="1:15" x14ac:dyDescent="0.3">
      <c r="A124" s="41">
        <v>45591</v>
      </c>
      <c r="B124" s="10" t="s">
        <v>2600</v>
      </c>
      <c r="C124" s="10" t="s">
        <v>14</v>
      </c>
      <c r="D124" s="30">
        <f t="shared" si="5"/>
        <v>127.27272727272727</v>
      </c>
      <c r="E124" s="30">
        <f t="shared" si="3"/>
        <v>12.727272727272727</v>
      </c>
      <c r="F124" s="30">
        <v>140</v>
      </c>
      <c r="G124" s="30"/>
      <c r="H124" s="13">
        <f t="shared" si="4"/>
        <v>140</v>
      </c>
      <c r="I124" s="1" t="s">
        <v>402</v>
      </c>
      <c r="J124" s="30">
        <v>140</v>
      </c>
      <c r="K124" s="30"/>
      <c r="L124" s="1"/>
      <c r="M124" s="30"/>
      <c r="N124" s="1"/>
      <c r="O124" s="1"/>
    </row>
    <row r="125" spans="1:15" x14ac:dyDescent="0.3">
      <c r="A125" s="41">
        <v>45591</v>
      </c>
      <c r="B125" s="10" t="s">
        <v>2601</v>
      </c>
      <c r="C125" s="10" t="s">
        <v>14</v>
      </c>
      <c r="D125" s="30">
        <f t="shared" si="5"/>
        <v>190.90909090909091</v>
      </c>
      <c r="E125" s="30">
        <f t="shared" si="3"/>
        <v>19.09090909090909</v>
      </c>
      <c r="F125" s="30">
        <v>210</v>
      </c>
      <c r="G125" s="30">
        <v>210</v>
      </c>
      <c r="H125" s="13">
        <f t="shared" si="4"/>
        <v>0</v>
      </c>
      <c r="I125" s="1" t="s">
        <v>2055</v>
      </c>
      <c r="J125" s="30">
        <v>170</v>
      </c>
      <c r="K125" s="30">
        <v>40</v>
      </c>
      <c r="L125" s="1" t="s">
        <v>223</v>
      </c>
      <c r="M125" s="30"/>
      <c r="N125" s="1"/>
      <c r="O125" s="1"/>
    </row>
    <row r="126" spans="1:15" x14ac:dyDescent="0.3">
      <c r="A126" s="41">
        <v>45591</v>
      </c>
      <c r="B126" s="10" t="s">
        <v>2602</v>
      </c>
      <c r="C126" s="10" t="s">
        <v>14</v>
      </c>
      <c r="D126" s="30">
        <f t="shared" si="5"/>
        <v>154.54545454545453</v>
      </c>
      <c r="E126" s="30">
        <f t="shared" si="3"/>
        <v>15.454545454545453</v>
      </c>
      <c r="F126" s="30">
        <v>170</v>
      </c>
      <c r="G126" s="30">
        <v>50</v>
      </c>
      <c r="H126" s="13">
        <f t="shared" si="4"/>
        <v>120</v>
      </c>
      <c r="I126" s="103" t="s">
        <v>2792</v>
      </c>
      <c r="J126" s="30">
        <v>170</v>
      </c>
      <c r="K126" s="30"/>
      <c r="L126" s="1"/>
      <c r="M126" s="30"/>
      <c r="N126" s="1"/>
      <c r="O126" s="1"/>
    </row>
    <row r="127" spans="1:15" x14ac:dyDescent="0.3">
      <c r="A127" s="41">
        <v>45591</v>
      </c>
      <c r="B127" s="10" t="s">
        <v>2603</v>
      </c>
      <c r="C127" s="10" t="s">
        <v>14</v>
      </c>
      <c r="D127" s="30">
        <f t="shared" si="5"/>
        <v>154.54545454545453</v>
      </c>
      <c r="E127" s="30">
        <f t="shared" si="3"/>
        <v>15.454545454545453</v>
      </c>
      <c r="F127" s="30">
        <v>170</v>
      </c>
      <c r="G127" s="30">
        <v>50</v>
      </c>
      <c r="H127" s="13">
        <f t="shared" si="4"/>
        <v>120</v>
      </c>
      <c r="I127" s="1" t="s">
        <v>2793</v>
      </c>
      <c r="J127" s="30">
        <v>170</v>
      </c>
      <c r="K127" s="30"/>
      <c r="L127" s="1"/>
      <c r="M127" s="30"/>
      <c r="N127" s="1"/>
      <c r="O127" s="1"/>
    </row>
    <row r="128" spans="1:15" x14ac:dyDescent="0.3">
      <c r="A128" s="41">
        <v>45591</v>
      </c>
      <c r="B128" s="10" t="s">
        <v>2604</v>
      </c>
      <c r="C128" s="10" t="s">
        <v>14</v>
      </c>
      <c r="D128" s="30">
        <f t="shared" si="5"/>
        <v>245.45454545454544</v>
      </c>
      <c r="E128" s="30">
        <f t="shared" si="3"/>
        <v>24.545454545454547</v>
      </c>
      <c r="F128" s="30">
        <v>270</v>
      </c>
      <c r="G128" s="30">
        <v>270</v>
      </c>
      <c r="H128" s="13">
        <f t="shared" si="4"/>
        <v>0</v>
      </c>
      <c r="I128" s="1" t="s">
        <v>2794</v>
      </c>
      <c r="J128" s="30">
        <v>270</v>
      </c>
      <c r="K128" s="30"/>
      <c r="L128" s="1"/>
      <c r="M128" s="30"/>
      <c r="N128" s="1"/>
      <c r="O128" s="1"/>
    </row>
    <row r="129" spans="1:15" x14ac:dyDescent="0.3">
      <c r="A129" s="41">
        <v>45591</v>
      </c>
      <c r="B129" s="10" t="s">
        <v>2605</v>
      </c>
      <c r="C129" s="10" t="s">
        <v>14</v>
      </c>
      <c r="D129" s="30">
        <f t="shared" si="5"/>
        <v>199.99999999999997</v>
      </c>
      <c r="E129" s="30">
        <f t="shared" si="3"/>
        <v>19.999999999999996</v>
      </c>
      <c r="F129" s="30">
        <v>220</v>
      </c>
      <c r="G129" s="30"/>
      <c r="H129" s="13">
        <f t="shared" si="4"/>
        <v>220</v>
      </c>
      <c r="I129" s="1" t="s">
        <v>402</v>
      </c>
      <c r="J129" s="30">
        <v>220</v>
      </c>
      <c r="K129" s="30"/>
      <c r="L129" s="1"/>
      <c r="M129" s="30"/>
      <c r="N129" s="1"/>
      <c r="O129" s="1"/>
    </row>
    <row r="130" spans="1:15" x14ac:dyDescent="0.3">
      <c r="A130" s="41">
        <v>45591</v>
      </c>
      <c r="B130" s="10" t="s">
        <v>2606</v>
      </c>
      <c r="C130" s="10" t="s">
        <v>14</v>
      </c>
      <c r="D130" s="30">
        <f t="shared" si="5"/>
        <v>881.81818181818176</v>
      </c>
      <c r="E130" s="30">
        <f t="shared" si="3"/>
        <v>88.181818181818187</v>
      </c>
      <c r="F130" s="30">
        <v>970</v>
      </c>
      <c r="G130" s="30">
        <v>100</v>
      </c>
      <c r="H130" s="13">
        <f t="shared" si="4"/>
        <v>870</v>
      </c>
      <c r="I130" s="1" t="s">
        <v>2055</v>
      </c>
      <c r="J130" s="30">
        <v>970</v>
      </c>
      <c r="K130" s="30"/>
      <c r="L130" s="1"/>
      <c r="M130" s="30"/>
      <c r="N130" s="1"/>
      <c r="O130" s="1"/>
    </row>
    <row r="131" spans="1:15" x14ac:dyDescent="0.3">
      <c r="A131" s="41">
        <v>45591</v>
      </c>
      <c r="B131" s="10" t="s">
        <v>2607</v>
      </c>
      <c r="C131" s="10" t="s">
        <v>14</v>
      </c>
      <c r="D131" s="30">
        <f t="shared" si="5"/>
        <v>245.45454545454544</v>
      </c>
      <c r="E131" s="30">
        <f t="shared" ref="E131:E148" si="6">D131*10/100</f>
        <v>24.545454545454547</v>
      </c>
      <c r="F131" s="30">
        <v>270</v>
      </c>
      <c r="G131" s="30">
        <v>50</v>
      </c>
      <c r="H131" s="13">
        <f t="shared" ref="H131:H148" si="7">F131-G131</f>
        <v>220</v>
      </c>
      <c r="I131" s="1" t="s">
        <v>2795</v>
      </c>
      <c r="J131" s="30">
        <v>270</v>
      </c>
      <c r="K131" s="30"/>
      <c r="L131" s="1"/>
      <c r="M131" s="30"/>
      <c r="N131" s="1"/>
      <c r="O131" s="1"/>
    </row>
    <row r="132" spans="1:15" x14ac:dyDescent="0.3">
      <c r="A132" s="41">
        <v>45591</v>
      </c>
      <c r="B132" s="10" t="s">
        <v>2608</v>
      </c>
      <c r="C132" s="10" t="s">
        <v>14</v>
      </c>
      <c r="D132" s="30">
        <f t="shared" ref="D132:D148" si="8">F132/1.1</f>
        <v>240.90909090909088</v>
      </c>
      <c r="E132" s="30">
        <f t="shared" si="6"/>
        <v>24.09090909090909</v>
      </c>
      <c r="F132" s="30">
        <v>265</v>
      </c>
      <c r="G132" s="30">
        <v>50</v>
      </c>
      <c r="H132" s="13">
        <f t="shared" si="7"/>
        <v>215</v>
      </c>
      <c r="I132" s="1" t="s">
        <v>2796</v>
      </c>
      <c r="J132" s="30">
        <v>220</v>
      </c>
      <c r="K132" s="30"/>
      <c r="L132" s="1"/>
      <c r="M132" s="30">
        <v>45</v>
      </c>
      <c r="N132" s="1" t="s">
        <v>16</v>
      </c>
      <c r="O132" s="1"/>
    </row>
    <row r="133" spans="1:15" x14ac:dyDescent="0.3">
      <c r="A133" s="41">
        <v>45591</v>
      </c>
      <c r="B133" s="10" t="s">
        <v>2609</v>
      </c>
      <c r="C133" s="10" t="s">
        <v>14</v>
      </c>
      <c r="D133" s="30">
        <f t="shared" si="8"/>
        <v>199.99999999999997</v>
      </c>
      <c r="E133" s="30">
        <f t="shared" si="6"/>
        <v>19.999999999999996</v>
      </c>
      <c r="F133" s="30">
        <v>220</v>
      </c>
      <c r="G133" s="30">
        <v>50</v>
      </c>
      <c r="H133" s="13">
        <f t="shared" si="7"/>
        <v>170</v>
      </c>
      <c r="I133" s="1" t="s">
        <v>2797</v>
      </c>
      <c r="J133" s="30">
        <v>220</v>
      </c>
      <c r="K133" s="30"/>
      <c r="L133" s="1"/>
      <c r="M133" s="30"/>
      <c r="N133" s="1"/>
      <c r="O133" s="1"/>
    </row>
    <row r="134" spans="1:15" x14ac:dyDescent="0.3">
      <c r="A134" s="41">
        <v>45591</v>
      </c>
      <c r="B134" s="10" t="s">
        <v>2610</v>
      </c>
      <c r="C134" s="10" t="s">
        <v>14</v>
      </c>
      <c r="D134" s="30">
        <f t="shared" si="8"/>
        <v>245.45454545454544</v>
      </c>
      <c r="E134" s="30">
        <f t="shared" si="6"/>
        <v>24.545454545454547</v>
      </c>
      <c r="F134" s="30">
        <v>270</v>
      </c>
      <c r="G134" s="30">
        <v>50</v>
      </c>
      <c r="H134" s="13">
        <f t="shared" si="7"/>
        <v>220</v>
      </c>
      <c r="I134" s="1" t="s">
        <v>2798</v>
      </c>
      <c r="J134" s="30">
        <v>270</v>
      </c>
      <c r="K134" s="30"/>
      <c r="L134" s="1"/>
      <c r="M134" s="30"/>
      <c r="N134" s="1"/>
      <c r="O134" s="1"/>
    </row>
    <row r="135" spans="1:15" x14ac:dyDescent="0.3">
      <c r="A135" s="41">
        <v>45591</v>
      </c>
      <c r="B135" s="10" t="s">
        <v>2611</v>
      </c>
      <c r="C135" s="10" t="s">
        <v>14</v>
      </c>
      <c r="D135" s="30">
        <f t="shared" si="8"/>
        <v>572.72727272727263</v>
      </c>
      <c r="E135" s="30">
        <f t="shared" si="6"/>
        <v>57.272727272727259</v>
      </c>
      <c r="F135" s="30">
        <v>630</v>
      </c>
      <c r="G135" s="30">
        <v>100</v>
      </c>
      <c r="H135" s="13">
        <f t="shared" si="7"/>
        <v>530</v>
      </c>
      <c r="I135" s="1" t="s">
        <v>2055</v>
      </c>
      <c r="J135" s="30">
        <v>630</v>
      </c>
      <c r="K135" s="30"/>
      <c r="L135" s="1"/>
      <c r="M135" s="30"/>
      <c r="N135" s="1"/>
      <c r="O135" s="1"/>
    </row>
    <row r="136" spans="1:15" x14ac:dyDescent="0.3">
      <c r="A136" s="41">
        <v>45591</v>
      </c>
      <c r="B136" s="10" t="s">
        <v>2612</v>
      </c>
      <c r="C136" s="10" t="s">
        <v>14</v>
      </c>
      <c r="D136" s="30">
        <f t="shared" si="8"/>
        <v>127.27272727272727</v>
      </c>
      <c r="E136" s="30">
        <f t="shared" si="6"/>
        <v>12.727272727272727</v>
      </c>
      <c r="F136" s="30">
        <v>140</v>
      </c>
      <c r="G136" s="30">
        <v>50</v>
      </c>
      <c r="H136" s="13">
        <f t="shared" si="7"/>
        <v>90</v>
      </c>
      <c r="I136" s="1" t="s">
        <v>2799</v>
      </c>
      <c r="J136" s="30">
        <v>140</v>
      </c>
      <c r="K136" s="30"/>
      <c r="L136" s="1"/>
      <c r="M136" s="30"/>
      <c r="N136" s="1"/>
      <c r="O136" s="1"/>
    </row>
    <row r="137" spans="1:15" x14ac:dyDescent="0.3">
      <c r="A137" s="41">
        <v>45591</v>
      </c>
      <c r="B137" s="10" t="s">
        <v>2613</v>
      </c>
      <c r="C137" s="10" t="s">
        <v>14</v>
      </c>
      <c r="D137" s="30">
        <f t="shared" si="8"/>
        <v>154.54545454545453</v>
      </c>
      <c r="E137" s="30">
        <f t="shared" si="6"/>
        <v>15.454545454545453</v>
      </c>
      <c r="F137" s="30">
        <v>170</v>
      </c>
      <c r="G137" s="30"/>
      <c r="H137" s="13">
        <f t="shared" si="7"/>
        <v>170</v>
      </c>
      <c r="I137" s="1" t="s">
        <v>721</v>
      </c>
      <c r="J137" s="30">
        <v>170</v>
      </c>
      <c r="K137" s="30"/>
      <c r="L137" s="1"/>
      <c r="M137" s="30"/>
      <c r="N137" s="1"/>
      <c r="O137" s="1"/>
    </row>
    <row r="138" spans="1:15" x14ac:dyDescent="0.3">
      <c r="A138" s="41">
        <v>45591</v>
      </c>
      <c r="B138" s="10" t="s">
        <v>2614</v>
      </c>
      <c r="C138" s="10" t="s">
        <v>14</v>
      </c>
      <c r="D138" s="30">
        <f t="shared" si="8"/>
        <v>154.54545454545453</v>
      </c>
      <c r="E138" s="30">
        <f t="shared" si="6"/>
        <v>15.454545454545453</v>
      </c>
      <c r="F138" s="30">
        <v>170</v>
      </c>
      <c r="G138" s="30"/>
      <c r="H138" s="13">
        <f t="shared" si="7"/>
        <v>170</v>
      </c>
      <c r="I138" s="1" t="s">
        <v>2800</v>
      </c>
      <c r="J138" s="30">
        <v>170</v>
      </c>
      <c r="K138" s="30"/>
      <c r="L138" s="1"/>
      <c r="M138" s="30"/>
      <c r="N138" s="1"/>
      <c r="O138" s="1"/>
    </row>
    <row r="139" spans="1:15" x14ac:dyDescent="0.3">
      <c r="A139" s="41">
        <v>45591</v>
      </c>
      <c r="B139" s="10" t="s">
        <v>2615</v>
      </c>
      <c r="C139" s="10" t="s">
        <v>14</v>
      </c>
      <c r="D139" s="30">
        <f t="shared" si="8"/>
        <v>195.45454545454544</v>
      </c>
      <c r="E139" s="30">
        <f t="shared" si="6"/>
        <v>19.545454545454547</v>
      </c>
      <c r="F139" s="30">
        <v>215</v>
      </c>
      <c r="G139" s="30">
        <v>50</v>
      </c>
      <c r="H139" s="13">
        <f t="shared" si="7"/>
        <v>165</v>
      </c>
      <c r="I139" s="1" t="s">
        <v>2801</v>
      </c>
      <c r="J139" s="30">
        <v>170</v>
      </c>
      <c r="K139" s="30"/>
      <c r="L139" s="1"/>
      <c r="M139" s="30">
        <v>45</v>
      </c>
      <c r="N139" s="1" t="s">
        <v>16</v>
      </c>
      <c r="O139" s="1"/>
    </row>
    <row r="140" spans="1:15" x14ac:dyDescent="0.3">
      <c r="A140" s="41">
        <v>45591</v>
      </c>
      <c r="B140" s="10" t="s">
        <v>2616</v>
      </c>
      <c r="C140" s="10" t="s">
        <v>14</v>
      </c>
      <c r="D140" s="30">
        <f t="shared" si="8"/>
        <v>172.72727272727272</v>
      </c>
      <c r="E140" s="30">
        <f t="shared" si="6"/>
        <v>17.272727272727273</v>
      </c>
      <c r="F140" s="30">
        <v>190</v>
      </c>
      <c r="G140" s="30">
        <v>50</v>
      </c>
      <c r="H140" s="13">
        <f t="shared" si="7"/>
        <v>140</v>
      </c>
      <c r="I140" s="1" t="s">
        <v>2802</v>
      </c>
      <c r="J140" s="30">
        <v>170</v>
      </c>
      <c r="K140" s="30">
        <v>20</v>
      </c>
      <c r="L140" s="1" t="s">
        <v>223</v>
      </c>
      <c r="M140" s="30"/>
      <c r="N140" s="1"/>
      <c r="O140" s="1"/>
    </row>
    <row r="141" spans="1:15" x14ac:dyDescent="0.3">
      <c r="A141" s="41">
        <v>45592</v>
      </c>
      <c r="B141" s="10" t="s">
        <v>2617</v>
      </c>
      <c r="C141" s="10" t="s">
        <v>14</v>
      </c>
      <c r="D141" s="30">
        <f t="shared" si="8"/>
        <v>127.27272727272727</v>
      </c>
      <c r="E141" s="30">
        <f t="shared" si="6"/>
        <v>12.727272727272727</v>
      </c>
      <c r="F141" s="30">
        <v>140</v>
      </c>
      <c r="G141" s="30"/>
      <c r="H141" s="13">
        <f t="shared" si="7"/>
        <v>140</v>
      </c>
      <c r="I141" s="1" t="s">
        <v>402</v>
      </c>
      <c r="J141" s="30">
        <v>140</v>
      </c>
      <c r="K141" s="30"/>
      <c r="L141" s="1"/>
      <c r="M141" s="30"/>
      <c r="N141" s="1"/>
      <c r="O141" s="1"/>
    </row>
    <row r="142" spans="1:15" x14ac:dyDescent="0.3">
      <c r="A142" s="41">
        <v>45592</v>
      </c>
      <c r="B142" s="10" t="s">
        <v>2618</v>
      </c>
      <c r="C142" s="10" t="s">
        <v>14</v>
      </c>
      <c r="D142" s="30">
        <f t="shared" si="8"/>
        <v>145.45454545454544</v>
      </c>
      <c r="E142" s="30">
        <f t="shared" si="6"/>
        <v>14.545454545454545</v>
      </c>
      <c r="F142" s="30">
        <v>160</v>
      </c>
      <c r="G142" s="30"/>
      <c r="H142" s="13">
        <f t="shared" si="7"/>
        <v>160</v>
      </c>
      <c r="I142" s="1" t="s">
        <v>402</v>
      </c>
      <c r="J142" s="30">
        <v>160</v>
      </c>
      <c r="K142" s="30"/>
      <c r="L142" s="1"/>
      <c r="M142" s="30"/>
      <c r="N142" s="1"/>
      <c r="O142" s="1"/>
    </row>
    <row r="143" spans="1:15" x14ac:dyDescent="0.3">
      <c r="A143" s="41">
        <v>45594</v>
      </c>
      <c r="B143" s="110" t="s">
        <v>2619</v>
      </c>
      <c r="C143" s="10" t="s">
        <v>14</v>
      </c>
      <c r="D143" s="30">
        <f t="shared" si="8"/>
        <v>1090</v>
      </c>
      <c r="E143" s="30">
        <f t="shared" si="6"/>
        <v>109</v>
      </c>
      <c r="F143" s="30">
        <v>1199</v>
      </c>
      <c r="G143" s="30">
        <v>1199</v>
      </c>
      <c r="H143" s="13">
        <f t="shared" si="7"/>
        <v>0</v>
      </c>
      <c r="I143" s="1" t="s">
        <v>2803</v>
      </c>
      <c r="J143" s="30">
        <v>1199</v>
      </c>
      <c r="K143" s="30"/>
      <c r="L143" s="1"/>
      <c r="M143" s="30"/>
      <c r="N143" s="1"/>
      <c r="O143" s="1"/>
    </row>
    <row r="144" spans="1:15" x14ac:dyDescent="0.3">
      <c r="A144" s="41">
        <v>45594</v>
      </c>
      <c r="B144" s="10" t="s">
        <v>2620</v>
      </c>
      <c r="C144" s="10" t="s">
        <v>14</v>
      </c>
      <c r="D144" s="30">
        <f t="shared" si="8"/>
        <v>154.54545454545453</v>
      </c>
      <c r="E144" s="30">
        <f t="shared" si="6"/>
        <v>15.454545454545453</v>
      </c>
      <c r="F144" s="30">
        <v>170</v>
      </c>
      <c r="G144" s="30">
        <v>50</v>
      </c>
      <c r="H144" s="13">
        <f t="shared" si="7"/>
        <v>120</v>
      </c>
      <c r="I144" s="1" t="s">
        <v>2804</v>
      </c>
      <c r="J144" s="30">
        <v>170</v>
      </c>
      <c r="K144" s="30"/>
      <c r="L144" s="1"/>
      <c r="M144" s="30"/>
      <c r="N144" s="1"/>
      <c r="O144" s="1"/>
    </row>
    <row r="145" spans="1:15" x14ac:dyDescent="0.3">
      <c r="A145" s="41">
        <v>45594</v>
      </c>
      <c r="B145" s="10" t="s">
        <v>2621</v>
      </c>
      <c r="C145" s="10" t="s">
        <v>14</v>
      </c>
      <c r="D145" s="30">
        <f t="shared" si="8"/>
        <v>286.36363636363632</v>
      </c>
      <c r="E145" s="30">
        <f t="shared" si="6"/>
        <v>28.63636363636363</v>
      </c>
      <c r="F145" s="30">
        <v>315</v>
      </c>
      <c r="G145" s="30">
        <v>315</v>
      </c>
      <c r="H145" s="13">
        <f t="shared" si="7"/>
        <v>0</v>
      </c>
      <c r="I145" s="1" t="s">
        <v>2805</v>
      </c>
      <c r="J145" s="30">
        <v>270</v>
      </c>
      <c r="K145" s="30"/>
      <c r="L145" s="1"/>
      <c r="M145" s="30">
        <v>45</v>
      </c>
      <c r="N145" s="1" t="s">
        <v>16</v>
      </c>
      <c r="O145" s="1"/>
    </row>
    <row r="146" spans="1:15" x14ac:dyDescent="0.3">
      <c r="A146" s="41">
        <v>45596</v>
      </c>
      <c r="B146" s="10" t="s">
        <v>2622</v>
      </c>
      <c r="C146" s="10" t="s">
        <v>14</v>
      </c>
      <c r="D146" s="30">
        <f t="shared" si="8"/>
        <v>277.27272727272725</v>
      </c>
      <c r="E146" s="30">
        <f t="shared" si="6"/>
        <v>27.727272727272727</v>
      </c>
      <c r="F146" s="30">
        <v>305</v>
      </c>
      <c r="G146" s="30">
        <v>50</v>
      </c>
      <c r="H146" s="13">
        <f t="shared" si="7"/>
        <v>255</v>
      </c>
      <c r="I146" s="1" t="s">
        <v>2806</v>
      </c>
      <c r="J146" s="30">
        <v>260</v>
      </c>
      <c r="K146" s="30"/>
      <c r="L146" s="1"/>
      <c r="M146" s="30">
        <v>45</v>
      </c>
      <c r="N146" s="1" t="s">
        <v>16</v>
      </c>
      <c r="O146" s="1"/>
    </row>
    <row r="147" spans="1:15" x14ac:dyDescent="0.3">
      <c r="A147" s="41">
        <v>45596</v>
      </c>
      <c r="B147" s="10" t="s">
        <v>2623</v>
      </c>
      <c r="C147" s="10" t="s">
        <v>14</v>
      </c>
      <c r="D147" s="30">
        <f t="shared" si="8"/>
        <v>218.18181818181816</v>
      </c>
      <c r="E147" s="30">
        <f t="shared" si="6"/>
        <v>21.818181818181817</v>
      </c>
      <c r="F147" s="30">
        <v>240</v>
      </c>
      <c r="G147" s="30"/>
      <c r="H147" s="13">
        <f t="shared" si="7"/>
        <v>240</v>
      </c>
      <c r="I147" s="1" t="s">
        <v>2807</v>
      </c>
      <c r="J147" s="30">
        <v>240</v>
      </c>
      <c r="K147" s="30"/>
      <c r="L147" s="1"/>
      <c r="M147" s="30"/>
      <c r="N147" s="1"/>
      <c r="O147" s="1"/>
    </row>
    <row r="148" spans="1:15" x14ac:dyDescent="0.3">
      <c r="A148" s="41">
        <v>45596</v>
      </c>
      <c r="B148" s="10" t="s">
        <v>2624</v>
      </c>
      <c r="C148" s="10" t="s">
        <v>14</v>
      </c>
      <c r="D148" s="30">
        <f t="shared" si="8"/>
        <v>127.27272727272727</v>
      </c>
      <c r="E148" s="30">
        <f t="shared" si="6"/>
        <v>12.727272727272727</v>
      </c>
      <c r="F148" s="30">
        <v>140</v>
      </c>
      <c r="G148" s="30"/>
      <c r="H148" s="13">
        <f t="shared" si="7"/>
        <v>140</v>
      </c>
      <c r="I148" s="1" t="s">
        <v>402</v>
      </c>
      <c r="J148" s="30">
        <v>140</v>
      </c>
      <c r="K148" s="30"/>
      <c r="L148" s="1"/>
      <c r="M148" s="30"/>
      <c r="N148" s="1"/>
      <c r="O148" s="1"/>
    </row>
    <row r="149" spans="1:15" x14ac:dyDescent="0.3">
      <c r="G149" s="99">
        <f>SUM(G3:G148)</f>
        <v>9909</v>
      </c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29BF-7F07-454E-84D1-57D8CCCD8685}">
  <dimension ref="A1:O164"/>
  <sheetViews>
    <sheetView topLeftCell="A153" workbookViewId="0">
      <selection activeCell="G3" sqref="G3:G161"/>
    </sheetView>
  </sheetViews>
  <sheetFormatPr baseColWidth="10" defaultRowHeight="14.4" x14ac:dyDescent="0.3"/>
  <cols>
    <col min="2" max="2" width="18.109375" customWidth="1"/>
    <col min="3" max="3" width="37.109375" customWidth="1"/>
    <col min="9" max="9" width="15.5546875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8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4"/>
      <c r="N2" s="117"/>
      <c r="O2" s="114"/>
    </row>
    <row r="3" spans="1:15" x14ac:dyDescent="0.3">
      <c r="A3" s="41">
        <v>45597</v>
      </c>
      <c r="B3" s="10" t="s">
        <v>2625</v>
      </c>
      <c r="C3" s="10" t="s">
        <v>14</v>
      </c>
      <c r="D3" s="30">
        <f>F3/1.1</f>
        <v>190.90909090909091</v>
      </c>
      <c r="E3" s="30">
        <f t="shared" ref="E3:E66" si="0">D3*10/100</f>
        <v>19.09090909090909</v>
      </c>
      <c r="F3" s="30">
        <v>210</v>
      </c>
      <c r="G3" s="30">
        <v>50</v>
      </c>
      <c r="H3" s="13">
        <f t="shared" ref="H3:H66" si="1">F3-G3</f>
        <v>160</v>
      </c>
      <c r="I3" s="1" t="s">
        <v>2890</v>
      </c>
      <c r="J3" s="30">
        <v>170</v>
      </c>
      <c r="K3" s="30">
        <v>40</v>
      </c>
      <c r="L3" s="1" t="s">
        <v>223</v>
      </c>
      <c r="M3" s="1"/>
      <c r="N3" s="1"/>
      <c r="O3" s="1"/>
    </row>
    <row r="4" spans="1:15" x14ac:dyDescent="0.3">
      <c r="A4" s="41">
        <v>45597</v>
      </c>
      <c r="B4" s="10" t="s">
        <v>2626</v>
      </c>
      <c r="C4" s="10" t="s">
        <v>14</v>
      </c>
      <c r="D4" s="30">
        <f t="shared" ref="D4:D67" si="2">F4/1.1</f>
        <v>154.54545454545453</v>
      </c>
      <c r="E4" s="30">
        <f t="shared" si="0"/>
        <v>15.454545454545453</v>
      </c>
      <c r="F4" s="30">
        <v>170</v>
      </c>
      <c r="G4" s="30">
        <v>50</v>
      </c>
      <c r="H4" s="13">
        <f t="shared" si="1"/>
        <v>120</v>
      </c>
      <c r="I4" s="1" t="s">
        <v>2055</v>
      </c>
      <c r="J4" s="30">
        <v>170</v>
      </c>
      <c r="K4" s="30"/>
      <c r="L4" s="1"/>
      <c r="M4" s="30"/>
      <c r="N4" s="1"/>
      <c r="O4" s="1"/>
    </row>
    <row r="5" spans="1:15" x14ac:dyDescent="0.3">
      <c r="A5" s="41">
        <v>45597</v>
      </c>
      <c r="B5" s="10" t="s">
        <v>2627</v>
      </c>
      <c r="C5" s="10" t="s">
        <v>14</v>
      </c>
      <c r="D5" s="30">
        <f t="shared" si="2"/>
        <v>172.72727272727272</v>
      </c>
      <c r="E5" s="30">
        <f t="shared" si="0"/>
        <v>17.272727272727273</v>
      </c>
      <c r="F5" s="30">
        <v>190</v>
      </c>
      <c r="G5" s="30">
        <v>50</v>
      </c>
      <c r="H5" s="13">
        <f t="shared" si="1"/>
        <v>140</v>
      </c>
      <c r="I5" s="1" t="s">
        <v>2891</v>
      </c>
      <c r="J5" s="30">
        <v>170</v>
      </c>
      <c r="K5" s="30">
        <v>20</v>
      </c>
      <c r="L5" s="1" t="s">
        <v>223</v>
      </c>
      <c r="M5" s="30"/>
      <c r="N5" s="1"/>
      <c r="O5" s="1"/>
    </row>
    <row r="6" spans="1:15" x14ac:dyDescent="0.3">
      <c r="A6" s="41">
        <v>45597</v>
      </c>
      <c r="B6" s="10" t="s">
        <v>2628</v>
      </c>
      <c r="C6" s="10" t="s">
        <v>14</v>
      </c>
      <c r="D6" s="30">
        <f t="shared" si="2"/>
        <v>263.63636363636363</v>
      </c>
      <c r="E6" s="30">
        <f t="shared" si="0"/>
        <v>26.36363636363636</v>
      </c>
      <c r="F6" s="30">
        <v>290</v>
      </c>
      <c r="G6" s="30">
        <v>100</v>
      </c>
      <c r="H6" s="13">
        <f t="shared" si="1"/>
        <v>190</v>
      </c>
      <c r="I6" s="1" t="s">
        <v>2892</v>
      </c>
      <c r="J6" s="30">
        <v>270</v>
      </c>
      <c r="K6" s="30">
        <v>20</v>
      </c>
      <c r="L6" s="1" t="s">
        <v>223</v>
      </c>
      <c r="M6" s="30"/>
      <c r="N6" s="1"/>
      <c r="O6" s="1"/>
    </row>
    <row r="7" spans="1:15" x14ac:dyDescent="0.3">
      <c r="A7" s="41">
        <v>45597</v>
      </c>
      <c r="B7" s="10" t="s">
        <v>2629</v>
      </c>
      <c r="C7" s="10" t="s">
        <v>14</v>
      </c>
      <c r="D7" s="30">
        <f t="shared" si="2"/>
        <v>613.63636363636363</v>
      </c>
      <c r="E7" s="30">
        <f t="shared" si="0"/>
        <v>61.36363636363636</v>
      </c>
      <c r="F7" s="30">
        <v>675</v>
      </c>
      <c r="G7" s="30">
        <v>75</v>
      </c>
      <c r="H7" s="13">
        <f t="shared" si="1"/>
        <v>600</v>
      </c>
      <c r="I7" s="1" t="s">
        <v>2893</v>
      </c>
      <c r="J7" s="30">
        <v>570</v>
      </c>
      <c r="K7" s="30">
        <v>60</v>
      </c>
      <c r="L7" s="1" t="s">
        <v>223</v>
      </c>
      <c r="M7" s="30"/>
      <c r="N7" s="1"/>
      <c r="O7" s="1"/>
    </row>
    <row r="8" spans="1:15" x14ac:dyDescent="0.3">
      <c r="A8" s="41">
        <v>45597</v>
      </c>
      <c r="B8" s="10" t="s">
        <v>2630</v>
      </c>
      <c r="C8" s="10" t="s">
        <v>14</v>
      </c>
      <c r="D8" s="30">
        <f t="shared" si="2"/>
        <v>199.99999999999997</v>
      </c>
      <c r="E8" s="30">
        <f t="shared" si="0"/>
        <v>19.999999999999996</v>
      </c>
      <c r="F8" s="30">
        <v>220</v>
      </c>
      <c r="G8" s="30">
        <v>50</v>
      </c>
      <c r="H8" s="13">
        <f t="shared" si="1"/>
        <v>170</v>
      </c>
      <c r="I8" s="1" t="s">
        <v>2894</v>
      </c>
      <c r="J8" s="30">
        <v>220</v>
      </c>
      <c r="K8" s="30"/>
      <c r="L8" s="1"/>
      <c r="M8" s="30"/>
      <c r="N8" s="1"/>
      <c r="O8" s="1"/>
    </row>
    <row r="9" spans="1:15" x14ac:dyDescent="0.3">
      <c r="A9" s="41">
        <v>45597</v>
      </c>
      <c r="B9" s="10" t="s">
        <v>2631</v>
      </c>
      <c r="C9" s="10" t="s">
        <v>14</v>
      </c>
      <c r="D9" s="30">
        <f t="shared" si="2"/>
        <v>199.99999999999997</v>
      </c>
      <c r="E9" s="30">
        <f t="shared" si="0"/>
        <v>19.999999999999996</v>
      </c>
      <c r="F9" s="30">
        <v>220</v>
      </c>
      <c r="G9" s="30">
        <v>50</v>
      </c>
      <c r="H9" s="13">
        <f t="shared" si="1"/>
        <v>170</v>
      </c>
      <c r="I9" s="1" t="s">
        <v>2895</v>
      </c>
      <c r="J9" s="30">
        <v>220</v>
      </c>
      <c r="K9" s="30"/>
      <c r="L9" s="1"/>
      <c r="M9" s="30"/>
      <c r="N9" s="1"/>
      <c r="O9" s="1"/>
    </row>
    <row r="10" spans="1:15" x14ac:dyDescent="0.3">
      <c r="A10" s="41">
        <v>45597</v>
      </c>
      <c r="B10" s="10" t="s">
        <v>2632</v>
      </c>
      <c r="C10" s="10" t="s">
        <v>14</v>
      </c>
      <c r="D10" s="30">
        <f t="shared" si="2"/>
        <v>345.45454545454544</v>
      </c>
      <c r="E10" s="30">
        <f t="shared" si="0"/>
        <v>34.545454545454547</v>
      </c>
      <c r="F10" s="30">
        <v>380</v>
      </c>
      <c r="G10" s="30">
        <v>50</v>
      </c>
      <c r="H10" s="13">
        <f t="shared" si="1"/>
        <v>330</v>
      </c>
      <c r="I10" s="1" t="s">
        <v>2896</v>
      </c>
      <c r="J10" s="30">
        <v>220</v>
      </c>
      <c r="K10" s="30"/>
      <c r="L10" s="1"/>
      <c r="M10" s="30">
        <v>160</v>
      </c>
      <c r="N10" s="1" t="s">
        <v>949</v>
      </c>
      <c r="O10" s="1"/>
    </row>
    <row r="11" spans="1:15" x14ac:dyDescent="0.3">
      <c r="A11" s="41">
        <v>45598</v>
      </c>
      <c r="B11" s="10" t="s">
        <v>2633</v>
      </c>
      <c r="C11" s="10" t="s">
        <v>14</v>
      </c>
      <c r="D11" s="30">
        <f t="shared" si="2"/>
        <v>190.90909090909091</v>
      </c>
      <c r="E11" s="30">
        <f t="shared" si="0"/>
        <v>19.09090909090909</v>
      </c>
      <c r="F11" s="30">
        <v>210</v>
      </c>
      <c r="G11" s="30">
        <v>50</v>
      </c>
      <c r="H11" s="13">
        <f t="shared" si="1"/>
        <v>160</v>
      </c>
      <c r="I11" s="1" t="s">
        <v>2897</v>
      </c>
      <c r="J11" s="30">
        <v>170</v>
      </c>
      <c r="K11" s="30">
        <v>40</v>
      </c>
      <c r="L11" s="1" t="s">
        <v>223</v>
      </c>
      <c r="M11" s="30"/>
      <c r="N11" s="1"/>
      <c r="O11" s="1"/>
    </row>
    <row r="12" spans="1:15" x14ac:dyDescent="0.3">
      <c r="A12" s="41">
        <v>45598</v>
      </c>
      <c r="B12" s="10" t="s">
        <v>2634</v>
      </c>
      <c r="C12" s="10" t="s">
        <v>14</v>
      </c>
      <c r="D12" s="30">
        <f t="shared" si="2"/>
        <v>145.45454545454544</v>
      </c>
      <c r="E12" s="30">
        <f t="shared" si="0"/>
        <v>14.545454545454545</v>
      </c>
      <c r="F12" s="30">
        <v>160</v>
      </c>
      <c r="G12" s="30"/>
      <c r="H12" s="13">
        <f t="shared" si="1"/>
        <v>160</v>
      </c>
      <c r="I12" s="1" t="s">
        <v>402</v>
      </c>
      <c r="J12" s="30">
        <v>160</v>
      </c>
      <c r="K12" s="30"/>
      <c r="L12" s="1"/>
      <c r="M12" s="30"/>
      <c r="N12" s="1"/>
      <c r="O12" s="1"/>
    </row>
    <row r="13" spans="1:15" x14ac:dyDescent="0.3">
      <c r="A13" s="41">
        <v>45598</v>
      </c>
      <c r="B13" s="10" t="s">
        <v>2635</v>
      </c>
      <c r="C13" s="10" t="s">
        <v>14</v>
      </c>
      <c r="D13" s="30">
        <f t="shared" si="2"/>
        <v>172.72727272727272</v>
      </c>
      <c r="E13" s="30">
        <f t="shared" si="0"/>
        <v>17.272727272727273</v>
      </c>
      <c r="F13" s="30">
        <v>190</v>
      </c>
      <c r="G13" s="30">
        <v>50</v>
      </c>
      <c r="H13" s="13">
        <f t="shared" si="1"/>
        <v>140</v>
      </c>
      <c r="I13" s="1" t="s">
        <v>464</v>
      </c>
      <c r="J13" s="30">
        <v>170</v>
      </c>
      <c r="K13" s="30">
        <v>20</v>
      </c>
      <c r="L13" s="1" t="s">
        <v>223</v>
      </c>
      <c r="M13" s="30"/>
      <c r="N13" s="1"/>
      <c r="O13" s="1"/>
    </row>
    <row r="14" spans="1:15" x14ac:dyDescent="0.3">
      <c r="A14" s="41">
        <v>45598</v>
      </c>
      <c r="B14" s="10" t="s">
        <v>2636</v>
      </c>
      <c r="C14" s="10" t="s">
        <v>14</v>
      </c>
      <c r="D14" s="30">
        <f t="shared" si="2"/>
        <v>181.81818181818181</v>
      </c>
      <c r="E14" s="30">
        <f t="shared" si="0"/>
        <v>18.18181818181818</v>
      </c>
      <c r="F14" s="30">
        <v>200</v>
      </c>
      <c r="G14" s="30"/>
      <c r="H14" s="13">
        <f t="shared" si="1"/>
        <v>200</v>
      </c>
      <c r="I14" s="1" t="s">
        <v>402</v>
      </c>
      <c r="J14" s="30">
        <v>200</v>
      </c>
      <c r="K14" s="30"/>
      <c r="L14" s="1"/>
      <c r="M14" s="30"/>
      <c r="N14" s="1"/>
      <c r="O14" s="1"/>
    </row>
    <row r="15" spans="1:15" x14ac:dyDescent="0.3">
      <c r="A15" s="41">
        <v>45598</v>
      </c>
      <c r="B15" s="10" t="s">
        <v>2637</v>
      </c>
      <c r="C15" s="10" t="s">
        <v>14</v>
      </c>
      <c r="D15" s="30">
        <f t="shared" si="2"/>
        <v>199.99999999999997</v>
      </c>
      <c r="E15" s="30">
        <f t="shared" si="0"/>
        <v>19.999999999999996</v>
      </c>
      <c r="F15" s="30">
        <v>220</v>
      </c>
      <c r="G15" s="30">
        <v>50</v>
      </c>
      <c r="H15" s="13">
        <f t="shared" si="1"/>
        <v>170</v>
      </c>
      <c r="I15" s="1" t="s">
        <v>2898</v>
      </c>
      <c r="J15" s="108">
        <v>220</v>
      </c>
      <c r="K15" s="30"/>
      <c r="L15" s="1"/>
      <c r="M15" s="30"/>
      <c r="N15" s="1"/>
      <c r="O15" s="30"/>
    </row>
    <row r="16" spans="1:15" x14ac:dyDescent="0.3">
      <c r="A16" s="41">
        <v>45598</v>
      </c>
      <c r="B16" s="10" t="s">
        <v>2638</v>
      </c>
      <c r="C16" s="10" t="s">
        <v>14</v>
      </c>
      <c r="D16" s="30">
        <f t="shared" si="2"/>
        <v>272.72727272727269</v>
      </c>
      <c r="E16" s="30">
        <f t="shared" si="0"/>
        <v>27.27272727272727</v>
      </c>
      <c r="F16" s="30">
        <v>300</v>
      </c>
      <c r="G16" s="30">
        <v>50</v>
      </c>
      <c r="H16" s="13">
        <f t="shared" si="1"/>
        <v>250</v>
      </c>
      <c r="I16" s="1" t="s">
        <v>2899</v>
      </c>
      <c r="J16" s="30">
        <v>270</v>
      </c>
      <c r="K16" s="30">
        <v>30</v>
      </c>
      <c r="L16" s="1" t="s">
        <v>223</v>
      </c>
      <c r="M16" s="30"/>
      <c r="N16" s="1"/>
      <c r="O16" s="30"/>
    </row>
    <row r="17" spans="1:15" x14ac:dyDescent="0.3">
      <c r="A17" s="41">
        <v>45598</v>
      </c>
      <c r="B17" s="10" t="s">
        <v>2639</v>
      </c>
      <c r="C17" s="10" t="s">
        <v>14</v>
      </c>
      <c r="D17" s="30">
        <f t="shared" si="2"/>
        <v>272.72727272727269</v>
      </c>
      <c r="E17" s="30">
        <f t="shared" si="0"/>
        <v>27.27272727272727</v>
      </c>
      <c r="F17" s="30">
        <v>300</v>
      </c>
      <c r="G17" s="30">
        <v>50</v>
      </c>
      <c r="H17" s="13">
        <f t="shared" si="1"/>
        <v>250</v>
      </c>
      <c r="I17" s="1" t="s">
        <v>2900</v>
      </c>
      <c r="J17" s="30">
        <v>270</v>
      </c>
      <c r="K17" s="30">
        <v>30</v>
      </c>
      <c r="L17" s="1" t="s">
        <v>223</v>
      </c>
      <c r="M17" s="30"/>
      <c r="N17" s="1"/>
      <c r="O17" s="30"/>
    </row>
    <row r="18" spans="1:15" x14ac:dyDescent="0.3">
      <c r="A18" s="41">
        <v>45598</v>
      </c>
      <c r="B18" s="10" t="s">
        <v>2640</v>
      </c>
      <c r="C18" s="10" t="s">
        <v>14</v>
      </c>
      <c r="D18" s="30">
        <f t="shared" si="2"/>
        <v>181.81818181818181</v>
      </c>
      <c r="E18" s="30">
        <f t="shared" si="0"/>
        <v>18.18181818181818</v>
      </c>
      <c r="F18" s="30">
        <v>200</v>
      </c>
      <c r="G18" s="30"/>
      <c r="H18" s="13">
        <f t="shared" si="1"/>
        <v>200</v>
      </c>
      <c r="I18" s="1" t="s">
        <v>402</v>
      </c>
      <c r="J18" s="30">
        <v>200</v>
      </c>
      <c r="K18" s="30"/>
      <c r="L18" s="1"/>
      <c r="M18" s="30"/>
      <c r="N18" s="1"/>
      <c r="O18" s="30"/>
    </row>
    <row r="19" spans="1:15" x14ac:dyDescent="0.3">
      <c r="A19" s="41">
        <v>45598</v>
      </c>
      <c r="B19" s="10" t="s">
        <v>2641</v>
      </c>
      <c r="C19" s="10" t="s">
        <v>14</v>
      </c>
      <c r="D19" s="30">
        <f t="shared" si="2"/>
        <v>363.63636363636363</v>
      </c>
      <c r="E19" s="30">
        <f t="shared" si="0"/>
        <v>36.36363636363636</v>
      </c>
      <c r="F19" s="30">
        <v>400</v>
      </c>
      <c r="G19" s="30">
        <v>50</v>
      </c>
      <c r="H19" s="13">
        <f t="shared" si="1"/>
        <v>350</v>
      </c>
      <c r="I19" s="1" t="s">
        <v>2901</v>
      </c>
      <c r="J19" s="30">
        <v>400</v>
      </c>
      <c r="K19" s="30"/>
      <c r="L19" s="1"/>
      <c r="M19" s="30"/>
      <c r="N19" s="1"/>
      <c r="O19" s="30"/>
    </row>
    <row r="20" spans="1:15" x14ac:dyDescent="0.3">
      <c r="A20" s="41">
        <v>45598</v>
      </c>
      <c r="B20" s="10" t="s">
        <v>2642</v>
      </c>
      <c r="C20" s="10" t="s">
        <v>14</v>
      </c>
      <c r="D20" s="30">
        <f t="shared" si="2"/>
        <v>190.90909090909091</v>
      </c>
      <c r="E20" s="30">
        <f t="shared" si="0"/>
        <v>19.09090909090909</v>
      </c>
      <c r="F20" s="30">
        <v>210</v>
      </c>
      <c r="G20" s="30">
        <v>50</v>
      </c>
      <c r="H20" s="13">
        <f t="shared" si="1"/>
        <v>160</v>
      </c>
      <c r="I20" s="1" t="s">
        <v>2902</v>
      </c>
      <c r="J20" s="30">
        <v>170</v>
      </c>
      <c r="K20" s="30">
        <v>40</v>
      </c>
      <c r="L20" s="1" t="s">
        <v>223</v>
      </c>
      <c r="M20" s="30"/>
      <c r="N20" s="1"/>
      <c r="O20" s="30"/>
    </row>
    <row r="21" spans="1:15" x14ac:dyDescent="0.3">
      <c r="A21" s="41">
        <v>45598</v>
      </c>
      <c r="B21" s="10" t="s">
        <v>2643</v>
      </c>
      <c r="C21" s="10" t="s">
        <v>14</v>
      </c>
      <c r="D21" s="30">
        <f t="shared" si="2"/>
        <v>127.27272727272727</v>
      </c>
      <c r="E21" s="30">
        <f t="shared" si="0"/>
        <v>12.727272727272727</v>
      </c>
      <c r="F21" s="30">
        <v>140</v>
      </c>
      <c r="G21" s="30"/>
      <c r="H21" s="13">
        <f t="shared" si="1"/>
        <v>140</v>
      </c>
      <c r="I21" s="1" t="s">
        <v>402</v>
      </c>
      <c r="J21" s="30">
        <v>140</v>
      </c>
      <c r="K21" s="30"/>
      <c r="L21" s="1"/>
      <c r="M21" s="30"/>
      <c r="N21" s="1"/>
      <c r="O21" s="30"/>
    </row>
    <row r="22" spans="1:15" x14ac:dyDescent="0.3">
      <c r="A22" s="41">
        <v>45598</v>
      </c>
      <c r="B22" s="10" t="s">
        <v>2644</v>
      </c>
      <c r="C22" s="10" t="s">
        <v>14</v>
      </c>
      <c r="D22" s="30">
        <f t="shared" si="2"/>
        <v>195.45454545454544</v>
      </c>
      <c r="E22" s="30">
        <f t="shared" si="0"/>
        <v>19.545454545454547</v>
      </c>
      <c r="F22" s="30">
        <v>215</v>
      </c>
      <c r="G22" s="30">
        <v>50</v>
      </c>
      <c r="H22" s="13">
        <f t="shared" si="1"/>
        <v>165</v>
      </c>
      <c r="I22" s="103" t="s">
        <v>2903</v>
      </c>
      <c r="J22" s="30">
        <v>170</v>
      </c>
      <c r="K22" s="30"/>
      <c r="L22" s="1"/>
      <c r="M22" s="30">
        <v>45</v>
      </c>
      <c r="N22" s="1" t="s">
        <v>16</v>
      </c>
      <c r="O22" s="1"/>
    </row>
    <row r="23" spans="1:15" x14ac:dyDescent="0.3">
      <c r="A23" s="41">
        <v>45598</v>
      </c>
      <c r="B23" s="10" t="s">
        <v>2645</v>
      </c>
      <c r="C23" s="10" t="s">
        <v>14</v>
      </c>
      <c r="D23" s="30">
        <f t="shared" si="2"/>
        <v>172.72727272727272</v>
      </c>
      <c r="E23" s="30">
        <f t="shared" si="0"/>
        <v>17.272727272727273</v>
      </c>
      <c r="F23" s="30">
        <v>190</v>
      </c>
      <c r="G23" s="30">
        <v>50</v>
      </c>
      <c r="H23" s="13">
        <f t="shared" si="1"/>
        <v>140</v>
      </c>
      <c r="I23" s="1" t="s">
        <v>2904</v>
      </c>
      <c r="J23" s="30">
        <v>170</v>
      </c>
      <c r="K23" s="30">
        <v>20</v>
      </c>
      <c r="L23" s="1" t="s">
        <v>223</v>
      </c>
      <c r="M23" s="30"/>
      <c r="N23" s="1"/>
      <c r="O23" s="1"/>
    </row>
    <row r="24" spans="1:15" x14ac:dyDescent="0.3">
      <c r="A24" s="41">
        <v>45600</v>
      </c>
      <c r="B24" s="10" t="s">
        <v>2646</v>
      </c>
      <c r="C24" s="10" t="s">
        <v>14</v>
      </c>
      <c r="D24" s="30">
        <f t="shared" si="2"/>
        <v>154.54545454545453</v>
      </c>
      <c r="E24" s="30">
        <f t="shared" si="0"/>
        <v>15.454545454545453</v>
      </c>
      <c r="F24" s="30">
        <v>170</v>
      </c>
      <c r="G24" s="30">
        <v>50</v>
      </c>
      <c r="H24" s="13">
        <f t="shared" si="1"/>
        <v>120</v>
      </c>
      <c r="I24" s="1" t="s">
        <v>2905</v>
      </c>
      <c r="J24" s="30">
        <v>170</v>
      </c>
      <c r="K24" s="30"/>
      <c r="L24" s="1"/>
      <c r="M24" s="30"/>
      <c r="N24" s="1"/>
      <c r="O24" s="1"/>
    </row>
    <row r="25" spans="1:15" x14ac:dyDescent="0.3">
      <c r="A25" s="41">
        <v>45600</v>
      </c>
      <c r="B25" s="10" t="s">
        <v>2647</v>
      </c>
      <c r="C25" s="10" t="s">
        <v>14</v>
      </c>
      <c r="D25" s="30">
        <f t="shared" si="2"/>
        <v>154.54545454545453</v>
      </c>
      <c r="E25" s="30">
        <f t="shared" si="0"/>
        <v>15.454545454545453</v>
      </c>
      <c r="F25" s="30">
        <v>170</v>
      </c>
      <c r="G25" s="30">
        <v>50</v>
      </c>
      <c r="H25" s="13">
        <f t="shared" si="1"/>
        <v>120</v>
      </c>
      <c r="I25" s="1" t="s">
        <v>2906</v>
      </c>
      <c r="J25" s="30">
        <v>170</v>
      </c>
      <c r="K25" s="30"/>
      <c r="L25" s="1"/>
      <c r="M25" s="30"/>
      <c r="N25" s="1"/>
      <c r="O25" s="1"/>
    </row>
    <row r="26" spans="1:15" x14ac:dyDescent="0.3">
      <c r="A26" s="41">
        <v>45602</v>
      </c>
      <c r="B26" s="10" t="s">
        <v>2648</v>
      </c>
      <c r="C26" s="10" t="s">
        <v>14</v>
      </c>
      <c r="D26" s="30">
        <f t="shared" si="2"/>
        <v>154.54545454545453</v>
      </c>
      <c r="E26" s="30">
        <f t="shared" si="0"/>
        <v>15.454545454545453</v>
      </c>
      <c r="F26" s="30">
        <v>170</v>
      </c>
      <c r="G26" s="30">
        <v>70</v>
      </c>
      <c r="H26" s="13">
        <f t="shared" si="1"/>
        <v>100</v>
      </c>
      <c r="I26" s="1" t="s">
        <v>2907</v>
      </c>
      <c r="J26" s="30">
        <v>170</v>
      </c>
      <c r="K26" s="30"/>
      <c r="L26" s="1"/>
      <c r="M26" s="30"/>
      <c r="N26" s="1"/>
      <c r="O26" s="1"/>
    </row>
    <row r="27" spans="1:15" x14ac:dyDescent="0.3">
      <c r="A27" s="41">
        <v>45602</v>
      </c>
      <c r="B27" s="10" t="s">
        <v>2649</v>
      </c>
      <c r="C27" s="10" t="s">
        <v>14</v>
      </c>
      <c r="D27" s="30">
        <f t="shared" si="2"/>
        <v>172.72727272727272</v>
      </c>
      <c r="E27" s="30">
        <f t="shared" si="0"/>
        <v>17.272727272727273</v>
      </c>
      <c r="F27" s="30">
        <v>190</v>
      </c>
      <c r="G27" s="30">
        <v>50</v>
      </c>
      <c r="H27" s="13">
        <f t="shared" si="1"/>
        <v>140</v>
      </c>
      <c r="I27" s="1" t="s">
        <v>2908</v>
      </c>
      <c r="J27" s="30">
        <v>170</v>
      </c>
      <c r="K27" s="30">
        <v>20</v>
      </c>
      <c r="L27" s="1" t="s">
        <v>223</v>
      </c>
      <c r="M27" s="30"/>
      <c r="N27" s="1"/>
      <c r="O27" s="1"/>
    </row>
    <row r="28" spans="1:15" x14ac:dyDescent="0.3">
      <c r="A28" s="41">
        <v>45603</v>
      </c>
      <c r="B28" s="10" t="s">
        <v>2650</v>
      </c>
      <c r="C28" s="10" t="s">
        <v>14</v>
      </c>
      <c r="D28" s="30">
        <f t="shared" si="2"/>
        <v>163.63636363636363</v>
      </c>
      <c r="E28" s="30">
        <f t="shared" si="0"/>
        <v>16.363636363636363</v>
      </c>
      <c r="F28" s="30">
        <v>180</v>
      </c>
      <c r="G28" s="30"/>
      <c r="H28" s="13">
        <f t="shared" si="1"/>
        <v>180</v>
      </c>
      <c r="I28" s="1" t="s">
        <v>402</v>
      </c>
      <c r="J28" s="30">
        <v>180</v>
      </c>
      <c r="K28" s="30"/>
      <c r="L28" s="1"/>
      <c r="M28" s="30"/>
      <c r="N28" s="1"/>
      <c r="O28" s="1"/>
    </row>
    <row r="29" spans="1:15" x14ac:dyDescent="0.3">
      <c r="A29" s="41">
        <v>45604</v>
      </c>
      <c r="B29" s="10" t="s">
        <v>2651</v>
      </c>
      <c r="C29" s="10" t="s">
        <v>14</v>
      </c>
      <c r="D29" s="30">
        <f t="shared" si="2"/>
        <v>154.54545454545453</v>
      </c>
      <c r="E29" s="30">
        <f t="shared" si="0"/>
        <v>15.454545454545453</v>
      </c>
      <c r="F29" s="30">
        <v>170</v>
      </c>
      <c r="G29" s="30">
        <v>50</v>
      </c>
      <c r="H29" s="13">
        <f t="shared" si="1"/>
        <v>120</v>
      </c>
      <c r="I29" s="1" t="s">
        <v>2909</v>
      </c>
      <c r="J29" s="30">
        <v>170</v>
      </c>
      <c r="K29" s="30"/>
      <c r="L29" s="1"/>
      <c r="M29" s="30"/>
      <c r="N29" s="1"/>
      <c r="O29" s="1"/>
    </row>
    <row r="30" spans="1:15" x14ac:dyDescent="0.3">
      <c r="A30" s="41">
        <v>45604</v>
      </c>
      <c r="B30" s="10" t="s">
        <v>2652</v>
      </c>
      <c r="C30" s="10" t="s">
        <v>14</v>
      </c>
      <c r="D30" s="30">
        <f t="shared" si="2"/>
        <v>127.27272727272727</v>
      </c>
      <c r="E30" s="30">
        <f t="shared" si="0"/>
        <v>12.727272727272727</v>
      </c>
      <c r="F30" s="30">
        <v>140</v>
      </c>
      <c r="G30" s="30"/>
      <c r="H30" s="13">
        <f t="shared" si="1"/>
        <v>140</v>
      </c>
      <c r="I30" s="1" t="s">
        <v>402</v>
      </c>
      <c r="J30" s="30">
        <v>140</v>
      </c>
      <c r="K30" s="30"/>
      <c r="L30" s="1"/>
      <c r="M30" s="30"/>
      <c r="N30" s="1"/>
      <c r="O30" s="1"/>
    </row>
    <row r="31" spans="1:15" x14ac:dyDescent="0.3">
      <c r="A31" s="41">
        <v>45604</v>
      </c>
      <c r="B31" s="10" t="s">
        <v>2653</v>
      </c>
      <c r="C31" s="10" t="s">
        <v>14</v>
      </c>
      <c r="D31" s="30">
        <f t="shared" si="2"/>
        <v>127.27272727272727</v>
      </c>
      <c r="E31" s="30">
        <f t="shared" si="0"/>
        <v>12.727272727272727</v>
      </c>
      <c r="F31" s="30">
        <v>140</v>
      </c>
      <c r="G31" s="30"/>
      <c r="H31" s="13">
        <f t="shared" si="1"/>
        <v>140</v>
      </c>
      <c r="I31" s="1" t="s">
        <v>402</v>
      </c>
      <c r="J31" s="30">
        <v>140</v>
      </c>
      <c r="K31" s="30"/>
      <c r="L31" s="1"/>
      <c r="M31" s="30"/>
      <c r="N31" s="1"/>
      <c r="O31" s="1"/>
    </row>
    <row r="32" spans="1:15" x14ac:dyDescent="0.3">
      <c r="A32" s="41">
        <v>45604</v>
      </c>
      <c r="B32" s="10" t="s">
        <v>2654</v>
      </c>
      <c r="C32" s="10" t="s">
        <v>14</v>
      </c>
      <c r="D32" s="30">
        <f t="shared" si="2"/>
        <v>199.99999999999997</v>
      </c>
      <c r="E32" s="30">
        <f t="shared" si="0"/>
        <v>19.999999999999996</v>
      </c>
      <c r="F32" s="30">
        <v>220</v>
      </c>
      <c r="G32" s="30"/>
      <c r="H32" s="13">
        <f t="shared" si="1"/>
        <v>220</v>
      </c>
      <c r="I32" s="1" t="s">
        <v>402</v>
      </c>
      <c r="J32" s="30">
        <v>220</v>
      </c>
      <c r="K32" s="30"/>
      <c r="L32" s="1"/>
      <c r="M32" s="30"/>
      <c r="N32" s="1"/>
      <c r="O32" s="1"/>
    </row>
    <row r="33" spans="1:15" x14ac:dyDescent="0.3">
      <c r="A33" s="41">
        <v>45605</v>
      </c>
      <c r="B33" s="10" t="s">
        <v>2655</v>
      </c>
      <c r="C33" s="10" t="s">
        <v>14</v>
      </c>
      <c r="D33" s="30">
        <f t="shared" si="2"/>
        <v>999.99999999999989</v>
      </c>
      <c r="E33" s="30">
        <f t="shared" si="0"/>
        <v>99.999999999999986</v>
      </c>
      <c r="F33" s="30">
        <v>1100</v>
      </c>
      <c r="G33" s="30">
        <v>100</v>
      </c>
      <c r="H33" s="13">
        <f t="shared" si="1"/>
        <v>1000</v>
      </c>
      <c r="I33" s="1" t="s">
        <v>2910</v>
      </c>
      <c r="J33" s="30">
        <v>1100</v>
      </c>
      <c r="K33" s="30"/>
      <c r="L33" s="1"/>
      <c r="M33" s="30"/>
      <c r="N33" s="1"/>
      <c r="O33" s="1"/>
    </row>
    <row r="34" spans="1:15" x14ac:dyDescent="0.3">
      <c r="A34" s="41">
        <v>45605</v>
      </c>
      <c r="B34" s="10" t="s">
        <v>2656</v>
      </c>
      <c r="C34" s="10" t="s">
        <v>14</v>
      </c>
      <c r="D34" s="30">
        <f t="shared" si="2"/>
        <v>286.36363636363632</v>
      </c>
      <c r="E34" s="30">
        <f t="shared" si="0"/>
        <v>28.63636363636363</v>
      </c>
      <c r="F34" s="30">
        <v>315</v>
      </c>
      <c r="G34" s="30">
        <v>50</v>
      </c>
      <c r="H34" s="13">
        <f t="shared" si="1"/>
        <v>265</v>
      </c>
      <c r="I34" s="1" t="s">
        <v>2911</v>
      </c>
      <c r="J34" s="30">
        <v>270</v>
      </c>
      <c r="K34" s="30"/>
      <c r="L34" s="1"/>
      <c r="M34" s="30">
        <v>45</v>
      </c>
      <c r="N34" s="1" t="s">
        <v>16</v>
      </c>
      <c r="O34" s="1"/>
    </row>
    <row r="35" spans="1:15" x14ac:dyDescent="0.3">
      <c r="A35" s="41">
        <v>45605</v>
      </c>
      <c r="B35" s="10" t="s">
        <v>2657</v>
      </c>
      <c r="C35" s="10" t="s">
        <v>14</v>
      </c>
      <c r="D35" s="30">
        <f t="shared" si="2"/>
        <v>245.45454545454544</v>
      </c>
      <c r="E35" s="30">
        <f t="shared" si="0"/>
        <v>24.545454545454547</v>
      </c>
      <c r="F35" s="30">
        <v>270</v>
      </c>
      <c r="G35" s="30">
        <v>50</v>
      </c>
      <c r="H35" s="13">
        <f t="shared" si="1"/>
        <v>220</v>
      </c>
      <c r="I35" s="1" t="s">
        <v>2912</v>
      </c>
      <c r="J35" s="30">
        <v>270</v>
      </c>
      <c r="K35" s="30"/>
      <c r="L35" s="1"/>
      <c r="M35" s="30"/>
      <c r="N35" s="1"/>
      <c r="O35" s="1"/>
    </row>
    <row r="36" spans="1:15" x14ac:dyDescent="0.3">
      <c r="A36" s="41">
        <v>45605</v>
      </c>
      <c r="B36" s="10" t="s">
        <v>2658</v>
      </c>
      <c r="C36" s="10" t="s">
        <v>14</v>
      </c>
      <c r="D36" s="30">
        <f t="shared" si="2"/>
        <v>127.27272727272727</v>
      </c>
      <c r="E36" s="30">
        <f t="shared" si="0"/>
        <v>12.727272727272727</v>
      </c>
      <c r="F36" s="30">
        <v>140</v>
      </c>
      <c r="G36" s="30"/>
      <c r="H36" s="13">
        <f t="shared" si="1"/>
        <v>140</v>
      </c>
      <c r="I36" s="1" t="s">
        <v>402</v>
      </c>
      <c r="J36" s="30">
        <v>140</v>
      </c>
      <c r="K36" s="30"/>
      <c r="L36" s="1"/>
      <c r="M36" s="30"/>
      <c r="N36" s="1"/>
      <c r="O36" s="1"/>
    </row>
    <row r="37" spans="1:15" x14ac:dyDescent="0.3">
      <c r="A37" s="41">
        <v>45605</v>
      </c>
      <c r="B37" s="10" t="s">
        <v>2659</v>
      </c>
      <c r="C37" s="10" t="s">
        <v>14</v>
      </c>
      <c r="D37" s="30">
        <f t="shared" si="2"/>
        <v>231.81818181818181</v>
      </c>
      <c r="E37" s="30">
        <f t="shared" si="0"/>
        <v>23.18181818181818</v>
      </c>
      <c r="F37" s="30">
        <v>255</v>
      </c>
      <c r="G37" s="30">
        <v>50</v>
      </c>
      <c r="H37" s="13">
        <f t="shared" si="1"/>
        <v>205</v>
      </c>
      <c r="I37" s="1" t="s">
        <v>2913</v>
      </c>
      <c r="J37" s="30">
        <v>170</v>
      </c>
      <c r="K37" s="30">
        <v>40</v>
      </c>
      <c r="L37" s="1" t="s">
        <v>223</v>
      </c>
      <c r="M37" s="30">
        <v>45</v>
      </c>
      <c r="N37" s="1" t="s">
        <v>16</v>
      </c>
      <c r="O37" s="1"/>
    </row>
    <row r="38" spans="1:15" x14ac:dyDescent="0.3">
      <c r="A38" s="41">
        <v>45605</v>
      </c>
      <c r="B38" s="10" t="s">
        <v>2660</v>
      </c>
      <c r="C38" s="10" t="s">
        <v>14</v>
      </c>
      <c r="D38" s="30">
        <f t="shared" si="2"/>
        <v>172.72727272727272</v>
      </c>
      <c r="E38" s="30">
        <f t="shared" si="0"/>
        <v>17.272727272727273</v>
      </c>
      <c r="F38" s="30">
        <v>190</v>
      </c>
      <c r="G38" s="30">
        <v>50</v>
      </c>
      <c r="H38" s="13">
        <f t="shared" si="1"/>
        <v>140</v>
      </c>
      <c r="I38" s="1" t="s">
        <v>2914</v>
      </c>
      <c r="J38" s="30">
        <v>170</v>
      </c>
      <c r="K38" s="30">
        <v>20</v>
      </c>
      <c r="L38" s="1" t="s">
        <v>223</v>
      </c>
      <c r="M38" s="30"/>
      <c r="N38" s="1"/>
      <c r="O38" s="1"/>
    </row>
    <row r="39" spans="1:15" x14ac:dyDescent="0.3">
      <c r="A39" s="41">
        <v>45605</v>
      </c>
      <c r="B39" s="10" t="s">
        <v>2661</v>
      </c>
      <c r="C39" s="10" t="s">
        <v>14</v>
      </c>
      <c r="D39" s="30">
        <f t="shared" si="2"/>
        <v>127.27272727272727</v>
      </c>
      <c r="E39" s="30">
        <f t="shared" si="0"/>
        <v>12.727272727272727</v>
      </c>
      <c r="F39" s="30">
        <v>140</v>
      </c>
      <c r="G39" s="30">
        <v>50</v>
      </c>
      <c r="H39" s="13">
        <f t="shared" si="1"/>
        <v>90</v>
      </c>
      <c r="I39" s="1" t="s">
        <v>2915</v>
      </c>
      <c r="J39" s="30">
        <v>140</v>
      </c>
      <c r="K39" s="30"/>
      <c r="L39" s="1"/>
      <c r="M39" s="30"/>
      <c r="N39" s="1"/>
      <c r="O39" s="1"/>
    </row>
    <row r="40" spans="1:15" x14ac:dyDescent="0.3">
      <c r="A40" s="41">
        <v>45605</v>
      </c>
      <c r="B40" s="10" t="s">
        <v>2662</v>
      </c>
      <c r="C40" s="10" t="s">
        <v>14</v>
      </c>
      <c r="D40" s="30">
        <f t="shared" si="2"/>
        <v>127.27272727272727</v>
      </c>
      <c r="E40" s="30">
        <f t="shared" si="0"/>
        <v>12.727272727272727</v>
      </c>
      <c r="F40" s="30">
        <v>140</v>
      </c>
      <c r="G40" s="30">
        <v>50</v>
      </c>
      <c r="H40" s="13">
        <f t="shared" si="1"/>
        <v>90</v>
      </c>
      <c r="I40" s="1" t="s">
        <v>2916</v>
      </c>
      <c r="J40" s="30">
        <v>140</v>
      </c>
      <c r="K40" s="30"/>
      <c r="L40" s="1"/>
      <c r="M40" s="30"/>
      <c r="N40" s="1"/>
      <c r="O40" s="1"/>
    </row>
    <row r="41" spans="1:15" x14ac:dyDescent="0.3">
      <c r="A41" s="41">
        <v>45605</v>
      </c>
      <c r="B41" s="10" t="s">
        <v>2663</v>
      </c>
      <c r="C41" s="10" t="s">
        <v>14</v>
      </c>
      <c r="D41" s="30">
        <f t="shared" si="2"/>
        <v>154.54545454545453</v>
      </c>
      <c r="E41" s="30">
        <f t="shared" si="0"/>
        <v>15.454545454545453</v>
      </c>
      <c r="F41" s="30">
        <v>170</v>
      </c>
      <c r="G41" s="30">
        <v>50</v>
      </c>
      <c r="H41" s="13">
        <f t="shared" si="1"/>
        <v>120</v>
      </c>
      <c r="I41" s="1" t="s">
        <v>2917</v>
      </c>
      <c r="J41" s="30">
        <v>170</v>
      </c>
      <c r="K41" s="30"/>
      <c r="L41" s="1"/>
      <c r="M41" s="30"/>
      <c r="N41" s="1"/>
      <c r="O41" s="1"/>
    </row>
    <row r="42" spans="1:15" x14ac:dyDescent="0.3">
      <c r="A42" s="41">
        <v>45605</v>
      </c>
      <c r="B42" s="10" t="s">
        <v>2664</v>
      </c>
      <c r="C42" s="10" t="s">
        <v>14</v>
      </c>
      <c r="D42" s="30">
        <f t="shared" si="2"/>
        <v>195.45454545454544</v>
      </c>
      <c r="E42" s="30">
        <f t="shared" si="0"/>
        <v>19.545454545454547</v>
      </c>
      <c r="F42" s="30">
        <v>215</v>
      </c>
      <c r="G42" s="30">
        <v>50</v>
      </c>
      <c r="H42" s="13">
        <f t="shared" si="1"/>
        <v>165</v>
      </c>
      <c r="I42" s="1" t="s">
        <v>2918</v>
      </c>
      <c r="J42" s="30">
        <v>170</v>
      </c>
      <c r="K42" s="30"/>
      <c r="L42" s="1"/>
      <c r="M42" s="30">
        <v>45</v>
      </c>
      <c r="N42" s="1" t="s">
        <v>16</v>
      </c>
      <c r="O42" s="1"/>
    </row>
    <row r="43" spans="1:15" x14ac:dyDescent="0.3">
      <c r="A43" s="41">
        <v>45605</v>
      </c>
      <c r="B43" s="10" t="s">
        <v>2665</v>
      </c>
      <c r="C43" s="10" t="s">
        <v>14</v>
      </c>
      <c r="D43" s="30">
        <f t="shared" si="2"/>
        <v>190.90909090909091</v>
      </c>
      <c r="E43" s="30">
        <f t="shared" si="0"/>
        <v>19.09090909090909</v>
      </c>
      <c r="F43" s="30">
        <v>210</v>
      </c>
      <c r="G43" s="30">
        <v>50</v>
      </c>
      <c r="H43" s="13">
        <f t="shared" si="1"/>
        <v>160</v>
      </c>
      <c r="I43" s="1" t="s">
        <v>2919</v>
      </c>
      <c r="J43" s="30">
        <v>170</v>
      </c>
      <c r="K43" s="30">
        <v>40</v>
      </c>
      <c r="L43" s="1" t="s">
        <v>223</v>
      </c>
      <c r="M43" s="30"/>
      <c r="N43" s="1"/>
      <c r="O43" s="1"/>
    </row>
    <row r="44" spans="1:15" x14ac:dyDescent="0.3">
      <c r="A44" s="41">
        <v>45605</v>
      </c>
      <c r="B44" s="10" t="s">
        <v>2666</v>
      </c>
      <c r="C44" s="10" t="s">
        <v>14</v>
      </c>
      <c r="D44" s="30">
        <f t="shared" si="2"/>
        <v>418.18181818181813</v>
      </c>
      <c r="E44" s="30">
        <f t="shared" si="0"/>
        <v>41.818181818181813</v>
      </c>
      <c r="F44" s="30">
        <v>460</v>
      </c>
      <c r="G44" s="30">
        <v>150</v>
      </c>
      <c r="H44" s="13">
        <f t="shared" si="1"/>
        <v>310</v>
      </c>
      <c r="I44" s="103" t="s">
        <v>2920</v>
      </c>
      <c r="J44" s="30">
        <v>460</v>
      </c>
      <c r="K44" s="30"/>
      <c r="L44" s="1"/>
      <c r="M44" s="30"/>
      <c r="N44" s="1"/>
      <c r="O44" s="1"/>
    </row>
    <row r="45" spans="1:15" x14ac:dyDescent="0.3">
      <c r="A45" s="41">
        <v>45605</v>
      </c>
      <c r="B45" s="10" t="s">
        <v>2667</v>
      </c>
      <c r="C45" s="10" t="s">
        <v>14</v>
      </c>
      <c r="D45" s="30">
        <f t="shared" si="2"/>
        <v>199.99999999999997</v>
      </c>
      <c r="E45" s="30">
        <f t="shared" si="0"/>
        <v>19.999999999999996</v>
      </c>
      <c r="F45" s="30">
        <v>220</v>
      </c>
      <c r="G45" s="30">
        <v>50</v>
      </c>
      <c r="H45" s="13">
        <f t="shared" si="1"/>
        <v>170</v>
      </c>
      <c r="I45" s="1" t="s">
        <v>2921</v>
      </c>
      <c r="J45" s="30">
        <v>220</v>
      </c>
      <c r="K45" s="30"/>
      <c r="L45" s="1"/>
      <c r="M45" s="30"/>
      <c r="N45" s="1"/>
      <c r="O45" s="1"/>
    </row>
    <row r="46" spans="1:15" x14ac:dyDescent="0.3">
      <c r="A46" s="41">
        <v>45605</v>
      </c>
      <c r="B46" s="10" t="s">
        <v>2668</v>
      </c>
      <c r="C46" s="10" t="s">
        <v>14</v>
      </c>
      <c r="D46" s="30">
        <f t="shared" si="2"/>
        <v>199.99999999999997</v>
      </c>
      <c r="E46" s="30">
        <f t="shared" si="0"/>
        <v>19.999999999999996</v>
      </c>
      <c r="F46" s="30">
        <v>220</v>
      </c>
      <c r="G46" s="30">
        <v>50</v>
      </c>
      <c r="H46" s="13">
        <f t="shared" si="1"/>
        <v>170</v>
      </c>
      <c r="I46" s="1" t="s">
        <v>2922</v>
      </c>
      <c r="J46" s="30">
        <v>220</v>
      </c>
      <c r="K46" s="30"/>
      <c r="L46" s="1"/>
      <c r="M46" s="30"/>
      <c r="N46" s="1"/>
      <c r="O46" s="1"/>
    </row>
    <row r="47" spans="1:15" x14ac:dyDescent="0.3">
      <c r="A47" s="41">
        <v>45605</v>
      </c>
      <c r="B47" s="10" t="s">
        <v>2669</v>
      </c>
      <c r="C47" s="10" t="s">
        <v>14</v>
      </c>
      <c r="D47" s="30">
        <f t="shared" si="2"/>
        <v>254.54545454545453</v>
      </c>
      <c r="E47" s="30">
        <f t="shared" si="0"/>
        <v>25.454545454545453</v>
      </c>
      <c r="F47" s="30">
        <v>280</v>
      </c>
      <c r="G47" s="30"/>
      <c r="H47" s="13">
        <f t="shared" si="1"/>
        <v>280</v>
      </c>
      <c r="I47" s="1" t="s">
        <v>2923</v>
      </c>
      <c r="J47" s="30">
        <v>280</v>
      </c>
      <c r="K47" s="30"/>
      <c r="L47" s="1"/>
      <c r="M47" s="30"/>
      <c r="N47" s="1"/>
      <c r="O47" s="1"/>
    </row>
    <row r="48" spans="1:15" x14ac:dyDescent="0.3">
      <c r="A48" s="41">
        <v>45605</v>
      </c>
      <c r="B48" s="10" t="s">
        <v>2670</v>
      </c>
      <c r="C48" s="10" t="s">
        <v>14</v>
      </c>
      <c r="D48" s="30">
        <f t="shared" si="2"/>
        <v>245.45454545454544</v>
      </c>
      <c r="E48" s="30">
        <f t="shared" si="0"/>
        <v>24.545454545454547</v>
      </c>
      <c r="F48" s="30">
        <v>270</v>
      </c>
      <c r="G48" s="30">
        <v>50</v>
      </c>
      <c r="H48" s="13">
        <f t="shared" si="1"/>
        <v>220</v>
      </c>
      <c r="I48" s="1" t="s">
        <v>2924</v>
      </c>
      <c r="J48" s="30">
        <v>270</v>
      </c>
      <c r="K48" s="30"/>
      <c r="L48" s="1"/>
      <c r="M48" s="30"/>
      <c r="N48" s="1"/>
      <c r="O48" s="1"/>
    </row>
    <row r="49" spans="1:15" x14ac:dyDescent="0.3">
      <c r="A49" s="41">
        <v>45611</v>
      </c>
      <c r="B49" s="10" t="s">
        <v>2671</v>
      </c>
      <c r="C49" s="10" t="s">
        <v>14</v>
      </c>
      <c r="D49" s="30">
        <f t="shared" si="2"/>
        <v>145.45454545454544</v>
      </c>
      <c r="E49" s="30">
        <f t="shared" si="0"/>
        <v>14.545454545454545</v>
      </c>
      <c r="F49" s="30">
        <v>160</v>
      </c>
      <c r="G49" s="30"/>
      <c r="H49" s="13">
        <f t="shared" si="1"/>
        <v>160</v>
      </c>
      <c r="I49" s="1" t="s">
        <v>402</v>
      </c>
      <c r="J49" s="30">
        <v>160</v>
      </c>
      <c r="K49" s="30"/>
      <c r="L49" s="1"/>
      <c r="M49" s="30"/>
      <c r="N49" s="1"/>
      <c r="O49" s="1"/>
    </row>
    <row r="50" spans="1:15" x14ac:dyDescent="0.3">
      <c r="A50" s="41">
        <v>45611</v>
      </c>
      <c r="B50" s="10" t="s">
        <v>2672</v>
      </c>
      <c r="C50" s="10" t="s">
        <v>14</v>
      </c>
      <c r="D50" s="30">
        <f t="shared" si="2"/>
        <v>190.90909090909091</v>
      </c>
      <c r="E50" s="30">
        <f t="shared" si="0"/>
        <v>19.09090909090909</v>
      </c>
      <c r="F50" s="30">
        <v>210</v>
      </c>
      <c r="G50" s="30">
        <v>50</v>
      </c>
      <c r="H50" s="13">
        <f t="shared" si="1"/>
        <v>160</v>
      </c>
      <c r="I50" s="1" t="s">
        <v>2925</v>
      </c>
      <c r="J50" s="30">
        <v>170</v>
      </c>
      <c r="K50" s="30">
        <v>30</v>
      </c>
      <c r="L50" s="1" t="s">
        <v>223</v>
      </c>
      <c r="M50" s="30"/>
      <c r="N50" s="1"/>
      <c r="O50" s="1"/>
    </row>
    <row r="51" spans="1:15" x14ac:dyDescent="0.3">
      <c r="A51" s="41">
        <v>45611</v>
      </c>
      <c r="B51" s="10" t="s">
        <v>2673</v>
      </c>
      <c r="C51" s="10" t="s">
        <v>14</v>
      </c>
      <c r="D51" s="30">
        <f t="shared" si="2"/>
        <v>318.18181818181813</v>
      </c>
      <c r="E51" s="30">
        <f t="shared" si="0"/>
        <v>31.818181818181809</v>
      </c>
      <c r="F51" s="30">
        <v>350</v>
      </c>
      <c r="G51" s="30">
        <v>50</v>
      </c>
      <c r="H51" s="13">
        <f t="shared" si="1"/>
        <v>300</v>
      </c>
      <c r="I51" s="1" t="s">
        <v>2926</v>
      </c>
      <c r="J51" s="30">
        <v>170</v>
      </c>
      <c r="K51" s="30">
        <v>20</v>
      </c>
      <c r="L51" s="1" t="s">
        <v>223</v>
      </c>
      <c r="M51" s="30">
        <v>160</v>
      </c>
      <c r="N51" s="1" t="s">
        <v>949</v>
      </c>
      <c r="O51" s="1"/>
    </row>
    <row r="52" spans="1:15" x14ac:dyDescent="0.3">
      <c r="A52" s="41">
        <v>45611</v>
      </c>
      <c r="B52" s="10" t="s">
        <v>2674</v>
      </c>
      <c r="C52" s="10" t="s">
        <v>14</v>
      </c>
      <c r="D52" s="30">
        <f t="shared" si="2"/>
        <v>154.54545454545453</v>
      </c>
      <c r="E52" s="30">
        <f t="shared" si="0"/>
        <v>15.454545454545453</v>
      </c>
      <c r="F52" s="30">
        <v>170</v>
      </c>
      <c r="G52" s="30">
        <v>50</v>
      </c>
      <c r="H52" s="13">
        <f t="shared" si="1"/>
        <v>120</v>
      </c>
      <c r="I52" s="1" t="s">
        <v>2927</v>
      </c>
      <c r="J52" s="30">
        <v>170</v>
      </c>
      <c r="K52" s="30"/>
      <c r="L52" s="1"/>
      <c r="M52" s="30"/>
      <c r="N52" s="1"/>
      <c r="O52" s="30"/>
    </row>
    <row r="53" spans="1:15" x14ac:dyDescent="0.3">
      <c r="A53" s="41">
        <v>45611</v>
      </c>
      <c r="B53" s="10" t="s">
        <v>2675</v>
      </c>
      <c r="C53" s="10" t="s">
        <v>14</v>
      </c>
      <c r="D53" s="30">
        <f t="shared" si="2"/>
        <v>172.72727272727272</v>
      </c>
      <c r="E53" s="30">
        <f t="shared" si="0"/>
        <v>17.272727272727273</v>
      </c>
      <c r="F53" s="30">
        <v>190</v>
      </c>
      <c r="G53" s="30">
        <v>50</v>
      </c>
      <c r="H53" s="13">
        <f t="shared" si="1"/>
        <v>140</v>
      </c>
      <c r="I53" s="1" t="s">
        <v>2928</v>
      </c>
      <c r="J53" s="30">
        <v>170</v>
      </c>
      <c r="K53" s="30">
        <v>20</v>
      </c>
      <c r="L53" s="1" t="s">
        <v>223</v>
      </c>
      <c r="M53" s="30"/>
      <c r="N53" s="1"/>
      <c r="O53" s="1"/>
    </row>
    <row r="54" spans="1:15" x14ac:dyDescent="0.3">
      <c r="A54" s="41">
        <v>45611</v>
      </c>
      <c r="B54" s="10" t="s">
        <v>2676</v>
      </c>
      <c r="C54" s="10" t="s">
        <v>14</v>
      </c>
      <c r="D54" s="30">
        <f t="shared" si="2"/>
        <v>127.27272727272727</v>
      </c>
      <c r="E54" s="30">
        <f t="shared" si="0"/>
        <v>12.727272727272727</v>
      </c>
      <c r="F54" s="30">
        <v>140</v>
      </c>
      <c r="G54" s="30"/>
      <c r="H54" s="13">
        <f t="shared" si="1"/>
        <v>140</v>
      </c>
      <c r="I54" s="1" t="s">
        <v>402</v>
      </c>
      <c r="J54" s="30">
        <v>140</v>
      </c>
      <c r="K54" s="30"/>
      <c r="L54" s="1"/>
      <c r="M54" s="30"/>
      <c r="N54" s="1"/>
      <c r="O54" s="1"/>
    </row>
    <row r="55" spans="1:15" x14ac:dyDescent="0.3">
      <c r="A55" s="41">
        <v>45612</v>
      </c>
      <c r="B55" s="10" t="s">
        <v>2677</v>
      </c>
      <c r="C55" s="10" t="s">
        <v>14</v>
      </c>
      <c r="D55" s="30">
        <f t="shared" si="2"/>
        <v>222.72727272727272</v>
      </c>
      <c r="E55" s="30">
        <f t="shared" si="0"/>
        <v>22.27272727272727</v>
      </c>
      <c r="F55" s="30">
        <v>245</v>
      </c>
      <c r="G55" s="30">
        <v>50</v>
      </c>
      <c r="H55" s="13">
        <f t="shared" si="1"/>
        <v>195</v>
      </c>
      <c r="I55" s="1" t="s">
        <v>2929</v>
      </c>
      <c r="J55" s="30">
        <v>170</v>
      </c>
      <c r="K55" s="30">
        <v>30</v>
      </c>
      <c r="L55" s="1" t="s">
        <v>223</v>
      </c>
      <c r="M55" s="30">
        <v>45</v>
      </c>
      <c r="N55" s="1" t="s">
        <v>16</v>
      </c>
      <c r="O55" s="1"/>
    </row>
    <row r="56" spans="1:15" x14ac:dyDescent="0.3">
      <c r="A56" s="41">
        <v>45612</v>
      </c>
      <c r="B56" s="10" t="s">
        <v>2678</v>
      </c>
      <c r="C56" s="10" t="s">
        <v>14</v>
      </c>
      <c r="D56" s="30">
        <f t="shared" si="2"/>
        <v>154.54545454545453</v>
      </c>
      <c r="E56" s="30">
        <f t="shared" si="0"/>
        <v>15.454545454545453</v>
      </c>
      <c r="F56" s="30">
        <v>170</v>
      </c>
      <c r="G56" s="30">
        <v>50</v>
      </c>
      <c r="H56" s="13">
        <f t="shared" si="1"/>
        <v>120</v>
      </c>
      <c r="I56" s="1" t="s">
        <v>2930</v>
      </c>
      <c r="J56" s="30">
        <v>170</v>
      </c>
      <c r="K56" s="30"/>
      <c r="L56" s="1"/>
      <c r="M56" s="30"/>
      <c r="N56" s="1"/>
      <c r="O56" s="1"/>
    </row>
    <row r="57" spans="1:15" x14ac:dyDescent="0.3">
      <c r="A57" s="41">
        <v>45612</v>
      </c>
      <c r="B57" s="10" t="s">
        <v>2679</v>
      </c>
      <c r="C57" s="10" t="s">
        <v>14</v>
      </c>
      <c r="D57" s="30">
        <f t="shared" si="2"/>
        <v>154.54545454545453</v>
      </c>
      <c r="E57" s="30">
        <f t="shared" si="0"/>
        <v>15.454545454545453</v>
      </c>
      <c r="F57" s="30">
        <v>170</v>
      </c>
      <c r="G57" s="30">
        <v>50</v>
      </c>
      <c r="H57" s="13">
        <f t="shared" si="1"/>
        <v>120</v>
      </c>
      <c r="I57" s="1" t="s">
        <v>2931</v>
      </c>
      <c r="J57" s="30">
        <v>170</v>
      </c>
      <c r="K57" s="30"/>
      <c r="L57" s="1"/>
      <c r="M57" s="30"/>
      <c r="N57" s="1"/>
      <c r="O57" s="1"/>
    </row>
    <row r="58" spans="1:15" x14ac:dyDescent="0.3">
      <c r="A58" s="41">
        <v>45612</v>
      </c>
      <c r="B58" s="10" t="s">
        <v>2680</v>
      </c>
      <c r="C58" s="10" t="s">
        <v>14</v>
      </c>
      <c r="D58" s="30">
        <f t="shared" si="2"/>
        <v>190.90909090909091</v>
      </c>
      <c r="E58" s="30">
        <f t="shared" si="0"/>
        <v>19.09090909090909</v>
      </c>
      <c r="F58" s="30">
        <v>210</v>
      </c>
      <c r="G58" s="30">
        <v>50</v>
      </c>
      <c r="H58" s="13">
        <f t="shared" si="1"/>
        <v>160</v>
      </c>
      <c r="I58" s="1" t="s">
        <v>2932</v>
      </c>
      <c r="J58" s="30">
        <v>170</v>
      </c>
      <c r="K58" s="30">
        <v>40</v>
      </c>
      <c r="L58" s="1" t="s">
        <v>223</v>
      </c>
      <c r="M58" s="30"/>
      <c r="N58" s="1"/>
      <c r="O58" s="1"/>
    </row>
    <row r="59" spans="1:15" x14ac:dyDescent="0.3">
      <c r="A59" s="41">
        <v>45612</v>
      </c>
      <c r="B59" s="10" t="s">
        <v>2681</v>
      </c>
      <c r="C59" s="10" t="s">
        <v>14</v>
      </c>
      <c r="D59" s="30">
        <f t="shared" si="2"/>
        <v>190.90909090909091</v>
      </c>
      <c r="E59" s="30">
        <f t="shared" si="0"/>
        <v>19.09090909090909</v>
      </c>
      <c r="F59" s="30">
        <v>210</v>
      </c>
      <c r="G59" s="30">
        <v>50</v>
      </c>
      <c r="H59" s="13">
        <f t="shared" si="1"/>
        <v>160</v>
      </c>
      <c r="I59" s="1" t="s">
        <v>2933</v>
      </c>
      <c r="J59" s="30">
        <v>170</v>
      </c>
      <c r="K59" s="30">
        <v>40</v>
      </c>
      <c r="L59" s="1" t="s">
        <v>223</v>
      </c>
      <c r="M59" s="30"/>
      <c r="N59" s="1"/>
      <c r="O59" s="1"/>
    </row>
    <row r="60" spans="1:15" x14ac:dyDescent="0.3">
      <c r="A60" s="41">
        <v>45612</v>
      </c>
      <c r="B60" s="10" t="s">
        <v>2682</v>
      </c>
      <c r="C60" s="10" t="s">
        <v>14</v>
      </c>
      <c r="D60" s="30">
        <f t="shared" si="2"/>
        <v>181.81818181818181</v>
      </c>
      <c r="E60" s="30">
        <f t="shared" si="0"/>
        <v>18.18181818181818</v>
      </c>
      <c r="F60" s="30">
        <v>200</v>
      </c>
      <c r="G60" s="30">
        <v>50</v>
      </c>
      <c r="H60" s="13">
        <f t="shared" si="1"/>
        <v>150</v>
      </c>
      <c r="I60" s="1" t="s">
        <v>2934</v>
      </c>
      <c r="J60" s="30">
        <v>170</v>
      </c>
      <c r="K60" s="30">
        <v>30</v>
      </c>
      <c r="L60" s="1" t="s">
        <v>223</v>
      </c>
      <c r="M60" s="30"/>
      <c r="N60" s="1"/>
      <c r="O60" s="1"/>
    </row>
    <row r="61" spans="1:15" x14ac:dyDescent="0.3">
      <c r="A61" s="41">
        <v>45612</v>
      </c>
      <c r="B61" s="10" t="s">
        <v>2683</v>
      </c>
      <c r="C61" s="10" t="s">
        <v>14</v>
      </c>
      <c r="D61" s="30">
        <f t="shared" si="2"/>
        <v>213.63636363636363</v>
      </c>
      <c r="E61" s="30">
        <f t="shared" si="0"/>
        <v>21.36363636363636</v>
      </c>
      <c r="F61" s="30">
        <v>235</v>
      </c>
      <c r="G61" s="30">
        <v>50</v>
      </c>
      <c r="H61" s="13">
        <f t="shared" si="1"/>
        <v>185</v>
      </c>
      <c r="I61" s="1" t="s">
        <v>2935</v>
      </c>
      <c r="J61" s="30">
        <v>170</v>
      </c>
      <c r="K61" s="30">
        <v>20</v>
      </c>
      <c r="L61" s="1" t="s">
        <v>223</v>
      </c>
      <c r="M61" s="30">
        <v>45</v>
      </c>
      <c r="N61" s="1" t="s">
        <v>16</v>
      </c>
      <c r="O61" s="1"/>
    </row>
    <row r="62" spans="1:15" x14ac:dyDescent="0.3">
      <c r="A62" s="41">
        <v>45612</v>
      </c>
      <c r="B62" s="10" t="s">
        <v>2684</v>
      </c>
      <c r="C62" s="10" t="s">
        <v>14</v>
      </c>
      <c r="D62" s="30">
        <f t="shared" si="2"/>
        <v>195.45454545454544</v>
      </c>
      <c r="E62" s="30">
        <f t="shared" si="0"/>
        <v>19.545454545454547</v>
      </c>
      <c r="F62" s="30">
        <v>215</v>
      </c>
      <c r="G62" s="30">
        <v>50</v>
      </c>
      <c r="H62" s="13">
        <f t="shared" si="1"/>
        <v>165</v>
      </c>
      <c r="I62" s="1" t="s">
        <v>2936</v>
      </c>
      <c r="J62" s="30">
        <v>170</v>
      </c>
      <c r="K62" s="30"/>
      <c r="L62" s="1"/>
      <c r="M62" s="30">
        <v>45</v>
      </c>
      <c r="N62" s="1" t="s">
        <v>16</v>
      </c>
      <c r="O62" s="1"/>
    </row>
    <row r="63" spans="1:15" x14ac:dyDescent="0.3">
      <c r="A63" s="41">
        <v>45612</v>
      </c>
      <c r="B63" s="10" t="s">
        <v>2685</v>
      </c>
      <c r="C63" s="10" t="s">
        <v>14</v>
      </c>
      <c r="D63" s="30">
        <f t="shared" si="2"/>
        <v>154.54545454545453</v>
      </c>
      <c r="E63" s="30">
        <f t="shared" si="0"/>
        <v>15.454545454545453</v>
      </c>
      <c r="F63" s="30">
        <v>170</v>
      </c>
      <c r="G63" s="30">
        <v>50</v>
      </c>
      <c r="H63" s="13">
        <f t="shared" si="1"/>
        <v>120</v>
      </c>
      <c r="I63" s="1" t="s">
        <v>2937</v>
      </c>
      <c r="J63" s="30">
        <v>170</v>
      </c>
      <c r="K63" s="30"/>
      <c r="L63" s="1"/>
      <c r="M63" s="30"/>
      <c r="N63" s="1"/>
      <c r="O63" s="1"/>
    </row>
    <row r="64" spans="1:15" x14ac:dyDescent="0.3">
      <c r="A64" s="41">
        <v>45612</v>
      </c>
      <c r="B64" s="10" t="s">
        <v>2686</v>
      </c>
      <c r="C64" s="10" t="s">
        <v>14</v>
      </c>
      <c r="D64" s="30">
        <f t="shared" si="2"/>
        <v>127.27272727272727</v>
      </c>
      <c r="E64" s="30">
        <f t="shared" si="0"/>
        <v>12.727272727272727</v>
      </c>
      <c r="F64" s="30">
        <v>140</v>
      </c>
      <c r="G64" s="30"/>
      <c r="H64" s="13">
        <f t="shared" si="1"/>
        <v>140</v>
      </c>
      <c r="I64" s="1" t="s">
        <v>402</v>
      </c>
      <c r="J64" s="30">
        <v>140</v>
      </c>
      <c r="K64" s="30"/>
      <c r="L64" s="1"/>
      <c r="M64" s="30"/>
      <c r="N64" s="1"/>
      <c r="O64" s="1"/>
    </row>
    <row r="65" spans="1:15" x14ac:dyDescent="0.3">
      <c r="A65" s="41">
        <v>45612</v>
      </c>
      <c r="B65" s="10" t="s">
        <v>2687</v>
      </c>
      <c r="C65" s="10" t="s">
        <v>14</v>
      </c>
      <c r="D65" s="30">
        <f t="shared" si="2"/>
        <v>154.54545454545453</v>
      </c>
      <c r="E65" s="30">
        <f t="shared" si="0"/>
        <v>15.454545454545453</v>
      </c>
      <c r="F65" s="30">
        <v>170</v>
      </c>
      <c r="G65" s="30">
        <v>50</v>
      </c>
      <c r="H65" s="13">
        <f t="shared" si="1"/>
        <v>120</v>
      </c>
      <c r="I65" s="1" t="s">
        <v>2055</v>
      </c>
      <c r="J65" s="30">
        <v>170</v>
      </c>
      <c r="K65" s="30"/>
      <c r="L65" s="1"/>
      <c r="M65" s="30"/>
      <c r="N65" s="1"/>
      <c r="O65" s="1"/>
    </row>
    <row r="66" spans="1:15" x14ac:dyDescent="0.3">
      <c r="A66" s="41">
        <v>45612</v>
      </c>
      <c r="B66" s="10" t="s">
        <v>2688</v>
      </c>
      <c r="C66" s="10" t="s">
        <v>14</v>
      </c>
      <c r="D66" s="30">
        <f t="shared" si="2"/>
        <v>445.45454545454544</v>
      </c>
      <c r="E66" s="30">
        <f t="shared" si="0"/>
        <v>44.54545454545454</v>
      </c>
      <c r="F66" s="30">
        <v>490</v>
      </c>
      <c r="G66" s="30"/>
      <c r="H66" s="13">
        <f t="shared" si="1"/>
        <v>490</v>
      </c>
      <c r="I66" s="1" t="s">
        <v>2938</v>
      </c>
      <c r="J66" s="30">
        <v>490</v>
      </c>
      <c r="K66" s="30"/>
      <c r="L66" s="1"/>
      <c r="M66" s="30"/>
      <c r="N66" s="1"/>
      <c r="O66" s="1"/>
    </row>
    <row r="67" spans="1:15" x14ac:dyDescent="0.3">
      <c r="A67" s="41">
        <v>45612</v>
      </c>
      <c r="B67" s="10" t="s">
        <v>2808</v>
      </c>
      <c r="C67" s="10" t="s">
        <v>14</v>
      </c>
      <c r="D67" s="30">
        <f t="shared" si="2"/>
        <v>199.99999999999997</v>
      </c>
      <c r="E67" s="30">
        <f t="shared" ref="E67:E130" si="3">D67*10/100</f>
        <v>19.999999999999996</v>
      </c>
      <c r="F67" s="30">
        <v>220</v>
      </c>
      <c r="G67" s="30">
        <v>50</v>
      </c>
      <c r="H67" s="13">
        <f t="shared" ref="H67:H130" si="4">F67-G67</f>
        <v>170</v>
      </c>
      <c r="I67" s="1" t="s">
        <v>2937</v>
      </c>
      <c r="J67" s="30">
        <v>220</v>
      </c>
      <c r="K67" s="30"/>
      <c r="L67" s="1"/>
      <c r="M67" s="30"/>
      <c r="N67" s="1"/>
      <c r="O67" s="1"/>
    </row>
    <row r="68" spans="1:15" x14ac:dyDescent="0.3">
      <c r="A68" s="41">
        <v>45612</v>
      </c>
      <c r="B68" s="10" t="s">
        <v>2809</v>
      </c>
      <c r="C68" s="10" t="s">
        <v>14</v>
      </c>
      <c r="D68" s="30">
        <f t="shared" ref="D68:D131" si="5">F68/1.1</f>
        <v>199.99999999999997</v>
      </c>
      <c r="E68" s="30">
        <f t="shared" si="3"/>
        <v>19.999999999999996</v>
      </c>
      <c r="F68" s="30">
        <v>220</v>
      </c>
      <c r="G68" s="30">
        <v>50</v>
      </c>
      <c r="H68" s="13">
        <f t="shared" si="4"/>
        <v>170</v>
      </c>
      <c r="I68" s="1" t="s">
        <v>2939</v>
      </c>
      <c r="J68" s="30">
        <v>220</v>
      </c>
      <c r="K68" s="30"/>
      <c r="L68" s="1"/>
      <c r="M68" s="30"/>
      <c r="N68" s="1"/>
      <c r="O68" s="1"/>
    </row>
    <row r="69" spans="1:15" x14ac:dyDescent="0.3">
      <c r="A69" s="41">
        <v>45612</v>
      </c>
      <c r="B69" s="10" t="s">
        <v>2810</v>
      </c>
      <c r="C69" s="10" t="s">
        <v>14</v>
      </c>
      <c r="D69" s="30">
        <f t="shared" si="5"/>
        <v>199.99999999999997</v>
      </c>
      <c r="E69" s="30">
        <f t="shared" si="3"/>
        <v>19.999999999999996</v>
      </c>
      <c r="F69" s="30">
        <v>220</v>
      </c>
      <c r="G69" s="30">
        <v>50</v>
      </c>
      <c r="H69" s="13">
        <f t="shared" si="4"/>
        <v>170</v>
      </c>
      <c r="I69" s="1" t="s">
        <v>2940</v>
      </c>
      <c r="J69" s="30">
        <v>220</v>
      </c>
      <c r="K69" s="30"/>
      <c r="L69" s="1"/>
      <c r="M69" s="30"/>
      <c r="N69" s="1"/>
      <c r="O69" s="1"/>
    </row>
    <row r="70" spans="1:15" x14ac:dyDescent="0.3">
      <c r="A70" s="41">
        <v>45612</v>
      </c>
      <c r="B70" s="10" t="s">
        <v>2811</v>
      </c>
      <c r="C70" s="10" t="s">
        <v>14</v>
      </c>
      <c r="D70" s="30">
        <f t="shared" si="5"/>
        <v>245.45454545454544</v>
      </c>
      <c r="E70" s="30">
        <f t="shared" si="3"/>
        <v>24.545454545454547</v>
      </c>
      <c r="F70" s="30">
        <v>270</v>
      </c>
      <c r="G70" s="30">
        <v>50</v>
      </c>
      <c r="H70" s="13">
        <f t="shared" si="4"/>
        <v>220</v>
      </c>
      <c r="I70" s="1" t="s">
        <v>2941</v>
      </c>
      <c r="J70" s="30">
        <v>270</v>
      </c>
      <c r="K70" s="30"/>
      <c r="L70" s="1"/>
      <c r="M70" s="30"/>
      <c r="N70" s="1"/>
      <c r="O70" s="1"/>
    </row>
    <row r="71" spans="1:15" x14ac:dyDescent="0.3">
      <c r="A71" s="41">
        <v>45612</v>
      </c>
      <c r="B71" s="10" t="s">
        <v>2812</v>
      </c>
      <c r="C71" s="10" t="s">
        <v>14</v>
      </c>
      <c r="D71" s="30">
        <f t="shared" si="5"/>
        <v>199.99999999999997</v>
      </c>
      <c r="E71" s="30">
        <f t="shared" si="3"/>
        <v>19.999999999999996</v>
      </c>
      <c r="F71" s="30">
        <v>220</v>
      </c>
      <c r="G71" s="30">
        <v>50</v>
      </c>
      <c r="H71" s="13">
        <f t="shared" si="4"/>
        <v>170</v>
      </c>
      <c r="I71" s="1" t="s">
        <v>2942</v>
      </c>
      <c r="J71" s="30">
        <v>220</v>
      </c>
      <c r="K71" s="30"/>
      <c r="L71" s="1"/>
      <c r="M71" s="30"/>
      <c r="N71" s="1"/>
      <c r="O71" s="1"/>
    </row>
    <row r="72" spans="1:15" x14ac:dyDescent="0.3">
      <c r="A72" s="41">
        <v>45612</v>
      </c>
      <c r="B72" s="10" t="s">
        <v>2813</v>
      </c>
      <c r="C72" s="10" t="s">
        <v>14</v>
      </c>
      <c r="D72" s="30">
        <f t="shared" si="5"/>
        <v>509.09090909090907</v>
      </c>
      <c r="E72" s="30">
        <f t="shared" si="3"/>
        <v>50.909090909090907</v>
      </c>
      <c r="F72" s="30">
        <v>560</v>
      </c>
      <c r="G72" s="30">
        <v>50</v>
      </c>
      <c r="H72" s="13">
        <f t="shared" si="4"/>
        <v>510</v>
      </c>
      <c r="I72" s="1" t="s">
        <v>2055</v>
      </c>
      <c r="J72" s="30">
        <v>560</v>
      </c>
      <c r="K72" s="30"/>
      <c r="L72" s="1"/>
      <c r="M72" s="30"/>
      <c r="N72" s="1"/>
      <c r="O72" s="1"/>
    </row>
    <row r="73" spans="1:15" x14ac:dyDescent="0.3">
      <c r="A73" s="41">
        <v>45612</v>
      </c>
      <c r="B73" s="10" t="s">
        <v>2814</v>
      </c>
      <c r="C73" s="10" t="s">
        <v>14</v>
      </c>
      <c r="D73" s="30">
        <f t="shared" si="5"/>
        <v>163.63636363636363</v>
      </c>
      <c r="E73" s="30">
        <f t="shared" si="3"/>
        <v>16.363636363636363</v>
      </c>
      <c r="F73" s="30">
        <v>180</v>
      </c>
      <c r="G73" s="30">
        <v>50</v>
      </c>
      <c r="H73" s="13">
        <f t="shared" si="4"/>
        <v>130</v>
      </c>
      <c r="I73" s="1" t="s">
        <v>2943</v>
      </c>
      <c r="J73" s="30">
        <v>180</v>
      </c>
      <c r="K73" s="30"/>
      <c r="L73" s="1"/>
      <c r="M73" s="30"/>
      <c r="N73" s="1"/>
      <c r="O73" s="1"/>
    </row>
    <row r="74" spans="1:15" x14ac:dyDescent="0.3">
      <c r="A74" s="41">
        <v>45612</v>
      </c>
      <c r="B74" s="10" t="s">
        <v>2815</v>
      </c>
      <c r="C74" s="10" t="s">
        <v>14</v>
      </c>
      <c r="D74" s="30">
        <f t="shared" si="5"/>
        <v>199.99999999999997</v>
      </c>
      <c r="E74" s="30">
        <f t="shared" si="3"/>
        <v>19.999999999999996</v>
      </c>
      <c r="F74" s="30">
        <v>220</v>
      </c>
      <c r="G74" s="30">
        <v>50</v>
      </c>
      <c r="H74" s="13">
        <f t="shared" si="4"/>
        <v>170</v>
      </c>
      <c r="I74" s="1" t="s">
        <v>1418</v>
      </c>
      <c r="J74" s="30">
        <v>220</v>
      </c>
      <c r="K74" s="30"/>
      <c r="L74" s="1"/>
      <c r="M74" s="30"/>
      <c r="N74" s="1"/>
      <c r="O74" s="1"/>
    </row>
    <row r="75" spans="1:15" x14ac:dyDescent="0.3">
      <c r="A75" s="41">
        <v>45612</v>
      </c>
      <c r="B75" s="10" t="s">
        <v>2816</v>
      </c>
      <c r="C75" s="10" t="s">
        <v>14</v>
      </c>
      <c r="D75" s="30">
        <f t="shared" si="5"/>
        <v>300</v>
      </c>
      <c r="E75" s="30">
        <f t="shared" si="3"/>
        <v>30</v>
      </c>
      <c r="F75" s="30">
        <v>330</v>
      </c>
      <c r="G75" s="30">
        <v>50</v>
      </c>
      <c r="H75" s="13">
        <f t="shared" si="4"/>
        <v>280</v>
      </c>
      <c r="I75" s="1" t="s">
        <v>2944</v>
      </c>
      <c r="J75" s="30">
        <v>270</v>
      </c>
      <c r="K75" s="30">
        <v>60</v>
      </c>
      <c r="L75" s="1" t="s">
        <v>223</v>
      </c>
      <c r="M75" s="30"/>
      <c r="N75" s="1"/>
      <c r="O75" s="1"/>
    </row>
    <row r="76" spans="1:15" x14ac:dyDescent="0.3">
      <c r="A76" s="41">
        <v>45612</v>
      </c>
      <c r="B76" s="10" t="s">
        <v>2817</v>
      </c>
      <c r="C76" s="10" t="s">
        <v>14</v>
      </c>
      <c r="D76" s="30">
        <f t="shared" si="5"/>
        <v>245.45454545454544</v>
      </c>
      <c r="E76" s="30">
        <f t="shared" si="3"/>
        <v>24.545454545454547</v>
      </c>
      <c r="F76" s="30">
        <v>270</v>
      </c>
      <c r="G76" s="30">
        <v>50</v>
      </c>
      <c r="H76" s="13">
        <f t="shared" si="4"/>
        <v>220</v>
      </c>
      <c r="I76" s="1" t="s">
        <v>2945</v>
      </c>
      <c r="J76" s="30">
        <v>270</v>
      </c>
      <c r="K76" s="30"/>
      <c r="L76" s="1"/>
      <c r="M76" s="30"/>
      <c r="N76" s="1"/>
      <c r="O76" s="1"/>
    </row>
    <row r="77" spans="1:15" x14ac:dyDescent="0.3">
      <c r="A77" s="41">
        <v>45612</v>
      </c>
      <c r="B77" s="10" t="s">
        <v>2818</v>
      </c>
      <c r="C77" s="10" t="s">
        <v>14</v>
      </c>
      <c r="D77" s="30">
        <f t="shared" si="5"/>
        <v>63.636363636363633</v>
      </c>
      <c r="E77" s="30">
        <f t="shared" si="3"/>
        <v>6.3636363636363633</v>
      </c>
      <c r="F77" s="30">
        <v>70</v>
      </c>
      <c r="G77" s="30"/>
      <c r="H77" s="13">
        <f t="shared" si="4"/>
        <v>70</v>
      </c>
      <c r="I77" s="1" t="s">
        <v>2055</v>
      </c>
      <c r="J77" s="30">
        <v>70</v>
      </c>
      <c r="K77" s="30"/>
      <c r="L77" s="1"/>
      <c r="M77" s="30"/>
      <c r="N77" s="1"/>
      <c r="O77" s="1"/>
    </row>
    <row r="78" spans="1:15" x14ac:dyDescent="0.3">
      <c r="A78" s="41">
        <v>45612</v>
      </c>
      <c r="B78" s="10" t="s">
        <v>2819</v>
      </c>
      <c r="C78" s="10" t="s">
        <v>14</v>
      </c>
      <c r="D78" s="30">
        <f t="shared" si="5"/>
        <v>199.99999999999997</v>
      </c>
      <c r="E78" s="30">
        <f t="shared" si="3"/>
        <v>19.999999999999996</v>
      </c>
      <c r="F78" s="30">
        <v>220</v>
      </c>
      <c r="G78" s="30">
        <v>50</v>
      </c>
      <c r="H78" s="13">
        <f t="shared" si="4"/>
        <v>170</v>
      </c>
      <c r="I78" s="1" t="s">
        <v>2946</v>
      </c>
      <c r="J78" s="30">
        <v>220</v>
      </c>
      <c r="K78" s="30"/>
      <c r="L78" s="1"/>
      <c r="M78" s="30"/>
      <c r="N78" s="1"/>
      <c r="O78" s="1"/>
    </row>
    <row r="79" spans="1:15" x14ac:dyDescent="0.3">
      <c r="A79" s="41">
        <v>45612</v>
      </c>
      <c r="B79" s="10" t="s">
        <v>2820</v>
      </c>
      <c r="C79" s="10" t="s">
        <v>14</v>
      </c>
      <c r="D79" s="30">
        <f t="shared" si="5"/>
        <v>199.99999999999997</v>
      </c>
      <c r="E79" s="30">
        <f t="shared" si="3"/>
        <v>19.999999999999996</v>
      </c>
      <c r="F79" s="30">
        <v>220</v>
      </c>
      <c r="G79" s="30">
        <v>50</v>
      </c>
      <c r="H79" s="13">
        <f t="shared" si="4"/>
        <v>170</v>
      </c>
      <c r="I79" s="1" t="s">
        <v>2947</v>
      </c>
      <c r="J79" s="30">
        <v>220</v>
      </c>
      <c r="K79" s="30"/>
      <c r="L79" s="1"/>
      <c r="M79" s="30"/>
      <c r="N79" s="1"/>
      <c r="O79" s="1"/>
    </row>
    <row r="80" spans="1:15" x14ac:dyDescent="0.3">
      <c r="A80" s="41">
        <v>45612</v>
      </c>
      <c r="B80" s="10" t="s">
        <v>2821</v>
      </c>
      <c r="C80" s="10" t="s">
        <v>14</v>
      </c>
      <c r="D80" s="30">
        <f t="shared" si="5"/>
        <v>199.99999999999997</v>
      </c>
      <c r="E80" s="30">
        <f t="shared" si="3"/>
        <v>19.999999999999996</v>
      </c>
      <c r="F80" s="30">
        <v>220</v>
      </c>
      <c r="G80" s="30">
        <v>50</v>
      </c>
      <c r="H80" s="13">
        <f t="shared" si="4"/>
        <v>170</v>
      </c>
      <c r="I80" s="1" t="s">
        <v>2948</v>
      </c>
      <c r="J80" s="30">
        <v>220</v>
      </c>
      <c r="K80" s="30"/>
      <c r="L80" s="1"/>
      <c r="M80" s="30"/>
      <c r="N80" s="1"/>
      <c r="O80" s="1"/>
    </row>
    <row r="81" spans="1:15" x14ac:dyDescent="0.3">
      <c r="A81" s="41">
        <v>45612</v>
      </c>
      <c r="B81" s="10" t="s">
        <v>2822</v>
      </c>
      <c r="C81" s="10" t="s">
        <v>14</v>
      </c>
      <c r="D81" s="30">
        <f t="shared" si="5"/>
        <v>199.99999999999997</v>
      </c>
      <c r="E81" s="30">
        <f t="shared" si="3"/>
        <v>19.999999999999996</v>
      </c>
      <c r="F81" s="30">
        <v>220</v>
      </c>
      <c r="G81" s="30"/>
      <c r="H81" s="13">
        <f t="shared" si="4"/>
        <v>220</v>
      </c>
      <c r="I81" s="1" t="s">
        <v>402</v>
      </c>
      <c r="J81" s="30">
        <v>220</v>
      </c>
      <c r="K81" s="30"/>
      <c r="L81" s="1"/>
      <c r="M81" s="30"/>
      <c r="N81" s="1"/>
      <c r="O81" s="1"/>
    </row>
    <row r="82" spans="1:15" x14ac:dyDescent="0.3">
      <c r="A82" s="109">
        <v>45612</v>
      </c>
      <c r="B82" s="110" t="s">
        <v>2823</v>
      </c>
      <c r="C82" s="110" t="s">
        <v>14</v>
      </c>
      <c r="D82" s="30">
        <f t="shared" si="5"/>
        <v>640</v>
      </c>
      <c r="E82" s="30">
        <f t="shared" si="3"/>
        <v>64</v>
      </c>
      <c r="F82" s="30">
        <v>704</v>
      </c>
      <c r="G82" s="30"/>
      <c r="H82" s="13">
        <f t="shared" si="4"/>
        <v>704</v>
      </c>
      <c r="I82" s="1" t="s">
        <v>2949</v>
      </c>
      <c r="J82" s="30"/>
      <c r="K82" s="30"/>
      <c r="L82" s="1"/>
      <c r="M82" s="30"/>
      <c r="N82" s="1"/>
      <c r="O82" s="1"/>
    </row>
    <row r="83" spans="1:15" x14ac:dyDescent="0.3">
      <c r="A83" s="109">
        <v>45612</v>
      </c>
      <c r="B83" s="110" t="s">
        <v>2824</v>
      </c>
      <c r="C83" s="110" t="s">
        <v>14</v>
      </c>
      <c r="D83" s="30">
        <f t="shared" si="5"/>
        <v>7908.9999999999991</v>
      </c>
      <c r="E83" s="30">
        <f t="shared" si="3"/>
        <v>790.89999999999986</v>
      </c>
      <c r="F83" s="30">
        <v>8699.9</v>
      </c>
      <c r="G83" s="30"/>
      <c r="H83" s="13">
        <f t="shared" si="4"/>
        <v>8699.9</v>
      </c>
      <c r="I83" s="1" t="s">
        <v>2950</v>
      </c>
      <c r="J83" s="30"/>
      <c r="K83" s="30"/>
      <c r="L83" s="1"/>
      <c r="M83" s="30"/>
      <c r="N83" s="1"/>
      <c r="O83" s="1"/>
    </row>
    <row r="84" spans="1:15" x14ac:dyDescent="0.3">
      <c r="A84" s="109">
        <v>45612</v>
      </c>
      <c r="B84" s="110" t="s">
        <v>2825</v>
      </c>
      <c r="C84" s="110" t="s">
        <v>14</v>
      </c>
      <c r="D84" s="30">
        <f t="shared" si="5"/>
        <v>1150</v>
      </c>
      <c r="E84" s="30">
        <f t="shared" si="3"/>
        <v>115</v>
      </c>
      <c r="F84" s="30">
        <v>1265</v>
      </c>
      <c r="G84" s="30"/>
      <c r="H84" s="13">
        <f t="shared" si="4"/>
        <v>1265</v>
      </c>
      <c r="I84" s="1" t="s">
        <v>2951</v>
      </c>
      <c r="J84" s="30"/>
      <c r="K84" s="30"/>
      <c r="L84" s="1"/>
      <c r="M84" s="30"/>
      <c r="N84" s="1"/>
      <c r="O84" s="1"/>
    </row>
    <row r="85" spans="1:15" x14ac:dyDescent="0.3">
      <c r="A85" s="109">
        <v>45612</v>
      </c>
      <c r="B85" s="110" t="s">
        <v>2826</v>
      </c>
      <c r="C85" s="110" t="s">
        <v>14</v>
      </c>
      <c r="D85" s="30">
        <f t="shared" si="5"/>
        <v>999.99999999999989</v>
      </c>
      <c r="E85" s="30">
        <f t="shared" si="3"/>
        <v>99.999999999999986</v>
      </c>
      <c r="F85" s="30">
        <v>1100</v>
      </c>
      <c r="G85" s="30"/>
      <c r="H85" s="13">
        <f t="shared" si="4"/>
        <v>1100</v>
      </c>
      <c r="I85" s="1" t="s">
        <v>2952</v>
      </c>
      <c r="J85" s="30"/>
      <c r="K85" s="30"/>
      <c r="L85" s="1"/>
      <c r="M85" s="30"/>
      <c r="N85" s="1"/>
      <c r="O85" s="1"/>
    </row>
    <row r="86" spans="1:15" x14ac:dyDescent="0.3">
      <c r="A86" s="41">
        <v>45614</v>
      </c>
      <c r="B86" s="10" t="s">
        <v>2827</v>
      </c>
      <c r="C86" s="10" t="s">
        <v>14</v>
      </c>
      <c r="D86" s="30">
        <f t="shared" si="5"/>
        <v>154.54545454545453</v>
      </c>
      <c r="E86" s="30">
        <f t="shared" si="3"/>
        <v>15.454545454545453</v>
      </c>
      <c r="F86" s="30">
        <v>170</v>
      </c>
      <c r="G86" s="30">
        <v>50</v>
      </c>
      <c r="H86" s="13">
        <f t="shared" si="4"/>
        <v>120</v>
      </c>
      <c r="I86" s="1" t="s">
        <v>2953</v>
      </c>
      <c r="J86" s="30">
        <v>170</v>
      </c>
      <c r="K86" s="30"/>
      <c r="L86" s="1"/>
      <c r="M86" s="30"/>
      <c r="N86" s="1"/>
      <c r="O86" s="1"/>
    </row>
    <row r="87" spans="1:15" x14ac:dyDescent="0.3">
      <c r="A87" s="41">
        <v>45617</v>
      </c>
      <c r="B87" s="10" t="s">
        <v>2828</v>
      </c>
      <c r="C87" s="10" t="s">
        <v>14</v>
      </c>
      <c r="D87" s="30">
        <f t="shared" si="5"/>
        <v>172.72727272727272</v>
      </c>
      <c r="E87" s="30">
        <f t="shared" si="3"/>
        <v>17.272727272727273</v>
      </c>
      <c r="F87" s="30">
        <v>190</v>
      </c>
      <c r="G87" s="30"/>
      <c r="H87" s="13">
        <f t="shared" si="4"/>
        <v>190</v>
      </c>
      <c r="I87" s="1" t="s">
        <v>2954</v>
      </c>
      <c r="J87" s="30">
        <v>190</v>
      </c>
      <c r="K87" s="30"/>
      <c r="L87" s="1"/>
      <c r="M87" s="30"/>
      <c r="N87" s="1"/>
      <c r="O87" s="1"/>
    </row>
    <row r="88" spans="1:15" x14ac:dyDescent="0.3">
      <c r="A88" s="41">
        <v>45617</v>
      </c>
      <c r="B88" s="10" t="s">
        <v>2829</v>
      </c>
      <c r="C88" s="10" t="s">
        <v>14</v>
      </c>
      <c r="D88" s="30">
        <f t="shared" si="5"/>
        <v>313.63636363636363</v>
      </c>
      <c r="E88" s="30">
        <f t="shared" si="3"/>
        <v>31.36363636363636</v>
      </c>
      <c r="F88" s="30">
        <v>345</v>
      </c>
      <c r="G88" s="30">
        <v>50</v>
      </c>
      <c r="H88" s="13">
        <f t="shared" si="4"/>
        <v>295</v>
      </c>
      <c r="I88" s="1" t="s">
        <v>2955</v>
      </c>
      <c r="J88" s="30">
        <v>270</v>
      </c>
      <c r="K88" s="30">
        <v>30</v>
      </c>
      <c r="L88" s="1" t="s">
        <v>223</v>
      </c>
      <c r="M88" s="30">
        <v>45</v>
      </c>
      <c r="N88" s="1" t="s">
        <v>16</v>
      </c>
      <c r="O88" s="1"/>
    </row>
    <row r="89" spans="1:15" x14ac:dyDescent="0.3">
      <c r="A89" s="41">
        <v>45618</v>
      </c>
      <c r="B89" s="10" t="s">
        <v>2830</v>
      </c>
      <c r="C89" s="10" t="s">
        <v>14</v>
      </c>
      <c r="D89" s="30">
        <f t="shared" si="5"/>
        <v>154.54545454545453</v>
      </c>
      <c r="E89" s="30">
        <f t="shared" si="3"/>
        <v>15.454545454545453</v>
      </c>
      <c r="F89" s="30">
        <v>170</v>
      </c>
      <c r="G89" s="30"/>
      <c r="H89" s="13">
        <f t="shared" si="4"/>
        <v>170</v>
      </c>
      <c r="I89" s="1" t="s">
        <v>402</v>
      </c>
      <c r="J89" s="30">
        <v>170</v>
      </c>
      <c r="K89" s="30"/>
      <c r="L89" s="1"/>
      <c r="M89" s="30"/>
      <c r="N89" s="1"/>
      <c r="O89" s="1"/>
    </row>
    <row r="90" spans="1:15" x14ac:dyDescent="0.3">
      <c r="A90" s="41">
        <v>45618</v>
      </c>
      <c r="B90" s="10" t="s">
        <v>2831</v>
      </c>
      <c r="C90" s="10" t="s">
        <v>14</v>
      </c>
      <c r="D90" s="30">
        <f t="shared" si="5"/>
        <v>127.27272727272727</v>
      </c>
      <c r="E90" s="30">
        <f t="shared" si="3"/>
        <v>12.727272727272727</v>
      </c>
      <c r="F90" s="30">
        <v>140</v>
      </c>
      <c r="G90" s="30"/>
      <c r="H90" s="13">
        <f t="shared" si="4"/>
        <v>140</v>
      </c>
      <c r="I90" s="1" t="s">
        <v>402</v>
      </c>
      <c r="J90" s="30">
        <v>140</v>
      </c>
      <c r="K90" s="30"/>
      <c r="L90" s="1"/>
      <c r="M90" s="30"/>
      <c r="N90" s="1"/>
      <c r="O90" s="1"/>
    </row>
    <row r="91" spans="1:15" x14ac:dyDescent="0.3">
      <c r="A91" s="41">
        <v>45618</v>
      </c>
      <c r="B91" s="10" t="s">
        <v>2832</v>
      </c>
      <c r="C91" s="10" t="s">
        <v>14</v>
      </c>
      <c r="D91" s="30">
        <f t="shared" si="5"/>
        <v>195.45454545454544</v>
      </c>
      <c r="E91" s="30">
        <f t="shared" si="3"/>
        <v>19.545454545454547</v>
      </c>
      <c r="F91" s="30">
        <v>215</v>
      </c>
      <c r="G91" s="30">
        <v>50</v>
      </c>
      <c r="H91" s="13">
        <f t="shared" si="4"/>
        <v>165</v>
      </c>
      <c r="I91" s="1" t="s">
        <v>2956</v>
      </c>
      <c r="J91" s="30">
        <v>170</v>
      </c>
      <c r="K91" s="30"/>
      <c r="L91" s="1"/>
      <c r="M91" s="30">
        <v>45</v>
      </c>
      <c r="N91" s="1" t="s">
        <v>16</v>
      </c>
      <c r="O91" s="1"/>
    </row>
    <row r="92" spans="1:15" x14ac:dyDescent="0.3">
      <c r="A92" s="41">
        <v>45618</v>
      </c>
      <c r="B92" s="10" t="s">
        <v>2833</v>
      </c>
      <c r="C92" s="10" t="s">
        <v>14</v>
      </c>
      <c r="D92" s="30">
        <f t="shared" si="5"/>
        <v>172.72727272727272</v>
      </c>
      <c r="E92" s="30">
        <f t="shared" si="3"/>
        <v>17.272727272727273</v>
      </c>
      <c r="F92" s="30">
        <v>190</v>
      </c>
      <c r="G92" s="30"/>
      <c r="H92" s="13">
        <f t="shared" si="4"/>
        <v>190</v>
      </c>
      <c r="I92" s="1" t="s">
        <v>2055</v>
      </c>
      <c r="J92" s="30">
        <v>170</v>
      </c>
      <c r="K92" s="30">
        <v>20</v>
      </c>
      <c r="L92" s="1" t="s">
        <v>223</v>
      </c>
      <c r="M92" s="30"/>
      <c r="N92" s="1"/>
      <c r="O92" s="1"/>
    </row>
    <row r="93" spans="1:15" x14ac:dyDescent="0.3">
      <c r="A93" s="41">
        <v>45618</v>
      </c>
      <c r="B93" s="10" t="s">
        <v>2834</v>
      </c>
      <c r="C93" s="10" t="s">
        <v>14</v>
      </c>
      <c r="D93" s="30">
        <f t="shared" si="5"/>
        <v>154.54545454545453</v>
      </c>
      <c r="E93" s="30">
        <f t="shared" si="3"/>
        <v>15.454545454545453</v>
      </c>
      <c r="F93" s="30">
        <v>170</v>
      </c>
      <c r="G93" s="30">
        <v>50</v>
      </c>
      <c r="H93" s="13">
        <f t="shared" si="4"/>
        <v>120</v>
      </c>
      <c r="I93" s="1" t="s">
        <v>2957</v>
      </c>
      <c r="J93" s="30">
        <v>170</v>
      </c>
      <c r="K93" s="30"/>
      <c r="L93" s="1"/>
      <c r="M93" s="30"/>
      <c r="N93" s="1"/>
      <c r="O93" s="1"/>
    </row>
    <row r="94" spans="1:15" x14ac:dyDescent="0.3">
      <c r="A94" s="41">
        <v>45618</v>
      </c>
      <c r="B94" s="10" t="s">
        <v>2835</v>
      </c>
      <c r="C94" s="10" t="s">
        <v>14</v>
      </c>
      <c r="D94" s="30">
        <f t="shared" si="5"/>
        <v>154.54545454545453</v>
      </c>
      <c r="E94" s="30">
        <f t="shared" si="3"/>
        <v>15.454545454545453</v>
      </c>
      <c r="F94" s="30">
        <v>170</v>
      </c>
      <c r="G94" s="30"/>
      <c r="H94" s="13">
        <f t="shared" si="4"/>
        <v>170</v>
      </c>
      <c r="I94" s="1" t="s">
        <v>402</v>
      </c>
      <c r="J94" s="30">
        <v>170</v>
      </c>
      <c r="K94" s="30"/>
      <c r="L94" s="1"/>
      <c r="M94" s="30"/>
      <c r="N94" s="1"/>
      <c r="O94" s="1"/>
    </row>
    <row r="95" spans="1:15" x14ac:dyDescent="0.3">
      <c r="A95" s="41">
        <v>45618</v>
      </c>
      <c r="B95" s="10" t="s">
        <v>2836</v>
      </c>
      <c r="C95" s="10" t="s">
        <v>14</v>
      </c>
      <c r="D95" s="30">
        <f t="shared" si="5"/>
        <v>281.81818181818181</v>
      </c>
      <c r="E95" s="30">
        <f t="shared" si="3"/>
        <v>28.18181818181818</v>
      </c>
      <c r="F95" s="30">
        <v>310</v>
      </c>
      <c r="G95" s="30">
        <v>50</v>
      </c>
      <c r="H95" s="13">
        <f t="shared" si="4"/>
        <v>260</v>
      </c>
      <c r="I95" s="1" t="s">
        <v>2958</v>
      </c>
      <c r="J95" s="30">
        <v>270</v>
      </c>
      <c r="K95" s="30">
        <v>40</v>
      </c>
      <c r="L95" s="1" t="s">
        <v>223</v>
      </c>
      <c r="M95" s="30"/>
      <c r="N95" s="1"/>
      <c r="O95" s="1"/>
    </row>
    <row r="96" spans="1:15" x14ac:dyDescent="0.3">
      <c r="A96" s="41">
        <v>45618</v>
      </c>
      <c r="B96" s="10" t="s">
        <v>2837</v>
      </c>
      <c r="C96" s="10" t="s">
        <v>14</v>
      </c>
      <c r="D96" s="30">
        <f t="shared" si="5"/>
        <v>163.63636363636363</v>
      </c>
      <c r="E96" s="30">
        <f t="shared" si="3"/>
        <v>16.363636363636363</v>
      </c>
      <c r="F96" s="30">
        <v>180</v>
      </c>
      <c r="G96" s="30"/>
      <c r="H96" s="13">
        <f t="shared" si="4"/>
        <v>180</v>
      </c>
      <c r="I96" s="1" t="s">
        <v>402</v>
      </c>
      <c r="J96" s="30">
        <v>180</v>
      </c>
      <c r="K96" s="30"/>
      <c r="L96" s="1"/>
      <c r="M96" s="30"/>
      <c r="N96" s="1"/>
      <c r="O96" s="1"/>
    </row>
    <row r="97" spans="1:15" x14ac:dyDescent="0.3">
      <c r="A97" s="41">
        <v>45618</v>
      </c>
      <c r="B97" s="10" t="s">
        <v>2838</v>
      </c>
      <c r="C97" s="10" t="s">
        <v>14</v>
      </c>
      <c r="D97" s="30">
        <f t="shared" si="5"/>
        <v>322.72727272727269</v>
      </c>
      <c r="E97" s="30">
        <f t="shared" si="3"/>
        <v>32.272727272727273</v>
      </c>
      <c r="F97" s="30">
        <v>355</v>
      </c>
      <c r="G97" s="30">
        <v>50</v>
      </c>
      <c r="H97" s="13">
        <f t="shared" si="4"/>
        <v>305</v>
      </c>
      <c r="I97" s="1" t="s">
        <v>2959</v>
      </c>
      <c r="J97" s="30">
        <v>270</v>
      </c>
      <c r="K97" s="30">
        <v>40</v>
      </c>
      <c r="L97" s="1" t="s">
        <v>223</v>
      </c>
      <c r="M97" s="30">
        <v>45</v>
      </c>
      <c r="N97" s="1" t="s">
        <v>16</v>
      </c>
      <c r="O97" s="1"/>
    </row>
    <row r="98" spans="1:15" x14ac:dyDescent="0.3">
      <c r="A98" s="41">
        <v>45618</v>
      </c>
      <c r="B98" s="10" t="s">
        <v>2839</v>
      </c>
      <c r="C98" s="10" t="s">
        <v>14</v>
      </c>
      <c r="D98" s="30">
        <f t="shared" si="5"/>
        <v>199.99999999999997</v>
      </c>
      <c r="E98" s="30">
        <f t="shared" si="3"/>
        <v>19.999999999999996</v>
      </c>
      <c r="F98" s="30">
        <v>220</v>
      </c>
      <c r="G98" s="30"/>
      <c r="H98" s="13">
        <f t="shared" si="4"/>
        <v>220</v>
      </c>
      <c r="I98" s="1" t="s">
        <v>402</v>
      </c>
      <c r="J98" s="30">
        <v>220</v>
      </c>
      <c r="K98" s="30"/>
      <c r="L98" s="1"/>
      <c r="M98" s="30"/>
      <c r="N98" s="1"/>
      <c r="O98" s="1"/>
    </row>
    <row r="99" spans="1:15" x14ac:dyDescent="0.3">
      <c r="A99" s="41">
        <v>45618</v>
      </c>
      <c r="B99" s="10" t="s">
        <v>2840</v>
      </c>
      <c r="C99" s="10" t="s">
        <v>14</v>
      </c>
      <c r="D99" s="30">
        <f t="shared" si="5"/>
        <v>199.99999999999997</v>
      </c>
      <c r="E99" s="30">
        <f t="shared" si="3"/>
        <v>19.999999999999996</v>
      </c>
      <c r="F99" s="30">
        <v>220</v>
      </c>
      <c r="G99" s="30"/>
      <c r="H99" s="13">
        <f t="shared" si="4"/>
        <v>220</v>
      </c>
      <c r="I99" s="1" t="s">
        <v>402</v>
      </c>
      <c r="J99" s="30">
        <v>220</v>
      </c>
      <c r="K99" s="30"/>
      <c r="L99" s="1"/>
      <c r="M99" s="30"/>
      <c r="N99" s="1"/>
      <c r="O99" s="1"/>
    </row>
    <row r="100" spans="1:15" x14ac:dyDescent="0.3">
      <c r="A100" s="41">
        <v>45618</v>
      </c>
      <c r="B100" s="10" t="s">
        <v>2841</v>
      </c>
      <c r="C100" s="10" t="s">
        <v>14</v>
      </c>
      <c r="D100" s="30">
        <f t="shared" si="5"/>
        <v>236.36363636363635</v>
      </c>
      <c r="E100" s="30">
        <f t="shared" si="3"/>
        <v>23.636363636363637</v>
      </c>
      <c r="F100" s="30">
        <v>260</v>
      </c>
      <c r="G100" s="30">
        <v>50</v>
      </c>
      <c r="H100" s="13">
        <f t="shared" si="4"/>
        <v>210</v>
      </c>
      <c r="I100" s="1" t="s">
        <v>2960</v>
      </c>
      <c r="J100" s="30">
        <v>220</v>
      </c>
      <c r="K100" s="30">
        <v>40</v>
      </c>
      <c r="L100" s="1" t="s">
        <v>223</v>
      </c>
      <c r="M100" s="30"/>
      <c r="N100" s="1"/>
      <c r="O100" s="1"/>
    </row>
    <row r="101" spans="1:15" x14ac:dyDescent="0.3">
      <c r="A101" s="41">
        <v>45618</v>
      </c>
      <c r="B101" s="10" t="s">
        <v>2842</v>
      </c>
      <c r="C101" s="10" t="s">
        <v>14</v>
      </c>
      <c r="D101" s="30">
        <f t="shared" si="5"/>
        <v>199.99999999999997</v>
      </c>
      <c r="E101" s="30">
        <f t="shared" si="3"/>
        <v>19.999999999999996</v>
      </c>
      <c r="F101" s="30">
        <v>220</v>
      </c>
      <c r="G101" s="30">
        <v>50</v>
      </c>
      <c r="H101" s="13">
        <f t="shared" si="4"/>
        <v>170</v>
      </c>
      <c r="I101" s="1" t="s">
        <v>2961</v>
      </c>
      <c r="J101" s="30">
        <v>220</v>
      </c>
      <c r="K101" s="30"/>
      <c r="L101" s="1"/>
      <c r="M101" s="30"/>
      <c r="N101" s="1"/>
      <c r="O101" s="1"/>
    </row>
    <row r="102" spans="1:15" x14ac:dyDescent="0.3">
      <c r="A102" s="41">
        <v>45618</v>
      </c>
      <c r="B102" s="10" t="s">
        <v>2843</v>
      </c>
      <c r="C102" s="10" t="s">
        <v>14</v>
      </c>
      <c r="D102" s="30">
        <f t="shared" si="5"/>
        <v>163.63636363636363</v>
      </c>
      <c r="E102" s="30">
        <f t="shared" si="3"/>
        <v>16.363636363636363</v>
      </c>
      <c r="F102" s="30">
        <v>180</v>
      </c>
      <c r="G102" s="30"/>
      <c r="H102" s="13">
        <f t="shared" si="4"/>
        <v>180</v>
      </c>
      <c r="I102" s="1" t="s">
        <v>402</v>
      </c>
      <c r="J102" s="30">
        <v>180</v>
      </c>
      <c r="K102" s="30"/>
      <c r="L102" s="1"/>
      <c r="M102" s="30"/>
      <c r="N102" s="1"/>
      <c r="O102" s="1"/>
    </row>
    <row r="103" spans="1:15" x14ac:dyDescent="0.3">
      <c r="A103" s="41">
        <v>45619</v>
      </c>
      <c r="B103" s="10" t="s">
        <v>2844</v>
      </c>
      <c r="C103" s="10" t="s">
        <v>14</v>
      </c>
      <c r="D103" s="30">
        <f t="shared" si="5"/>
        <v>286.36363636363632</v>
      </c>
      <c r="E103" s="30">
        <f t="shared" si="3"/>
        <v>28.63636363636363</v>
      </c>
      <c r="F103" s="30">
        <v>315</v>
      </c>
      <c r="G103" s="30">
        <v>50</v>
      </c>
      <c r="H103" s="13">
        <f t="shared" si="4"/>
        <v>265</v>
      </c>
      <c r="I103" s="1" t="s">
        <v>2962</v>
      </c>
      <c r="J103" s="30">
        <v>270</v>
      </c>
      <c r="K103" s="30"/>
      <c r="L103" s="1"/>
      <c r="M103" s="30">
        <v>45</v>
      </c>
      <c r="N103" s="1" t="s">
        <v>16</v>
      </c>
      <c r="O103" s="1"/>
    </row>
    <row r="104" spans="1:15" x14ac:dyDescent="0.3">
      <c r="A104" s="41">
        <v>45619</v>
      </c>
      <c r="B104" s="10" t="s">
        <v>2845</v>
      </c>
      <c r="C104" s="10" t="s">
        <v>14</v>
      </c>
      <c r="D104" s="30">
        <f t="shared" si="5"/>
        <v>245.45454545454544</v>
      </c>
      <c r="E104" s="30">
        <f t="shared" si="3"/>
        <v>24.545454545454547</v>
      </c>
      <c r="F104" s="30">
        <v>270</v>
      </c>
      <c r="G104" s="30">
        <v>50</v>
      </c>
      <c r="H104" s="13">
        <f t="shared" si="4"/>
        <v>220</v>
      </c>
      <c r="I104" s="1" t="s">
        <v>2963</v>
      </c>
      <c r="J104" s="30">
        <v>270</v>
      </c>
      <c r="K104" s="30"/>
      <c r="L104" s="1"/>
      <c r="M104" s="30"/>
      <c r="N104" s="1"/>
      <c r="O104" s="1"/>
    </row>
    <row r="105" spans="1:15" x14ac:dyDescent="0.3">
      <c r="A105" s="41">
        <v>45619</v>
      </c>
      <c r="B105" s="10" t="s">
        <v>2846</v>
      </c>
      <c r="C105" s="10" t="s">
        <v>14</v>
      </c>
      <c r="D105" s="30">
        <f t="shared" si="5"/>
        <v>227.27272727272725</v>
      </c>
      <c r="E105" s="30">
        <f t="shared" si="3"/>
        <v>22.727272727272727</v>
      </c>
      <c r="F105" s="30">
        <v>250</v>
      </c>
      <c r="G105" s="30">
        <v>50</v>
      </c>
      <c r="H105" s="13">
        <f t="shared" si="4"/>
        <v>200</v>
      </c>
      <c r="I105" s="1" t="s">
        <v>2964</v>
      </c>
      <c r="J105" s="30">
        <v>220</v>
      </c>
      <c r="K105" s="30">
        <v>30</v>
      </c>
      <c r="L105" s="1" t="s">
        <v>223</v>
      </c>
      <c r="M105" s="30"/>
      <c r="N105" s="1"/>
      <c r="O105" s="1"/>
    </row>
    <row r="106" spans="1:15" x14ac:dyDescent="0.3">
      <c r="A106" s="41">
        <v>45619</v>
      </c>
      <c r="B106" s="10" t="s">
        <v>2847</v>
      </c>
      <c r="C106" s="10" t="s">
        <v>14</v>
      </c>
      <c r="D106" s="30">
        <f t="shared" si="5"/>
        <v>245.45454545454544</v>
      </c>
      <c r="E106" s="30">
        <f t="shared" si="3"/>
        <v>24.545454545454547</v>
      </c>
      <c r="F106" s="30">
        <v>270</v>
      </c>
      <c r="G106" s="30">
        <v>50</v>
      </c>
      <c r="H106" s="13">
        <f t="shared" si="4"/>
        <v>220</v>
      </c>
      <c r="I106" s="1" t="s">
        <v>2965</v>
      </c>
      <c r="J106" s="30">
        <v>270</v>
      </c>
      <c r="K106" s="30"/>
      <c r="L106" s="1"/>
      <c r="M106" s="30"/>
      <c r="N106" s="1"/>
      <c r="O106" s="1"/>
    </row>
    <row r="107" spans="1:15" x14ac:dyDescent="0.3">
      <c r="A107" s="41">
        <v>45619</v>
      </c>
      <c r="B107" s="10" t="s">
        <v>2848</v>
      </c>
      <c r="C107" s="10" t="s">
        <v>14</v>
      </c>
      <c r="D107" s="30">
        <f t="shared" si="5"/>
        <v>245.45454545454544</v>
      </c>
      <c r="E107" s="30">
        <f t="shared" si="3"/>
        <v>24.545454545454547</v>
      </c>
      <c r="F107" s="30">
        <v>270</v>
      </c>
      <c r="G107" s="30">
        <v>50</v>
      </c>
      <c r="H107" s="13">
        <f t="shared" si="4"/>
        <v>220</v>
      </c>
      <c r="I107" s="1" t="s">
        <v>2966</v>
      </c>
      <c r="J107" s="30">
        <v>270</v>
      </c>
      <c r="K107" s="30"/>
      <c r="L107" s="1"/>
      <c r="M107" s="30"/>
      <c r="N107" s="1"/>
      <c r="O107" s="1"/>
    </row>
    <row r="108" spans="1:15" x14ac:dyDescent="0.3">
      <c r="A108" s="41">
        <v>45619</v>
      </c>
      <c r="B108" s="10" t="s">
        <v>2849</v>
      </c>
      <c r="C108" s="10" t="s">
        <v>14</v>
      </c>
      <c r="D108" s="30">
        <f t="shared" si="5"/>
        <v>199.99999999999997</v>
      </c>
      <c r="E108" s="30">
        <f t="shared" si="3"/>
        <v>19.999999999999996</v>
      </c>
      <c r="F108" s="30">
        <v>220</v>
      </c>
      <c r="G108" s="30"/>
      <c r="H108" s="13">
        <f t="shared" si="4"/>
        <v>220</v>
      </c>
      <c r="I108" s="1" t="s">
        <v>402</v>
      </c>
      <c r="J108" s="30">
        <v>220</v>
      </c>
      <c r="K108" s="30"/>
      <c r="L108" s="1"/>
      <c r="M108" s="30"/>
      <c r="N108" s="1"/>
      <c r="O108" s="1"/>
    </row>
    <row r="109" spans="1:15" x14ac:dyDescent="0.3">
      <c r="A109" s="41">
        <v>45619</v>
      </c>
      <c r="B109" s="10" t="s">
        <v>2850</v>
      </c>
      <c r="C109" s="10" t="s">
        <v>14</v>
      </c>
      <c r="D109" s="30">
        <f t="shared" si="5"/>
        <v>154.54545454545453</v>
      </c>
      <c r="E109" s="30">
        <f t="shared" si="3"/>
        <v>15.454545454545453</v>
      </c>
      <c r="F109" s="30">
        <v>170</v>
      </c>
      <c r="G109" s="30">
        <v>50</v>
      </c>
      <c r="H109" s="13">
        <f t="shared" si="4"/>
        <v>120</v>
      </c>
      <c r="I109" s="1" t="s">
        <v>2967</v>
      </c>
      <c r="J109" s="30">
        <v>170</v>
      </c>
      <c r="K109" s="30"/>
      <c r="L109" s="1"/>
      <c r="M109" s="30"/>
      <c r="N109" s="1"/>
      <c r="O109" s="1"/>
    </row>
    <row r="110" spans="1:15" x14ac:dyDescent="0.3">
      <c r="A110" s="41">
        <v>45619</v>
      </c>
      <c r="B110" s="10" t="s">
        <v>2851</v>
      </c>
      <c r="C110" s="10" t="s">
        <v>14</v>
      </c>
      <c r="D110" s="30">
        <f t="shared" si="5"/>
        <v>154.54545454545453</v>
      </c>
      <c r="E110" s="30">
        <f t="shared" si="3"/>
        <v>15.454545454545453</v>
      </c>
      <c r="F110" s="30">
        <v>170</v>
      </c>
      <c r="G110" s="30">
        <v>50</v>
      </c>
      <c r="H110" s="13">
        <f t="shared" si="4"/>
        <v>120</v>
      </c>
      <c r="I110" s="1" t="s">
        <v>2968</v>
      </c>
      <c r="J110" s="30">
        <v>170</v>
      </c>
      <c r="K110" s="30"/>
      <c r="L110" s="1"/>
      <c r="M110" s="30"/>
      <c r="N110" s="1"/>
      <c r="O110" s="1"/>
    </row>
    <row r="111" spans="1:15" x14ac:dyDescent="0.3">
      <c r="A111" s="41">
        <v>45619</v>
      </c>
      <c r="B111" s="10" t="s">
        <v>2852</v>
      </c>
      <c r="C111" s="10" t="s">
        <v>14</v>
      </c>
      <c r="D111" s="30">
        <f t="shared" si="5"/>
        <v>154.54545454545453</v>
      </c>
      <c r="E111" s="30">
        <f t="shared" si="3"/>
        <v>15.454545454545453</v>
      </c>
      <c r="F111" s="30">
        <v>170</v>
      </c>
      <c r="G111" s="30">
        <v>50</v>
      </c>
      <c r="H111" s="13">
        <f t="shared" si="4"/>
        <v>120</v>
      </c>
      <c r="I111" s="1" t="s">
        <v>2969</v>
      </c>
      <c r="J111" s="30">
        <v>170</v>
      </c>
      <c r="K111" s="30"/>
      <c r="L111" s="1"/>
      <c r="M111" s="30"/>
      <c r="N111" s="1"/>
      <c r="O111" s="1"/>
    </row>
    <row r="112" spans="1:15" x14ac:dyDescent="0.3">
      <c r="A112" s="41">
        <v>45619</v>
      </c>
      <c r="B112" s="10" t="s">
        <v>2853</v>
      </c>
      <c r="C112" s="10" t="s">
        <v>14</v>
      </c>
      <c r="D112" s="30">
        <f t="shared" si="5"/>
        <v>172.72727272727272</v>
      </c>
      <c r="E112" s="30">
        <f t="shared" si="3"/>
        <v>17.272727272727273</v>
      </c>
      <c r="F112" s="30">
        <v>190</v>
      </c>
      <c r="G112" s="30">
        <v>50</v>
      </c>
      <c r="H112" s="13">
        <f t="shared" si="4"/>
        <v>140</v>
      </c>
      <c r="I112" s="1" t="s">
        <v>2970</v>
      </c>
      <c r="J112" s="30">
        <v>170</v>
      </c>
      <c r="K112" s="30">
        <v>20</v>
      </c>
      <c r="L112" s="1" t="s">
        <v>223</v>
      </c>
      <c r="M112" s="30"/>
      <c r="N112" s="1"/>
      <c r="O112" s="1"/>
    </row>
    <row r="113" spans="1:15" x14ac:dyDescent="0.3">
      <c r="A113" s="41">
        <v>45619</v>
      </c>
      <c r="B113" s="10" t="s">
        <v>2854</v>
      </c>
      <c r="C113" s="10" t="s">
        <v>14</v>
      </c>
      <c r="D113" s="30">
        <f t="shared" si="5"/>
        <v>154.54545454545453</v>
      </c>
      <c r="E113" s="30">
        <f t="shared" si="3"/>
        <v>15.454545454545453</v>
      </c>
      <c r="F113" s="30">
        <v>170</v>
      </c>
      <c r="G113" s="30"/>
      <c r="H113" s="13">
        <f t="shared" si="4"/>
        <v>170</v>
      </c>
      <c r="I113" s="1" t="s">
        <v>2966</v>
      </c>
      <c r="J113" s="30">
        <v>170</v>
      </c>
      <c r="K113" s="30"/>
      <c r="L113" s="1"/>
      <c r="M113" s="30"/>
      <c r="N113" s="1"/>
      <c r="O113" s="1"/>
    </row>
    <row r="114" spans="1:15" x14ac:dyDescent="0.3">
      <c r="A114" s="41">
        <v>45619</v>
      </c>
      <c r="B114" s="10" t="s">
        <v>2855</v>
      </c>
      <c r="C114" s="10" t="s">
        <v>14</v>
      </c>
      <c r="D114" s="30">
        <f t="shared" si="5"/>
        <v>218.18181818181816</v>
      </c>
      <c r="E114" s="30">
        <f t="shared" si="3"/>
        <v>21.818181818181817</v>
      </c>
      <c r="F114" s="30">
        <v>240</v>
      </c>
      <c r="G114" s="30"/>
      <c r="H114" s="13">
        <f t="shared" si="4"/>
        <v>240</v>
      </c>
      <c r="I114" s="1" t="s">
        <v>2971</v>
      </c>
      <c r="J114" s="30">
        <v>240</v>
      </c>
      <c r="K114" s="30"/>
      <c r="L114" s="1"/>
      <c r="M114" s="30"/>
      <c r="N114" s="1"/>
      <c r="O114" s="1"/>
    </row>
    <row r="115" spans="1:15" x14ac:dyDescent="0.3">
      <c r="A115" s="41">
        <v>45619</v>
      </c>
      <c r="B115" s="10" t="s">
        <v>2856</v>
      </c>
      <c r="C115" s="10" t="s">
        <v>14</v>
      </c>
      <c r="D115" s="30">
        <f t="shared" si="5"/>
        <v>181.81818181818181</v>
      </c>
      <c r="E115" s="30">
        <f t="shared" si="3"/>
        <v>18.18181818181818</v>
      </c>
      <c r="F115" s="30">
        <v>200</v>
      </c>
      <c r="G115" s="30"/>
      <c r="H115" s="13">
        <f t="shared" si="4"/>
        <v>200</v>
      </c>
      <c r="I115" s="1" t="s">
        <v>2972</v>
      </c>
      <c r="J115" s="30">
        <v>220</v>
      </c>
      <c r="K115" s="30"/>
      <c r="L115" s="1"/>
      <c r="M115" s="30"/>
      <c r="N115" s="1"/>
      <c r="O115" s="1"/>
    </row>
    <row r="116" spans="1:15" x14ac:dyDescent="0.3">
      <c r="A116" s="41">
        <v>45619</v>
      </c>
      <c r="B116" s="10" t="s">
        <v>2857</v>
      </c>
      <c r="C116" s="10" t="s">
        <v>14</v>
      </c>
      <c r="D116" s="30">
        <f t="shared" si="5"/>
        <v>154.54545454545453</v>
      </c>
      <c r="E116" s="30">
        <f t="shared" si="3"/>
        <v>15.454545454545453</v>
      </c>
      <c r="F116" s="30">
        <v>170</v>
      </c>
      <c r="G116" s="30">
        <v>50</v>
      </c>
      <c r="H116" s="13">
        <f t="shared" si="4"/>
        <v>120</v>
      </c>
      <c r="I116" s="1" t="s">
        <v>2055</v>
      </c>
      <c r="J116" s="30">
        <v>170</v>
      </c>
      <c r="K116" s="30"/>
      <c r="L116" s="1"/>
      <c r="M116" s="30"/>
      <c r="N116" s="1"/>
      <c r="O116" s="1"/>
    </row>
    <row r="117" spans="1:15" x14ac:dyDescent="0.3">
      <c r="A117" s="41">
        <v>45619</v>
      </c>
      <c r="B117" s="10" t="s">
        <v>2858</v>
      </c>
      <c r="C117" s="10" t="s">
        <v>14</v>
      </c>
      <c r="D117" s="30">
        <f t="shared" si="5"/>
        <v>209.09090909090907</v>
      </c>
      <c r="E117" s="30">
        <f t="shared" si="3"/>
        <v>20.909090909090907</v>
      </c>
      <c r="F117" s="30">
        <v>230</v>
      </c>
      <c r="G117" s="30">
        <v>50</v>
      </c>
      <c r="H117" s="13">
        <f t="shared" si="4"/>
        <v>180</v>
      </c>
      <c r="I117" s="1" t="s">
        <v>2973</v>
      </c>
      <c r="J117" s="30">
        <v>170</v>
      </c>
      <c r="K117" s="30">
        <v>60</v>
      </c>
      <c r="L117" s="1" t="s">
        <v>223</v>
      </c>
      <c r="M117" s="30"/>
      <c r="N117" s="1"/>
      <c r="O117" s="1"/>
    </row>
    <row r="118" spans="1:15" x14ac:dyDescent="0.3">
      <c r="A118" s="41">
        <v>45619</v>
      </c>
      <c r="B118" s="10" t="s">
        <v>2859</v>
      </c>
      <c r="C118" s="10" t="s">
        <v>14</v>
      </c>
      <c r="D118" s="30">
        <f t="shared" si="5"/>
        <v>127.27272727272727</v>
      </c>
      <c r="E118" s="30">
        <f t="shared" si="3"/>
        <v>12.727272727272727</v>
      </c>
      <c r="F118" s="30">
        <v>140</v>
      </c>
      <c r="G118" s="30"/>
      <c r="H118" s="13">
        <f t="shared" si="4"/>
        <v>140</v>
      </c>
      <c r="I118" s="1" t="s">
        <v>402</v>
      </c>
      <c r="J118" s="30">
        <v>140</v>
      </c>
      <c r="K118" s="30"/>
      <c r="L118" s="1"/>
      <c r="M118" s="30"/>
      <c r="N118" s="1"/>
      <c r="O118" s="1"/>
    </row>
    <row r="119" spans="1:15" x14ac:dyDescent="0.3">
      <c r="A119" s="41">
        <v>45619</v>
      </c>
      <c r="B119" s="10" t="s">
        <v>2860</v>
      </c>
      <c r="C119" s="10" t="s">
        <v>14</v>
      </c>
      <c r="D119" s="30">
        <f t="shared" si="5"/>
        <v>136.36363636363635</v>
      </c>
      <c r="E119" s="30">
        <f t="shared" si="3"/>
        <v>13.636363636363635</v>
      </c>
      <c r="F119" s="30">
        <v>150</v>
      </c>
      <c r="G119" s="30"/>
      <c r="H119" s="13">
        <f t="shared" si="4"/>
        <v>150</v>
      </c>
      <c r="I119" s="1" t="s">
        <v>2974</v>
      </c>
      <c r="J119" s="30">
        <v>150</v>
      </c>
      <c r="K119" s="30"/>
      <c r="L119" s="1"/>
      <c r="M119" s="30"/>
      <c r="N119" s="1"/>
      <c r="O119" s="1"/>
    </row>
    <row r="120" spans="1:15" x14ac:dyDescent="0.3">
      <c r="A120" s="41">
        <v>45619</v>
      </c>
      <c r="B120" s="10" t="s">
        <v>2861</v>
      </c>
      <c r="C120" s="10" t="s">
        <v>14</v>
      </c>
      <c r="D120" s="30">
        <f t="shared" si="5"/>
        <v>190.90909090909091</v>
      </c>
      <c r="E120" s="30">
        <f t="shared" si="3"/>
        <v>19.09090909090909</v>
      </c>
      <c r="F120" s="30">
        <v>210</v>
      </c>
      <c r="G120" s="30">
        <v>210</v>
      </c>
      <c r="H120" s="13">
        <f t="shared" si="4"/>
        <v>0</v>
      </c>
      <c r="I120" s="1" t="s">
        <v>2055</v>
      </c>
      <c r="J120" s="30">
        <v>170</v>
      </c>
      <c r="K120" s="30">
        <v>40</v>
      </c>
      <c r="L120" s="1" t="s">
        <v>223</v>
      </c>
      <c r="M120" s="30"/>
      <c r="N120" s="1"/>
      <c r="O120" s="1"/>
    </row>
    <row r="121" spans="1:15" x14ac:dyDescent="0.3">
      <c r="A121" s="41">
        <v>45619</v>
      </c>
      <c r="B121" s="10" t="s">
        <v>2862</v>
      </c>
      <c r="C121" s="10" t="s">
        <v>14</v>
      </c>
      <c r="D121" s="30">
        <f t="shared" si="5"/>
        <v>227.27272727272725</v>
      </c>
      <c r="E121" s="30">
        <f t="shared" si="3"/>
        <v>22.727272727272727</v>
      </c>
      <c r="F121" s="30">
        <v>250</v>
      </c>
      <c r="G121" s="30">
        <v>50</v>
      </c>
      <c r="H121" s="13">
        <f t="shared" si="4"/>
        <v>200</v>
      </c>
      <c r="I121" s="1" t="s">
        <v>2975</v>
      </c>
      <c r="J121" s="30">
        <v>220</v>
      </c>
      <c r="K121" s="30">
        <v>30</v>
      </c>
      <c r="L121" s="1" t="s">
        <v>223</v>
      </c>
      <c r="M121" s="30"/>
      <c r="N121" s="1"/>
      <c r="O121" s="1"/>
    </row>
    <row r="122" spans="1:15" x14ac:dyDescent="0.3">
      <c r="A122" s="41">
        <v>45619</v>
      </c>
      <c r="B122" s="10" t="s">
        <v>2863</v>
      </c>
      <c r="C122" s="10" t="s">
        <v>14</v>
      </c>
      <c r="D122" s="30">
        <f t="shared" si="5"/>
        <v>272.72727272727269</v>
      </c>
      <c r="E122" s="30">
        <f t="shared" si="3"/>
        <v>27.27272727272727</v>
      </c>
      <c r="F122" s="30">
        <v>300</v>
      </c>
      <c r="G122" s="30">
        <v>50</v>
      </c>
      <c r="H122" s="13">
        <f t="shared" si="4"/>
        <v>250</v>
      </c>
      <c r="I122" s="1" t="s">
        <v>2976</v>
      </c>
      <c r="J122" s="30">
        <v>270</v>
      </c>
      <c r="K122" s="30">
        <v>30</v>
      </c>
      <c r="L122" s="1" t="s">
        <v>223</v>
      </c>
      <c r="M122" s="30"/>
      <c r="N122" s="1"/>
      <c r="O122" s="1"/>
    </row>
    <row r="123" spans="1:15" x14ac:dyDescent="0.3">
      <c r="A123" s="41">
        <v>45619</v>
      </c>
      <c r="B123" s="10" t="s">
        <v>2864</v>
      </c>
      <c r="C123" s="10" t="s">
        <v>14</v>
      </c>
      <c r="D123" s="30">
        <f t="shared" si="5"/>
        <v>236.36363636363635</v>
      </c>
      <c r="E123" s="30">
        <f t="shared" si="3"/>
        <v>23.636363636363637</v>
      </c>
      <c r="F123" s="30">
        <v>260</v>
      </c>
      <c r="G123" s="30">
        <v>50</v>
      </c>
      <c r="H123" s="13">
        <f t="shared" si="4"/>
        <v>210</v>
      </c>
      <c r="I123" s="1" t="s">
        <v>2977</v>
      </c>
      <c r="J123" s="30">
        <v>220</v>
      </c>
      <c r="K123" s="30">
        <v>40</v>
      </c>
      <c r="L123" s="1" t="s">
        <v>223</v>
      </c>
      <c r="M123" s="30"/>
      <c r="N123" s="1"/>
      <c r="O123" s="1"/>
    </row>
    <row r="124" spans="1:15" x14ac:dyDescent="0.3">
      <c r="A124" s="41">
        <v>45619</v>
      </c>
      <c r="B124" s="10" t="s">
        <v>2865</v>
      </c>
      <c r="C124" s="10" t="s">
        <v>14</v>
      </c>
      <c r="D124" s="30">
        <f t="shared" si="5"/>
        <v>263.63636363636363</v>
      </c>
      <c r="E124" s="30">
        <f t="shared" si="3"/>
        <v>26.36363636363636</v>
      </c>
      <c r="F124" s="30">
        <v>290</v>
      </c>
      <c r="G124" s="30">
        <v>50</v>
      </c>
      <c r="H124" s="13">
        <f t="shared" si="4"/>
        <v>240</v>
      </c>
      <c r="I124" s="1" t="s">
        <v>2978</v>
      </c>
      <c r="J124" s="30">
        <v>270</v>
      </c>
      <c r="K124" s="30">
        <v>20</v>
      </c>
      <c r="L124" s="1" t="s">
        <v>223</v>
      </c>
      <c r="M124" s="30"/>
      <c r="N124" s="1"/>
      <c r="O124" s="1"/>
    </row>
    <row r="125" spans="1:15" x14ac:dyDescent="0.3">
      <c r="A125" s="41">
        <v>45619</v>
      </c>
      <c r="B125" s="10" t="s">
        <v>2866</v>
      </c>
      <c r="C125" s="10" t="s">
        <v>14</v>
      </c>
      <c r="D125" s="30">
        <f t="shared" si="5"/>
        <v>240.90909090909088</v>
      </c>
      <c r="E125" s="30">
        <f t="shared" si="3"/>
        <v>24.09090909090909</v>
      </c>
      <c r="F125" s="30">
        <v>265</v>
      </c>
      <c r="G125" s="30">
        <v>50</v>
      </c>
      <c r="H125" s="13">
        <f t="shared" si="4"/>
        <v>215</v>
      </c>
      <c r="I125" s="1" t="s">
        <v>2979</v>
      </c>
      <c r="J125" s="30">
        <v>220</v>
      </c>
      <c r="K125" s="30"/>
      <c r="L125" s="1"/>
      <c r="M125" s="30">
        <v>45</v>
      </c>
      <c r="N125" s="1" t="s">
        <v>16</v>
      </c>
      <c r="O125" s="1"/>
    </row>
    <row r="126" spans="1:15" x14ac:dyDescent="0.3">
      <c r="A126" s="41">
        <v>45619</v>
      </c>
      <c r="B126" s="10" t="s">
        <v>2867</v>
      </c>
      <c r="C126" s="10" t="s">
        <v>14</v>
      </c>
      <c r="D126" s="30">
        <f t="shared" si="5"/>
        <v>227.27272727272725</v>
      </c>
      <c r="E126" s="30">
        <f t="shared" si="3"/>
        <v>22.727272727272727</v>
      </c>
      <c r="F126" s="30">
        <v>250</v>
      </c>
      <c r="G126" s="30"/>
      <c r="H126" s="13">
        <f t="shared" si="4"/>
        <v>250</v>
      </c>
      <c r="I126" s="103" t="s">
        <v>2055</v>
      </c>
      <c r="J126" s="30">
        <v>250</v>
      </c>
      <c r="K126" s="30"/>
      <c r="L126" s="1"/>
      <c r="M126" s="30"/>
      <c r="N126" s="1"/>
      <c r="O126" s="1"/>
    </row>
    <row r="127" spans="1:15" x14ac:dyDescent="0.3">
      <c r="A127" s="41">
        <v>45620</v>
      </c>
      <c r="B127" s="10" t="s">
        <v>2868</v>
      </c>
      <c r="C127" s="10" t="s">
        <v>14</v>
      </c>
      <c r="D127" s="30">
        <f t="shared" si="5"/>
        <v>263.63636363636363</v>
      </c>
      <c r="E127" s="30">
        <f t="shared" si="3"/>
        <v>26.36363636363636</v>
      </c>
      <c r="F127" s="30">
        <v>290</v>
      </c>
      <c r="G127" s="30">
        <v>50</v>
      </c>
      <c r="H127" s="13">
        <f t="shared" si="4"/>
        <v>240</v>
      </c>
      <c r="I127" s="1" t="s">
        <v>2980</v>
      </c>
      <c r="J127" s="30">
        <v>270</v>
      </c>
      <c r="K127" s="30">
        <v>20</v>
      </c>
      <c r="L127" s="1" t="s">
        <v>223</v>
      </c>
      <c r="M127" s="30"/>
      <c r="N127" s="1"/>
      <c r="O127" s="1"/>
    </row>
    <row r="128" spans="1:15" x14ac:dyDescent="0.3">
      <c r="A128" s="41">
        <v>45620</v>
      </c>
      <c r="B128" s="10" t="s">
        <v>2869</v>
      </c>
      <c r="C128" s="10" t="s">
        <v>14</v>
      </c>
      <c r="D128" s="30">
        <f t="shared" si="5"/>
        <v>240.90909090909088</v>
      </c>
      <c r="E128" s="30">
        <f t="shared" si="3"/>
        <v>24.09090909090909</v>
      </c>
      <c r="F128" s="30">
        <v>265</v>
      </c>
      <c r="G128" s="30">
        <v>50</v>
      </c>
      <c r="H128" s="13">
        <f t="shared" si="4"/>
        <v>215</v>
      </c>
      <c r="I128" s="1" t="s">
        <v>2055</v>
      </c>
      <c r="J128" s="30">
        <v>220</v>
      </c>
      <c r="K128" s="30"/>
      <c r="L128" s="1"/>
      <c r="M128" s="30"/>
      <c r="N128" s="1"/>
      <c r="O128" s="1"/>
    </row>
    <row r="129" spans="1:15" x14ac:dyDescent="0.3">
      <c r="A129" s="109">
        <v>45624</v>
      </c>
      <c r="B129" s="110" t="s">
        <v>2870</v>
      </c>
      <c r="C129" s="110" t="s">
        <v>14</v>
      </c>
      <c r="D129" s="30">
        <f t="shared" si="5"/>
        <v>839.99999999999989</v>
      </c>
      <c r="E129" s="30">
        <f t="shared" si="3"/>
        <v>83.999999999999986</v>
      </c>
      <c r="F129" s="30">
        <v>924</v>
      </c>
      <c r="G129" s="30"/>
      <c r="H129" s="13">
        <f t="shared" si="4"/>
        <v>924</v>
      </c>
      <c r="I129" t="s">
        <v>2981</v>
      </c>
      <c r="J129" s="30"/>
      <c r="K129" s="30"/>
      <c r="L129" s="1"/>
      <c r="M129" s="30"/>
      <c r="N129" s="1"/>
      <c r="O129" s="1"/>
    </row>
    <row r="130" spans="1:15" x14ac:dyDescent="0.3">
      <c r="A130" s="41">
        <v>45625</v>
      </c>
      <c r="B130" s="10" t="s">
        <v>2871</v>
      </c>
      <c r="C130" s="10" t="s">
        <v>14</v>
      </c>
      <c r="D130" s="30">
        <f t="shared" si="5"/>
        <v>240.90909090909088</v>
      </c>
      <c r="E130" s="30">
        <f t="shared" si="3"/>
        <v>24.09090909090909</v>
      </c>
      <c r="F130" s="30">
        <v>265</v>
      </c>
      <c r="G130" s="30">
        <v>50</v>
      </c>
      <c r="H130" s="13">
        <f t="shared" si="4"/>
        <v>215</v>
      </c>
      <c r="I130" s="1" t="s">
        <v>2982</v>
      </c>
      <c r="J130" s="30">
        <v>220</v>
      </c>
      <c r="K130" s="30"/>
      <c r="L130" s="1"/>
      <c r="M130" s="30">
        <v>45</v>
      </c>
      <c r="N130" s="1" t="s">
        <v>16</v>
      </c>
      <c r="O130" s="1"/>
    </row>
    <row r="131" spans="1:15" x14ac:dyDescent="0.3">
      <c r="A131" s="41">
        <v>45625</v>
      </c>
      <c r="B131" s="10" t="s">
        <v>2872</v>
      </c>
      <c r="C131" s="10" t="s">
        <v>14</v>
      </c>
      <c r="D131" s="30">
        <f t="shared" si="5"/>
        <v>127.27272727272727</v>
      </c>
      <c r="E131" s="30">
        <f t="shared" ref="E131:E160" si="6">D131*10/100</f>
        <v>12.727272727272727</v>
      </c>
      <c r="F131" s="30">
        <v>140</v>
      </c>
      <c r="G131" s="30"/>
      <c r="H131" s="13">
        <f t="shared" ref="H131:H160" si="7">F131-G131</f>
        <v>140</v>
      </c>
      <c r="I131" s="1" t="s">
        <v>402</v>
      </c>
      <c r="J131" s="30">
        <v>170</v>
      </c>
      <c r="K131" s="30"/>
      <c r="L131" s="1"/>
      <c r="M131" s="30"/>
      <c r="N131" s="1"/>
      <c r="O131" s="1"/>
    </row>
    <row r="132" spans="1:15" x14ac:dyDescent="0.3">
      <c r="A132" s="41">
        <v>45625</v>
      </c>
      <c r="B132" s="10" t="s">
        <v>2873</v>
      </c>
      <c r="C132" s="10" t="s">
        <v>14</v>
      </c>
      <c r="D132" s="30">
        <f t="shared" ref="D132:D160" si="8">F132/1.1</f>
        <v>154.54545454545453</v>
      </c>
      <c r="E132" s="30">
        <f t="shared" si="6"/>
        <v>15.454545454545453</v>
      </c>
      <c r="F132" s="30">
        <v>170</v>
      </c>
      <c r="G132" s="30">
        <v>50</v>
      </c>
      <c r="H132" s="13">
        <f t="shared" si="7"/>
        <v>120</v>
      </c>
      <c r="I132" s="1" t="s">
        <v>2983</v>
      </c>
      <c r="J132" s="30">
        <v>170</v>
      </c>
      <c r="K132" s="30"/>
      <c r="L132" s="1"/>
      <c r="M132" s="30"/>
      <c r="N132" s="1"/>
      <c r="O132" s="1"/>
    </row>
    <row r="133" spans="1:15" x14ac:dyDescent="0.3">
      <c r="A133" s="41">
        <v>45625</v>
      </c>
      <c r="B133" s="10" t="s">
        <v>2874</v>
      </c>
      <c r="C133" s="10" t="s">
        <v>14</v>
      </c>
      <c r="D133" s="30">
        <f t="shared" si="8"/>
        <v>154.54545454545453</v>
      </c>
      <c r="E133" s="30">
        <f t="shared" si="6"/>
        <v>15.454545454545453</v>
      </c>
      <c r="F133" s="30">
        <v>170</v>
      </c>
      <c r="G133" s="30">
        <v>50</v>
      </c>
      <c r="H133" s="13">
        <f t="shared" si="7"/>
        <v>120</v>
      </c>
      <c r="I133" s="1" t="s">
        <v>2984</v>
      </c>
      <c r="J133" s="30">
        <v>170</v>
      </c>
      <c r="K133" s="30"/>
      <c r="L133" s="1"/>
      <c r="M133" s="30"/>
      <c r="N133" s="1"/>
      <c r="O133" s="1"/>
    </row>
    <row r="134" spans="1:15" x14ac:dyDescent="0.3">
      <c r="A134" s="41">
        <v>45625</v>
      </c>
      <c r="B134" s="10" t="s">
        <v>2875</v>
      </c>
      <c r="C134" s="10" t="s">
        <v>14</v>
      </c>
      <c r="D134" s="30">
        <f t="shared" si="8"/>
        <v>195.45454545454544</v>
      </c>
      <c r="E134" s="30">
        <f t="shared" si="6"/>
        <v>19.545454545454547</v>
      </c>
      <c r="F134" s="30">
        <v>215</v>
      </c>
      <c r="G134" s="30">
        <v>50</v>
      </c>
      <c r="H134" s="13">
        <f t="shared" si="7"/>
        <v>165</v>
      </c>
      <c r="I134" s="1" t="s">
        <v>2985</v>
      </c>
      <c r="J134" s="30">
        <v>170</v>
      </c>
      <c r="K134" s="30"/>
      <c r="L134" s="1"/>
      <c r="M134" s="30">
        <v>45</v>
      </c>
      <c r="N134" s="1" t="s">
        <v>16</v>
      </c>
      <c r="O134" s="1"/>
    </row>
    <row r="135" spans="1:15" x14ac:dyDescent="0.3">
      <c r="A135" s="41">
        <v>45625</v>
      </c>
      <c r="B135" s="10" t="s">
        <v>2876</v>
      </c>
      <c r="C135" s="10" t="s">
        <v>14</v>
      </c>
      <c r="D135" s="30">
        <f t="shared" si="8"/>
        <v>154.54545454545453</v>
      </c>
      <c r="E135" s="30">
        <f t="shared" si="6"/>
        <v>15.454545454545453</v>
      </c>
      <c r="F135" s="30">
        <v>170</v>
      </c>
      <c r="G135" s="30">
        <v>50</v>
      </c>
      <c r="H135" s="13">
        <f t="shared" si="7"/>
        <v>120</v>
      </c>
      <c r="I135" s="1" t="s">
        <v>2986</v>
      </c>
      <c r="J135" s="30">
        <v>170</v>
      </c>
      <c r="K135" s="30"/>
      <c r="L135" s="1"/>
      <c r="M135" s="30"/>
      <c r="N135" s="1"/>
      <c r="O135" s="1"/>
    </row>
    <row r="136" spans="1:15" x14ac:dyDescent="0.3">
      <c r="A136" s="41">
        <v>45625</v>
      </c>
      <c r="B136" s="10" t="s">
        <v>2877</v>
      </c>
      <c r="C136" s="10" t="s">
        <v>14</v>
      </c>
      <c r="D136" s="30">
        <f t="shared" si="8"/>
        <v>172.72727272727272</v>
      </c>
      <c r="E136" s="30">
        <f t="shared" si="6"/>
        <v>17.272727272727273</v>
      </c>
      <c r="F136" s="30">
        <v>190</v>
      </c>
      <c r="G136" s="30">
        <v>50</v>
      </c>
      <c r="H136" s="13">
        <f t="shared" si="7"/>
        <v>140</v>
      </c>
      <c r="I136" s="1" t="s">
        <v>2987</v>
      </c>
      <c r="J136" s="30">
        <v>170</v>
      </c>
      <c r="K136" s="30">
        <v>20</v>
      </c>
      <c r="L136" s="1" t="s">
        <v>223</v>
      </c>
      <c r="M136" s="30"/>
      <c r="N136" s="1"/>
      <c r="O136" s="1"/>
    </row>
    <row r="137" spans="1:15" x14ac:dyDescent="0.3">
      <c r="A137" s="41">
        <v>45625</v>
      </c>
      <c r="B137" s="10" t="s">
        <v>2878</v>
      </c>
      <c r="C137" s="10" t="s">
        <v>14</v>
      </c>
      <c r="D137" s="30">
        <f t="shared" si="8"/>
        <v>195.45454545454544</v>
      </c>
      <c r="E137" s="30">
        <f t="shared" si="6"/>
        <v>19.545454545454547</v>
      </c>
      <c r="F137" s="30">
        <v>215</v>
      </c>
      <c r="G137" s="30">
        <v>50</v>
      </c>
      <c r="H137" s="13">
        <f t="shared" si="7"/>
        <v>165</v>
      </c>
      <c r="I137" s="1" t="s">
        <v>2988</v>
      </c>
      <c r="J137" s="30">
        <v>170</v>
      </c>
      <c r="K137" s="30"/>
      <c r="L137" s="1"/>
      <c r="M137" s="30">
        <v>45</v>
      </c>
      <c r="N137" s="1" t="s">
        <v>16</v>
      </c>
      <c r="O137" s="1"/>
    </row>
    <row r="138" spans="1:15" x14ac:dyDescent="0.3">
      <c r="A138" s="41">
        <v>45625</v>
      </c>
      <c r="B138" s="10" t="s">
        <v>2879</v>
      </c>
      <c r="C138" s="10" t="s">
        <v>14</v>
      </c>
      <c r="D138" s="30">
        <f t="shared" si="8"/>
        <v>172.72727272727272</v>
      </c>
      <c r="E138" s="30">
        <f t="shared" si="6"/>
        <v>17.272727272727273</v>
      </c>
      <c r="F138" s="30">
        <v>190</v>
      </c>
      <c r="G138" s="30">
        <v>50</v>
      </c>
      <c r="H138" s="13">
        <f t="shared" si="7"/>
        <v>140</v>
      </c>
      <c r="I138" s="1" t="s">
        <v>2989</v>
      </c>
      <c r="J138" s="30">
        <v>170</v>
      </c>
      <c r="K138" s="30">
        <v>20</v>
      </c>
      <c r="L138" s="1" t="s">
        <v>223</v>
      </c>
      <c r="M138" s="30"/>
      <c r="N138" s="1"/>
      <c r="O138" s="1"/>
    </row>
    <row r="139" spans="1:15" x14ac:dyDescent="0.3">
      <c r="A139" s="41">
        <v>45625</v>
      </c>
      <c r="B139" s="10" t="s">
        <v>2880</v>
      </c>
      <c r="C139" s="10" t="s">
        <v>14</v>
      </c>
      <c r="D139" s="30">
        <f t="shared" si="8"/>
        <v>163.63636363636363</v>
      </c>
      <c r="E139" s="30">
        <f t="shared" si="6"/>
        <v>16.363636363636363</v>
      </c>
      <c r="F139" s="30">
        <v>180</v>
      </c>
      <c r="G139" s="30">
        <v>50</v>
      </c>
      <c r="H139" s="13">
        <f t="shared" si="7"/>
        <v>130</v>
      </c>
      <c r="I139" s="1" t="s">
        <v>2990</v>
      </c>
      <c r="J139" s="30">
        <v>180</v>
      </c>
      <c r="K139" s="30"/>
      <c r="L139" s="1"/>
      <c r="M139" s="30"/>
      <c r="N139" s="1"/>
      <c r="O139" s="1"/>
    </row>
    <row r="140" spans="1:15" x14ac:dyDescent="0.3">
      <c r="A140" s="41">
        <v>45625</v>
      </c>
      <c r="B140" s="10" t="s">
        <v>2881</v>
      </c>
      <c r="C140" s="10" t="s">
        <v>14</v>
      </c>
      <c r="D140" s="30">
        <f t="shared" si="8"/>
        <v>199.99999999999997</v>
      </c>
      <c r="E140" s="30">
        <f t="shared" si="6"/>
        <v>19.999999999999996</v>
      </c>
      <c r="F140" s="30">
        <v>220</v>
      </c>
      <c r="G140" s="30"/>
      <c r="H140" s="13">
        <f t="shared" si="7"/>
        <v>220</v>
      </c>
      <c r="I140" s="1" t="s">
        <v>402</v>
      </c>
      <c r="J140" s="30">
        <v>220</v>
      </c>
      <c r="K140" s="30"/>
      <c r="L140" s="1"/>
      <c r="M140" s="30"/>
      <c r="N140" s="1"/>
      <c r="O140" s="1"/>
    </row>
    <row r="141" spans="1:15" x14ac:dyDescent="0.3">
      <c r="A141" s="41">
        <v>45625</v>
      </c>
      <c r="B141" s="10" t="s">
        <v>2882</v>
      </c>
      <c r="C141" s="10" t="s">
        <v>14</v>
      </c>
      <c r="D141" s="30">
        <f t="shared" si="8"/>
        <v>181.81818181818181</v>
      </c>
      <c r="E141" s="30">
        <f t="shared" si="6"/>
        <v>18.18181818181818</v>
      </c>
      <c r="F141" s="30">
        <v>200</v>
      </c>
      <c r="G141" s="30"/>
      <c r="H141" s="13">
        <f t="shared" si="7"/>
        <v>200</v>
      </c>
      <c r="I141" s="1" t="s">
        <v>402</v>
      </c>
      <c r="J141" s="30">
        <v>200</v>
      </c>
      <c r="K141" s="30"/>
      <c r="L141" s="1"/>
      <c r="M141" s="30"/>
      <c r="N141" s="1"/>
      <c r="O141" s="1"/>
    </row>
    <row r="142" spans="1:15" x14ac:dyDescent="0.3">
      <c r="A142" s="41">
        <v>45625</v>
      </c>
      <c r="B142" s="10" t="s">
        <v>2883</v>
      </c>
      <c r="C142" s="10" t="s">
        <v>14</v>
      </c>
      <c r="D142" s="30">
        <f t="shared" si="8"/>
        <v>199.99999999999997</v>
      </c>
      <c r="E142" s="30">
        <f t="shared" si="6"/>
        <v>19.999999999999996</v>
      </c>
      <c r="F142" s="30">
        <v>220</v>
      </c>
      <c r="G142" s="30">
        <v>50</v>
      </c>
      <c r="H142" s="13">
        <f t="shared" si="7"/>
        <v>170</v>
      </c>
      <c r="I142" s="1" t="s">
        <v>2991</v>
      </c>
      <c r="J142" s="30">
        <v>220</v>
      </c>
      <c r="K142" s="30"/>
      <c r="L142" s="1"/>
      <c r="M142" s="30"/>
      <c r="N142" s="1"/>
      <c r="O142" s="1"/>
    </row>
    <row r="143" spans="1:15" x14ac:dyDescent="0.3">
      <c r="A143" s="41">
        <v>45626</v>
      </c>
      <c r="B143" s="10" t="s">
        <v>2884</v>
      </c>
      <c r="C143" s="10" t="s">
        <v>14</v>
      </c>
      <c r="D143" s="30">
        <f t="shared" si="8"/>
        <v>272.72727272727269</v>
      </c>
      <c r="E143" s="30">
        <f t="shared" si="6"/>
        <v>27.27272727272727</v>
      </c>
      <c r="F143" s="30">
        <v>300</v>
      </c>
      <c r="G143" s="30">
        <v>50</v>
      </c>
      <c r="H143" s="13">
        <f t="shared" si="7"/>
        <v>250</v>
      </c>
      <c r="I143" s="1" t="s">
        <v>2992</v>
      </c>
      <c r="J143" s="30">
        <v>270</v>
      </c>
      <c r="K143" s="30">
        <v>30</v>
      </c>
      <c r="L143" s="1" t="s">
        <v>223</v>
      </c>
      <c r="M143" s="30"/>
      <c r="N143" s="1"/>
      <c r="O143" s="1"/>
    </row>
    <row r="144" spans="1:15" x14ac:dyDescent="0.3">
      <c r="A144" s="41">
        <v>45626</v>
      </c>
      <c r="B144" s="10" t="s">
        <v>2885</v>
      </c>
      <c r="C144" s="10" t="s">
        <v>14</v>
      </c>
      <c r="D144" s="30">
        <f t="shared" si="8"/>
        <v>227.27272727272725</v>
      </c>
      <c r="E144" s="30">
        <f t="shared" si="6"/>
        <v>22.727272727272727</v>
      </c>
      <c r="F144" s="30">
        <v>250</v>
      </c>
      <c r="G144" s="30">
        <v>50</v>
      </c>
      <c r="H144" s="13">
        <f t="shared" si="7"/>
        <v>200</v>
      </c>
      <c r="I144" s="1" t="s">
        <v>2993</v>
      </c>
      <c r="J144" s="30">
        <v>220</v>
      </c>
      <c r="K144" s="30">
        <v>30</v>
      </c>
      <c r="L144" s="1" t="s">
        <v>223</v>
      </c>
      <c r="M144" s="30"/>
      <c r="N144" s="1"/>
      <c r="O144" s="1"/>
    </row>
    <row r="145" spans="1:15" x14ac:dyDescent="0.3">
      <c r="A145" s="41">
        <v>45626</v>
      </c>
      <c r="B145" s="10" t="s">
        <v>2886</v>
      </c>
      <c r="C145" s="10" t="s">
        <v>14</v>
      </c>
      <c r="D145" s="30">
        <f t="shared" si="8"/>
        <v>263.63636363636363</v>
      </c>
      <c r="E145" s="30">
        <f t="shared" si="6"/>
        <v>26.36363636363636</v>
      </c>
      <c r="F145" s="30">
        <v>290</v>
      </c>
      <c r="G145" s="30">
        <v>50</v>
      </c>
      <c r="H145" s="13">
        <f t="shared" si="7"/>
        <v>240</v>
      </c>
      <c r="I145" s="1" t="s">
        <v>2994</v>
      </c>
      <c r="J145" s="30">
        <v>270</v>
      </c>
      <c r="K145" s="30">
        <v>20</v>
      </c>
      <c r="L145" s="1" t="s">
        <v>223</v>
      </c>
      <c r="M145" s="30"/>
      <c r="N145" s="1"/>
      <c r="O145" s="1"/>
    </row>
    <row r="146" spans="1:15" x14ac:dyDescent="0.3">
      <c r="A146" s="41">
        <v>45626</v>
      </c>
      <c r="B146" s="10" t="s">
        <v>2887</v>
      </c>
      <c r="C146" s="10" t="s">
        <v>14</v>
      </c>
      <c r="D146" s="30">
        <f t="shared" si="8"/>
        <v>245.45454545454544</v>
      </c>
      <c r="E146" s="30">
        <f t="shared" si="6"/>
        <v>24.545454545454547</v>
      </c>
      <c r="F146" s="30">
        <v>270</v>
      </c>
      <c r="G146" s="30">
        <v>50</v>
      </c>
      <c r="H146" s="13">
        <f t="shared" si="7"/>
        <v>220</v>
      </c>
      <c r="I146" s="1" t="s">
        <v>2995</v>
      </c>
      <c r="J146" s="30">
        <v>270</v>
      </c>
      <c r="K146" s="30"/>
      <c r="L146" s="1"/>
      <c r="M146" s="30"/>
      <c r="N146" s="1"/>
      <c r="O146" s="1"/>
    </row>
    <row r="147" spans="1:15" x14ac:dyDescent="0.3">
      <c r="A147" s="41">
        <v>45626</v>
      </c>
      <c r="B147" s="10" t="s">
        <v>2888</v>
      </c>
      <c r="C147" s="10" t="s">
        <v>14</v>
      </c>
      <c r="D147" s="30">
        <f t="shared" si="8"/>
        <v>245.45454545454544</v>
      </c>
      <c r="E147" s="30">
        <f t="shared" si="6"/>
        <v>24.545454545454547</v>
      </c>
      <c r="F147" s="30">
        <v>270</v>
      </c>
      <c r="G147" s="30">
        <v>50</v>
      </c>
      <c r="H147" s="13">
        <f t="shared" si="7"/>
        <v>220</v>
      </c>
      <c r="I147" s="1" t="s">
        <v>2996</v>
      </c>
      <c r="J147" s="30">
        <v>270</v>
      </c>
      <c r="K147" s="30"/>
      <c r="L147" s="1"/>
      <c r="M147" s="30"/>
      <c r="N147" s="1"/>
      <c r="O147" s="1"/>
    </row>
    <row r="148" spans="1:15" x14ac:dyDescent="0.3">
      <c r="A148" s="41">
        <v>45626</v>
      </c>
      <c r="B148" s="10" t="s">
        <v>2889</v>
      </c>
      <c r="C148" s="10" t="s">
        <v>14</v>
      </c>
      <c r="D148" s="30">
        <f t="shared" si="8"/>
        <v>172.72727272727272</v>
      </c>
      <c r="E148" s="30">
        <f t="shared" si="6"/>
        <v>17.272727272727273</v>
      </c>
      <c r="F148" s="30">
        <v>190</v>
      </c>
      <c r="G148" s="30"/>
      <c r="H148" s="13">
        <f t="shared" si="7"/>
        <v>190</v>
      </c>
      <c r="I148" s="1" t="s">
        <v>2997</v>
      </c>
      <c r="J148" s="30">
        <v>190</v>
      </c>
      <c r="K148" s="30"/>
      <c r="L148" s="1"/>
      <c r="M148" s="30"/>
      <c r="N148" s="1"/>
      <c r="O148" s="1"/>
    </row>
    <row r="149" spans="1:15" x14ac:dyDescent="0.3">
      <c r="A149" s="41">
        <v>45626</v>
      </c>
      <c r="B149" s="10" t="s">
        <v>3010</v>
      </c>
      <c r="C149" s="10" t="s">
        <v>14</v>
      </c>
      <c r="D149" s="88">
        <f t="shared" si="8"/>
        <v>199.99999999999997</v>
      </c>
      <c r="E149" s="88">
        <f t="shared" si="6"/>
        <v>19.999999999999996</v>
      </c>
      <c r="F149" s="88">
        <v>220</v>
      </c>
      <c r="G149" s="88">
        <v>50</v>
      </c>
      <c r="H149" s="111">
        <f t="shared" si="7"/>
        <v>170</v>
      </c>
      <c r="I149" s="1" t="s">
        <v>2999</v>
      </c>
      <c r="J149" s="88">
        <v>220</v>
      </c>
      <c r="K149" s="1"/>
      <c r="L149" s="1"/>
      <c r="M149" s="1"/>
      <c r="N149" s="1"/>
      <c r="O149" s="1"/>
    </row>
    <row r="150" spans="1:15" x14ac:dyDescent="0.3">
      <c r="A150" s="41">
        <v>45626</v>
      </c>
      <c r="B150" s="10" t="s">
        <v>3011</v>
      </c>
      <c r="C150" s="10" t="s">
        <v>14</v>
      </c>
      <c r="D150" s="88">
        <f t="shared" si="8"/>
        <v>172.72727272727272</v>
      </c>
      <c r="E150" s="88">
        <f t="shared" si="6"/>
        <v>17.272727272727273</v>
      </c>
      <c r="F150" s="88">
        <v>190</v>
      </c>
      <c r="G150" s="1"/>
      <c r="H150" s="111">
        <f t="shared" si="7"/>
        <v>190</v>
      </c>
      <c r="I150" s="1" t="s">
        <v>2998</v>
      </c>
      <c r="J150" s="88">
        <v>190</v>
      </c>
      <c r="K150" s="1"/>
      <c r="L150" s="1"/>
      <c r="M150" s="1"/>
      <c r="N150" s="1"/>
      <c r="O150" s="1"/>
    </row>
    <row r="151" spans="1:15" x14ac:dyDescent="0.3">
      <c r="A151" s="41">
        <v>45626</v>
      </c>
      <c r="B151" s="10" t="s">
        <v>3012</v>
      </c>
      <c r="C151" s="10" t="s">
        <v>14</v>
      </c>
      <c r="D151" s="88">
        <f t="shared" si="8"/>
        <v>472.72727272727269</v>
      </c>
      <c r="E151" s="88">
        <f t="shared" si="6"/>
        <v>47.272727272727273</v>
      </c>
      <c r="F151" s="88">
        <v>520</v>
      </c>
      <c r="G151" s="88">
        <v>50</v>
      </c>
      <c r="H151" s="111">
        <f t="shared" si="7"/>
        <v>470</v>
      </c>
      <c r="I151" s="1" t="s">
        <v>3000</v>
      </c>
      <c r="J151" s="88">
        <v>520</v>
      </c>
      <c r="K151" s="1"/>
      <c r="L151" s="1"/>
      <c r="M151" s="1"/>
      <c r="N151" s="1"/>
      <c r="O151" s="1"/>
    </row>
    <row r="152" spans="1:15" x14ac:dyDescent="0.3">
      <c r="A152" s="41">
        <v>45626</v>
      </c>
      <c r="B152" s="10" t="s">
        <v>3013</v>
      </c>
      <c r="C152" s="10" t="s">
        <v>14</v>
      </c>
      <c r="D152" s="88">
        <f t="shared" si="8"/>
        <v>199.99999999999997</v>
      </c>
      <c r="E152" s="88">
        <f t="shared" si="6"/>
        <v>19.999999999999996</v>
      </c>
      <c r="F152" s="88">
        <v>220</v>
      </c>
      <c r="G152" s="88">
        <v>50</v>
      </c>
      <c r="H152" s="111">
        <f t="shared" si="7"/>
        <v>170</v>
      </c>
      <c r="I152" s="1" t="s">
        <v>3001</v>
      </c>
      <c r="J152" s="88">
        <v>170</v>
      </c>
      <c r="K152" s="88">
        <v>50</v>
      </c>
      <c r="L152" s="1" t="s">
        <v>223</v>
      </c>
      <c r="M152" s="1"/>
      <c r="N152" s="1"/>
      <c r="O152" s="1"/>
    </row>
    <row r="153" spans="1:15" x14ac:dyDescent="0.3">
      <c r="A153" s="41">
        <v>45626</v>
      </c>
      <c r="B153" s="10" t="s">
        <v>3014</v>
      </c>
      <c r="C153" s="10" t="s">
        <v>14</v>
      </c>
      <c r="D153" s="88">
        <f t="shared" si="8"/>
        <v>127.27272727272727</v>
      </c>
      <c r="E153" s="88">
        <f t="shared" si="6"/>
        <v>12.727272727272727</v>
      </c>
      <c r="F153" s="88">
        <v>140</v>
      </c>
      <c r="G153" s="88">
        <v>83</v>
      </c>
      <c r="H153" s="111">
        <f t="shared" si="7"/>
        <v>57</v>
      </c>
      <c r="I153" s="1" t="s">
        <v>3002</v>
      </c>
      <c r="J153" s="88">
        <v>140</v>
      </c>
      <c r="K153" s="1"/>
      <c r="L153" s="1"/>
      <c r="M153" s="1"/>
      <c r="N153" s="1"/>
      <c r="O153" s="1"/>
    </row>
    <row r="154" spans="1:15" x14ac:dyDescent="0.3">
      <c r="A154" s="41">
        <v>45626</v>
      </c>
      <c r="B154" s="10" t="s">
        <v>3015</v>
      </c>
      <c r="C154" s="10" t="s">
        <v>14</v>
      </c>
      <c r="D154" s="88">
        <f t="shared" si="8"/>
        <v>190.90909090909091</v>
      </c>
      <c r="E154" s="88">
        <f t="shared" si="6"/>
        <v>19.09090909090909</v>
      </c>
      <c r="F154" s="88">
        <v>210</v>
      </c>
      <c r="G154" s="88">
        <v>50</v>
      </c>
      <c r="H154" s="111">
        <f t="shared" si="7"/>
        <v>160</v>
      </c>
      <c r="I154" s="1" t="s">
        <v>3003</v>
      </c>
      <c r="J154" s="88">
        <v>170</v>
      </c>
      <c r="K154" s="88">
        <v>40</v>
      </c>
      <c r="L154" s="1" t="s">
        <v>223</v>
      </c>
      <c r="M154" s="1"/>
      <c r="N154" s="1"/>
      <c r="O154" s="1"/>
    </row>
    <row r="155" spans="1:15" x14ac:dyDescent="0.3">
      <c r="A155" s="41">
        <v>45626</v>
      </c>
      <c r="B155" s="10" t="s">
        <v>3016</v>
      </c>
      <c r="C155" s="10" t="s">
        <v>14</v>
      </c>
      <c r="D155" s="88">
        <f t="shared" si="8"/>
        <v>127.27272727272727</v>
      </c>
      <c r="E155" s="88">
        <f t="shared" si="6"/>
        <v>12.727272727272727</v>
      </c>
      <c r="F155" s="88">
        <v>140</v>
      </c>
      <c r="G155" s="88">
        <v>50</v>
      </c>
      <c r="H155" s="111">
        <f t="shared" si="7"/>
        <v>90</v>
      </c>
      <c r="I155" s="1" t="s">
        <v>3004</v>
      </c>
      <c r="J155" s="88">
        <v>140</v>
      </c>
      <c r="K155" s="1"/>
      <c r="L155" s="1"/>
      <c r="M155" s="1"/>
      <c r="N155" s="1"/>
      <c r="O155" s="1"/>
    </row>
    <row r="156" spans="1:15" x14ac:dyDescent="0.3">
      <c r="A156" s="41">
        <v>45626</v>
      </c>
      <c r="B156" s="10" t="s">
        <v>3017</v>
      </c>
      <c r="C156" s="10" t="s">
        <v>14</v>
      </c>
      <c r="D156" s="88">
        <f t="shared" si="8"/>
        <v>154.54545454545453</v>
      </c>
      <c r="E156" s="88">
        <f t="shared" si="6"/>
        <v>15.454545454545453</v>
      </c>
      <c r="F156" s="88">
        <v>170</v>
      </c>
      <c r="G156" s="88">
        <v>50</v>
      </c>
      <c r="H156" s="111">
        <f t="shared" si="7"/>
        <v>120</v>
      </c>
      <c r="I156" s="1" t="s">
        <v>3005</v>
      </c>
      <c r="J156" s="88">
        <v>170</v>
      </c>
      <c r="K156" s="1"/>
      <c r="L156" s="1"/>
      <c r="M156" s="1"/>
      <c r="N156" s="1"/>
      <c r="O156" s="1"/>
    </row>
    <row r="157" spans="1:15" x14ac:dyDescent="0.3">
      <c r="A157" s="41">
        <v>45626</v>
      </c>
      <c r="B157" s="10" t="s">
        <v>3018</v>
      </c>
      <c r="C157" s="10" t="s">
        <v>14</v>
      </c>
      <c r="D157" s="88">
        <f t="shared" si="8"/>
        <v>154.54545454545453</v>
      </c>
      <c r="E157" s="88">
        <f t="shared" si="6"/>
        <v>15.454545454545453</v>
      </c>
      <c r="F157" s="88">
        <v>170</v>
      </c>
      <c r="G157" s="88">
        <v>50</v>
      </c>
      <c r="H157" s="111">
        <f t="shared" si="7"/>
        <v>120</v>
      </c>
      <c r="I157" s="1" t="s">
        <v>3006</v>
      </c>
      <c r="J157" s="88">
        <v>170</v>
      </c>
      <c r="K157" s="1"/>
      <c r="L157" s="1"/>
      <c r="M157" s="1"/>
      <c r="N157" s="1"/>
      <c r="O157" s="1"/>
    </row>
    <row r="158" spans="1:15" x14ac:dyDescent="0.3">
      <c r="A158" s="41">
        <v>45626</v>
      </c>
      <c r="B158" s="10" t="s">
        <v>3019</v>
      </c>
      <c r="C158" s="10" t="s">
        <v>14</v>
      </c>
      <c r="D158" s="88">
        <f t="shared" si="8"/>
        <v>190.90909090909091</v>
      </c>
      <c r="E158" s="88">
        <f t="shared" si="6"/>
        <v>19.09090909090909</v>
      </c>
      <c r="F158" s="88">
        <v>210</v>
      </c>
      <c r="G158" s="88">
        <v>50</v>
      </c>
      <c r="H158" s="111">
        <f t="shared" si="7"/>
        <v>160</v>
      </c>
      <c r="I158" s="1" t="s">
        <v>3007</v>
      </c>
      <c r="J158" s="88">
        <v>170</v>
      </c>
      <c r="K158" s="88">
        <v>40</v>
      </c>
      <c r="L158" s="1" t="s">
        <v>223</v>
      </c>
      <c r="M158" s="1"/>
      <c r="N158" s="1"/>
      <c r="O158" s="1"/>
    </row>
    <row r="159" spans="1:15" x14ac:dyDescent="0.3">
      <c r="A159" s="41">
        <v>45626</v>
      </c>
      <c r="B159" s="10" t="s">
        <v>3020</v>
      </c>
      <c r="C159" s="10" t="s">
        <v>14</v>
      </c>
      <c r="D159" s="88">
        <f t="shared" si="8"/>
        <v>222.72727272727272</v>
      </c>
      <c r="E159" s="88">
        <f t="shared" si="6"/>
        <v>22.27272727272727</v>
      </c>
      <c r="F159" s="88">
        <v>245</v>
      </c>
      <c r="G159" s="88">
        <v>50</v>
      </c>
      <c r="H159" s="111">
        <f t="shared" si="7"/>
        <v>195</v>
      </c>
      <c r="I159" s="1" t="s">
        <v>3008</v>
      </c>
      <c r="J159" s="88">
        <v>220</v>
      </c>
      <c r="K159" s="88">
        <v>15</v>
      </c>
      <c r="L159" s="1" t="s">
        <v>223</v>
      </c>
      <c r="M159" s="1"/>
      <c r="N159" s="1"/>
      <c r="O159" s="1"/>
    </row>
    <row r="160" spans="1:15" x14ac:dyDescent="0.3">
      <c r="A160" s="41">
        <v>45626</v>
      </c>
      <c r="B160" s="10" t="s">
        <v>3021</v>
      </c>
      <c r="C160" s="10" t="s">
        <v>14</v>
      </c>
      <c r="D160" s="88">
        <f t="shared" si="8"/>
        <v>281.81818181818181</v>
      </c>
      <c r="E160" s="88">
        <f t="shared" si="6"/>
        <v>28.18181818181818</v>
      </c>
      <c r="F160" s="88">
        <v>310</v>
      </c>
      <c r="G160" s="88">
        <v>50</v>
      </c>
      <c r="H160" s="111">
        <f t="shared" si="7"/>
        <v>260</v>
      </c>
      <c r="I160" s="1" t="s">
        <v>3009</v>
      </c>
      <c r="J160" s="88">
        <v>270</v>
      </c>
      <c r="K160" s="88">
        <v>40</v>
      </c>
      <c r="L160" s="1" t="s">
        <v>223</v>
      </c>
      <c r="M160" s="1"/>
      <c r="N160" s="1"/>
      <c r="O160" s="1"/>
    </row>
    <row r="161" spans="1:7" x14ac:dyDescent="0.3">
      <c r="A161" s="5"/>
      <c r="G161" s="99">
        <f>SUM(G3:G160)</f>
        <v>6238</v>
      </c>
    </row>
    <row r="162" spans="1:7" x14ac:dyDescent="0.3">
      <c r="A162" s="5"/>
    </row>
    <row r="163" spans="1:7" x14ac:dyDescent="0.3">
      <c r="A163" s="5"/>
    </row>
    <row r="164" spans="1:7" x14ac:dyDescent="0.3">
      <c r="A164" s="5"/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08EE-C7F2-4E13-A554-B286EC94079E}">
  <dimension ref="A1:P161"/>
  <sheetViews>
    <sheetView topLeftCell="A156" workbookViewId="0">
      <selection activeCell="G3" sqref="G3:G161"/>
    </sheetView>
  </sheetViews>
  <sheetFormatPr baseColWidth="10" defaultRowHeight="14.4" x14ac:dyDescent="0.3"/>
  <cols>
    <col min="2" max="2" width="30" customWidth="1"/>
    <col min="3" max="3" width="37.44140625" customWidth="1"/>
    <col min="4" max="4" width="17.33203125" customWidth="1"/>
    <col min="9" max="9" width="14" customWidth="1"/>
    <col min="12" max="12" width="15.88671875" customWidth="1"/>
  </cols>
  <sheetData>
    <row r="1" spans="1:15" x14ac:dyDescent="0.3">
      <c r="A1" s="113" t="s">
        <v>0</v>
      </c>
      <c r="B1" s="113" t="s">
        <v>1</v>
      </c>
      <c r="C1" s="113" t="s">
        <v>3</v>
      </c>
      <c r="D1" s="113" t="s">
        <v>4</v>
      </c>
      <c r="E1" s="113" t="s">
        <v>267</v>
      </c>
      <c r="F1" s="113" t="s">
        <v>2</v>
      </c>
      <c r="G1" s="113" t="s">
        <v>5</v>
      </c>
      <c r="H1" s="113"/>
      <c r="I1" s="113" t="s">
        <v>6</v>
      </c>
      <c r="J1" s="113" t="s">
        <v>7</v>
      </c>
      <c r="K1" s="113" t="s">
        <v>8</v>
      </c>
      <c r="L1" s="113" t="s">
        <v>9</v>
      </c>
      <c r="M1" s="113" t="s">
        <v>8</v>
      </c>
      <c r="N1" s="114" t="s">
        <v>9</v>
      </c>
      <c r="O1" s="113" t="s">
        <v>11</v>
      </c>
    </row>
    <row r="2" spans="1:15" x14ac:dyDescent="0.3">
      <c r="A2" s="114"/>
      <c r="B2" s="114"/>
      <c r="C2" s="114"/>
      <c r="D2" s="114"/>
      <c r="E2" s="114"/>
      <c r="F2" s="114"/>
      <c r="G2" s="7" t="s">
        <v>12</v>
      </c>
      <c r="H2" s="8" t="s">
        <v>13</v>
      </c>
      <c r="I2" s="114"/>
      <c r="J2" s="114"/>
      <c r="K2" s="114"/>
      <c r="L2" s="114"/>
      <c r="M2" s="114"/>
      <c r="N2" s="117"/>
      <c r="O2" s="114"/>
    </row>
    <row r="3" spans="1:15" x14ac:dyDescent="0.3">
      <c r="A3" s="41">
        <v>45627</v>
      </c>
      <c r="B3" s="10" t="s">
        <v>3022</v>
      </c>
      <c r="C3" s="10" t="s">
        <v>14</v>
      </c>
      <c r="D3" s="88">
        <f>F3/1.1</f>
        <v>154.54545454545453</v>
      </c>
      <c r="E3" s="88">
        <f t="shared" ref="E3:E66" si="0">D3*10/100</f>
        <v>15.454545454545453</v>
      </c>
      <c r="F3" s="88">
        <v>170</v>
      </c>
      <c r="G3" s="88">
        <v>50</v>
      </c>
      <c r="H3" s="13">
        <f t="shared" ref="H3:H66" si="1">F3-G3</f>
        <v>120</v>
      </c>
      <c r="I3" s="1" t="s">
        <v>3180</v>
      </c>
      <c r="J3" s="30">
        <v>170</v>
      </c>
      <c r="K3" s="30"/>
      <c r="L3" s="1"/>
      <c r="M3" s="1"/>
      <c r="N3" s="1"/>
      <c r="O3" s="1"/>
    </row>
    <row r="4" spans="1:15" x14ac:dyDescent="0.3">
      <c r="A4" s="41">
        <v>45627</v>
      </c>
      <c r="B4" s="10" t="s">
        <v>3023</v>
      </c>
      <c r="C4" s="10" t="s">
        <v>14</v>
      </c>
      <c r="D4" s="88">
        <f t="shared" ref="D4:D67" si="2">F4/1.1</f>
        <v>195.45454545454544</v>
      </c>
      <c r="E4" s="88">
        <f t="shared" si="0"/>
        <v>19.545454545454547</v>
      </c>
      <c r="F4" s="88">
        <v>215</v>
      </c>
      <c r="G4" s="88">
        <v>50</v>
      </c>
      <c r="H4" s="13">
        <f t="shared" si="1"/>
        <v>165</v>
      </c>
      <c r="I4" s="1" t="s">
        <v>3181</v>
      </c>
      <c r="J4" s="30">
        <v>170</v>
      </c>
      <c r="K4" s="30"/>
      <c r="L4" s="1"/>
      <c r="M4" s="30">
        <v>45</v>
      </c>
      <c r="N4" s="1" t="s">
        <v>3182</v>
      </c>
      <c r="O4" s="1"/>
    </row>
    <row r="5" spans="1:15" x14ac:dyDescent="0.3">
      <c r="A5" s="41">
        <v>45627</v>
      </c>
      <c r="B5" s="10" t="s">
        <v>3024</v>
      </c>
      <c r="C5" s="10" t="s">
        <v>14</v>
      </c>
      <c r="D5" s="88">
        <f t="shared" si="2"/>
        <v>127.27272727272727</v>
      </c>
      <c r="E5" s="88">
        <f t="shared" si="0"/>
        <v>12.727272727272727</v>
      </c>
      <c r="F5" s="88">
        <v>140</v>
      </c>
      <c r="G5" s="88"/>
      <c r="H5" s="13">
        <f t="shared" si="1"/>
        <v>140</v>
      </c>
      <c r="I5" s="1" t="s">
        <v>402</v>
      </c>
      <c r="J5" s="30">
        <v>140</v>
      </c>
      <c r="K5" s="30"/>
      <c r="L5" s="1"/>
      <c r="M5" s="30"/>
      <c r="N5" s="1"/>
      <c r="O5" s="1"/>
    </row>
    <row r="6" spans="1:15" x14ac:dyDescent="0.3">
      <c r="A6" s="41">
        <v>45628</v>
      </c>
      <c r="B6" s="10" t="s">
        <v>3025</v>
      </c>
      <c r="C6" s="10" t="s">
        <v>14</v>
      </c>
      <c r="D6" s="88">
        <f t="shared" si="2"/>
        <v>340.90909090909088</v>
      </c>
      <c r="E6" s="88">
        <f t="shared" si="0"/>
        <v>34.090909090909093</v>
      </c>
      <c r="F6" s="88">
        <v>375</v>
      </c>
      <c r="G6" s="88">
        <v>50</v>
      </c>
      <c r="H6" s="13">
        <f t="shared" si="1"/>
        <v>325</v>
      </c>
      <c r="I6" s="1" t="s">
        <v>2918</v>
      </c>
      <c r="J6" s="30">
        <v>270</v>
      </c>
      <c r="K6" s="30">
        <v>60</v>
      </c>
      <c r="L6" s="1" t="s">
        <v>223</v>
      </c>
      <c r="M6" s="30">
        <v>45</v>
      </c>
      <c r="N6" s="1" t="s">
        <v>3183</v>
      </c>
      <c r="O6" s="1"/>
    </row>
    <row r="7" spans="1:15" x14ac:dyDescent="0.3">
      <c r="A7" s="41">
        <v>45629</v>
      </c>
      <c r="B7" s="10" t="s">
        <v>3026</v>
      </c>
      <c r="C7" s="10" t="s">
        <v>14</v>
      </c>
      <c r="D7" s="88">
        <f t="shared" si="2"/>
        <v>154.54545454545453</v>
      </c>
      <c r="E7" s="88">
        <f t="shared" si="0"/>
        <v>15.454545454545453</v>
      </c>
      <c r="F7" s="88">
        <v>170</v>
      </c>
      <c r="G7" s="88">
        <v>50</v>
      </c>
      <c r="H7" s="13">
        <f t="shared" si="1"/>
        <v>120</v>
      </c>
      <c r="I7" s="1" t="s">
        <v>3184</v>
      </c>
      <c r="J7" s="30">
        <v>170</v>
      </c>
      <c r="K7" s="30"/>
      <c r="L7" s="1"/>
      <c r="M7" s="30"/>
      <c r="N7" s="1"/>
      <c r="O7" s="1"/>
    </row>
    <row r="8" spans="1:15" x14ac:dyDescent="0.3">
      <c r="A8" s="41">
        <v>45631</v>
      </c>
      <c r="B8" s="10" t="s">
        <v>3027</v>
      </c>
      <c r="C8" s="10" t="s">
        <v>14</v>
      </c>
      <c r="D8" s="88">
        <f t="shared" si="2"/>
        <v>199.99999999999997</v>
      </c>
      <c r="E8" s="88">
        <f t="shared" si="0"/>
        <v>19.999999999999996</v>
      </c>
      <c r="F8" s="88">
        <v>220</v>
      </c>
      <c r="G8" s="88">
        <v>50</v>
      </c>
      <c r="H8" s="13">
        <f t="shared" si="1"/>
        <v>170</v>
      </c>
      <c r="I8" s="1" t="s">
        <v>3185</v>
      </c>
      <c r="J8" s="30">
        <v>220</v>
      </c>
      <c r="K8" s="30"/>
      <c r="L8" s="1"/>
      <c r="M8" s="30"/>
      <c r="N8" s="1"/>
      <c r="O8" s="1"/>
    </row>
    <row r="9" spans="1:15" x14ac:dyDescent="0.3">
      <c r="A9" s="41">
        <v>45631</v>
      </c>
      <c r="B9" s="10" t="s">
        <v>3028</v>
      </c>
      <c r="C9" s="10" t="s">
        <v>14</v>
      </c>
      <c r="D9" s="88">
        <f t="shared" si="2"/>
        <v>245.45454545454544</v>
      </c>
      <c r="E9" s="88">
        <f t="shared" si="0"/>
        <v>24.545454545454547</v>
      </c>
      <c r="F9" s="88">
        <v>270</v>
      </c>
      <c r="G9" s="88">
        <v>50</v>
      </c>
      <c r="H9" s="13">
        <f t="shared" si="1"/>
        <v>220</v>
      </c>
      <c r="I9" s="1" t="s">
        <v>3186</v>
      </c>
      <c r="J9" s="30">
        <v>270</v>
      </c>
      <c r="K9" s="30"/>
      <c r="L9" s="1"/>
      <c r="M9" s="30"/>
      <c r="N9" s="1"/>
      <c r="O9" s="1"/>
    </row>
    <row r="10" spans="1:15" x14ac:dyDescent="0.3">
      <c r="A10" s="41">
        <v>45631</v>
      </c>
      <c r="B10" s="10" t="s">
        <v>3029</v>
      </c>
      <c r="C10" s="10" t="s">
        <v>14</v>
      </c>
      <c r="D10" s="88">
        <f t="shared" si="2"/>
        <v>127.27272727272727</v>
      </c>
      <c r="E10" s="88">
        <f t="shared" si="0"/>
        <v>12.727272727272727</v>
      </c>
      <c r="F10" s="88">
        <v>140</v>
      </c>
      <c r="G10" s="88"/>
      <c r="H10" s="13">
        <f t="shared" si="1"/>
        <v>140</v>
      </c>
      <c r="I10" s="1" t="s">
        <v>402</v>
      </c>
      <c r="J10" s="30">
        <v>140</v>
      </c>
      <c r="K10" s="30"/>
      <c r="L10" s="1"/>
      <c r="M10" s="30"/>
      <c r="N10" s="1"/>
      <c r="O10" s="1"/>
    </row>
    <row r="11" spans="1:15" x14ac:dyDescent="0.3">
      <c r="A11" s="41">
        <v>45631</v>
      </c>
      <c r="B11" s="10" t="s">
        <v>3030</v>
      </c>
      <c r="C11" s="10" t="s">
        <v>14</v>
      </c>
      <c r="D11" s="88">
        <f t="shared" si="2"/>
        <v>172.72727272727272</v>
      </c>
      <c r="E11" s="88">
        <f t="shared" si="0"/>
        <v>17.272727272727273</v>
      </c>
      <c r="F11" s="88">
        <v>190</v>
      </c>
      <c r="G11" s="88">
        <v>50</v>
      </c>
      <c r="H11" s="13">
        <f t="shared" si="1"/>
        <v>140</v>
      </c>
      <c r="I11" s="1" t="s">
        <v>3187</v>
      </c>
      <c r="J11" s="30">
        <v>170</v>
      </c>
      <c r="K11" s="30">
        <v>20</v>
      </c>
      <c r="L11" s="1" t="s">
        <v>223</v>
      </c>
      <c r="M11" s="30"/>
      <c r="N11" s="1"/>
      <c r="O11" s="1"/>
    </row>
    <row r="12" spans="1:15" x14ac:dyDescent="0.3">
      <c r="A12" s="41">
        <v>45631</v>
      </c>
      <c r="B12" s="10" t="s">
        <v>3031</v>
      </c>
      <c r="C12" s="10" t="s">
        <v>14</v>
      </c>
      <c r="D12" s="88">
        <f t="shared" si="2"/>
        <v>245.45454545454544</v>
      </c>
      <c r="E12" s="88">
        <f t="shared" si="0"/>
        <v>24.545454545454547</v>
      </c>
      <c r="F12" s="88">
        <v>270</v>
      </c>
      <c r="G12" s="88">
        <v>50</v>
      </c>
      <c r="H12" s="13">
        <f t="shared" si="1"/>
        <v>220</v>
      </c>
      <c r="I12" s="1" t="s">
        <v>3188</v>
      </c>
      <c r="J12" s="30">
        <v>270</v>
      </c>
      <c r="K12" s="30"/>
      <c r="L12" s="1"/>
      <c r="M12" s="30"/>
      <c r="N12" s="1"/>
      <c r="O12" s="1"/>
    </row>
    <row r="13" spans="1:15" x14ac:dyDescent="0.3">
      <c r="A13" s="41">
        <v>45631</v>
      </c>
      <c r="B13" s="10" t="s">
        <v>3032</v>
      </c>
      <c r="C13" s="10" t="s">
        <v>14</v>
      </c>
      <c r="D13" s="88">
        <f t="shared" si="2"/>
        <v>227.27272727272725</v>
      </c>
      <c r="E13" s="88">
        <f t="shared" si="0"/>
        <v>22.727272727272727</v>
      </c>
      <c r="F13" s="88">
        <v>250</v>
      </c>
      <c r="G13" s="88">
        <v>250</v>
      </c>
      <c r="H13" s="13">
        <f t="shared" si="1"/>
        <v>0</v>
      </c>
      <c r="I13" s="1" t="s">
        <v>3189</v>
      </c>
      <c r="J13" s="30">
        <v>220</v>
      </c>
      <c r="K13" s="30">
        <v>30</v>
      </c>
      <c r="L13" s="1" t="s">
        <v>223</v>
      </c>
      <c r="M13" s="30"/>
      <c r="N13" s="1"/>
      <c r="O13" s="1"/>
    </row>
    <row r="14" spans="1:15" x14ac:dyDescent="0.3">
      <c r="A14" s="41">
        <v>45631</v>
      </c>
      <c r="B14" s="10" t="s">
        <v>3033</v>
      </c>
      <c r="C14" s="10" t="s">
        <v>14</v>
      </c>
      <c r="D14" s="88">
        <f t="shared" si="2"/>
        <v>263.63636363636363</v>
      </c>
      <c r="E14" s="88">
        <f t="shared" si="0"/>
        <v>26.36363636363636</v>
      </c>
      <c r="F14" s="88">
        <v>290</v>
      </c>
      <c r="G14" s="88">
        <v>50</v>
      </c>
      <c r="H14" s="13">
        <f t="shared" si="1"/>
        <v>240</v>
      </c>
      <c r="I14" s="1" t="s">
        <v>3190</v>
      </c>
      <c r="J14" s="30">
        <v>270</v>
      </c>
      <c r="K14" s="30">
        <v>20</v>
      </c>
      <c r="L14" s="1" t="s">
        <v>223</v>
      </c>
      <c r="M14" s="30"/>
      <c r="N14" s="1"/>
      <c r="O14" s="1"/>
    </row>
    <row r="15" spans="1:15" x14ac:dyDescent="0.3">
      <c r="A15" s="41">
        <v>45632</v>
      </c>
      <c r="B15" s="10" t="s">
        <v>3034</v>
      </c>
      <c r="C15" s="10" t="s">
        <v>14</v>
      </c>
      <c r="D15" s="88">
        <f t="shared" si="2"/>
        <v>154.54545454545453</v>
      </c>
      <c r="E15" s="88">
        <f t="shared" si="0"/>
        <v>15.454545454545453</v>
      </c>
      <c r="F15" s="88">
        <v>170</v>
      </c>
      <c r="G15" s="88">
        <v>50</v>
      </c>
      <c r="H15" s="13">
        <f t="shared" si="1"/>
        <v>120</v>
      </c>
      <c r="I15" s="1" t="s">
        <v>3191</v>
      </c>
      <c r="J15" s="108">
        <v>170</v>
      </c>
      <c r="K15" s="30"/>
      <c r="L15" s="1"/>
      <c r="M15" s="30"/>
      <c r="N15" s="1"/>
      <c r="O15" s="30"/>
    </row>
    <row r="16" spans="1:15" x14ac:dyDescent="0.3">
      <c r="A16" s="41">
        <v>45632</v>
      </c>
      <c r="B16" s="10" t="s">
        <v>3035</v>
      </c>
      <c r="C16" s="10" t="s">
        <v>14</v>
      </c>
      <c r="D16" s="88">
        <f t="shared" si="2"/>
        <v>154.54545454545453</v>
      </c>
      <c r="E16" s="88">
        <f t="shared" si="0"/>
        <v>15.454545454545453</v>
      </c>
      <c r="F16" s="88">
        <v>170</v>
      </c>
      <c r="G16" s="88">
        <v>50</v>
      </c>
      <c r="H16" s="13">
        <f t="shared" si="1"/>
        <v>120</v>
      </c>
      <c r="I16" s="1" t="s">
        <v>3192</v>
      </c>
      <c r="J16" s="30">
        <v>170</v>
      </c>
      <c r="K16" s="30"/>
      <c r="L16" s="1"/>
      <c r="M16" s="30"/>
      <c r="N16" s="1"/>
      <c r="O16" s="30"/>
    </row>
    <row r="17" spans="1:15" x14ac:dyDescent="0.3">
      <c r="A17" s="41">
        <v>45632</v>
      </c>
      <c r="B17" s="10" t="s">
        <v>3036</v>
      </c>
      <c r="C17" s="10" t="s">
        <v>14</v>
      </c>
      <c r="D17" s="88">
        <f t="shared" si="2"/>
        <v>154.54545454545453</v>
      </c>
      <c r="E17" s="88">
        <f t="shared" si="0"/>
        <v>15.454545454545453</v>
      </c>
      <c r="F17" s="88">
        <v>170</v>
      </c>
      <c r="G17" s="88">
        <v>50</v>
      </c>
      <c r="H17" s="13">
        <f t="shared" si="1"/>
        <v>120</v>
      </c>
      <c r="I17" s="1" t="s">
        <v>908</v>
      </c>
      <c r="J17" s="30">
        <v>170</v>
      </c>
      <c r="K17" s="30"/>
      <c r="L17" s="1"/>
      <c r="M17" s="30"/>
      <c r="N17" s="1"/>
      <c r="O17" s="30"/>
    </row>
    <row r="18" spans="1:15" x14ac:dyDescent="0.3">
      <c r="A18" s="41">
        <v>45632</v>
      </c>
      <c r="B18" s="10" t="s">
        <v>3037</v>
      </c>
      <c r="C18" s="10" t="s">
        <v>14</v>
      </c>
      <c r="D18" s="88">
        <f t="shared" si="2"/>
        <v>218.18181818181816</v>
      </c>
      <c r="E18" s="88">
        <f t="shared" si="0"/>
        <v>21.818181818181817</v>
      </c>
      <c r="F18" s="88">
        <v>240</v>
      </c>
      <c r="G18" s="88">
        <v>50</v>
      </c>
      <c r="H18" s="13">
        <f t="shared" si="1"/>
        <v>190</v>
      </c>
      <c r="I18" s="1" t="s">
        <v>3193</v>
      </c>
      <c r="J18" s="30">
        <v>170</v>
      </c>
      <c r="K18" s="30">
        <v>70</v>
      </c>
      <c r="L18" s="1" t="s">
        <v>223</v>
      </c>
      <c r="M18" s="30"/>
      <c r="N18" s="1"/>
      <c r="O18" s="30"/>
    </row>
    <row r="19" spans="1:15" x14ac:dyDescent="0.3">
      <c r="A19" s="41">
        <v>45632</v>
      </c>
      <c r="B19" s="10" t="s">
        <v>3038</v>
      </c>
      <c r="C19" s="10" t="s">
        <v>14</v>
      </c>
      <c r="D19" s="88">
        <f t="shared" si="2"/>
        <v>199.99999999999997</v>
      </c>
      <c r="E19" s="88">
        <f t="shared" si="0"/>
        <v>19.999999999999996</v>
      </c>
      <c r="F19" s="88">
        <v>220</v>
      </c>
      <c r="G19" s="88">
        <v>50</v>
      </c>
      <c r="H19" s="13">
        <f t="shared" si="1"/>
        <v>170</v>
      </c>
      <c r="I19" s="1" t="s">
        <v>3194</v>
      </c>
      <c r="J19" s="30">
        <v>170</v>
      </c>
      <c r="K19" s="30">
        <v>50</v>
      </c>
      <c r="L19" s="1" t="s">
        <v>223</v>
      </c>
      <c r="M19" s="30"/>
      <c r="N19" s="1"/>
      <c r="O19" s="30"/>
    </row>
    <row r="20" spans="1:15" x14ac:dyDescent="0.3">
      <c r="A20" s="41">
        <v>45632</v>
      </c>
      <c r="B20" s="10" t="s">
        <v>3039</v>
      </c>
      <c r="C20" s="10" t="s">
        <v>14</v>
      </c>
      <c r="D20" s="88">
        <f t="shared" si="2"/>
        <v>263.63636363636363</v>
      </c>
      <c r="E20" s="88">
        <f t="shared" si="0"/>
        <v>26.36363636363636</v>
      </c>
      <c r="F20" s="88">
        <v>290</v>
      </c>
      <c r="G20" s="88">
        <v>50</v>
      </c>
      <c r="H20" s="13">
        <f t="shared" si="1"/>
        <v>240</v>
      </c>
      <c r="I20" s="1" t="s">
        <v>2055</v>
      </c>
      <c r="J20" s="30">
        <v>270</v>
      </c>
      <c r="K20" s="30">
        <v>20</v>
      </c>
      <c r="L20" s="1" t="s">
        <v>223</v>
      </c>
      <c r="M20" s="30"/>
      <c r="N20" s="1"/>
      <c r="O20" s="30"/>
    </row>
    <row r="21" spans="1:15" x14ac:dyDescent="0.3">
      <c r="A21" s="41">
        <v>45632</v>
      </c>
      <c r="B21" s="10" t="s">
        <v>3040</v>
      </c>
      <c r="C21" s="10" t="s">
        <v>14</v>
      </c>
      <c r="D21" s="88">
        <f t="shared" si="2"/>
        <v>245.45454545454544</v>
      </c>
      <c r="E21" s="88">
        <f t="shared" si="0"/>
        <v>24.545454545454547</v>
      </c>
      <c r="F21" s="88">
        <v>270</v>
      </c>
      <c r="G21" s="88">
        <v>50</v>
      </c>
      <c r="H21" s="13">
        <f t="shared" si="1"/>
        <v>220</v>
      </c>
      <c r="I21" s="1" t="s">
        <v>3195</v>
      </c>
      <c r="J21" s="30">
        <v>270</v>
      </c>
      <c r="K21" s="30"/>
      <c r="L21" s="1"/>
      <c r="M21" s="30"/>
      <c r="N21" s="1"/>
      <c r="O21" s="30"/>
    </row>
    <row r="22" spans="1:15" x14ac:dyDescent="0.3">
      <c r="A22" s="41">
        <v>45632</v>
      </c>
      <c r="B22" s="10" t="s">
        <v>3041</v>
      </c>
      <c r="C22" s="10" t="s">
        <v>14</v>
      </c>
      <c r="D22" s="88">
        <f t="shared" si="2"/>
        <v>240.90909090909088</v>
      </c>
      <c r="E22" s="88">
        <f t="shared" si="0"/>
        <v>24.09090909090909</v>
      </c>
      <c r="F22" s="88">
        <v>265</v>
      </c>
      <c r="G22" s="88">
        <v>50</v>
      </c>
      <c r="H22" s="13">
        <f t="shared" si="1"/>
        <v>215</v>
      </c>
      <c r="I22" s="103" t="s">
        <v>3196</v>
      </c>
      <c r="J22" s="30">
        <v>220</v>
      </c>
      <c r="K22" s="30"/>
      <c r="L22" s="1"/>
      <c r="M22" s="30">
        <v>45</v>
      </c>
      <c r="N22" s="1" t="s">
        <v>16</v>
      </c>
      <c r="O22" s="1"/>
    </row>
    <row r="23" spans="1:15" x14ac:dyDescent="0.3">
      <c r="A23" s="41">
        <v>45633</v>
      </c>
      <c r="B23" s="10" t="s">
        <v>3042</v>
      </c>
      <c r="C23" s="10" t="s">
        <v>14</v>
      </c>
      <c r="D23" s="88">
        <f t="shared" si="2"/>
        <v>199.99999999999997</v>
      </c>
      <c r="E23" s="88">
        <f t="shared" si="0"/>
        <v>19.999999999999996</v>
      </c>
      <c r="F23" s="88">
        <v>220</v>
      </c>
      <c r="G23" s="88"/>
      <c r="H23" s="13">
        <f t="shared" si="1"/>
        <v>220</v>
      </c>
      <c r="I23" s="1" t="s">
        <v>402</v>
      </c>
      <c r="J23" s="30">
        <v>220</v>
      </c>
      <c r="K23" s="30"/>
      <c r="L23" s="1"/>
      <c r="M23" s="30"/>
      <c r="N23" s="1"/>
      <c r="O23" s="1"/>
    </row>
    <row r="24" spans="1:15" x14ac:dyDescent="0.3">
      <c r="A24" s="41">
        <v>45633</v>
      </c>
      <c r="B24" s="10" t="s">
        <v>3043</v>
      </c>
      <c r="C24" s="10" t="s">
        <v>14</v>
      </c>
      <c r="D24" s="88">
        <f t="shared" si="2"/>
        <v>354.5454545454545</v>
      </c>
      <c r="E24" s="88">
        <f t="shared" si="0"/>
        <v>35.454545454545453</v>
      </c>
      <c r="F24" s="88">
        <v>390</v>
      </c>
      <c r="G24" s="88">
        <v>390</v>
      </c>
      <c r="H24" s="13">
        <f t="shared" si="1"/>
        <v>0</v>
      </c>
      <c r="I24" s="1" t="s">
        <v>3197</v>
      </c>
      <c r="J24" s="30">
        <v>220</v>
      </c>
      <c r="K24" s="30"/>
      <c r="L24" s="1"/>
      <c r="M24" s="30">
        <v>170</v>
      </c>
      <c r="N24" s="1" t="s">
        <v>2303</v>
      </c>
      <c r="O24" s="1"/>
    </row>
    <row r="25" spans="1:15" x14ac:dyDescent="0.3">
      <c r="A25" s="41">
        <v>45633</v>
      </c>
      <c r="B25" s="10" t="s">
        <v>3044</v>
      </c>
      <c r="C25" s="10" t="s">
        <v>14</v>
      </c>
      <c r="D25" s="88">
        <f t="shared" si="2"/>
        <v>199.99999999999997</v>
      </c>
      <c r="E25" s="88">
        <f t="shared" si="0"/>
        <v>19.999999999999996</v>
      </c>
      <c r="F25" s="88">
        <v>220</v>
      </c>
      <c r="G25" s="88">
        <v>50</v>
      </c>
      <c r="H25" s="13">
        <f t="shared" si="1"/>
        <v>170</v>
      </c>
      <c r="I25" s="1" t="s">
        <v>3198</v>
      </c>
      <c r="J25" s="30">
        <v>270</v>
      </c>
      <c r="K25" s="30"/>
      <c r="L25" s="1"/>
      <c r="M25" s="30"/>
      <c r="N25" s="1"/>
      <c r="O25" s="1"/>
    </row>
    <row r="26" spans="1:15" x14ac:dyDescent="0.3">
      <c r="A26" s="41">
        <v>45633</v>
      </c>
      <c r="B26" s="10" t="s">
        <v>3045</v>
      </c>
      <c r="C26" s="10" t="s">
        <v>14</v>
      </c>
      <c r="D26" s="88">
        <f t="shared" si="2"/>
        <v>199.99999999999997</v>
      </c>
      <c r="E26" s="88">
        <f t="shared" si="0"/>
        <v>19.999999999999996</v>
      </c>
      <c r="F26" s="88">
        <v>220</v>
      </c>
      <c r="G26" s="88">
        <v>50</v>
      </c>
      <c r="H26" s="13">
        <f t="shared" si="1"/>
        <v>170</v>
      </c>
      <c r="I26" s="1" t="s">
        <v>3199</v>
      </c>
      <c r="J26" s="30">
        <v>270</v>
      </c>
      <c r="K26" s="30"/>
      <c r="L26" s="1"/>
      <c r="M26" s="30"/>
      <c r="N26" s="1"/>
      <c r="O26" s="1"/>
    </row>
    <row r="27" spans="1:15" x14ac:dyDescent="0.3">
      <c r="A27" s="41">
        <v>45633</v>
      </c>
      <c r="B27" s="10" t="s">
        <v>3046</v>
      </c>
      <c r="C27" s="10" t="s">
        <v>14</v>
      </c>
      <c r="D27" s="88">
        <f t="shared" si="2"/>
        <v>240.90909090909088</v>
      </c>
      <c r="E27" s="88">
        <f t="shared" si="0"/>
        <v>24.09090909090909</v>
      </c>
      <c r="F27" s="88">
        <v>265</v>
      </c>
      <c r="G27" s="88">
        <v>50</v>
      </c>
      <c r="H27" s="13">
        <f t="shared" si="1"/>
        <v>215</v>
      </c>
      <c r="I27" s="1" t="s">
        <v>3200</v>
      </c>
      <c r="J27" s="30">
        <v>220</v>
      </c>
      <c r="K27" s="30"/>
      <c r="L27" s="1"/>
      <c r="M27" s="30">
        <v>45</v>
      </c>
      <c r="N27" s="1" t="s">
        <v>16</v>
      </c>
      <c r="O27" s="1"/>
    </row>
    <row r="28" spans="1:15" x14ac:dyDescent="0.3">
      <c r="A28" s="41">
        <v>45633</v>
      </c>
      <c r="B28" s="10" t="s">
        <v>3047</v>
      </c>
      <c r="C28" s="10" t="s">
        <v>14</v>
      </c>
      <c r="D28" s="88">
        <f t="shared" si="2"/>
        <v>322.72727272727269</v>
      </c>
      <c r="E28" s="88">
        <f t="shared" si="0"/>
        <v>32.272727272727273</v>
      </c>
      <c r="F28" s="88">
        <v>355</v>
      </c>
      <c r="G28" s="88">
        <v>50</v>
      </c>
      <c r="H28" s="13">
        <f t="shared" si="1"/>
        <v>305</v>
      </c>
      <c r="I28" s="1" t="s">
        <v>2055</v>
      </c>
      <c r="J28" s="30">
        <v>270</v>
      </c>
      <c r="K28" s="30">
        <v>30</v>
      </c>
      <c r="L28" s="1" t="s">
        <v>223</v>
      </c>
      <c r="M28" s="30">
        <v>45</v>
      </c>
      <c r="N28" s="1" t="s">
        <v>16</v>
      </c>
      <c r="O28" s="1"/>
    </row>
    <row r="29" spans="1:15" x14ac:dyDescent="0.3">
      <c r="A29" s="41">
        <v>45633</v>
      </c>
      <c r="B29" s="10" t="s">
        <v>3048</v>
      </c>
      <c r="C29" s="10" t="s">
        <v>14</v>
      </c>
      <c r="D29" s="88">
        <f t="shared" si="2"/>
        <v>286.36363636363632</v>
      </c>
      <c r="E29" s="88">
        <f t="shared" si="0"/>
        <v>28.63636363636363</v>
      </c>
      <c r="F29" s="88">
        <v>315</v>
      </c>
      <c r="G29" s="88">
        <v>50</v>
      </c>
      <c r="H29" s="13">
        <f t="shared" si="1"/>
        <v>265</v>
      </c>
      <c r="I29" s="1" t="s">
        <v>3201</v>
      </c>
      <c r="J29" s="30">
        <v>270</v>
      </c>
      <c r="K29" s="30"/>
      <c r="L29" s="1"/>
      <c r="M29" s="30">
        <v>45</v>
      </c>
      <c r="N29" s="1" t="s">
        <v>16</v>
      </c>
      <c r="O29" s="1"/>
    </row>
    <row r="30" spans="1:15" x14ac:dyDescent="0.3">
      <c r="A30" s="41">
        <v>45633</v>
      </c>
      <c r="B30" s="10" t="s">
        <v>3049</v>
      </c>
      <c r="C30" s="10" t="s">
        <v>14</v>
      </c>
      <c r="D30" s="88">
        <f t="shared" si="2"/>
        <v>154.54545454545453</v>
      </c>
      <c r="E30" s="88">
        <f t="shared" si="0"/>
        <v>15.454545454545453</v>
      </c>
      <c r="F30" s="88">
        <v>170</v>
      </c>
      <c r="G30" s="88">
        <v>50</v>
      </c>
      <c r="H30" s="13">
        <f t="shared" si="1"/>
        <v>120</v>
      </c>
      <c r="I30" s="1" t="s">
        <v>3202</v>
      </c>
      <c r="J30" s="30">
        <v>170</v>
      </c>
      <c r="K30" s="30"/>
      <c r="L30" s="1"/>
      <c r="M30" s="30"/>
      <c r="N30" s="1"/>
      <c r="O30" s="1"/>
    </row>
    <row r="31" spans="1:15" x14ac:dyDescent="0.3">
      <c r="A31" s="41">
        <v>45633</v>
      </c>
      <c r="B31" s="10" t="s">
        <v>3050</v>
      </c>
      <c r="C31" s="10" t="s">
        <v>14</v>
      </c>
      <c r="D31" s="88">
        <f t="shared" si="2"/>
        <v>154.54545454545453</v>
      </c>
      <c r="E31" s="88">
        <f t="shared" si="0"/>
        <v>15.454545454545453</v>
      </c>
      <c r="F31" s="88">
        <v>170</v>
      </c>
      <c r="G31" s="88">
        <v>50</v>
      </c>
      <c r="H31" s="13">
        <f t="shared" si="1"/>
        <v>120</v>
      </c>
      <c r="I31" s="1" t="s">
        <v>3203</v>
      </c>
      <c r="J31" s="30">
        <v>170</v>
      </c>
      <c r="K31" s="30"/>
      <c r="L31" s="1"/>
      <c r="M31" s="30"/>
      <c r="N31" s="1"/>
      <c r="O31" s="1"/>
    </row>
    <row r="32" spans="1:15" x14ac:dyDescent="0.3">
      <c r="A32" s="41">
        <v>45633</v>
      </c>
      <c r="B32" s="10" t="s">
        <v>3051</v>
      </c>
      <c r="C32" s="10" t="s">
        <v>14</v>
      </c>
      <c r="D32" s="88">
        <f t="shared" si="2"/>
        <v>127.27272727272727</v>
      </c>
      <c r="E32" s="88">
        <f t="shared" si="0"/>
        <v>12.727272727272727</v>
      </c>
      <c r="F32" s="88">
        <v>140</v>
      </c>
      <c r="G32" s="88"/>
      <c r="H32" s="13">
        <f t="shared" si="1"/>
        <v>140</v>
      </c>
      <c r="I32" s="1" t="s">
        <v>3204</v>
      </c>
      <c r="J32" s="30">
        <v>140</v>
      </c>
      <c r="K32" s="30"/>
      <c r="L32" s="1"/>
      <c r="M32" s="30"/>
      <c r="N32" s="1"/>
      <c r="O32" s="1"/>
    </row>
    <row r="33" spans="1:15" x14ac:dyDescent="0.3">
      <c r="A33" s="41">
        <v>45633</v>
      </c>
      <c r="B33" s="10" t="s">
        <v>3052</v>
      </c>
      <c r="C33" s="10" t="s">
        <v>14</v>
      </c>
      <c r="D33" s="88">
        <f t="shared" si="2"/>
        <v>195.45454545454544</v>
      </c>
      <c r="E33" s="88">
        <f t="shared" si="0"/>
        <v>19.545454545454547</v>
      </c>
      <c r="F33" s="88">
        <v>215</v>
      </c>
      <c r="G33" s="88">
        <v>200</v>
      </c>
      <c r="H33" s="13">
        <f t="shared" si="1"/>
        <v>15</v>
      </c>
      <c r="I33" s="1" t="s">
        <v>2055</v>
      </c>
      <c r="J33" s="30">
        <v>170</v>
      </c>
      <c r="K33" s="30"/>
      <c r="L33" s="1"/>
      <c r="M33" s="30">
        <v>45</v>
      </c>
      <c r="N33" s="1" t="s">
        <v>16</v>
      </c>
      <c r="O33" s="1"/>
    </row>
    <row r="34" spans="1:15" x14ac:dyDescent="0.3">
      <c r="A34" s="41">
        <v>45633</v>
      </c>
      <c r="B34" s="10" t="s">
        <v>3053</v>
      </c>
      <c r="C34" s="10" t="s">
        <v>14</v>
      </c>
      <c r="D34" s="88">
        <f t="shared" si="2"/>
        <v>154.54545454545453</v>
      </c>
      <c r="E34" s="88">
        <f t="shared" si="0"/>
        <v>15.454545454545453</v>
      </c>
      <c r="F34" s="88">
        <v>170</v>
      </c>
      <c r="G34" s="88">
        <v>50</v>
      </c>
      <c r="H34" s="13">
        <f t="shared" si="1"/>
        <v>120</v>
      </c>
      <c r="I34" s="1" t="s">
        <v>3205</v>
      </c>
      <c r="J34" s="30">
        <v>170</v>
      </c>
      <c r="K34" s="30"/>
      <c r="L34" s="1"/>
      <c r="M34" s="30"/>
      <c r="N34" s="1"/>
      <c r="O34" s="1"/>
    </row>
    <row r="35" spans="1:15" x14ac:dyDescent="0.3">
      <c r="A35" s="41">
        <v>45633</v>
      </c>
      <c r="B35" s="10" t="s">
        <v>3054</v>
      </c>
      <c r="C35" s="10" t="s">
        <v>14</v>
      </c>
      <c r="D35" s="88">
        <f t="shared" si="2"/>
        <v>154.54545454545453</v>
      </c>
      <c r="E35" s="88">
        <f t="shared" si="0"/>
        <v>15.454545454545453</v>
      </c>
      <c r="F35" s="88">
        <v>170</v>
      </c>
      <c r="G35" s="88">
        <v>50</v>
      </c>
      <c r="H35" s="13">
        <f t="shared" si="1"/>
        <v>120</v>
      </c>
      <c r="I35" s="1" t="s">
        <v>3206</v>
      </c>
      <c r="J35" s="30">
        <v>170</v>
      </c>
      <c r="K35" s="30"/>
      <c r="L35" s="1"/>
      <c r="M35" s="30"/>
      <c r="N35" s="1"/>
      <c r="O35" s="1"/>
    </row>
    <row r="36" spans="1:15" x14ac:dyDescent="0.3">
      <c r="A36" s="41">
        <v>45633</v>
      </c>
      <c r="B36" s="10" t="s">
        <v>3055</v>
      </c>
      <c r="C36" s="10" t="s">
        <v>14</v>
      </c>
      <c r="D36" s="88">
        <f t="shared" si="2"/>
        <v>154.54545454545453</v>
      </c>
      <c r="E36" s="88">
        <f t="shared" si="0"/>
        <v>15.454545454545453</v>
      </c>
      <c r="F36" s="88">
        <v>170</v>
      </c>
      <c r="G36" s="88">
        <v>50</v>
      </c>
      <c r="H36" s="13">
        <f t="shared" si="1"/>
        <v>120</v>
      </c>
      <c r="I36" s="1" t="s">
        <v>2055</v>
      </c>
      <c r="J36" s="30">
        <v>170</v>
      </c>
      <c r="K36" s="30"/>
      <c r="L36" s="1"/>
      <c r="M36" s="30"/>
      <c r="N36" s="1"/>
      <c r="O36" s="1"/>
    </row>
    <row r="37" spans="1:15" x14ac:dyDescent="0.3">
      <c r="A37" s="41">
        <v>45633</v>
      </c>
      <c r="B37" s="10" t="s">
        <v>3056</v>
      </c>
      <c r="C37" s="10" t="s">
        <v>14</v>
      </c>
      <c r="D37" s="88">
        <f t="shared" si="2"/>
        <v>468.18181818181813</v>
      </c>
      <c r="E37" s="88">
        <f t="shared" si="0"/>
        <v>46.818181818181813</v>
      </c>
      <c r="F37" s="88">
        <v>515</v>
      </c>
      <c r="G37" s="88">
        <v>50</v>
      </c>
      <c r="H37" s="13">
        <f t="shared" si="1"/>
        <v>465</v>
      </c>
      <c r="I37" s="1" t="s">
        <v>3207</v>
      </c>
      <c r="J37" s="30">
        <v>470</v>
      </c>
      <c r="K37" s="30">
        <v>440</v>
      </c>
      <c r="L37" s="1" t="s">
        <v>223</v>
      </c>
      <c r="M37" s="30">
        <v>45</v>
      </c>
      <c r="N37" s="1" t="s">
        <v>16</v>
      </c>
      <c r="O37" s="1"/>
    </row>
    <row r="38" spans="1:15" x14ac:dyDescent="0.3">
      <c r="A38" s="41">
        <v>45633</v>
      </c>
      <c r="B38" s="10" t="s">
        <v>3057</v>
      </c>
      <c r="C38" s="10" t="s">
        <v>14</v>
      </c>
      <c r="D38" s="88">
        <f t="shared" si="2"/>
        <v>263.63636363636363</v>
      </c>
      <c r="E38" s="88">
        <f t="shared" si="0"/>
        <v>26.36363636363636</v>
      </c>
      <c r="F38" s="88">
        <v>290</v>
      </c>
      <c r="G38" s="88">
        <v>50</v>
      </c>
      <c r="H38" s="13">
        <f t="shared" si="1"/>
        <v>240</v>
      </c>
      <c r="I38" s="1" t="s">
        <v>3208</v>
      </c>
      <c r="J38" s="30">
        <v>270</v>
      </c>
      <c r="K38" s="30">
        <v>20</v>
      </c>
      <c r="L38" s="1" t="s">
        <v>223</v>
      </c>
      <c r="M38" s="30"/>
      <c r="N38" s="1"/>
      <c r="O38" s="1"/>
    </row>
    <row r="39" spans="1:15" x14ac:dyDescent="0.3">
      <c r="A39" s="41">
        <v>45634</v>
      </c>
      <c r="B39" s="10" t="s">
        <v>3058</v>
      </c>
      <c r="C39" s="10" t="s">
        <v>14</v>
      </c>
      <c r="D39" s="88">
        <f t="shared" si="2"/>
        <v>172.72727272727272</v>
      </c>
      <c r="E39" s="88">
        <f t="shared" si="0"/>
        <v>17.272727272727273</v>
      </c>
      <c r="F39" s="88">
        <v>190</v>
      </c>
      <c r="G39" s="88">
        <v>50</v>
      </c>
      <c r="H39" s="13">
        <f t="shared" si="1"/>
        <v>140</v>
      </c>
      <c r="I39" s="1" t="s">
        <v>3209</v>
      </c>
      <c r="J39" s="30">
        <v>170</v>
      </c>
      <c r="K39" s="30">
        <v>20</v>
      </c>
      <c r="L39" s="1" t="s">
        <v>223</v>
      </c>
      <c r="M39" s="30"/>
      <c r="N39" s="1"/>
      <c r="O39" s="1"/>
    </row>
    <row r="40" spans="1:15" x14ac:dyDescent="0.3">
      <c r="A40" s="41">
        <v>45634</v>
      </c>
      <c r="B40" s="10" t="s">
        <v>3059</v>
      </c>
      <c r="C40" s="10" t="s">
        <v>14</v>
      </c>
      <c r="D40" s="88">
        <f t="shared" si="2"/>
        <v>154.54545454545453</v>
      </c>
      <c r="E40" s="88">
        <f t="shared" si="0"/>
        <v>15.454545454545453</v>
      </c>
      <c r="F40" s="88">
        <v>170</v>
      </c>
      <c r="G40" s="88">
        <v>50</v>
      </c>
      <c r="H40" s="13">
        <f t="shared" si="1"/>
        <v>120</v>
      </c>
      <c r="I40" s="1" t="s">
        <v>3210</v>
      </c>
      <c r="J40" s="30">
        <v>170</v>
      </c>
      <c r="K40" s="30"/>
      <c r="L40" s="1"/>
      <c r="M40" s="30"/>
      <c r="N40" s="1"/>
      <c r="O40" s="1"/>
    </row>
    <row r="41" spans="1:15" x14ac:dyDescent="0.3">
      <c r="A41" s="41">
        <v>45635</v>
      </c>
      <c r="B41" s="10" t="s">
        <v>3060</v>
      </c>
      <c r="C41" s="10" t="s">
        <v>14</v>
      </c>
      <c r="D41" s="88">
        <f t="shared" si="2"/>
        <v>227.27272727272725</v>
      </c>
      <c r="E41" s="88">
        <f t="shared" si="0"/>
        <v>22.727272727272727</v>
      </c>
      <c r="F41" s="88">
        <v>250</v>
      </c>
      <c r="G41" s="88">
        <v>50</v>
      </c>
      <c r="H41" s="13">
        <f t="shared" si="1"/>
        <v>200</v>
      </c>
      <c r="I41" s="1" t="s">
        <v>3211</v>
      </c>
      <c r="J41" s="30">
        <v>220</v>
      </c>
      <c r="K41" s="30">
        <v>30</v>
      </c>
      <c r="L41" s="1" t="s">
        <v>223</v>
      </c>
      <c r="M41" s="30"/>
      <c r="N41" s="1"/>
      <c r="O41" s="1"/>
    </row>
    <row r="42" spans="1:15" x14ac:dyDescent="0.3">
      <c r="A42" s="41">
        <v>45636</v>
      </c>
      <c r="B42" s="10" t="s">
        <v>3061</v>
      </c>
      <c r="C42" s="10" t="s">
        <v>14</v>
      </c>
      <c r="D42" s="88">
        <f t="shared" si="2"/>
        <v>127.27272727272727</v>
      </c>
      <c r="E42" s="88">
        <f t="shared" si="0"/>
        <v>12.727272727272727</v>
      </c>
      <c r="F42" s="88">
        <v>140</v>
      </c>
      <c r="G42" s="88"/>
      <c r="H42" s="13">
        <f t="shared" si="1"/>
        <v>140</v>
      </c>
      <c r="I42" s="1" t="s">
        <v>402</v>
      </c>
      <c r="J42" s="30">
        <v>140</v>
      </c>
      <c r="K42" s="30"/>
      <c r="L42" s="1"/>
      <c r="M42" s="30"/>
      <c r="N42" s="1"/>
      <c r="O42" s="1"/>
    </row>
    <row r="43" spans="1:15" x14ac:dyDescent="0.3">
      <c r="A43" s="41">
        <v>45636</v>
      </c>
      <c r="B43" s="10" t="s">
        <v>3062</v>
      </c>
      <c r="C43" s="10" t="s">
        <v>14</v>
      </c>
      <c r="D43" s="88">
        <f t="shared" si="2"/>
        <v>181.81818181818181</v>
      </c>
      <c r="E43" s="88">
        <f t="shared" si="0"/>
        <v>18.18181818181818</v>
      </c>
      <c r="F43" s="88">
        <v>200</v>
      </c>
      <c r="G43" s="88">
        <v>50</v>
      </c>
      <c r="H43" s="13">
        <f t="shared" si="1"/>
        <v>150</v>
      </c>
      <c r="I43" s="1" t="s">
        <v>3212</v>
      </c>
      <c r="J43" s="30">
        <v>170</v>
      </c>
      <c r="K43" s="30">
        <v>30</v>
      </c>
      <c r="L43" s="1" t="s">
        <v>223</v>
      </c>
      <c r="M43" s="30"/>
      <c r="N43" s="1"/>
      <c r="O43" s="1"/>
    </row>
    <row r="44" spans="1:15" x14ac:dyDescent="0.3">
      <c r="A44" s="41">
        <v>45637</v>
      </c>
      <c r="B44" s="10" t="s">
        <v>3063</v>
      </c>
      <c r="C44" s="10" t="s">
        <v>14</v>
      </c>
      <c r="D44" s="88">
        <f t="shared" si="2"/>
        <v>345.45454545454544</v>
      </c>
      <c r="E44" s="88">
        <f t="shared" si="0"/>
        <v>34.545454545454547</v>
      </c>
      <c r="F44" s="88">
        <v>380</v>
      </c>
      <c r="G44" s="88">
        <v>50</v>
      </c>
      <c r="H44" s="13">
        <f t="shared" si="1"/>
        <v>330</v>
      </c>
      <c r="I44" s="103" t="s">
        <v>3213</v>
      </c>
      <c r="J44" s="30">
        <v>320</v>
      </c>
      <c r="K44" s="30">
        <v>60</v>
      </c>
      <c r="L44" s="1" t="s">
        <v>223</v>
      </c>
      <c r="M44" s="30"/>
      <c r="N44" s="1"/>
      <c r="O44" s="1"/>
    </row>
    <row r="45" spans="1:15" x14ac:dyDescent="0.3">
      <c r="A45" s="41">
        <v>45637</v>
      </c>
      <c r="B45" s="10" t="s">
        <v>3064</v>
      </c>
      <c r="C45" s="10" t="s">
        <v>14</v>
      </c>
      <c r="D45" s="88">
        <f t="shared" si="2"/>
        <v>127.27272727272727</v>
      </c>
      <c r="E45" s="88">
        <f t="shared" si="0"/>
        <v>12.727272727272727</v>
      </c>
      <c r="F45" s="88">
        <v>140</v>
      </c>
      <c r="G45" s="88"/>
      <c r="H45" s="13">
        <f t="shared" si="1"/>
        <v>140</v>
      </c>
      <c r="I45" s="1" t="s">
        <v>1093</v>
      </c>
      <c r="J45" s="30">
        <v>140</v>
      </c>
      <c r="K45" s="30"/>
      <c r="L45" s="1"/>
      <c r="M45" s="30"/>
      <c r="N45" s="1"/>
      <c r="O45" s="1"/>
    </row>
    <row r="46" spans="1:15" x14ac:dyDescent="0.3">
      <c r="A46" s="41">
        <v>45637</v>
      </c>
      <c r="B46" s="10" t="s">
        <v>3065</v>
      </c>
      <c r="C46" s="10" t="s">
        <v>14</v>
      </c>
      <c r="D46" s="88">
        <f t="shared" si="2"/>
        <v>181.81818181818181</v>
      </c>
      <c r="E46" s="88">
        <f t="shared" si="0"/>
        <v>18.18181818181818</v>
      </c>
      <c r="F46" s="88">
        <v>200</v>
      </c>
      <c r="G46" s="88"/>
      <c r="H46" s="13">
        <f t="shared" si="1"/>
        <v>200</v>
      </c>
      <c r="I46" s="1" t="s">
        <v>402</v>
      </c>
      <c r="J46" s="30">
        <v>200</v>
      </c>
      <c r="K46" s="30"/>
      <c r="L46" s="1"/>
      <c r="M46" s="30"/>
      <c r="N46" s="1"/>
      <c r="O46" s="1"/>
    </row>
    <row r="47" spans="1:15" x14ac:dyDescent="0.3">
      <c r="A47" s="41">
        <v>45637</v>
      </c>
      <c r="B47" s="10" t="s">
        <v>3066</v>
      </c>
      <c r="C47" s="10" t="s">
        <v>14</v>
      </c>
      <c r="D47" s="88">
        <f t="shared" si="2"/>
        <v>199.99999999999997</v>
      </c>
      <c r="E47" s="88">
        <f t="shared" si="0"/>
        <v>19.999999999999996</v>
      </c>
      <c r="F47" s="88">
        <v>220</v>
      </c>
      <c r="G47" s="88"/>
      <c r="H47" s="13">
        <f t="shared" si="1"/>
        <v>220</v>
      </c>
      <c r="I47" s="1" t="s">
        <v>402</v>
      </c>
      <c r="J47" s="30">
        <v>220</v>
      </c>
      <c r="K47" s="30"/>
      <c r="L47" s="1"/>
      <c r="M47" s="30"/>
      <c r="N47" s="1"/>
      <c r="O47" s="1"/>
    </row>
    <row r="48" spans="1:15" x14ac:dyDescent="0.3">
      <c r="A48" s="41">
        <v>45637</v>
      </c>
      <c r="B48" s="10" t="s">
        <v>3067</v>
      </c>
      <c r="C48" s="10" t="s">
        <v>14</v>
      </c>
      <c r="D48" s="88">
        <f t="shared" si="2"/>
        <v>199.99999999999997</v>
      </c>
      <c r="E48" s="88">
        <f t="shared" si="0"/>
        <v>19.999999999999996</v>
      </c>
      <c r="F48" s="88">
        <v>220</v>
      </c>
      <c r="G48" s="88">
        <v>50</v>
      </c>
      <c r="H48" s="13">
        <f t="shared" si="1"/>
        <v>170</v>
      </c>
      <c r="I48" s="1" t="s">
        <v>3214</v>
      </c>
      <c r="J48" s="30">
        <v>220</v>
      </c>
      <c r="K48" s="30"/>
      <c r="L48" s="1"/>
      <c r="M48" s="30"/>
      <c r="N48" s="1"/>
      <c r="O48" s="1"/>
    </row>
    <row r="49" spans="1:15" x14ac:dyDescent="0.3">
      <c r="A49" s="41">
        <v>45638</v>
      </c>
      <c r="B49" s="10" t="s">
        <v>3068</v>
      </c>
      <c r="C49" s="10" t="s">
        <v>14</v>
      </c>
      <c r="D49" s="88">
        <f t="shared" si="2"/>
        <v>154.54545454545453</v>
      </c>
      <c r="E49" s="88">
        <f t="shared" si="0"/>
        <v>15.454545454545453</v>
      </c>
      <c r="F49" s="88">
        <v>170</v>
      </c>
      <c r="G49" s="88">
        <v>50</v>
      </c>
      <c r="H49" s="13">
        <f t="shared" si="1"/>
        <v>120</v>
      </c>
      <c r="I49" s="1" t="s">
        <v>3215</v>
      </c>
      <c r="J49" s="30">
        <v>170</v>
      </c>
      <c r="K49" s="30"/>
      <c r="L49" s="1"/>
      <c r="M49" s="30"/>
      <c r="N49" s="1"/>
      <c r="O49" s="1"/>
    </row>
    <row r="50" spans="1:15" x14ac:dyDescent="0.3">
      <c r="A50" s="41">
        <v>45638</v>
      </c>
      <c r="B50" s="10" t="s">
        <v>3069</v>
      </c>
      <c r="C50" s="10" t="s">
        <v>14</v>
      </c>
      <c r="D50" s="88">
        <f t="shared" si="2"/>
        <v>154.54545454545453</v>
      </c>
      <c r="E50" s="88">
        <f t="shared" si="0"/>
        <v>15.454545454545453</v>
      </c>
      <c r="F50" s="88">
        <v>170</v>
      </c>
      <c r="G50" s="88">
        <v>50</v>
      </c>
      <c r="H50" s="13">
        <f t="shared" si="1"/>
        <v>120</v>
      </c>
      <c r="I50" s="1" t="s">
        <v>3216</v>
      </c>
      <c r="J50" s="30">
        <v>170</v>
      </c>
      <c r="K50" s="30"/>
      <c r="L50" s="1"/>
      <c r="M50" s="30"/>
      <c r="N50" s="1"/>
      <c r="O50" s="1"/>
    </row>
    <row r="51" spans="1:15" x14ac:dyDescent="0.3">
      <c r="A51" s="41">
        <v>45639</v>
      </c>
      <c r="B51" s="10" t="s">
        <v>3070</v>
      </c>
      <c r="C51" s="10" t="s">
        <v>14</v>
      </c>
      <c r="D51" s="88">
        <f t="shared" si="2"/>
        <v>268.18181818181819</v>
      </c>
      <c r="E51" s="88">
        <f t="shared" si="0"/>
        <v>26.81818181818182</v>
      </c>
      <c r="F51" s="88">
        <v>295</v>
      </c>
      <c r="G51" s="88">
        <v>50</v>
      </c>
      <c r="H51" s="13">
        <f t="shared" si="1"/>
        <v>245</v>
      </c>
      <c r="I51" s="1" t="s">
        <v>3217</v>
      </c>
      <c r="J51" s="30">
        <v>220</v>
      </c>
      <c r="K51" s="30">
        <v>30</v>
      </c>
      <c r="L51" s="1" t="s">
        <v>223</v>
      </c>
      <c r="M51" s="30">
        <v>45</v>
      </c>
      <c r="N51" s="1" t="s">
        <v>16</v>
      </c>
      <c r="O51" s="1"/>
    </row>
    <row r="52" spans="1:15" x14ac:dyDescent="0.3">
      <c r="A52" s="41">
        <v>45639</v>
      </c>
      <c r="B52" s="10" t="s">
        <v>3071</v>
      </c>
      <c r="C52" s="10" t="s">
        <v>14</v>
      </c>
      <c r="D52" s="88">
        <f t="shared" si="2"/>
        <v>240.90909090909088</v>
      </c>
      <c r="E52" s="88">
        <f t="shared" si="0"/>
        <v>24.09090909090909</v>
      </c>
      <c r="F52" s="88">
        <v>265</v>
      </c>
      <c r="G52" s="88">
        <v>50</v>
      </c>
      <c r="H52" s="13">
        <f t="shared" si="1"/>
        <v>215</v>
      </c>
      <c r="I52" s="1" t="s">
        <v>3218</v>
      </c>
      <c r="J52" s="30">
        <v>220</v>
      </c>
      <c r="K52" s="30"/>
      <c r="L52" s="1"/>
      <c r="M52" s="30">
        <v>45</v>
      </c>
      <c r="N52" s="1" t="s">
        <v>16</v>
      </c>
      <c r="O52" s="30"/>
    </row>
    <row r="53" spans="1:15" x14ac:dyDescent="0.3">
      <c r="A53" s="41">
        <v>45639</v>
      </c>
      <c r="B53" s="10" t="s">
        <v>3072</v>
      </c>
      <c r="C53" s="10" t="s">
        <v>14</v>
      </c>
      <c r="D53" s="88">
        <f t="shared" si="2"/>
        <v>245.45454545454544</v>
      </c>
      <c r="E53" s="88">
        <f t="shared" si="0"/>
        <v>24.545454545454547</v>
      </c>
      <c r="F53" s="88">
        <v>270</v>
      </c>
      <c r="G53" s="88">
        <v>50</v>
      </c>
      <c r="H53" s="13">
        <f t="shared" si="1"/>
        <v>220</v>
      </c>
      <c r="I53" s="1" t="s">
        <v>3219</v>
      </c>
      <c r="J53" s="30">
        <v>270</v>
      </c>
      <c r="K53" s="30"/>
      <c r="L53" s="1"/>
      <c r="M53" s="30"/>
      <c r="N53" s="1"/>
      <c r="O53" s="1"/>
    </row>
    <row r="54" spans="1:15" x14ac:dyDescent="0.3">
      <c r="A54" s="41">
        <v>45639</v>
      </c>
      <c r="B54" s="10" t="s">
        <v>3073</v>
      </c>
      <c r="C54" s="10" t="s">
        <v>14</v>
      </c>
      <c r="D54" s="88">
        <f t="shared" si="2"/>
        <v>245.45454545454544</v>
      </c>
      <c r="E54" s="88">
        <f t="shared" si="0"/>
        <v>24.545454545454547</v>
      </c>
      <c r="F54" s="88">
        <v>270</v>
      </c>
      <c r="G54" s="88">
        <v>50</v>
      </c>
      <c r="H54" s="13">
        <f t="shared" si="1"/>
        <v>220</v>
      </c>
      <c r="I54" s="1" t="s">
        <v>3220</v>
      </c>
      <c r="J54" s="30">
        <v>270</v>
      </c>
      <c r="K54" s="30"/>
      <c r="L54" s="1"/>
      <c r="M54" s="30"/>
      <c r="N54" s="1"/>
      <c r="O54" s="1"/>
    </row>
    <row r="55" spans="1:15" x14ac:dyDescent="0.3">
      <c r="A55" s="41">
        <v>45639</v>
      </c>
      <c r="B55" s="10" t="s">
        <v>3074</v>
      </c>
      <c r="C55" s="10" t="s">
        <v>14</v>
      </c>
      <c r="D55" s="88">
        <f t="shared" si="2"/>
        <v>236.36363636363635</v>
      </c>
      <c r="E55" s="88">
        <f t="shared" si="0"/>
        <v>23.636363636363637</v>
      </c>
      <c r="F55" s="88">
        <v>260</v>
      </c>
      <c r="G55" s="88"/>
      <c r="H55" s="13">
        <f t="shared" si="1"/>
        <v>260</v>
      </c>
      <c r="I55" s="1" t="s">
        <v>3221</v>
      </c>
      <c r="J55" s="30">
        <v>220</v>
      </c>
      <c r="K55" s="30">
        <v>40</v>
      </c>
      <c r="L55" s="1" t="s">
        <v>223</v>
      </c>
      <c r="M55" s="30"/>
      <c r="N55" s="1"/>
      <c r="O55" s="1"/>
    </row>
    <row r="56" spans="1:15" x14ac:dyDescent="0.3">
      <c r="A56" s="41">
        <v>45639</v>
      </c>
      <c r="B56" s="10" t="s">
        <v>3075</v>
      </c>
      <c r="C56" s="10" t="s">
        <v>14</v>
      </c>
      <c r="D56" s="88">
        <f t="shared" si="2"/>
        <v>245.45454545454544</v>
      </c>
      <c r="E56" s="88">
        <f t="shared" si="0"/>
        <v>24.545454545454547</v>
      </c>
      <c r="F56" s="88">
        <v>270</v>
      </c>
      <c r="G56" s="88">
        <v>270</v>
      </c>
      <c r="H56" s="13">
        <f t="shared" si="1"/>
        <v>0</v>
      </c>
      <c r="I56" s="1" t="s">
        <v>3222</v>
      </c>
      <c r="J56" s="30">
        <v>270</v>
      </c>
      <c r="K56" s="30"/>
      <c r="L56" s="1"/>
      <c r="M56" s="30"/>
      <c r="N56" s="1"/>
      <c r="O56" s="1"/>
    </row>
    <row r="57" spans="1:15" x14ac:dyDescent="0.3">
      <c r="A57" s="41">
        <v>45639</v>
      </c>
      <c r="B57" s="10" t="s">
        <v>3076</v>
      </c>
      <c r="C57" s="10" t="s">
        <v>14</v>
      </c>
      <c r="D57" s="88">
        <f t="shared" si="2"/>
        <v>172.72727272727272</v>
      </c>
      <c r="E57" s="88">
        <f t="shared" si="0"/>
        <v>17.272727272727273</v>
      </c>
      <c r="F57" s="88">
        <v>190</v>
      </c>
      <c r="G57" s="88">
        <v>50</v>
      </c>
      <c r="H57" s="13">
        <f t="shared" si="1"/>
        <v>140</v>
      </c>
      <c r="I57" s="1" t="s">
        <v>3223</v>
      </c>
      <c r="J57" s="30">
        <v>170</v>
      </c>
      <c r="K57" s="30">
        <v>20</v>
      </c>
      <c r="L57" s="1" t="s">
        <v>223</v>
      </c>
      <c r="M57" s="30"/>
      <c r="N57" s="1"/>
      <c r="O57" s="1"/>
    </row>
    <row r="58" spans="1:15" x14ac:dyDescent="0.3">
      <c r="A58" s="41">
        <v>45639</v>
      </c>
      <c r="B58" s="10" t="s">
        <v>3077</v>
      </c>
      <c r="C58" s="10" t="s">
        <v>14</v>
      </c>
      <c r="D58" s="88">
        <f t="shared" si="2"/>
        <v>127.27272727272727</v>
      </c>
      <c r="E58" s="88">
        <f t="shared" si="0"/>
        <v>12.727272727272727</v>
      </c>
      <c r="F58" s="88">
        <v>140</v>
      </c>
      <c r="G58" s="88"/>
      <c r="H58" s="13">
        <f t="shared" si="1"/>
        <v>140</v>
      </c>
      <c r="I58" s="1" t="s">
        <v>402</v>
      </c>
      <c r="J58" s="30">
        <v>140</v>
      </c>
      <c r="K58" s="30"/>
      <c r="L58" s="1"/>
      <c r="M58" s="30"/>
      <c r="N58" s="1"/>
      <c r="O58" s="1"/>
    </row>
    <row r="59" spans="1:15" x14ac:dyDescent="0.3">
      <c r="A59" s="41">
        <v>45639</v>
      </c>
      <c r="B59" s="10" t="s">
        <v>3078</v>
      </c>
      <c r="C59" s="10" t="s">
        <v>14</v>
      </c>
      <c r="D59" s="88">
        <f t="shared" si="2"/>
        <v>145.45454545454544</v>
      </c>
      <c r="E59" s="88">
        <f t="shared" si="0"/>
        <v>14.545454545454545</v>
      </c>
      <c r="F59" s="88">
        <v>160</v>
      </c>
      <c r="G59" s="88">
        <v>50</v>
      </c>
      <c r="H59" s="13">
        <f t="shared" si="1"/>
        <v>110</v>
      </c>
      <c r="I59" s="1" t="s">
        <v>3224</v>
      </c>
      <c r="J59" s="30">
        <v>160</v>
      </c>
      <c r="K59" s="30"/>
      <c r="L59" s="1"/>
      <c r="M59" s="30"/>
      <c r="N59" s="1"/>
      <c r="O59" s="1"/>
    </row>
    <row r="60" spans="1:15" x14ac:dyDescent="0.3">
      <c r="A60" s="41">
        <v>45640</v>
      </c>
      <c r="B60" s="10" t="s">
        <v>3079</v>
      </c>
      <c r="C60" s="10" t="s">
        <v>14</v>
      </c>
      <c r="D60" s="88">
        <f t="shared" si="2"/>
        <v>218.18181818181816</v>
      </c>
      <c r="E60" s="88">
        <f t="shared" si="0"/>
        <v>21.818181818181817</v>
      </c>
      <c r="F60" s="88">
        <v>240</v>
      </c>
      <c r="G60" s="88">
        <v>50</v>
      </c>
      <c r="H60" s="13">
        <f t="shared" si="1"/>
        <v>190</v>
      </c>
      <c r="I60" s="1" t="s">
        <v>3225</v>
      </c>
      <c r="J60" s="30">
        <v>220</v>
      </c>
      <c r="K60" s="30">
        <v>20</v>
      </c>
      <c r="L60" s="1" t="s">
        <v>223</v>
      </c>
      <c r="M60" s="30"/>
      <c r="N60" s="1"/>
      <c r="O60" s="1"/>
    </row>
    <row r="61" spans="1:15" x14ac:dyDescent="0.3">
      <c r="A61" s="41">
        <v>45640</v>
      </c>
      <c r="B61" s="10" t="s">
        <v>3080</v>
      </c>
      <c r="C61" s="10" t="s">
        <v>14</v>
      </c>
      <c r="D61" s="88">
        <f t="shared" si="2"/>
        <v>540.90909090909088</v>
      </c>
      <c r="E61" s="88">
        <f t="shared" si="0"/>
        <v>54.090909090909093</v>
      </c>
      <c r="F61" s="88">
        <v>595</v>
      </c>
      <c r="G61" s="88">
        <v>50</v>
      </c>
      <c r="H61" s="13">
        <f t="shared" si="1"/>
        <v>545</v>
      </c>
      <c r="I61" s="1" t="s">
        <v>3226</v>
      </c>
      <c r="J61" s="30">
        <v>540</v>
      </c>
      <c r="K61" s="30">
        <v>55</v>
      </c>
      <c r="L61" s="1" t="s">
        <v>223</v>
      </c>
      <c r="M61" s="30"/>
      <c r="N61" s="1"/>
      <c r="O61" s="1"/>
    </row>
    <row r="62" spans="1:15" x14ac:dyDescent="0.3">
      <c r="A62" s="41">
        <v>45640</v>
      </c>
      <c r="B62" s="10" t="s">
        <v>3081</v>
      </c>
      <c r="C62" s="10" t="s">
        <v>14</v>
      </c>
      <c r="D62" s="88">
        <f t="shared" si="2"/>
        <v>470.90909090909088</v>
      </c>
      <c r="E62" s="88">
        <f t="shared" si="0"/>
        <v>47.090909090909093</v>
      </c>
      <c r="F62" s="88">
        <v>518</v>
      </c>
      <c r="G62" s="88">
        <v>100</v>
      </c>
      <c r="H62" s="13">
        <f t="shared" si="1"/>
        <v>418</v>
      </c>
      <c r="I62" s="1" t="s">
        <v>3227</v>
      </c>
      <c r="J62" s="30">
        <v>318</v>
      </c>
      <c r="K62" s="30"/>
      <c r="L62" s="1"/>
      <c r="M62" s="30">
        <v>200</v>
      </c>
      <c r="N62" s="1" t="s">
        <v>3228</v>
      </c>
      <c r="O62" s="1"/>
    </row>
    <row r="63" spans="1:15" x14ac:dyDescent="0.3">
      <c r="A63" s="41">
        <v>45640</v>
      </c>
      <c r="B63" s="10" t="s">
        <v>3082</v>
      </c>
      <c r="C63" s="10" t="s">
        <v>14</v>
      </c>
      <c r="D63" s="88">
        <f t="shared" si="2"/>
        <v>163.63636363636363</v>
      </c>
      <c r="E63" s="88">
        <f t="shared" si="0"/>
        <v>16.363636363636363</v>
      </c>
      <c r="F63" s="88">
        <v>180</v>
      </c>
      <c r="G63" s="88"/>
      <c r="H63" s="13">
        <f t="shared" si="1"/>
        <v>180</v>
      </c>
      <c r="I63" s="1" t="s">
        <v>402</v>
      </c>
      <c r="J63" s="30">
        <v>180</v>
      </c>
      <c r="K63" s="30"/>
      <c r="L63" s="1"/>
      <c r="M63" s="30"/>
      <c r="N63" s="1"/>
      <c r="O63" s="1"/>
    </row>
    <row r="64" spans="1:15" x14ac:dyDescent="0.3">
      <c r="A64" s="41">
        <v>45640</v>
      </c>
      <c r="B64" s="10" t="s">
        <v>3083</v>
      </c>
      <c r="C64" s="10" t="s">
        <v>14</v>
      </c>
      <c r="D64" s="88">
        <f t="shared" si="2"/>
        <v>199.99999999999997</v>
      </c>
      <c r="E64" s="88">
        <f t="shared" si="0"/>
        <v>19.999999999999996</v>
      </c>
      <c r="F64" s="88">
        <v>220</v>
      </c>
      <c r="G64" s="88">
        <v>50</v>
      </c>
      <c r="H64" s="13">
        <f t="shared" si="1"/>
        <v>170</v>
      </c>
      <c r="I64" s="1" t="s">
        <v>3229</v>
      </c>
      <c r="J64" s="30">
        <v>220</v>
      </c>
      <c r="K64" s="30"/>
      <c r="L64" s="1"/>
      <c r="M64" s="30"/>
      <c r="N64" s="1"/>
      <c r="O64" s="1"/>
    </row>
    <row r="65" spans="1:15" x14ac:dyDescent="0.3">
      <c r="A65" s="41">
        <v>45640</v>
      </c>
      <c r="B65" s="10" t="s">
        <v>3084</v>
      </c>
      <c r="C65" s="10" t="s">
        <v>14</v>
      </c>
      <c r="D65" s="88">
        <f t="shared" si="2"/>
        <v>199.99999999999997</v>
      </c>
      <c r="E65" s="88">
        <f t="shared" si="0"/>
        <v>19.999999999999996</v>
      </c>
      <c r="F65" s="88">
        <v>220</v>
      </c>
      <c r="G65" s="88">
        <v>50</v>
      </c>
      <c r="H65" s="13">
        <f t="shared" si="1"/>
        <v>170</v>
      </c>
      <c r="I65" s="1" t="s">
        <v>3230</v>
      </c>
      <c r="J65" s="30">
        <v>220</v>
      </c>
      <c r="K65" s="30"/>
      <c r="L65" s="1"/>
      <c r="M65" s="30"/>
      <c r="N65" s="1"/>
      <c r="O65" s="1"/>
    </row>
    <row r="66" spans="1:15" x14ac:dyDescent="0.3">
      <c r="A66" s="41">
        <v>45640</v>
      </c>
      <c r="B66" s="10" t="s">
        <v>3085</v>
      </c>
      <c r="C66" s="10" t="s">
        <v>14</v>
      </c>
      <c r="D66" s="88">
        <f t="shared" si="2"/>
        <v>327.27272727272725</v>
      </c>
      <c r="E66" s="88">
        <f t="shared" si="0"/>
        <v>32.727272727272727</v>
      </c>
      <c r="F66" s="88">
        <v>360</v>
      </c>
      <c r="G66" s="88">
        <v>50</v>
      </c>
      <c r="H66" s="13">
        <f t="shared" si="1"/>
        <v>310</v>
      </c>
      <c r="I66" s="1" t="s">
        <v>895</v>
      </c>
      <c r="J66" s="30">
        <v>360</v>
      </c>
      <c r="K66" s="30"/>
      <c r="L66" s="1"/>
      <c r="M66" s="30"/>
      <c r="N66" s="1"/>
      <c r="O66" s="1"/>
    </row>
    <row r="67" spans="1:15" x14ac:dyDescent="0.3">
      <c r="A67" s="41">
        <v>45640</v>
      </c>
      <c r="B67" s="10" t="s">
        <v>3086</v>
      </c>
      <c r="C67" s="10" t="s">
        <v>14</v>
      </c>
      <c r="D67" s="88">
        <f t="shared" si="2"/>
        <v>272.72727272727269</v>
      </c>
      <c r="E67" s="88">
        <f t="shared" ref="E67:E130" si="3">D67*10/100</f>
        <v>27.27272727272727</v>
      </c>
      <c r="F67" s="88">
        <v>300</v>
      </c>
      <c r="G67" s="88">
        <v>50</v>
      </c>
      <c r="H67" s="13">
        <f t="shared" ref="H67:H130" si="4">F67-G67</f>
        <v>250</v>
      </c>
      <c r="I67" s="1" t="s">
        <v>3231</v>
      </c>
      <c r="J67" s="30">
        <v>270</v>
      </c>
      <c r="K67" s="30">
        <v>30</v>
      </c>
      <c r="L67" s="1" t="s">
        <v>223</v>
      </c>
      <c r="M67" s="30"/>
      <c r="N67" s="1"/>
      <c r="O67" s="1"/>
    </row>
    <row r="68" spans="1:15" x14ac:dyDescent="0.3">
      <c r="A68" s="41">
        <v>45640</v>
      </c>
      <c r="B68" s="10" t="s">
        <v>3087</v>
      </c>
      <c r="C68" s="10" t="s">
        <v>14</v>
      </c>
      <c r="D68" s="88">
        <f t="shared" ref="D68:D131" si="5">F68/1.1</f>
        <v>145.45454545454544</v>
      </c>
      <c r="E68" s="88">
        <f t="shared" si="3"/>
        <v>14.545454545454545</v>
      </c>
      <c r="F68" s="88">
        <v>160</v>
      </c>
      <c r="G68" s="88">
        <v>30</v>
      </c>
      <c r="H68" s="13">
        <f t="shared" si="4"/>
        <v>130</v>
      </c>
      <c r="I68" s="1" t="s">
        <v>897</v>
      </c>
      <c r="J68" s="30">
        <v>160</v>
      </c>
      <c r="K68" s="30"/>
      <c r="L68" s="1"/>
      <c r="M68" s="30"/>
      <c r="N68" s="1"/>
      <c r="O68" s="1"/>
    </row>
    <row r="69" spans="1:15" x14ac:dyDescent="0.3">
      <c r="A69" s="41">
        <v>45640</v>
      </c>
      <c r="B69" s="10" t="s">
        <v>3088</v>
      </c>
      <c r="C69" s="10" t="s">
        <v>14</v>
      </c>
      <c r="D69" s="88">
        <f t="shared" si="5"/>
        <v>172.72727272727272</v>
      </c>
      <c r="E69" s="88">
        <f t="shared" si="3"/>
        <v>17.272727272727273</v>
      </c>
      <c r="F69" s="88">
        <v>190</v>
      </c>
      <c r="G69" s="88">
        <v>50</v>
      </c>
      <c r="H69" s="13">
        <f t="shared" si="4"/>
        <v>140</v>
      </c>
      <c r="I69" s="1" t="s">
        <v>3232</v>
      </c>
      <c r="J69" s="30">
        <v>170</v>
      </c>
      <c r="K69" s="30">
        <v>20</v>
      </c>
      <c r="L69" s="1" t="s">
        <v>223</v>
      </c>
      <c r="M69" s="30"/>
      <c r="N69" s="1"/>
      <c r="O69" s="1"/>
    </row>
    <row r="70" spans="1:15" x14ac:dyDescent="0.3">
      <c r="A70" s="41">
        <v>45640</v>
      </c>
      <c r="B70" s="10" t="s">
        <v>3089</v>
      </c>
      <c r="C70" s="10" t="s">
        <v>14</v>
      </c>
      <c r="D70" s="88">
        <f t="shared" si="5"/>
        <v>172.72727272727272</v>
      </c>
      <c r="E70" s="88">
        <f t="shared" si="3"/>
        <v>17.272727272727273</v>
      </c>
      <c r="F70" s="88">
        <v>190</v>
      </c>
      <c r="G70" s="88">
        <v>50</v>
      </c>
      <c r="H70" s="13">
        <f t="shared" si="4"/>
        <v>140</v>
      </c>
      <c r="I70" s="1" t="s">
        <v>3233</v>
      </c>
      <c r="J70" s="30">
        <v>170</v>
      </c>
      <c r="K70" s="30">
        <v>20</v>
      </c>
      <c r="L70" s="1" t="s">
        <v>223</v>
      </c>
      <c r="M70" s="30"/>
      <c r="N70" s="1"/>
      <c r="O70" s="1"/>
    </row>
    <row r="71" spans="1:15" x14ac:dyDescent="0.3">
      <c r="A71" s="41">
        <v>45640</v>
      </c>
      <c r="B71" s="10" t="s">
        <v>3090</v>
      </c>
      <c r="C71" s="10" t="s">
        <v>14</v>
      </c>
      <c r="D71" s="88">
        <f t="shared" si="5"/>
        <v>154.54545454545453</v>
      </c>
      <c r="E71" s="88">
        <f t="shared" si="3"/>
        <v>15.454545454545453</v>
      </c>
      <c r="F71" s="88">
        <v>170</v>
      </c>
      <c r="G71" s="88">
        <v>50</v>
      </c>
      <c r="H71" s="13">
        <f t="shared" si="4"/>
        <v>120</v>
      </c>
      <c r="I71" s="1" t="s">
        <v>3234</v>
      </c>
      <c r="J71" s="30">
        <v>170</v>
      </c>
      <c r="K71" s="30"/>
      <c r="L71" s="1"/>
      <c r="M71" s="30"/>
      <c r="N71" s="1"/>
      <c r="O71" s="1"/>
    </row>
    <row r="72" spans="1:15" x14ac:dyDescent="0.3">
      <c r="A72" s="41">
        <v>45640</v>
      </c>
      <c r="B72" s="10" t="s">
        <v>3091</v>
      </c>
      <c r="C72" s="10" t="s">
        <v>14</v>
      </c>
      <c r="D72" s="88">
        <f t="shared" si="5"/>
        <v>127.27272727272727</v>
      </c>
      <c r="E72" s="88">
        <f t="shared" si="3"/>
        <v>12.727272727272727</v>
      </c>
      <c r="F72" s="88">
        <v>140</v>
      </c>
      <c r="G72" s="88"/>
      <c r="H72" s="13">
        <f t="shared" si="4"/>
        <v>140</v>
      </c>
      <c r="I72" s="1" t="s">
        <v>402</v>
      </c>
      <c r="J72" s="30">
        <v>140</v>
      </c>
      <c r="K72" s="30"/>
      <c r="L72" s="1"/>
      <c r="M72" s="30"/>
      <c r="N72" s="1"/>
      <c r="O72" s="1"/>
    </row>
    <row r="73" spans="1:15" x14ac:dyDescent="0.3">
      <c r="A73" s="41">
        <v>45640</v>
      </c>
      <c r="B73" s="10" t="s">
        <v>3092</v>
      </c>
      <c r="C73" s="10" t="s">
        <v>14</v>
      </c>
      <c r="D73" s="88">
        <f t="shared" si="5"/>
        <v>154.54545454545453</v>
      </c>
      <c r="E73" s="88">
        <f t="shared" si="3"/>
        <v>15.454545454545453</v>
      </c>
      <c r="F73" s="88">
        <v>170</v>
      </c>
      <c r="G73" s="88">
        <v>50</v>
      </c>
      <c r="H73" s="13">
        <f t="shared" si="4"/>
        <v>120</v>
      </c>
      <c r="I73" s="1" t="s">
        <v>3235</v>
      </c>
      <c r="J73" s="30">
        <v>170</v>
      </c>
      <c r="K73" s="30"/>
      <c r="L73" s="1"/>
      <c r="M73" s="30"/>
      <c r="N73" s="1"/>
      <c r="O73" s="1"/>
    </row>
    <row r="74" spans="1:15" x14ac:dyDescent="0.3">
      <c r="A74" s="41">
        <v>45640</v>
      </c>
      <c r="B74" s="10" t="s">
        <v>3093</v>
      </c>
      <c r="C74" s="10" t="s">
        <v>14</v>
      </c>
      <c r="D74" s="88">
        <f t="shared" si="5"/>
        <v>154.54545454545453</v>
      </c>
      <c r="E74" s="88">
        <f t="shared" si="3"/>
        <v>15.454545454545453</v>
      </c>
      <c r="F74" s="88">
        <v>170</v>
      </c>
      <c r="G74" s="88">
        <v>50</v>
      </c>
      <c r="H74" s="13">
        <f t="shared" si="4"/>
        <v>120</v>
      </c>
      <c r="I74" s="1" t="s">
        <v>2752</v>
      </c>
      <c r="J74" s="30">
        <v>170</v>
      </c>
      <c r="K74" s="30"/>
      <c r="L74" s="1"/>
      <c r="M74" s="30"/>
      <c r="N74" s="1"/>
      <c r="O74" s="1"/>
    </row>
    <row r="75" spans="1:15" x14ac:dyDescent="0.3">
      <c r="A75" s="41">
        <v>45641</v>
      </c>
      <c r="B75" s="10" t="s">
        <v>3094</v>
      </c>
      <c r="C75" s="10" t="s">
        <v>14</v>
      </c>
      <c r="D75" s="88">
        <f t="shared" si="5"/>
        <v>127.27272727272727</v>
      </c>
      <c r="E75" s="88">
        <f t="shared" si="3"/>
        <v>12.727272727272727</v>
      </c>
      <c r="F75" s="88">
        <v>140</v>
      </c>
      <c r="G75" s="88"/>
      <c r="H75" s="13">
        <f t="shared" si="4"/>
        <v>140</v>
      </c>
      <c r="I75" s="1" t="s">
        <v>402</v>
      </c>
      <c r="J75" s="30">
        <v>140</v>
      </c>
      <c r="K75" s="30"/>
      <c r="L75" s="1"/>
      <c r="M75" s="30"/>
      <c r="N75" s="1"/>
      <c r="O75" s="1"/>
    </row>
    <row r="76" spans="1:15" x14ac:dyDescent="0.3">
      <c r="A76" s="41">
        <v>45641</v>
      </c>
      <c r="B76" s="10" t="s">
        <v>3095</v>
      </c>
      <c r="C76" s="10" t="s">
        <v>14</v>
      </c>
      <c r="D76" s="88">
        <f t="shared" si="5"/>
        <v>181.81818181818181</v>
      </c>
      <c r="E76" s="88">
        <f t="shared" si="3"/>
        <v>18.18181818181818</v>
      </c>
      <c r="F76" s="88">
        <v>200</v>
      </c>
      <c r="G76" s="88">
        <v>50</v>
      </c>
      <c r="H76" s="13">
        <f t="shared" si="4"/>
        <v>150</v>
      </c>
      <c r="I76" s="1" t="s">
        <v>3236</v>
      </c>
      <c r="J76" s="30">
        <v>200</v>
      </c>
      <c r="K76" s="30"/>
      <c r="L76" s="1"/>
      <c r="M76" s="30"/>
      <c r="N76" s="1"/>
      <c r="O76" s="1"/>
    </row>
    <row r="77" spans="1:15" x14ac:dyDescent="0.3">
      <c r="A77" s="41">
        <v>45641</v>
      </c>
      <c r="B77" s="10" t="s">
        <v>3096</v>
      </c>
      <c r="C77" s="10" t="s">
        <v>14</v>
      </c>
      <c r="D77" s="88">
        <f t="shared" si="5"/>
        <v>154.54545454545453</v>
      </c>
      <c r="E77" s="88">
        <f t="shared" si="3"/>
        <v>15.454545454545453</v>
      </c>
      <c r="F77" s="88">
        <v>170</v>
      </c>
      <c r="G77" s="88">
        <v>50</v>
      </c>
      <c r="H77" s="13">
        <f t="shared" si="4"/>
        <v>120</v>
      </c>
      <c r="I77" s="1" t="s">
        <v>3237</v>
      </c>
      <c r="J77" s="30">
        <v>170</v>
      </c>
      <c r="K77" s="30"/>
      <c r="L77" s="1"/>
      <c r="M77" s="30"/>
      <c r="N77" s="1"/>
      <c r="O77" s="1"/>
    </row>
    <row r="78" spans="1:15" x14ac:dyDescent="0.3">
      <c r="A78" s="41">
        <v>45642</v>
      </c>
      <c r="B78" s="110" t="s">
        <v>3097</v>
      </c>
      <c r="C78" s="10" t="s">
        <v>14</v>
      </c>
      <c r="D78" s="88">
        <f t="shared" si="5"/>
        <v>439.99999999999994</v>
      </c>
      <c r="E78" s="88">
        <f t="shared" si="3"/>
        <v>43.999999999999993</v>
      </c>
      <c r="F78" s="88">
        <v>484</v>
      </c>
      <c r="G78" s="88">
        <v>100</v>
      </c>
      <c r="H78" s="13">
        <f t="shared" si="4"/>
        <v>384</v>
      </c>
      <c r="I78" s="1"/>
      <c r="J78" s="30">
        <v>384</v>
      </c>
      <c r="K78" s="30"/>
      <c r="L78" s="1"/>
      <c r="M78" s="30"/>
      <c r="N78" s="1"/>
      <c r="O78" s="1"/>
    </row>
    <row r="79" spans="1:15" x14ac:dyDescent="0.3">
      <c r="A79" s="41">
        <v>45642</v>
      </c>
      <c r="B79" s="10" t="s">
        <v>3098</v>
      </c>
      <c r="C79" s="10" t="s">
        <v>14</v>
      </c>
      <c r="D79" s="88">
        <f t="shared" si="5"/>
        <v>127.27272727272727</v>
      </c>
      <c r="E79" s="88">
        <f t="shared" si="3"/>
        <v>12.727272727272727</v>
      </c>
      <c r="F79" s="88">
        <v>140</v>
      </c>
      <c r="G79" s="88"/>
      <c r="H79" s="13">
        <f t="shared" si="4"/>
        <v>140</v>
      </c>
      <c r="I79" s="1" t="s">
        <v>402</v>
      </c>
      <c r="J79" s="30">
        <v>140</v>
      </c>
      <c r="K79" s="30"/>
      <c r="L79" s="1"/>
      <c r="M79" s="30"/>
      <c r="N79" s="1"/>
      <c r="O79" s="1"/>
    </row>
    <row r="80" spans="1:15" x14ac:dyDescent="0.3">
      <c r="A80" s="41">
        <v>45643</v>
      </c>
      <c r="B80" s="10" t="s">
        <v>3099</v>
      </c>
      <c r="C80" s="10" t="s">
        <v>14</v>
      </c>
      <c r="D80" s="88">
        <f t="shared" si="5"/>
        <v>377.27272727272725</v>
      </c>
      <c r="E80" s="88">
        <f t="shared" si="3"/>
        <v>37.727272727272727</v>
      </c>
      <c r="F80" s="88">
        <v>415</v>
      </c>
      <c r="G80" s="88">
        <v>50</v>
      </c>
      <c r="H80" s="13">
        <f t="shared" si="4"/>
        <v>365</v>
      </c>
      <c r="I80" s="1" t="s">
        <v>3238</v>
      </c>
      <c r="J80" s="30">
        <v>415</v>
      </c>
      <c r="K80" s="30"/>
      <c r="L80" s="1"/>
      <c r="M80" s="30"/>
      <c r="N80" s="1"/>
      <c r="O80" s="1"/>
    </row>
    <row r="81" spans="1:15" x14ac:dyDescent="0.3">
      <c r="A81" s="41">
        <v>45643</v>
      </c>
      <c r="B81" s="10" t="s">
        <v>3100</v>
      </c>
      <c r="C81" s="10" t="s">
        <v>14</v>
      </c>
      <c r="D81" s="88">
        <f t="shared" si="5"/>
        <v>263.63636363636363</v>
      </c>
      <c r="E81" s="88">
        <f t="shared" si="3"/>
        <v>26.36363636363636</v>
      </c>
      <c r="F81" s="88">
        <v>290</v>
      </c>
      <c r="G81" s="88">
        <v>50</v>
      </c>
      <c r="H81" s="13">
        <f t="shared" si="4"/>
        <v>240</v>
      </c>
      <c r="I81" s="1" t="s">
        <v>3239</v>
      </c>
      <c r="J81" s="30">
        <v>270</v>
      </c>
      <c r="K81" s="30">
        <v>20</v>
      </c>
      <c r="L81" s="1" t="s">
        <v>223</v>
      </c>
      <c r="M81" s="30"/>
      <c r="N81" s="1"/>
      <c r="O81" s="1"/>
    </row>
    <row r="82" spans="1:15" x14ac:dyDescent="0.3">
      <c r="A82" s="41">
        <v>45643</v>
      </c>
      <c r="B82" s="10" t="s">
        <v>3101</v>
      </c>
      <c r="C82" s="10" t="s">
        <v>14</v>
      </c>
      <c r="D82" s="88">
        <f t="shared" si="5"/>
        <v>240.90909090909088</v>
      </c>
      <c r="E82" s="88">
        <f t="shared" si="3"/>
        <v>24.09090909090909</v>
      </c>
      <c r="F82" s="88">
        <v>265</v>
      </c>
      <c r="G82" s="88">
        <v>50</v>
      </c>
      <c r="H82" s="13">
        <f t="shared" si="4"/>
        <v>215</v>
      </c>
      <c r="I82" s="1" t="s">
        <v>3240</v>
      </c>
      <c r="J82" s="30">
        <v>220</v>
      </c>
      <c r="K82" s="30"/>
      <c r="L82" s="1"/>
      <c r="M82" s="30">
        <v>45</v>
      </c>
      <c r="N82" s="1" t="s">
        <v>16</v>
      </c>
      <c r="O82" s="1"/>
    </row>
    <row r="83" spans="1:15" x14ac:dyDescent="0.3">
      <c r="A83" s="41">
        <v>45644</v>
      </c>
      <c r="B83" s="10" t="s">
        <v>3102</v>
      </c>
      <c r="C83" s="10" t="s">
        <v>14</v>
      </c>
      <c r="D83" s="88">
        <f t="shared" si="5"/>
        <v>354.5454545454545</v>
      </c>
      <c r="E83" s="88">
        <f t="shared" si="3"/>
        <v>35.454545454545453</v>
      </c>
      <c r="F83" s="88">
        <v>390</v>
      </c>
      <c r="G83" s="88">
        <v>50</v>
      </c>
      <c r="H83" s="13">
        <f t="shared" si="4"/>
        <v>340</v>
      </c>
      <c r="I83" s="1" t="s">
        <v>3241</v>
      </c>
      <c r="J83" s="30">
        <v>300</v>
      </c>
      <c r="K83" s="30">
        <v>40</v>
      </c>
      <c r="L83" s="1" t="s">
        <v>223</v>
      </c>
      <c r="M83" s="30"/>
      <c r="N83" s="1"/>
      <c r="O83" s="1"/>
    </row>
    <row r="84" spans="1:15" x14ac:dyDescent="0.3">
      <c r="A84" s="41">
        <v>45644</v>
      </c>
      <c r="B84" s="10" t="s">
        <v>3103</v>
      </c>
      <c r="C84" s="10" t="s">
        <v>14</v>
      </c>
      <c r="D84" s="88">
        <f t="shared" si="5"/>
        <v>536.36363636363637</v>
      </c>
      <c r="E84" s="88">
        <f t="shared" si="3"/>
        <v>53.63636363636364</v>
      </c>
      <c r="F84" s="88">
        <v>590</v>
      </c>
      <c r="G84" s="88">
        <v>50</v>
      </c>
      <c r="H84" s="13">
        <f t="shared" si="4"/>
        <v>540</v>
      </c>
      <c r="I84" s="1" t="s">
        <v>3241</v>
      </c>
      <c r="J84" s="30">
        <v>500</v>
      </c>
      <c r="K84" s="30">
        <v>40</v>
      </c>
      <c r="L84" s="1" t="s">
        <v>223</v>
      </c>
      <c r="M84" s="30"/>
      <c r="N84" s="1"/>
      <c r="O84" s="1"/>
    </row>
    <row r="85" spans="1:15" x14ac:dyDescent="0.3">
      <c r="A85" s="41">
        <v>45644</v>
      </c>
      <c r="B85" s="10" t="s">
        <v>3104</v>
      </c>
      <c r="C85" s="10" t="s">
        <v>14</v>
      </c>
      <c r="D85" s="88">
        <f t="shared" si="5"/>
        <v>163.63636363636363</v>
      </c>
      <c r="E85" s="88">
        <f t="shared" si="3"/>
        <v>16.363636363636363</v>
      </c>
      <c r="F85" s="88">
        <v>180</v>
      </c>
      <c r="G85" s="88">
        <v>50</v>
      </c>
      <c r="H85" s="13">
        <f t="shared" si="4"/>
        <v>130</v>
      </c>
      <c r="I85" s="1" t="s">
        <v>3242</v>
      </c>
      <c r="J85" s="30">
        <v>130</v>
      </c>
      <c r="K85" s="30"/>
      <c r="L85" s="1"/>
      <c r="M85" s="30"/>
      <c r="N85" s="1"/>
      <c r="O85" s="1"/>
    </row>
    <row r="86" spans="1:15" x14ac:dyDescent="0.3">
      <c r="A86" s="41">
        <v>45644</v>
      </c>
      <c r="B86" s="10" t="s">
        <v>3105</v>
      </c>
      <c r="C86" s="10" t="s">
        <v>14</v>
      </c>
      <c r="D86" s="88">
        <f t="shared" si="5"/>
        <v>163.63636363636363</v>
      </c>
      <c r="E86" s="88">
        <f t="shared" si="3"/>
        <v>16.363636363636363</v>
      </c>
      <c r="F86" s="88">
        <v>180</v>
      </c>
      <c r="G86" s="88"/>
      <c r="H86" s="13">
        <f t="shared" si="4"/>
        <v>180</v>
      </c>
      <c r="I86" s="1" t="s">
        <v>402</v>
      </c>
      <c r="J86" s="30">
        <v>180</v>
      </c>
      <c r="K86" s="30"/>
      <c r="L86" s="1"/>
      <c r="M86" s="30"/>
      <c r="N86" s="1"/>
      <c r="O86" s="1"/>
    </row>
    <row r="87" spans="1:15" x14ac:dyDescent="0.3">
      <c r="A87" s="41">
        <v>45644</v>
      </c>
      <c r="B87" s="10" t="s">
        <v>3106</v>
      </c>
      <c r="C87" s="10" t="s">
        <v>14</v>
      </c>
      <c r="D87" s="88">
        <f t="shared" si="5"/>
        <v>163.63636363636363</v>
      </c>
      <c r="E87" s="88">
        <f t="shared" si="3"/>
        <v>16.363636363636363</v>
      </c>
      <c r="F87" s="88">
        <v>180</v>
      </c>
      <c r="G87" s="88"/>
      <c r="H87" s="13">
        <f t="shared" si="4"/>
        <v>180</v>
      </c>
      <c r="I87" s="1" t="s">
        <v>402</v>
      </c>
      <c r="J87" s="30">
        <v>180</v>
      </c>
      <c r="K87" s="30"/>
      <c r="L87" s="1"/>
      <c r="M87" s="30"/>
      <c r="N87" s="1"/>
      <c r="O87" s="1"/>
    </row>
    <row r="88" spans="1:15" x14ac:dyDescent="0.3">
      <c r="A88" s="41">
        <v>45644</v>
      </c>
      <c r="B88" s="10" t="s">
        <v>3107</v>
      </c>
      <c r="C88" s="10" t="s">
        <v>14</v>
      </c>
      <c r="D88" s="88">
        <f t="shared" si="5"/>
        <v>127.27272727272727</v>
      </c>
      <c r="E88" s="88">
        <f t="shared" si="3"/>
        <v>12.727272727272727</v>
      </c>
      <c r="F88" s="88">
        <v>140</v>
      </c>
      <c r="G88" s="88"/>
      <c r="H88" s="13">
        <f t="shared" si="4"/>
        <v>140</v>
      </c>
      <c r="I88" s="1" t="s">
        <v>3243</v>
      </c>
      <c r="J88" s="30">
        <v>140</v>
      </c>
      <c r="K88" s="30"/>
      <c r="L88" s="1"/>
      <c r="M88" s="30"/>
      <c r="N88" s="1"/>
      <c r="O88" s="1"/>
    </row>
    <row r="89" spans="1:15" x14ac:dyDescent="0.3">
      <c r="A89" s="41">
        <v>45645</v>
      </c>
      <c r="B89" s="10" t="s">
        <v>3108</v>
      </c>
      <c r="C89" s="10" t="s">
        <v>14</v>
      </c>
      <c r="D89" s="88">
        <f t="shared" si="5"/>
        <v>163.63636363636363</v>
      </c>
      <c r="E89" s="88">
        <f t="shared" si="3"/>
        <v>16.363636363636363</v>
      </c>
      <c r="F89" s="88">
        <v>180</v>
      </c>
      <c r="G89" s="88"/>
      <c r="H89" s="13">
        <f t="shared" si="4"/>
        <v>180</v>
      </c>
      <c r="I89" s="1" t="s">
        <v>402</v>
      </c>
      <c r="J89" s="30">
        <v>180</v>
      </c>
      <c r="K89" s="30"/>
      <c r="L89" s="1"/>
      <c r="M89" s="30"/>
      <c r="N89" s="1"/>
      <c r="O89" s="1"/>
    </row>
    <row r="90" spans="1:15" x14ac:dyDescent="0.3">
      <c r="A90" s="41">
        <v>45645</v>
      </c>
      <c r="B90" s="10" t="s">
        <v>3109</v>
      </c>
      <c r="C90" s="10" t="s">
        <v>14</v>
      </c>
      <c r="D90" s="88">
        <f t="shared" si="5"/>
        <v>172.72727272727272</v>
      </c>
      <c r="E90" s="88">
        <f t="shared" si="3"/>
        <v>17.272727272727273</v>
      </c>
      <c r="F90" s="88">
        <v>190</v>
      </c>
      <c r="G90" s="88"/>
      <c r="H90" s="13">
        <f t="shared" si="4"/>
        <v>190</v>
      </c>
      <c r="I90" s="1" t="s">
        <v>897</v>
      </c>
      <c r="J90" s="30">
        <v>190</v>
      </c>
      <c r="K90" s="30"/>
      <c r="L90" s="1"/>
      <c r="M90" s="30"/>
      <c r="N90" s="1"/>
      <c r="O90" s="1"/>
    </row>
    <row r="91" spans="1:15" x14ac:dyDescent="0.3">
      <c r="A91" s="41">
        <v>45645</v>
      </c>
      <c r="B91" s="10" t="s">
        <v>3110</v>
      </c>
      <c r="C91" s="10" t="s">
        <v>14</v>
      </c>
      <c r="D91" s="88">
        <f t="shared" si="5"/>
        <v>399.99999999999994</v>
      </c>
      <c r="E91" s="88">
        <f t="shared" si="3"/>
        <v>39.999999999999993</v>
      </c>
      <c r="F91" s="88">
        <v>440</v>
      </c>
      <c r="G91" s="88">
        <v>50</v>
      </c>
      <c r="H91" s="13">
        <f t="shared" si="4"/>
        <v>390</v>
      </c>
      <c r="I91" s="1" t="s">
        <v>3244</v>
      </c>
      <c r="J91" s="30">
        <v>440</v>
      </c>
      <c r="K91" s="30"/>
      <c r="L91" s="1"/>
      <c r="M91" s="30"/>
      <c r="N91" s="1"/>
      <c r="O91" s="1"/>
    </row>
    <row r="92" spans="1:15" x14ac:dyDescent="0.3">
      <c r="A92" s="41">
        <v>45645</v>
      </c>
      <c r="B92" s="10" t="s">
        <v>3111</v>
      </c>
      <c r="C92" s="10" t="s">
        <v>14</v>
      </c>
      <c r="D92" s="88">
        <f t="shared" si="5"/>
        <v>222.72727272727272</v>
      </c>
      <c r="E92" s="88">
        <f t="shared" si="3"/>
        <v>22.27272727272727</v>
      </c>
      <c r="F92" s="88">
        <v>245</v>
      </c>
      <c r="G92" s="88">
        <v>50</v>
      </c>
      <c r="H92" s="13">
        <f t="shared" si="4"/>
        <v>195</v>
      </c>
      <c r="I92" s="1" t="s">
        <v>3245</v>
      </c>
      <c r="J92" s="30">
        <v>170</v>
      </c>
      <c r="K92" s="30">
        <v>30</v>
      </c>
      <c r="L92" s="1" t="s">
        <v>223</v>
      </c>
      <c r="M92" s="30">
        <v>45</v>
      </c>
      <c r="N92" s="1" t="s">
        <v>16</v>
      </c>
      <c r="O92" s="1"/>
    </row>
    <row r="93" spans="1:15" x14ac:dyDescent="0.3">
      <c r="A93" s="41">
        <v>45646</v>
      </c>
      <c r="B93" s="10" t="s">
        <v>3112</v>
      </c>
      <c r="C93" s="10" t="s">
        <v>14</v>
      </c>
      <c r="D93" s="88">
        <f t="shared" si="5"/>
        <v>190.90909090909091</v>
      </c>
      <c r="E93" s="88">
        <f t="shared" si="3"/>
        <v>19.09090909090909</v>
      </c>
      <c r="F93" s="88">
        <v>210</v>
      </c>
      <c r="G93" s="88">
        <v>50</v>
      </c>
      <c r="H93" s="13">
        <f t="shared" si="4"/>
        <v>160</v>
      </c>
      <c r="I93" s="1" t="s">
        <v>3246</v>
      </c>
      <c r="J93" s="30">
        <v>170</v>
      </c>
      <c r="K93" s="30">
        <v>40</v>
      </c>
      <c r="L93" s="1" t="s">
        <v>223</v>
      </c>
      <c r="M93" s="30"/>
      <c r="N93" s="1"/>
      <c r="O93" s="1"/>
    </row>
    <row r="94" spans="1:15" x14ac:dyDescent="0.3">
      <c r="A94" s="41">
        <v>45646</v>
      </c>
      <c r="B94" s="10" t="s">
        <v>3113</v>
      </c>
      <c r="C94" s="10" t="s">
        <v>14</v>
      </c>
      <c r="D94" s="88">
        <f t="shared" si="5"/>
        <v>172.72727272727272</v>
      </c>
      <c r="E94" s="88">
        <f t="shared" si="3"/>
        <v>17.272727272727273</v>
      </c>
      <c r="F94" s="88">
        <v>190</v>
      </c>
      <c r="G94" s="88">
        <v>50</v>
      </c>
      <c r="H94" s="13">
        <f t="shared" si="4"/>
        <v>140</v>
      </c>
      <c r="I94" s="1" t="s">
        <v>3247</v>
      </c>
      <c r="J94" s="30">
        <v>170</v>
      </c>
      <c r="K94" s="30">
        <v>20</v>
      </c>
      <c r="L94" s="1" t="s">
        <v>223</v>
      </c>
      <c r="M94" s="30"/>
      <c r="N94" s="1"/>
      <c r="O94" s="1"/>
    </row>
    <row r="95" spans="1:15" x14ac:dyDescent="0.3">
      <c r="A95" s="41">
        <v>45646</v>
      </c>
      <c r="B95" s="10" t="s">
        <v>3114</v>
      </c>
      <c r="C95" s="10" t="s">
        <v>14</v>
      </c>
      <c r="D95" s="88">
        <f t="shared" si="5"/>
        <v>154.54545454545453</v>
      </c>
      <c r="E95" s="88">
        <f t="shared" si="3"/>
        <v>15.454545454545453</v>
      </c>
      <c r="F95" s="88">
        <v>170</v>
      </c>
      <c r="G95" s="88">
        <v>50</v>
      </c>
      <c r="H95" s="13">
        <f t="shared" si="4"/>
        <v>120</v>
      </c>
      <c r="I95" s="1" t="s">
        <v>3248</v>
      </c>
      <c r="J95" s="30">
        <v>170</v>
      </c>
      <c r="K95" s="30"/>
      <c r="L95" s="1"/>
      <c r="M95" s="30"/>
      <c r="N95" s="1"/>
      <c r="O95" s="1"/>
    </row>
    <row r="96" spans="1:15" x14ac:dyDescent="0.3">
      <c r="A96" s="41">
        <v>45646</v>
      </c>
      <c r="B96" s="10" t="s">
        <v>3115</v>
      </c>
      <c r="C96" s="10" t="s">
        <v>14</v>
      </c>
      <c r="D96" s="88">
        <f t="shared" si="5"/>
        <v>154.54545454545453</v>
      </c>
      <c r="E96" s="88">
        <f t="shared" si="3"/>
        <v>15.454545454545453</v>
      </c>
      <c r="F96" s="88">
        <v>170</v>
      </c>
      <c r="G96" s="88">
        <v>50</v>
      </c>
      <c r="H96" s="13">
        <f t="shared" si="4"/>
        <v>120</v>
      </c>
      <c r="I96" s="1" t="s">
        <v>3249</v>
      </c>
      <c r="J96" s="30">
        <v>170</v>
      </c>
      <c r="K96" s="30"/>
      <c r="L96" s="1"/>
      <c r="M96" s="30"/>
      <c r="N96" s="1"/>
      <c r="O96" s="1"/>
    </row>
    <row r="97" spans="1:15" x14ac:dyDescent="0.3">
      <c r="A97" s="41">
        <v>45646</v>
      </c>
      <c r="B97" s="10" t="s">
        <v>3116</v>
      </c>
      <c r="C97" s="10" t="s">
        <v>14</v>
      </c>
      <c r="D97" s="88">
        <f t="shared" si="5"/>
        <v>199.99999999999997</v>
      </c>
      <c r="E97" s="88">
        <f t="shared" si="3"/>
        <v>19.999999999999996</v>
      </c>
      <c r="F97" s="88">
        <v>220</v>
      </c>
      <c r="G97" s="88">
        <v>50</v>
      </c>
      <c r="H97" s="13">
        <f t="shared" si="4"/>
        <v>170</v>
      </c>
      <c r="I97" s="1" t="s">
        <v>3250</v>
      </c>
      <c r="J97" s="30">
        <v>220</v>
      </c>
      <c r="K97" s="30"/>
      <c r="L97" s="1"/>
      <c r="M97" s="30"/>
      <c r="N97" s="1"/>
      <c r="O97" s="1"/>
    </row>
    <row r="98" spans="1:15" x14ac:dyDescent="0.3">
      <c r="A98" s="41">
        <v>45646</v>
      </c>
      <c r="B98" s="10" t="s">
        <v>3117</v>
      </c>
      <c r="C98" s="10" t="s">
        <v>14</v>
      </c>
      <c r="D98" s="88">
        <f t="shared" si="5"/>
        <v>199.99999999999997</v>
      </c>
      <c r="E98" s="88">
        <f t="shared" si="3"/>
        <v>19.999999999999996</v>
      </c>
      <c r="F98" s="88">
        <v>220</v>
      </c>
      <c r="G98" s="88">
        <v>220</v>
      </c>
      <c r="H98" s="13">
        <f t="shared" si="4"/>
        <v>0</v>
      </c>
      <c r="I98" s="1" t="s">
        <v>3251</v>
      </c>
      <c r="J98" s="30">
        <v>220</v>
      </c>
      <c r="K98" s="30"/>
      <c r="L98" s="1"/>
      <c r="M98" s="30"/>
      <c r="N98" s="1"/>
      <c r="O98" s="1"/>
    </row>
    <row r="99" spans="1:15" x14ac:dyDescent="0.3">
      <c r="A99" s="41">
        <v>45646</v>
      </c>
      <c r="B99" s="10" t="s">
        <v>3118</v>
      </c>
      <c r="C99" s="10" t="s">
        <v>14</v>
      </c>
      <c r="D99" s="88">
        <f t="shared" si="5"/>
        <v>259.09090909090907</v>
      </c>
      <c r="E99" s="88">
        <f t="shared" si="3"/>
        <v>25.909090909090907</v>
      </c>
      <c r="F99" s="88">
        <v>285</v>
      </c>
      <c r="G99" s="88">
        <v>50</v>
      </c>
      <c r="H99" s="13">
        <f t="shared" si="4"/>
        <v>235</v>
      </c>
      <c r="I99" s="1" t="s">
        <v>3252</v>
      </c>
      <c r="J99" s="30">
        <v>220</v>
      </c>
      <c r="K99" s="30">
        <v>20</v>
      </c>
      <c r="L99" s="1" t="s">
        <v>223</v>
      </c>
      <c r="M99" s="30">
        <v>45</v>
      </c>
      <c r="N99" s="1" t="s">
        <v>16</v>
      </c>
      <c r="O99" s="1"/>
    </row>
    <row r="100" spans="1:15" x14ac:dyDescent="0.3">
      <c r="A100" s="41">
        <v>45646</v>
      </c>
      <c r="B100" s="10" t="s">
        <v>3119</v>
      </c>
      <c r="C100" s="10" t="s">
        <v>14</v>
      </c>
      <c r="D100" s="88">
        <f t="shared" si="5"/>
        <v>199.99999999999997</v>
      </c>
      <c r="E100" s="88">
        <f t="shared" si="3"/>
        <v>19.999999999999996</v>
      </c>
      <c r="F100" s="88">
        <v>220</v>
      </c>
      <c r="G100" s="88"/>
      <c r="H100" s="13">
        <f t="shared" si="4"/>
        <v>220</v>
      </c>
      <c r="I100" s="1" t="s">
        <v>402</v>
      </c>
      <c r="J100" s="30">
        <v>220</v>
      </c>
      <c r="K100" s="30"/>
      <c r="L100" s="1"/>
      <c r="M100" s="30"/>
      <c r="N100" s="1"/>
      <c r="O100" s="1"/>
    </row>
    <row r="101" spans="1:15" x14ac:dyDescent="0.3">
      <c r="A101" s="41">
        <v>45647</v>
      </c>
      <c r="B101" s="10" t="s">
        <v>3120</v>
      </c>
      <c r="C101" s="10" t="s">
        <v>14</v>
      </c>
      <c r="D101" s="88">
        <f t="shared" si="5"/>
        <v>199.99999999999997</v>
      </c>
      <c r="E101" s="88">
        <f t="shared" si="3"/>
        <v>19.999999999999996</v>
      </c>
      <c r="F101" s="88">
        <v>220</v>
      </c>
      <c r="G101" s="88">
        <v>50</v>
      </c>
      <c r="H101" s="13">
        <f t="shared" si="4"/>
        <v>170</v>
      </c>
      <c r="I101" s="1" t="s">
        <v>3253</v>
      </c>
      <c r="J101" s="30">
        <v>220</v>
      </c>
      <c r="K101" s="30"/>
      <c r="L101" s="1"/>
      <c r="M101" s="30"/>
      <c r="N101" s="1"/>
      <c r="O101" s="1"/>
    </row>
    <row r="102" spans="1:15" x14ac:dyDescent="0.3">
      <c r="A102" s="41">
        <v>45647</v>
      </c>
      <c r="B102" s="10" t="s">
        <v>3121</v>
      </c>
      <c r="C102" s="10" t="s">
        <v>14</v>
      </c>
      <c r="D102" s="88">
        <f t="shared" si="5"/>
        <v>236.36363636363635</v>
      </c>
      <c r="E102" s="88">
        <f t="shared" si="3"/>
        <v>23.636363636363637</v>
      </c>
      <c r="F102" s="88">
        <v>260</v>
      </c>
      <c r="G102" s="88"/>
      <c r="H102" s="13">
        <f t="shared" si="4"/>
        <v>260</v>
      </c>
      <c r="I102" s="1" t="s">
        <v>402</v>
      </c>
      <c r="J102" s="30">
        <v>260</v>
      </c>
      <c r="K102" s="30"/>
      <c r="L102" s="1"/>
      <c r="M102" s="30"/>
      <c r="N102" s="1"/>
      <c r="O102" s="1"/>
    </row>
    <row r="103" spans="1:15" x14ac:dyDescent="0.3">
      <c r="A103" s="41">
        <v>45647</v>
      </c>
      <c r="B103" s="10" t="s">
        <v>3122</v>
      </c>
      <c r="C103" s="10" t="s">
        <v>14</v>
      </c>
      <c r="D103" s="88">
        <f t="shared" si="5"/>
        <v>218.18181818181816</v>
      </c>
      <c r="E103" s="88">
        <f t="shared" si="3"/>
        <v>21.818181818181817</v>
      </c>
      <c r="F103" s="88">
        <v>240</v>
      </c>
      <c r="G103" s="88">
        <v>50</v>
      </c>
      <c r="H103" s="13">
        <f t="shared" si="4"/>
        <v>190</v>
      </c>
      <c r="I103" s="1" t="s">
        <v>3254</v>
      </c>
      <c r="J103" s="30">
        <v>220</v>
      </c>
      <c r="K103" s="30">
        <v>20</v>
      </c>
      <c r="L103" s="1" t="s">
        <v>223</v>
      </c>
      <c r="M103" s="30"/>
      <c r="N103" s="1"/>
      <c r="O103" s="1"/>
    </row>
    <row r="104" spans="1:15" x14ac:dyDescent="0.3">
      <c r="A104" s="41">
        <v>45647</v>
      </c>
      <c r="B104" s="10" t="s">
        <v>3123</v>
      </c>
      <c r="C104" s="10" t="s">
        <v>14</v>
      </c>
      <c r="D104" s="88">
        <f t="shared" si="5"/>
        <v>163.63636363636363</v>
      </c>
      <c r="E104" s="88">
        <f t="shared" si="3"/>
        <v>16.363636363636363</v>
      </c>
      <c r="F104" s="88">
        <v>180</v>
      </c>
      <c r="G104" s="88"/>
      <c r="H104" s="13">
        <f t="shared" si="4"/>
        <v>180</v>
      </c>
      <c r="I104" s="1" t="s">
        <v>402</v>
      </c>
      <c r="J104" s="30">
        <v>180</v>
      </c>
      <c r="K104" s="30"/>
      <c r="L104" s="1"/>
      <c r="M104" s="30"/>
      <c r="N104" s="1"/>
      <c r="O104" s="1"/>
    </row>
    <row r="105" spans="1:15" x14ac:dyDescent="0.3">
      <c r="A105" s="41">
        <v>45647</v>
      </c>
      <c r="B105" s="10" t="s">
        <v>3124</v>
      </c>
      <c r="C105" s="10" t="s">
        <v>14</v>
      </c>
      <c r="D105" s="88">
        <f t="shared" si="5"/>
        <v>199.99999999999997</v>
      </c>
      <c r="E105" s="88">
        <f t="shared" si="3"/>
        <v>19.999999999999996</v>
      </c>
      <c r="F105" s="88">
        <v>220</v>
      </c>
      <c r="G105" s="88">
        <v>50</v>
      </c>
      <c r="H105" s="13">
        <f t="shared" si="4"/>
        <v>170</v>
      </c>
      <c r="I105" s="1" t="s">
        <v>3255</v>
      </c>
      <c r="J105" s="30">
        <v>220</v>
      </c>
      <c r="K105" s="30"/>
      <c r="L105" s="1"/>
      <c r="M105" s="30"/>
      <c r="N105" s="1"/>
      <c r="O105" s="1"/>
    </row>
    <row r="106" spans="1:15" x14ac:dyDescent="0.3">
      <c r="A106" s="41">
        <v>45647</v>
      </c>
      <c r="B106" s="10" t="s">
        <v>3125</v>
      </c>
      <c r="C106" s="10" t="s">
        <v>14</v>
      </c>
      <c r="D106" s="88">
        <f t="shared" si="5"/>
        <v>290.90909090909088</v>
      </c>
      <c r="E106" s="88">
        <f t="shared" si="3"/>
        <v>29.09090909090909</v>
      </c>
      <c r="F106" s="88">
        <v>320</v>
      </c>
      <c r="G106" s="88">
        <v>320</v>
      </c>
      <c r="H106" s="13">
        <f t="shared" si="4"/>
        <v>0</v>
      </c>
      <c r="I106" s="1" t="s">
        <v>2055</v>
      </c>
      <c r="J106" s="30">
        <v>320</v>
      </c>
      <c r="K106" s="30"/>
      <c r="L106" s="1"/>
      <c r="M106" s="30"/>
      <c r="N106" s="1"/>
      <c r="O106" s="1"/>
    </row>
    <row r="107" spans="1:15" x14ac:dyDescent="0.3">
      <c r="A107" s="41">
        <v>45647</v>
      </c>
      <c r="B107" s="10" t="s">
        <v>3126</v>
      </c>
      <c r="C107" s="10" t="s">
        <v>14</v>
      </c>
      <c r="D107" s="88">
        <f t="shared" si="5"/>
        <v>340.90909090909088</v>
      </c>
      <c r="E107" s="88">
        <f t="shared" si="3"/>
        <v>34.090909090909093</v>
      </c>
      <c r="F107" s="88">
        <v>375</v>
      </c>
      <c r="G107" s="88">
        <v>50</v>
      </c>
      <c r="H107" s="13">
        <f t="shared" si="4"/>
        <v>325</v>
      </c>
      <c r="I107" s="1" t="s">
        <v>3256</v>
      </c>
      <c r="J107" s="30">
        <v>330</v>
      </c>
      <c r="K107" s="30"/>
      <c r="L107" s="1"/>
      <c r="M107" s="30">
        <v>45</v>
      </c>
      <c r="N107" s="1" t="s">
        <v>16</v>
      </c>
      <c r="O107" s="1"/>
    </row>
    <row r="108" spans="1:15" x14ac:dyDescent="0.3">
      <c r="A108" s="41">
        <v>45647</v>
      </c>
      <c r="B108" s="10" t="s">
        <v>3127</v>
      </c>
      <c r="C108" s="10" t="s">
        <v>14</v>
      </c>
      <c r="D108" s="88">
        <f t="shared" si="5"/>
        <v>263.63636363636363</v>
      </c>
      <c r="E108" s="88">
        <f t="shared" si="3"/>
        <v>26.36363636363636</v>
      </c>
      <c r="F108" s="88">
        <v>290</v>
      </c>
      <c r="G108" s="88">
        <v>50</v>
      </c>
      <c r="H108" s="13">
        <f t="shared" si="4"/>
        <v>240</v>
      </c>
      <c r="I108" s="1" t="s">
        <v>3257</v>
      </c>
      <c r="J108" s="30">
        <v>270</v>
      </c>
      <c r="K108" s="30">
        <v>20</v>
      </c>
      <c r="L108" s="1" t="s">
        <v>223</v>
      </c>
      <c r="M108" s="30"/>
      <c r="N108" s="1"/>
      <c r="O108" s="1"/>
    </row>
    <row r="109" spans="1:15" x14ac:dyDescent="0.3">
      <c r="A109" s="41">
        <v>45647</v>
      </c>
      <c r="B109" s="10" t="s">
        <v>3128</v>
      </c>
      <c r="C109" s="10" t="s">
        <v>14</v>
      </c>
      <c r="D109" s="88">
        <f t="shared" si="5"/>
        <v>245.45454545454544</v>
      </c>
      <c r="E109" s="88">
        <f t="shared" si="3"/>
        <v>24.545454545454547</v>
      </c>
      <c r="F109" s="88">
        <v>270</v>
      </c>
      <c r="G109" s="88">
        <v>50</v>
      </c>
      <c r="H109" s="13">
        <f t="shared" si="4"/>
        <v>220</v>
      </c>
      <c r="I109" s="1" t="s">
        <v>3258</v>
      </c>
      <c r="J109" s="30">
        <v>270</v>
      </c>
      <c r="K109" s="30"/>
      <c r="L109" s="1"/>
      <c r="M109" s="30"/>
      <c r="N109" s="1"/>
      <c r="O109" s="1"/>
    </row>
    <row r="110" spans="1:15" x14ac:dyDescent="0.3">
      <c r="A110" s="41">
        <v>45647</v>
      </c>
      <c r="B110" s="10" t="s">
        <v>3129</v>
      </c>
      <c r="C110" s="10" t="s">
        <v>14</v>
      </c>
      <c r="D110" s="88">
        <f t="shared" si="5"/>
        <v>199.99999999999997</v>
      </c>
      <c r="E110" s="88">
        <f t="shared" si="3"/>
        <v>19.999999999999996</v>
      </c>
      <c r="F110" s="88">
        <v>220</v>
      </c>
      <c r="G110" s="88">
        <v>50</v>
      </c>
      <c r="H110" s="13">
        <f t="shared" si="4"/>
        <v>170</v>
      </c>
      <c r="I110" s="1" t="s">
        <v>3259</v>
      </c>
      <c r="J110" s="30">
        <v>220</v>
      </c>
      <c r="K110" s="30"/>
      <c r="L110" s="1"/>
      <c r="M110" s="30"/>
      <c r="N110" s="1"/>
      <c r="O110" s="1"/>
    </row>
    <row r="111" spans="1:15" x14ac:dyDescent="0.3">
      <c r="A111" s="41">
        <v>45647</v>
      </c>
      <c r="B111" s="10" t="s">
        <v>3130</v>
      </c>
      <c r="C111" s="10" t="s">
        <v>14</v>
      </c>
      <c r="D111" s="88">
        <f t="shared" si="5"/>
        <v>172.72727272727272</v>
      </c>
      <c r="E111" s="88">
        <f t="shared" si="3"/>
        <v>17.272727272727273</v>
      </c>
      <c r="F111" s="88">
        <v>190</v>
      </c>
      <c r="G111" s="88">
        <v>50</v>
      </c>
      <c r="H111" s="13">
        <f t="shared" si="4"/>
        <v>140</v>
      </c>
      <c r="I111" s="1" t="s">
        <v>3260</v>
      </c>
      <c r="J111" s="30">
        <v>170</v>
      </c>
      <c r="K111" s="30">
        <v>20</v>
      </c>
      <c r="L111" s="1" t="s">
        <v>223</v>
      </c>
      <c r="M111" s="30"/>
      <c r="N111" s="1"/>
      <c r="O111" s="1"/>
    </row>
    <row r="112" spans="1:15" x14ac:dyDescent="0.3">
      <c r="A112" s="41">
        <v>45647</v>
      </c>
      <c r="B112" s="10" t="s">
        <v>3131</v>
      </c>
      <c r="C112" s="10" t="s">
        <v>14</v>
      </c>
      <c r="D112" s="88">
        <f t="shared" si="5"/>
        <v>190.90909090909091</v>
      </c>
      <c r="E112" s="88">
        <f t="shared" si="3"/>
        <v>19.09090909090909</v>
      </c>
      <c r="F112" s="88">
        <v>210</v>
      </c>
      <c r="G112" s="88">
        <v>50</v>
      </c>
      <c r="H112" s="13">
        <f t="shared" si="4"/>
        <v>160</v>
      </c>
      <c r="I112" s="1" t="s">
        <v>3261</v>
      </c>
      <c r="J112" s="30">
        <v>170</v>
      </c>
      <c r="K112" s="30">
        <v>40</v>
      </c>
      <c r="L112" s="1" t="s">
        <v>223</v>
      </c>
      <c r="M112" s="30"/>
      <c r="N112" s="1"/>
      <c r="O112" s="1"/>
    </row>
    <row r="113" spans="1:15" x14ac:dyDescent="0.3">
      <c r="A113" s="41">
        <v>45647</v>
      </c>
      <c r="B113" s="10" t="s">
        <v>3132</v>
      </c>
      <c r="C113" s="10" t="s">
        <v>14</v>
      </c>
      <c r="D113" s="88">
        <f t="shared" si="5"/>
        <v>199.99999999999997</v>
      </c>
      <c r="E113" s="88">
        <f t="shared" si="3"/>
        <v>19.999999999999996</v>
      </c>
      <c r="F113" s="88">
        <v>220</v>
      </c>
      <c r="G113" s="88">
        <v>50</v>
      </c>
      <c r="H113" s="13">
        <f t="shared" si="4"/>
        <v>170</v>
      </c>
      <c r="I113" s="1" t="s">
        <v>3262</v>
      </c>
      <c r="J113" s="30">
        <v>220</v>
      </c>
      <c r="K113" s="30"/>
      <c r="L113" s="1"/>
      <c r="M113" s="30"/>
      <c r="N113" s="1"/>
      <c r="O113" s="1"/>
    </row>
    <row r="114" spans="1:15" x14ac:dyDescent="0.3">
      <c r="A114" s="41">
        <v>45647</v>
      </c>
      <c r="B114" s="10" t="s">
        <v>3133</v>
      </c>
      <c r="C114" s="10" t="s">
        <v>14</v>
      </c>
      <c r="D114" s="88">
        <f t="shared" si="5"/>
        <v>163.63636363636363</v>
      </c>
      <c r="E114" s="88">
        <f t="shared" si="3"/>
        <v>16.363636363636363</v>
      </c>
      <c r="F114" s="88">
        <v>180</v>
      </c>
      <c r="G114" s="88">
        <v>50</v>
      </c>
      <c r="H114" s="13">
        <f t="shared" si="4"/>
        <v>130</v>
      </c>
      <c r="I114" s="1" t="s">
        <v>3263</v>
      </c>
      <c r="J114" s="30">
        <v>180</v>
      </c>
      <c r="K114" s="30"/>
      <c r="L114" s="1"/>
      <c r="M114" s="30"/>
      <c r="N114" s="1"/>
      <c r="O114" s="1"/>
    </row>
    <row r="115" spans="1:15" x14ac:dyDescent="0.3">
      <c r="A115" s="41">
        <v>45647</v>
      </c>
      <c r="B115" s="10" t="s">
        <v>3134</v>
      </c>
      <c r="C115" s="10" t="s">
        <v>14</v>
      </c>
      <c r="D115" s="88">
        <f t="shared" si="5"/>
        <v>259.09090909090907</v>
      </c>
      <c r="E115" s="88">
        <f t="shared" si="3"/>
        <v>25.909090909090907</v>
      </c>
      <c r="F115" s="88">
        <v>285</v>
      </c>
      <c r="G115" s="88">
        <v>285</v>
      </c>
      <c r="H115" s="13">
        <f t="shared" si="4"/>
        <v>0</v>
      </c>
      <c r="I115" s="1" t="s">
        <v>3264</v>
      </c>
      <c r="J115" s="30">
        <v>220</v>
      </c>
      <c r="K115" s="30">
        <v>20</v>
      </c>
      <c r="L115" s="1" t="s">
        <v>223</v>
      </c>
      <c r="M115" s="30">
        <v>45</v>
      </c>
      <c r="N115" s="1" t="s">
        <v>16</v>
      </c>
      <c r="O115" s="1"/>
    </row>
    <row r="116" spans="1:15" x14ac:dyDescent="0.3">
      <c r="A116" s="41">
        <v>45647</v>
      </c>
      <c r="B116" s="10" t="s">
        <v>3135</v>
      </c>
      <c r="C116" s="10" t="s">
        <v>14</v>
      </c>
      <c r="D116" s="88">
        <f t="shared" si="5"/>
        <v>199.99999999999997</v>
      </c>
      <c r="E116" s="88">
        <f t="shared" si="3"/>
        <v>19.999999999999996</v>
      </c>
      <c r="F116" s="88">
        <v>220</v>
      </c>
      <c r="G116" s="88">
        <v>50</v>
      </c>
      <c r="H116" s="13">
        <f t="shared" si="4"/>
        <v>170</v>
      </c>
      <c r="I116" s="1" t="s">
        <v>3265</v>
      </c>
      <c r="J116" s="30">
        <v>220</v>
      </c>
      <c r="K116" s="30"/>
      <c r="L116" s="1"/>
      <c r="M116" s="30"/>
      <c r="N116" s="1"/>
      <c r="O116" s="1"/>
    </row>
    <row r="117" spans="1:15" x14ac:dyDescent="0.3">
      <c r="A117" s="41">
        <v>45648</v>
      </c>
      <c r="B117" s="10" t="s">
        <v>3136</v>
      </c>
      <c r="C117" s="10" t="s">
        <v>14</v>
      </c>
      <c r="D117" s="88">
        <f t="shared" si="5"/>
        <v>127.27272727272727</v>
      </c>
      <c r="E117" s="88">
        <f t="shared" si="3"/>
        <v>12.727272727272727</v>
      </c>
      <c r="F117" s="88">
        <v>140</v>
      </c>
      <c r="G117" s="88"/>
      <c r="H117" s="13">
        <f t="shared" si="4"/>
        <v>140</v>
      </c>
      <c r="I117" s="1" t="s">
        <v>402</v>
      </c>
      <c r="J117" s="30">
        <v>140</v>
      </c>
      <c r="K117" s="30"/>
      <c r="L117" s="1"/>
      <c r="M117" s="30"/>
      <c r="N117" s="1"/>
      <c r="O117" s="1"/>
    </row>
    <row r="118" spans="1:15" x14ac:dyDescent="0.3">
      <c r="A118" s="41">
        <v>45649</v>
      </c>
      <c r="B118" s="10" t="s">
        <v>3137</v>
      </c>
      <c r="C118" s="10" t="s">
        <v>14</v>
      </c>
      <c r="D118" s="88">
        <f t="shared" si="5"/>
        <v>263.63636363636363</v>
      </c>
      <c r="E118" s="88">
        <f t="shared" si="3"/>
        <v>26.36363636363636</v>
      </c>
      <c r="F118" s="88">
        <v>290</v>
      </c>
      <c r="G118" s="88">
        <v>50</v>
      </c>
      <c r="H118" s="13">
        <f t="shared" si="4"/>
        <v>240</v>
      </c>
      <c r="I118" s="1" t="s">
        <v>3266</v>
      </c>
      <c r="J118" s="30">
        <v>270</v>
      </c>
      <c r="K118" s="30">
        <v>20</v>
      </c>
      <c r="L118" s="1" t="s">
        <v>223</v>
      </c>
      <c r="M118" s="30"/>
      <c r="N118" s="1"/>
      <c r="O118" s="1"/>
    </row>
    <row r="119" spans="1:15" x14ac:dyDescent="0.3">
      <c r="A119" s="41">
        <v>45649</v>
      </c>
      <c r="B119" s="10" t="s">
        <v>3138</v>
      </c>
      <c r="C119" s="10" t="s">
        <v>14</v>
      </c>
      <c r="D119" s="88">
        <f t="shared" si="5"/>
        <v>199.99999999999997</v>
      </c>
      <c r="E119" s="88">
        <f t="shared" si="3"/>
        <v>19.999999999999996</v>
      </c>
      <c r="F119" s="88">
        <v>220</v>
      </c>
      <c r="G119" s="88">
        <v>70</v>
      </c>
      <c r="H119" s="13">
        <f t="shared" si="4"/>
        <v>150</v>
      </c>
      <c r="I119" s="1" t="s">
        <v>3267</v>
      </c>
      <c r="J119" s="30">
        <v>220</v>
      </c>
      <c r="K119" s="30"/>
      <c r="L119" s="1"/>
      <c r="M119" s="30"/>
      <c r="N119" s="1"/>
      <c r="O119" s="1"/>
    </row>
    <row r="120" spans="1:15" x14ac:dyDescent="0.3">
      <c r="A120" s="41">
        <v>45651</v>
      </c>
      <c r="B120" s="10" t="s">
        <v>3139</v>
      </c>
      <c r="C120" s="10" t="s">
        <v>14</v>
      </c>
      <c r="D120" s="88">
        <f t="shared" si="5"/>
        <v>390.90909090909088</v>
      </c>
      <c r="E120" s="88">
        <f t="shared" si="3"/>
        <v>39.090909090909093</v>
      </c>
      <c r="F120" s="88">
        <v>430</v>
      </c>
      <c r="G120" s="88">
        <v>430</v>
      </c>
      <c r="H120" s="13">
        <f t="shared" si="4"/>
        <v>0</v>
      </c>
      <c r="I120" s="1" t="s">
        <v>3268</v>
      </c>
      <c r="J120" s="30">
        <v>270</v>
      </c>
      <c r="K120" s="30">
        <v>50</v>
      </c>
      <c r="L120" s="1" t="s">
        <v>223</v>
      </c>
      <c r="M120" s="30">
        <v>110</v>
      </c>
      <c r="N120" s="1" t="s">
        <v>3271</v>
      </c>
      <c r="O120" s="1"/>
    </row>
    <row r="121" spans="1:15" x14ac:dyDescent="0.3">
      <c r="A121" s="41">
        <v>45651</v>
      </c>
      <c r="B121" s="10" t="s">
        <v>3140</v>
      </c>
      <c r="C121" s="10" t="s">
        <v>14</v>
      </c>
      <c r="D121" s="88">
        <f t="shared" si="5"/>
        <v>263.63636363636363</v>
      </c>
      <c r="E121" s="88">
        <f t="shared" si="3"/>
        <v>26.36363636363636</v>
      </c>
      <c r="F121" s="88">
        <v>290</v>
      </c>
      <c r="G121" s="88">
        <v>50</v>
      </c>
      <c r="H121" s="13">
        <f t="shared" si="4"/>
        <v>240</v>
      </c>
      <c r="I121" s="1" t="s">
        <v>3269</v>
      </c>
      <c r="J121" s="30">
        <v>270</v>
      </c>
      <c r="K121" s="30">
        <v>20</v>
      </c>
      <c r="L121" s="1" t="s">
        <v>223</v>
      </c>
      <c r="M121" s="30"/>
      <c r="N121" s="1"/>
      <c r="O121" s="1"/>
    </row>
    <row r="122" spans="1:15" x14ac:dyDescent="0.3">
      <c r="A122" s="41">
        <v>45651</v>
      </c>
      <c r="B122" s="10" t="s">
        <v>3141</v>
      </c>
      <c r="C122" s="10" t="s">
        <v>14</v>
      </c>
      <c r="D122" s="88">
        <f t="shared" si="5"/>
        <v>254.54545454545453</v>
      </c>
      <c r="E122" s="88">
        <f t="shared" si="3"/>
        <v>25.454545454545453</v>
      </c>
      <c r="F122" s="88">
        <v>280</v>
      </c>
      <c r="G122" s="88">
        <v>50</v>
      </c>
      <c r="H122" s="13">
        <f t="shared" si="4"/>
        <v>230</v>
      </c>
      <c r="I122" s="1" t="s">
        <v>3270</v>
      </c>
      <c r="J122" s="30">
        <v>220</v>
      </c>
      <c r="K122" s="30">
        <v>60</v>
      </c>
      <c r="L122" s="1" t="s">
        <v>223</v>
      </c>
      <c r="M122" s="30"/>
      <c r="N122" s="1"/>
      <c r="O122" s="1"/>
    </row>
    <row r="123" spans="1:15" x14ac:dyDescent="0.3">
      <c r="A123" s="41">
        <v>45652</v>
      </c>
      <c r="B123" s="10" t="s">
        <v>3142</v>
      </c>
      <c r="C123" s="10" t="s">
        <v>14</v>
      </c>
      <c r="D123" s="88">
        <f t="shared" si="5"/>
        <v>163.63636363636363</v>
      </c>
      <c r="E123" s="88">
        <f t="shared" si="3"/>
        <v>16.363636363636363</v>
      </c>
      <c r="F123" s="88">
        <v>180</v>
      </c>
      <c r="G123" s="88"/>
      <c r="H123" s="13">
        <f t="shared" si="4"/>
        <v>180</v>
      </c>
      <c r="I123" s="1" t="s">
        <v>402</v>
      </c>
      <c r="J123" s="30">
        <v>180</v>
      </c>
      <c r="K123" s="30"/>
      <c r="L123" s="1"/>
      <c r="M123" s="30"/>
      <c r="N123" s="1"/>
      <c r="O123" s="1"/>
    </row>
    <row r="124" spans="1:15" x14ac:dyDescent="0.3">
      <c r="A124" s="41">
        <v>45652</v>
      </c>
      <c r="B124" s="10" t="s">
        <v>3143</v>
      </c>
      <c r="C124" s="10" t="s">
        <v>14</v>
      </c>
      <c r="D124" s="88">
        <f t="shared" si="5"/>
        <v>199.99999999999997</v>
      </c>
      <c r="E124" s="88">
        <f t="shared" si="3"/>
        <v>19.999999999999996</v>
      </c>
      <c r="F124" s="88">
        <v>220</v>
      </c>
      <c r="G124" s="88">
        <v>50</v>
      </c>
      <c r="H124" s="13">
        <f t="shared" si="4"/>
        <v>170</v>
      </c>
      <c r="I124" s="1" t="s">
        <v>2055</v>
      </c>
      <c r="J124" s="30">
        <v>220</v>
      </c>
      <c r="K124" s="30"/>
      <c r="L124" s="1"/>
      <c r="M124" s="30"/>
      <c r="N124" s="1"/>
      <c r="O124" s="1"/>
    </row>
    <row r="125" spans="1:15" x14ac:dyDescent="0.3">
      <c r="A125" s="41">
        <v>45653</v>
      </c>
      <c r="B125" s="10" t="s">
        <v>3144</v>
      </c>
      <c r="C125" s="10" t="s">
        <v>14</v>
      </c>
      <c r="D125" s="88">
        <f t="shared" si="5"/>
        <v>199.99999999999997</v>
      </c>
      <c r="E125" s="88">
        <f t="shared" si="3"/>
        <v>19.999999999999996</v>
      </c>
      <c r="F125" s="88">
        <v>220</v>
      </c>
      <c r="G125" s="88">
        <v>50</v>
      </c>
      <c r="H125" s="13">
        <f t="shared" si="4"/>
        <v>170</v>
      </c>
      <c r="I125" s="1" t="s">
        <v>3272</v>
      </c>
      <c r="J125" s="30">
        <v>220</v>
      </c>
      <c r="K125" s="30"/>
      <c r="L125" s="1"/>
      <c r="M125" s="30"/>
      <c r="N125" s="1"/>
      <c r="O125" s="1"/>
    </row>
    <row r="126" spans="1:15" x14ac:dyDescent="0.3">
      <c r="A126" s="41">
        <v>45653</v>
      </c>
      <c r="B126" s="10" t="s">
        <v>3145</v>
      </c>
      <c r="C126" s="10" t="s">
        <v>14</v>
      </c>
      <c r="D126" s="88">
        <f t="shared" si="5"/>
        <v>154.54545454545453</v>
      </c>
      <c r="E126" s="88">
        <f t="shared" si="3"/>
        <v>15.454545454545453</v>
      </c>
      <c r="F126" s="88">
        <v>170</v>
      </c>
      <c r="G126" s="88">
        <v>50</v>
      </c>
      <c r="H126" s="13">
        <f t="shared" si="4"/>
        <v>120</v>
      </c>
      <c r="I126" s="103" t="s">
        <v>3273</v>
      </c>
      <c r="J126" s="30">
        <v>170</v>
      </c>
      <c r="K126" s="30"/>
      <c r="L126" s="1"/>
      <c r="M126" s="30"/>
      <c r="N126" s="1"/>
      <c r="O126" s="1"/>
    </row>
    <row r="127" spans="1:15" x14ac:dyDescent="0.3">
      <c r="A127" s="41">
        <v>45653</v>
      </c>
      <c r="B127" s="10" t="s">
        <v>3146</v>
      </c>
      <c r="C127" s="10" t="s">
        <v>14</v>
      </c>
      <c r="D127" s="88">
        <f t="shared" si="5"/>
        <v>154.54545454545453</v>
      </c>
      <c r="E127" s="88">
        <f t="shared" si="3"/>
        <v>15.454545454545453</v>
      </c>
      <c r="F127" s="88">
        <v>170</v>
      </c>
      <c r="G127" s="88">
        <v>50</v>
      </c>
      <c r="H127" s="13">
        <f t="shared" si="4"/>
        <v>120</v>
      </c>
      <c r="I127" s="1" t="s">
        <v>3274</v>
      </c>
      <c r="J127" s="30">
        <v>170</v>
      </c>
      <c r="K127" s="30"/>
      <c r="L127" s="1"/>
      <c r="M127" s="30"/>
      <c r="N127" s="1"/>
      <c r="O127" s="1"/>
    </row>
    <row r="128" spans="1:15" x14ac:dyDescent="0.3">
      <c r="A128" s="41">
        <v>45653</v>
      </c>
      <c r="B128" s="10" t="s">
        <v>3147</v>
      </c>
      <c r="C128" s="10" t="s">
        <v>14</v>
      </c>
      <c r="D128" s="88">
        <f t="shared" si="5"/>
        <v>199.99999999999997</v>
      </c>
      <c r="E128" s="88">
        <f t="shared" si="3"/>
        <v>19.999999999999996</v>
      </c>
      <c r="F128" s="88">
        <v>220</v>
      </c>
      <c r="G128" s="88">
        <v>50</v>
      </c>
      <c r="H128" s="13">
        <f t="shared" si="4"/>
        <v>170</v>
      </c>
      <c r="I128" s="1" t="s">
        <v>3275</v>
      </c>
      <c r="J128" s="30">
        <v>220</v>
      </c>
      <c r="K128" s="30"/>
      <c r="L128" s="1"/>
      <c r="M128" s="30"/>
      <c r="N128" s="1"/>
      <c r="O128" s="1"/>
    </row>
    <row r="129" spans="1:16" x14ac:dyDescent="0.3">
      <c r="A129" s="41">
        <v>45653</v>
      </c>
      <c r="B129" s="10" t="s">
        <v>3148</v>
      </c>
      <c r="C129" s="10" t="s">
        <v>14</v>
      </c>
      <c r="D129" s="88">
        <f t="shared" si="5"/>
        <v>245.45454545454544</v>
      </c>
      <c r="E129" s="88">
        <f t="shared" si="3"/>
        <v>24.545454545454547</v>
      </c>
      <c r="F129" s="88">
        <v>270</v>
      </c>
      <c r="G129" s="88">
        <v>50</v>
      </c>
      <c r="H129" s="13">
        <f t="shared" si="4"/>
        <v>220</v>
      </c>
      <c r="I129" s="103" t="s">
        <v>3276</v>
      </c>
      <c r="J129" s="30">
        <v>270</v>
      </c>
      <c r="K129" s="30"/>
      <c r="L129" s="1"/>
      <c r="M129" s="30"/>
      <c r="N129" s="1"/>
      <c r="O129" s="1"/>
    </row>
    <row r="130" spans="1:16" x14ac:dyDescent="0.3">
      <c r="A130" s="41">
        <v>45653</v>
      </c>
      <c r="B130" s="10" t="s">
        <v>3149</v>
      </c>
      <c r="C130" s="10" t="s">
        <v>14</v>
      </c>
      <c r="D130" s="88">
        <f t="shared" si="5"/>
        <v>290.90909090909088</v>
      </c>
      <c r="E130" s="88">
        <f t="shared" si="3"/>
        <v>29.09090909090909</v>
      </c>
      <c r="F130" s="88">
        <v>320</v>
      </c>
      <c r="G130" s="88">
        <v>50</v>
      </c>
      <c r="H130" s="13">
        <f t="shared" si="4"/>
        <v>270</v>
      </c>
      <c r="I130" s="1" t="s">
        <v>2055</v>
      </c>
      <c r="J130" s="30">
        <v>220</v>
      </c>
      <c r="K130" s="30">
        <v>50</v>
      </c>
      <c r="L130" s="1" t="s">
        <v>223</v>
      </c>
      <c r="M130" s="30">
        <v>50</v>
      </c>
      <c r="N130" s="1" t="s">
        <v>2779</v>
      </c>
      <c r="O130" s="1"/>
    </row>
    <row r="131" spans="1:16" x14ac:dyDescent="0.3">
      <c r="A131" s="41">
        <v>45654</v>
      </c>
      <c r="B131" s="10" t="s">
        <v>3150</v>
      </c>
      <c r="C131" s="10" t="s">
        <v>14</v>
      </c>
      <c r="D131" s="88">
        <f t="shared" si="5"/>
        <v>245.45454545454544</v>
      </c>
      <c r="E131" s="88">
        <f t="shared" ref="E131:E160" si="6">D131*10/100</f>
        <v>24.545454545454547</v>
      </c>
      <c r="F131" s="88">
        <v>270</v>
      </c>
      <c r="G131" s="88">
        <v>50</v>
      </c>
      <c r="H131" s="13">
        <f t="shared" ref="H131:H160" si="7">F131-G131</f>
        <v>220</v>
      </c>
      <c r="I131" s="1" t="s">
        <v>3277</v>
      </c>
      <c r="J131" s="30">
        <v>270</v>
      </c>
      <c r="K131" s="30"/>
      <c r="L131" s="1"/>
      <c r="M131" s="30"/>
      <c r="N131" s="1"/>
      <c r="O131" s="1"/>
    </row>
    <row r="132" spans="1:16" x14ac:dyDescent="0.3">
      <c r="A132" s="41">
        <v>45654</v>
      </c>
      <c r="B132" s="10" t="s">
        <v>3151</v>
      </c>
      <c r="C132" s="10" t="s">
        <v>14</v>
      </c>
      <c r="D132" s="88">
        <f t="shared" ref="D132:D160" si="8">F132/1.1</f>
        <v>477.27272727272725</v>
      </c>
      <c r="E132" s="88">
        <f t="shared" si="6"/>
        <v>47.72727272727272</v>
      </c>
      <c r="F132" s="88">
        <v>525</v>
      </c>
      <c r="G132" s="88">
        <v>50</v>
      </c>
      <c r="H132" s="13">
        <f t="shared" si="7"/>
        <v>475</v>
      </c>
      <c r="I132" s="1" t="s">
        <v>3278</v>
      </c>
      <c r="J132" s="30">
        <v>270</v>
      </c>
      <c r="K132" s="30">
        <v>40</v>
      </c>
      <c r="L132" s="1" t="s">
        <v>223</v>
      </c>
      <c r="M132" s="30"/>
      <c r="N132" s="1"/>
      <c r="O132" s="1"/>
    </row>
    <row r="133" spans="1:16" x14ac:dyDescent="0.3">
      <c r="A133" s="41">
        <v>45654</v>
      </c>
      <c r="B133" s="10" t="s">
        <v>3152</v>
      </c>
      <c r="C133" s="10" t="s">
        <v>14</v>
      </c>
      <c r="D133" s="88">
        <f t="shared" si="8"/>
        <v>199.99999999999997</v>
      </c>
      <c r="E133" s="88">
        <f t="shared" si="6"/>
        <v>19.999999999999996</v>
      </c>
      <c r="F133" s="88">
        <v>220</v>
      </c>
      <c r="G133" s="88">
        <v>50</v>
      </c>
      <c r="H133" s="13">
        <f t="shared" si="7"/>
        <v>170</v>
      </c>
      <c r="I133" s="1" t="s">
        <v>3279</v>
      </c>
      <c r="J133" s="30">
        <v>270</v>
      </c>
      <c r="K133" s="30">
        <v>30</v>
      </c>
      <c r="L133" s="1" t="s">
        <v>223</v>
      </c>
      <c r="M133" s="30">
        <v>45</v>
      </c>
      <c r="N133" s="1" t="s">
        <v>16</v>
      </c>
      <c r="O133" s="112">
        <v>180</v>
      </c>
      <c r="P133" t="s">
        <v>1125</v>
      </c>
    </row>
    <row r="134" spans="1:16" x14ac:dyDescent="0.3">
      <c r="A134" s="41">
        <v>45654</v>
      </c>
      <c r="B134" s="10" t="s">
        <v>3153</v>
      </c>
      <c r="C134" s="10" t="s">
        <v>14</v>
      </c>
      <c r="D134" s="88">
        <f t="shared" si="8"/>
        <v>345.45454545454544</v>
      </c>
      <c r="E134" s="88">
        <f t="shared" si="6"/>
        <v>34.545454545454547</v>
      </c>
      <c r="F134" s="88">
        <v>380</v>
      </c>
      <c r="G134" s="88">
        <v>50</v>
      </c>
      <c r="H134" s="13">
        <f t="shared" si="7"/>
        <v>330</v>
      </c>
      <c r="I134" s="1" t="s">
        <v>3280</v>
      </c>
      <c r="J134" s="30">
        <v>295</v>
      </c>
      <c r="K134" s="30">
        <v>40</v>
      </c>
      <c r="L134" s="1" t="s">
        <v>223</v>
      </c>
      <c r="M134" s="30">
        <v>45</v>
      </c>
      <c r="N134" s="1" t="s">
        <v>16</v>
      </c>
      <c r="O134" s="1"/>
    </row>
    <row r="135" spans="1:16" x14ac:dyDescent="0.3">
      <c r="A135" s="41">
        <v>45654</v>
      </c>
      <c r="B135" s="10" t="s">
        <v>3154</v>
      </c>
      <c r="C135" s="10" t="s">
        <v>14</v>
      </c>
      <c r="D135" s="88">
        <f t="shared" si="8"/>
        <v>245.45454545454544</v>
      </c>
      <c r="E135" s="88">
        <f t="shared" si="6"/>
        <v>24.545454545454547</v>
      </c>
      <c r="F135" s="88">
        <v>270</v>
      </c>
      <c r="G135" s="88">
        <v>50</v>
      </c>
      <c r="H135" s="13">
        <f t="shared" si="7"/>
        <v>220</v>
      </c>
      <c r="I135" s="1" t="s">
        <v>3281</v>
      </c>
      <c r="J135" s="30">
        <v>270</v>
      </c>
      <c r="K135" s="30"/>
      <c r="L135" s="1"/>
      <c r="M135" s="30"/>
      <c r="N135" s="1"/>
      <c r="O135" s="1"/>
    </row>
    <row r="136" spans="1:16" x14ac:dyDescent="0.3">
      <c r="A136" s="41">
        <v>45654</v>
      </c>
      <c r="B136" s="10" t="s">
        <v>3155</v>
      </c>
      <c r="C136" s="10" t="s">
        <v>14</v>
      </c>
      <c r="D136" s="88">
        <f t="shared" si="8"/>
        <v>199.99999999999997</v>
      </c>
      <c r="E136" s="88">
        <f t="shared" si="6"/>
        <v>19.999999999999996</v>
      </c>
      <c r="F136" s="88">
        <v>220</v>
      </c>
      <c r="G136" s="88">
        <v>50</v>
      </c>
      <c r="H136" s="13">
        <f t="shared" si="7"/>
        <v>170</v>
      </c>
      <c r="I136" s="1" t="s">
        <v>3279</v>
      </c>
      <c r="J136" s="30">
        <v>220</v>
      </c>
      <c r="K136" s="30"/>
      <c r="L136" s="1"/>
      <c r="M136" s="30"/>
      <c r="N136" s="1"/>
      <c r="O136" s="1"/>
    </row>
    <row r="137" spans="1:16" x14ac:dyDescent="0.3">
      <c r="A137" s="41">
        <v>45654</v>
      </c>
      <c r="B137" s="10" t="s">
        <v>3156</v>
      </c>
      <c r="C137" s="10" t="s">
        <v>14</v>
      </c>
      <c r="D137" s="88">
        <f t="shared" si="8"/>
        <v>154.54545454545453</v>
      </c>
      <c r="E137" s="88">
        <f t="shared" si="6"/>
        <v>15.454545454545453</v>
      </c>
      <c r="F137" s="88">
        <v>170</v>
      </c>
      <c r="G137" s="88">
        <v>50</v>
      </c>
      <c r="H137" s="13">
        <f t="shared" si="7"/>
        <v>120</v>
      </c>
      <c r="I137" s="1" t="s">
        <v>3282</v>
      </c>
      <c r="J137" s="30">
        <v>170</v>
      </c>
      <c r="K137" s="30"/>
      <c r="L137" s="1"/>
      <c r="M137" s="30"/>
      <c r="N137" s="1"/>
      <c r="O137" s="1"/>
    </row>
    <row r="138" spans="1:16" x14ac:dyDescent="0.3">
      <c r="A138" s="41">
        <v>45654</v>
      </c>
      <c r="B138" s="10" t="s">
        <v>3157</v>
      </c>
      <c r="C138" s="10" t="s">
        <v>14</v>
      </c>
      <c r="D138" s="88">
        <f t="shared" si="8"/>
        <v>154.54545454545453</v>
      </c>
      <c r="E138" s="88">
        <f t="shared" si="6"/>
        <v>15.454545454545453</v>
      </c>
      <c r="F138" s="88">
        <v>170</v>
      </c>
      <c r="G138" s="88">
        <v>50</v>
      </c>
      <c r="H138" s="13">
        <f t="shared" si="7"/>
        <v>120</v>
      </c>
      <c r="I138" s="1" t="s">
        <v>3283</v>
      </c>
      <c r="J138" s="30">
        <v>170</v>
      </c>
      <c r="K138" s="30"/>
      <c r="L138" s="1"/>
      <c r="M138" s="30"/>
      <c r="N138" s="1"/>
      <c r="O138" s="1"/>
    </row>
    <row r="139" spans="1:16" x14ac:dyDescent="0.3">
      <c r="A139" s="41">
        <v>45654</v>
      </c>
      <c r="B139" s="10" t="s">
        <v>3158</v>
      </c>
      <c r="C139" s="10" t="s">
        <v>14</v>
      </c>
      <c r="D139" s="88">
        <f t="shared" si="8"/>
        <v>127.27272727272727</v>
      </c>
      <c r="E139" s="88">
        <f t="shared" si="6"/>
        <v>12.727272727272727</v>
      </c>
      <c r="F139" s="88">
        <v>140</v>
      </c>
      <c r="G139" s="88"/>
      <c r="H139" s="13">
        <f t="shared" si="7"/>
        <v>140</v>
      </c>
      <c r="I139" s="1" t="s">
        <v>402</v>
      </c>
      <c r="J139" s="30">
        <v>140</v>
      </c>
      <c r="K139" s="30"/>
      <c r="L139" s="1"/>
      <c r="M139" s="30"/>
      <c r="N139" s="1"/>
      <c r="O139" s="1"/>
    </row>
    <row r="140" spans="1:16" x14ac:dyDescent="0.3">
      <c r="A140" s="41">
        <v>45655</v>
      </c>
      <c r="B140" s="10" t="s">
        <v>3159</v>
      </c>
      <c r="C140" s="10" t="s">
        <v>14</v>
      </c>
      <c r="D140" s="88">
        <f t="shared" si="8"/>
        <v>495.45454545454544</v>
      </c>
      <c r="E140" s="88">
        <f t="shared" si="6"/>
        <v>49.54545454545454</v>
      </c>
      <c r="F140" s="88">
        <v>545</v>
      </c>
      <c r="G140" s="88">
        <v>45</v>
      </c>
      <c r="H140" s="13">
        <f t="shared" si="7"/>
        <v>500</v>
      </c>
      <c r="I140" s="1" t="s">
        <v>3284</v>
      </c>
      <c r="J140" s="30">
        <v>440</v>
      </c>
      <c r="K140" s="30">
        <v>60</v>
      </c>
      <c r="L140" s="1" t="s">
        <v>223</v>
      </c>
      <c r="M140" s="30">
        <v>45</v>
      </c>
      <c r="N140" s="1" t="s">
        <v>2769</v>
      </c>
      <c r="O140" s="1"/>
    </row>
    <row r="141" spans="1:16" x14ac:dyDescent="0.3">
      <c r="A141" s="41">
        <v>45655</v>
      </c>
      <c r="B141" s="10" t="s">
        <v>3160</v>
      </c>
      <c r="C141" s="10" t="s">
        <v>14</v>
      </c>
      <c r="D141" s="88">
        <f t="shared" si="8"/>
        <v>163.63636363636363</v>
      </c>
      <c r="E141" s="88">
        <f t="shared" si="6"/>
        <v>16.363636363636363</v>
      </c>
      <c r="F141" s="88">
        <v>180</v>
      </c>
      <c r="G141" s="88"/>
      <c r="H141" s="13">
        <f t="shared" si="7"/>
        <v>180</v>
      </c>
      <c r="I141" s="1" t="s">
        <v>402</v>
      </c>
      <c r="J141" s="30">
        <v>180</v>
      </c>
      <c r="K141" s="30"/>
      <c r="L141" s="1"/>
      <c r="M141" s="30"/>
      <c r="N141" s="1"/>
      <c r="O141" s="1"/>
    </row>
    <row r="142" spans="1:16" x14ac:dyDescent="0.3">
      <c r="A142" s="41">
        <v>45655</v>
      </c>
      <c r="B142" s="10" t="s">
        <v>3161</v>
      </c>
      <c r="C142" s="10" t="s">
        <v>14</v>
      </c>
      <c r="D142" s="88">
        <f t="shared" si="8"/>
        <v>245.45454545454544</v>
      </c>
      <c r="E142" s="88">
        <f t="shared" si="6"/>
        <v>24.545454545454547</v>
      </c>
      <c r="F142" s="88">
        <v>270</v>
      </c>
      <c r="G142" s="88">
        <v>50</v>
      </c>
      <c r="H142" s="13">
        <f t="shared" si="7"/>
        <v>220</v>
      </c>
      <c r="I142" s="1" t="s">
        <v>3285</v>
      </c>
      <c r="J142" s="30">
        <v>270</v>
      </c>
      <c r="K142" s="30"/>
      <c r="L142" s="1"/>
      <c r="M142" s="30"/>
      <c r="N142" s="1"/>
      <c r="O142" s="1"/>
    </row>
    <row r="143" spans="1:16" x14ac:dyDescent="0.3">
      <c r="A143" s="41">
        <v>45655</v>
      </c>
      <c r="B143" s="10" t="s">
        <v>3162</v>
      </c>
      <c r="C143" s="10" t="s">
        <v>14</v>
      </c>
      <c r="D143" s="88">
        <f t="shared" si="8"/>
        <v>213.63636363636363</v>
      </c>
      <c r="E143" s="88">
        <f t="shared" si="6"/>
        <v>21.36363636363636</v>
      </c>
      <c r="F143" s="88">
        <v>235</v>
      </c>
      <c r="G143" s="88">
        <v>50</v>
      </c>
      <c r="H143" s="13">
        <f t="shared" si="7"/>
        <v>185</v>
      </c>
      <c r="I143" s="1" t="s">
        <v>3286</v>
      </c>
      <c r="J143" s="30">
        <v>170</v>
      </c>
      <c r="K143" s="30">
        <v>20</v>
      </c>
      <c r="L143" s="1" t="s">
        <v>223</v>
      </c>
      <c r="M143" s="30">
        <v>45</v>
      </c>
      <c r="N143" s="1" t="s">
        <v>16</v>
      </c>
      <c r="O143" s="1"/>
    </row>
    <row r="144" spans="1:16" x14ac:dyDescent="0.3">
      <c r="A144" s="41">
        <v>45656</v>
      </c>
      <c r="B144" s="10" t="s">
        <v>3163</v>
      </c>
      <c r="C144" s="10" t="s">
        <v>14</v>
      </c>
      <c r="D144" s="88">
        <f t="shared" si="8"/>
        <v>245.45454545454544</v>
      </c>
      <c r="E144" s="88">
        <f t="shared" si="6"/>
        <v>24.545454545454547</v>
      </c>
      <c r="F144" s="88">
        <v>270</v>
      </c>
      <c r="G144" s="88">
        <v>50</v>
      </c>
      <c r="H144" s="13">
        <f t="shared" si="7"/>
        <v>220</v>
      </c>
      <c r="I144" s="1" t="s">
        <v>3287</v>
      </c>
      <c r="J144" s="30">
        <v>270</v>
      </c>
      <c r="K144" s="30"/>
      <c r="L144" s="1"/>
      <c r="M144" s="30"/>
      <c r="N144" s="1"/>
      <c r="O144" s="1"/>
    </row>
    <row r="145" spans="1:15" x14ac:dyDescent="0.3">
      <c r="A145" s="41">
        <v>45656</v>
      </c>
      <c r="B145" s="10" t="s">
        <v>3164</v>
      </c>
      <c r="C145" s="10" t="s">
        <v>14</v>
      </c>
      <c r="D145" s="88">
        <f t="shared" si="8"/>
        <v>581.81818181818176</v>
      </c>
      <c r="E145" s="88">
        <f t="shared" si="6"/>
        <v>58.18181818181818</v>
      </c>
      <c r="F145" s="88">
        <v>640</v>
      </c>
      <c r="G145" s="88">
        <v>50</v>
      </c>
      <c r="H145" s="13">
        <f t="shared" si="7"/>
        <v>590</v>
      </c>
      <c r="I145" s="1" t="s">
        <v>2055</v>
      </c>
      <c r="J145" s="30">
        <v>640</v>
      </c>
      <c r="K145" s="30"/>
      <c r="L145" s="1"/>
      <c r="M145" s="30"/>
      <c r="N145" s="1"/>
      <c r="O145" s="1"/>
    </row>
    <row r="146" spans="1:15" x14ac:dyDescent="0.3">
      <c r="A146" s="41">
        <v>45657</v>
      </c>
      <c r="B146" s="10" t="s">
        <v>3165</v>
      </c>
      <c r="C146" s="10" t="s">
        <v>14</v>
      </c>
      <c r="D146" s="88">
        <f t="shared" si="8"/>
        <v>0</v>
      </c>
      <c r="E146" s="88">
        <f t="shared" si="6"/>
        <v>0</v>
      </c>
      <c r="F146" s="88"/>
      <c r="G146" s="88"/>
      <c r="H146" s="13">
        <f t="shared" si="7"/>
        <v>0</v>
      </c>
      <c r="I146" s="1"/>
      <c r="J146" s="30"/>
      <c r="K146" s="30"/>
      <c r="L146" s="1"/>
      <c r="M146" s="30"/>
      <c r="N146" s="1"/>
      <c r="O146" s="1"/>
    </row>
    <row r="147" spans="1:15" x14ac:dyDescent="0.3">
      <c r="A147" s="41">
        <v>45657</v>
      </c>
      <c r="B147" s="10" t="s">
        <v>3166</v>
      </c>
      <c r="C147" s="10" t="s">
        <v>14</v>
      </c>
      <c r="D147" s="88">
        <f t="shared" si="8"/>
        <v>0</v>
      </c>
      <c r="E147" s="88">
        <f t="shared" si="6"/>
        <v>0</v>
      </c>
      <c r="F147" s="88"/>
      <c r="G147" s="88"/>
      <c r="H147" s="13">
        <f t="shared" si="7"/>
        <v>0</v>
      </c>
      <c r="I147" s="1"/>
      <c r="J147" s="30"/>
      <c r="K147" s="30"/>
      <c r="L147" s="1"/>
      <c r="M147" s="30"/>
      <c r="N147" s="1"/>
      <c r="O147" s="1"/>
    </row>
    <row r="148" spans="1:15" x14ac:dyDescent="0.3">
      <c r="A148" s="41">
        <v>45657</v>
      </c>
      <c r="B148" s="10" t="s">
        <v>3167</v>
      </c>
      <c r="C148" s="10" t="s">
        <v>14</v>
      </c>
      <c r="D148" s="88">
        <f t="shared" si="8"/>
        <v>0</v>
      </c>
      <c r="E148" s="88">
        <f t="shared" si="6"/>
        <v>0</v>
      </c>
      <c r="F148" s="88"/>
      <c r="G148" s="88"/>
      <c r="H148" s="13">
        <f t="shared" si="7"/>
        <v>0</v>
      </c>
      <c r="I148" s="1"/>
      <c r="J148" s="30"/>
      <c r="K148" s="30"/>
      <c r="L148" s="1"/>
      <c r="M148" s="30"/>
      <c r="N148" s="1"/>
      <c r="O148" s="1"/>
    </row>
    <row r="149" spans="1:15" x14ac:dyDescent="0.3">
      <c r="A149" s="41"/>
      <c r="B149" s="10" t="s">
        <v>3168</v>
      </c>
      <c r="C149" s="10" t="s">
        <v>14</v>
      </c>
      <c r="D149" s="88">
        <f t="shared" si="8"/>
        <v>0</v>
      </c>
      <c r="E149" s="88">
        <f t="shared" si="6"/>
        <v>0</v>
      </c>
      <c r="F149" s="88"/>
      <c r="G149" s="88"/>
      <c r="H149" s="111">
        <f t="shared" si="7"/>
        <v>0</v>
      </c>
      <c r="I149" s="1"/>
      <c r="J149" s="88"/>
      <c r="K149" s="1"/>
      <c r="L149" s="1"/>
      <c r="M149" s="1"/>
      <c r="N149" s="1"/>
      <c r="O149" s="1"/>
    </row>
    <row r="150" spans="1:15" x14ac:dyDescent="0.3">
      <c r="A150" s="41"/>
      <c r="B150" s="10" t="s">
        <v>3169</v>
      </c>
      <c r="C150" s="10" t="s">
        <v>14</v>
      </c>
      <c r="D150" s="88">
        <f t="shared" si="8"/>
        <v>0</v>
      </c>
      <c r="E150" s="88">
        <f t="shared" si="6"/>
        <v>0</v>
      </c>
      <c r="F150" s="88"/>
      <c r="G150" s="1"/>
      <c r="H150" s="111">
        <f t="shared" si="7"/>
        <v>0</v>
      </c>
      <c r="I150" s="1"/>
      <c r="J150" s="88"/>
      <c r="K150" s="1"/>
      <c r="L150" s="1"/>
      <c r="M150" s="1"/>
      <c r="N150" s="1"/>
      <c r="O150" s="1"/>
    </row>
    <row r="151" spans="1:15" x14ac:dyDescent="0.3">
      <c r="A151" s="41"/>
      <c r="B151" s="10" t="s">
        <v>3170</v>
      </c>
      <c r="C151" s="10" t="s">
        <v>14</v>
      </c>
      <c r="D151" s="88">
        <f t="shared" si="8"/>
        <v>0</v>
      </c>
      <c r="E151" s="88">
        <f t="shared" si="6"/>
        <v>0</v>
      </c>
      <c r="F151" s="88"/>
      <c r="G151" s="88"/>
      <c r="H151" s="111">
        <f t="shared" si="7"/>
        <v>0</v>
      </c>
      <c r="I151" s="1"/>
      <c r="J151" s="88"/>
      <c r="K151" s="1"/>
      <c r="L151" s="1"/>
      <c r="M151" s="1"/>
      <c r="N151" s="1"/>
      <c r="O151" s="1"/>
    </row>
    <row r="152" spans="1:15" x14ac:dyDescent="0.3">
      <c r="A152" s="41"/>
      <c r="B152" s="10" t="s">
        <v>3171</v>
      </c>
      <c r="C152" s="10" t="s">
        <v>14</v>
      </c>
      <c r="D152" s="88">
        <f t="shared" si="8"/>
        <v>0</v>
      </c>
      <c r="E152" s="88">
        <f t="shared" si="6"/>
        <v>0</v>
      </c>
      <c r="F152" s="88"/>
      <c r="G152" s="88"/>
      <c r="H152" s="111">
        <f t="shared" si="7"/>
        <v>0</v>
      </c>
      <c r="I152" s="1"/>
      <c r="J152" s="88"/>
      <c r="K152" s="88"/>
      <c r="L152" s="1"/>
      <c r="M152" s="1"/>
      <c r="N152" s="1"/>
      <c r="O152" s="1"/>
    </row>
    <row r="153" spans="1:15" x14ac:dyDescent="0.3">
      <c r="A153" s="41"/>
      <c r="B153" s="10" t="s">
        <v>3172</v>
      </c>
      <c r="C153" s="10" t="s">
        <v>14</v>
      </c>
      <c r="D153" s="88">
        <f t="shared" si="8"/>
        <v>0</v>
      </c>
      <c r="E153" s="88">
        <f t="shared" si="6"/>
        <v>0</v>
      </c>
      <c r="F153" s="88"/>
      <c r="G153" s="88"/>
      <c r="H153" s="111">
        <f t="shared" si="7"/>
        <v>0</v>
      </c>
      <c r="I153" s="1"/>
      <c r="J153" s="88"/>
      <c r="K153" s="1"/>
      <c r="L153" s="1"/>
      <c r="M153" s="1"/>
      <c r="N153" s="1"/>
      <c r="O153" s="1"/>
    </row>
    <row r="154" spans="1:15" x14ac:dyDescent="0.3">
      <c r="A154" s="41"/>
      <c r="B154" s="10" t="s">
        <v>3173</v>
      </c>
      <c r="C154" s="10" t="s">
        <v>14</v>
      </c>
      <c r="D154" s="88">
        <f t="shared" si="8"/>
        <v>0</v>
      </c>
      <c r="E154" s="88">
        <f t="shared" si="6"/>
        <v>0</v>
      </c>
      <c r="F154" s="88"/>
      <c r="G154" s="88"/>
      <c r="H154" s="111">
        <f t="shared" si="7"/>
        <v>0</v>
      </c>
      <c r="I154" s="1"/>
      <c r="J154" s="88"/>
      <c r="K154" s="88"/>
      <c r="L154" s="1"/>
      <c r="M154" s="1"/>
      <c r="N154" s="1"/>
      <c r="O154" s="1"/>
    </row>
    <row r="155" spans="1:15" x14ac:dyDescent="0.3">
      <c r="A155" s="41"/>
      <c r="B155" s="10" t="s">
        <v>3174</v>
      </c>
      <c r="C155" s="10" t="s">
        <v>14</v>
      </c>
      <c r="D155" s="88">
        <f t="shared" si="8"/>
        <v>0</v>
      </c>
      <c r="E155" s="88">
        <f t="shared" si="6"/>
        <v>0</v>
      </c>
      <c r="F155" s="88"/>
      <c r="G155" s="88"/>
      <c r="H155" s="111">
        <f t="shared" si="7"/>
        <v>0</v>
      </c>
      <c r="I155" s="1"/>
      <c r="J155" s="88"/>
      <c r="K155" s="1"/>
      <c r="L155" s="1"/>
      <c r="M155" s="1"/>
      <c r="N155" s="1"/>
      <c r="O155" s="1"/>
    </row>
    <row r="156" spans="1:15" x14ac:dyDescent="0.3">
      <c r="A156" s="41"/>
      <c r="B156" s="10" t="s">
        <v>3175</v>
      </c>
      <c r="C156" s="10" t="s">
        <v>14</v>
      </c>
      <c r="D156" s="88">
        <f t="shared" si="8"/>
        <v>0</v>
      </c>
      <c r="E156" s="88">
        <f t="shared" si="6"/>
        <v>0</v>
      </c>
      <c r="F156" s="88"/>
      <c r="G156" s="88"/>
      <c r="H156" s="111">
        <f t="shared" si="7"/>
        <v>0</v>
      </c>
      <c r="I156" s="1"/>
      <c r="J156" s="88"/>
      <c r="K156" s="1"/>
      <c r="L156" s="1"/>
      <c r="M156" s="1"/>
      <c r="N156" s="1"/>
      <c r="O156" s="1"/>
    </row>
    <row r="157" spans="1:15" x14ac:dyDescent="0.3">
      <c r="A157" s="41"/>
      <c r="B157" s="10" t="s">
        <v>3176</v>
      </c>
      <c r="C157" s="10" t="s">
        <v>14</v>
      </c>
      <c r="D157" s="88">
        <f t="shared" si="8"/>
        <v>0</v>
      </c>
      <c r="E157" s="88">
        <f t="shared" si="6"/>
        <v>0</v>
      </c>
      <c r="F157" s="88"/>
      <c r="G157" s="88"/>
      <c r="H157" s="111">
        <f t="shared" si="7"/>
        <v>0</v>
      </c>
      <c r="I157" s="1"/>
      <c r="J157" s="88"/>
      <c r="K157" s="1"/>
      <c r="L157" s="1"/>
      <c r="M157" s="1"/>
      <c r="N157" s="1"/>
      <c r="O157" s="1"/>
    </row>
    <row r="158" spans="1:15" x14ac:dyDescent="0.3">
      <c r="A158" s="41"/>
      <c r="B158" s="10" t="s">
        <v>3177</v>
      </c>
      <c r="C158" s="10" t="s">
        <v>14</v>
      </c>
      <c r="D158" s="88">
        <f t="shared" si="8"/>
        <v>0</v>
      </c>
      <c r="E158" s="88">
        <f t="shared" si="6"/>
        <v>0</v>
      </c>
      <c r="F158" s="88"/>
      <c r="G158" s="88"/>
      <c r="H158" s="111">
        <f t="shared" si="7"/>
        <v>0</v>
      </c>
      <c r="I158" s="1"/>
      <c r="J158" s="88"/>
      <c r="K158" s="88"/>
      <c r="L158" s="1"/>
      <c r="M158" s="1"/>
      <c r="N158" s="1"/>
      <c r="O158" s="1"/>
    </row>
    <row r="159" spans="1:15" x14ac:dyDescent="0.3">
      <c r="A159" s="41"/>
      <c r="B159" s="10" t="s">
        <v>3178</v>
      </c>
      <c r="C159" s="10" t="s">
        <v>14</v>
      </c>
      <c r="D159" s="88">
        <f t="shared" si="8"/>
        <v>0</v>
      </c>
      <c r="E159" s="88">
        <f t="shared" si="6"/>
        <v>0</v>
      </c>
      <c r="F159" s="88"/>
      <c r="G159" s="88"/>
      <c r="H159" s="111">
        <f t="shared" si="7"/>
        <v>0</v>
      </c>
      <c r="I159" s="1"/>
      <c r="J159" s="88"/>
      <c r="K159" s="88"/>
      <c r="L159" s="1"/>
      <c r="M159" s="1"/>
      <c r="N159" s="1"/>
      <c r="O159" s="1"/>
    </row>
    <row r="160" spans="1:15" x14ac:dyDescent="0.3">
      <c r="A160" s="41"/>
      <c r="B160" s="10" t="s">
        <v>3179</v>
      </c>
      <c r="C160" s="10" t="s">
        <v>14</v>
      </c>
      <c r="D160" s="88">
        <f t="shared" si="8"/>
        <v>0</v>
      </c>
      <c r="E160" s="88">
        <f t="shared" si="6"/>
        <v>0</v>
      </c>
      <c r="F160" s="88"/>
      <c r="G160" s="88"/>
      <c r="H160" s="111">
        <f t="shared" si="7"/>
        <v>0</v>
      </c>
      <c r="I160" s="1"/>
      <c r="J160" s="88"/>
      <c r="K160" s="88"/>
      <c r="L160" s="1"/>
      <c r="M160" s="1"/>
      <c r="N160" s="1"/>
      <c r="O160" s="1"/>
    </row>
    <row r="161" spans="7:7" x14ac:dyDescent="0.3">
      <c r="G161" s="99">
        <f>SUM(G3:G160)</f>
        <v>7910</v>
      </c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FACTURAS SIMPLIFICADAS ENERO 24</vt:lpstr>
      <vt:lpstr>FACTURAS SIMPLIFICAS FEBRERO 24</vt:lpstr>
      <vt:lpstr>FACTURAS SIMPLIFICADAS MARZO 24</vt:lpstr>
      <vt:lpstr>FACTURAS SIMPLIFICADAS ABRIL 24</vt:lpstr>
      <vt:lpstr>FACTURAS SIMPLIFICADAS MAYO 24</vt:lpstr>
      <vt:lpstr>FACTURASSIMPLIFICADASJUNIO 2024</vt:lpstr>
      <vt:lpstr>FACTURAS SIMPLIFICADASJULIO2024</vt:lpstr>
      <vt:lpstr>FACTURASSIMPLIFICADASAGOSTO2024</vt:lpstr>
      <vt:lpstr>FACTURAS SIMPLIFICADASSEPT2024</vt:lpstr>
      <vt:lpstr>FACTURAS SIMPLIFICADAS OCT.2024</vt:lpstr>
      <vt:lpstr>FACTURAS SIMPLIFICADAS NOV.2024</vt:lpstr>
      <vt:lpstr>FACTURAS SIMPLIFICADAS DIC.2024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xiena000</dc:creator>
  <cp:lastModifiedBy>Iosu Buenetxea Personal</cp:lastModifiedBy>
  <dcterms:created xsi:type="dcterms:W3CDTF">2024-01-09T11:35:02Z</dcterms:created>
  <dcterms:modified xsi:type="dcterms:W3CDTF">2026-01-26T01:31:25Z</dcterms:modified>
</cp:coreProperties>
</file>