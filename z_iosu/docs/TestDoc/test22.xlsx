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A\apps\IA-PDF-Excel\app\TestDoc\"/>
    </mc:Choice>
  </mc:AlternateContent>
  <xr:revisionPtr revIDLastSave="0" documentId="8_{4BFC8A99-771F-4A80-9FC8-4651501BBB13}" xr6:coauthVersionLast="47" xr6:coauthVersionMax="47" xr10:uidLastSave="{00000000-0000-0000-0000-000000000000}"/>
  <bookViews>
    <workbookView xWindow="-108" yWindow="-108" windowWidth="23256" windowHeight="14856" tabRatio="814" activeTab="1" xr2:uid="{00000000-000D-0000-FFFF-FFFF00000000}"/>
  </bookViews>
  <sheets>
    <sheet name="VENTAS" sheetId="4" r:id="rId1"/>
    <sheet name="COMPRAS" sheetId="5" r:id="rId2"/>
  </sheets>
  <definedNames>
    <definedName name="_xlnm._FilterDatabase" localSheetId="0" hidden="1">VENTAS!$A$1:$S$40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5" l="1"/>
  <c r="G39" i="5"/>
  <c r="J39" i="5" s="1"/>
  <c r="L39" i="5" s="1"/>
  <c r="F39" i="5"/>
  <c r="G38" i="5"/>
  <c r="J38" i="5" s="1"/>
  <c r="L38" i="5" s="1"/>
  <c r="F38" i="5"/>
  <c r="G37" i="5"/>
  <c r="J37" i="5" s="1"/>
  <c r="L37" i="5" s="1"/>
  <c r="F37" i="5"/>
  <c r="G36" i="5"/>
  <c r="I36" i="5" s="1"/>
  <c r="F36" i="5"/>
  <c r="G35" i="5"/>
  <c r="J35" i="5" s="1"/>
  <c r="L35" i="5" s="1"/>
  <c r="F35" i="5"/>
  <c r="G34" i="5"/>
  <c r="J34" i="5" s="1"/>
  <c r="L34" i="5" s="1"/>
  <c r="F34" i="5"/>
  <c r="G33" i="5"/>
  <c r="J33" i="5" s="1"/>
  <c r="L33" i="5" s="1"/>
  <c r="F33" i="5"/>
  <c r="G32" i="5"/>
  <c r="I32" i="5" s="1"/>
  <c r="F32" i="5"/>
  <c r="G31" i="5"/>
  <c r="J31" i="5" s="1"/>
  <c r="L31" i="5" s="1"/>
  <c r="F31" i="5"/>
  <c r="G30" i="5"/>
  <c r="J30" i="5" s="1"/>
  <c r="L30" i="5" s="1"/>
  <c r="F30" i="5"/>
  <c r="G29" i="5"/>
  <c r="J29" i="5" s="1"/>
  <c r="L29" i="5" s="1"/>
  <c r="F29" i="5"/>
  <c r="G28" i="5"/>
  <c r="I28" i="5" s="1"/>
  <c r="F28" i="5"/>
  <c r="G27" i="5"/>
  <c r="J27" i="5" s="1"/>
  <c r="L27" i="5" s="1"/>
  <c r="F27" i="5"/>
  <c r="G26" i="5"/>
  <c r="J26" i="5" s="1"/>
  <c r="L26" i="5" s="1"/>
  <c r="F26" i="5"/>
  <c r="G25" i="5"/>
  <c r="J25" i="5" s="1"/>
  <c r="L25" i="5" s="1"/>
  <c r="F25" i="5"/>
  <c r="G24" i="5"/>
  <c r="I24" i="5" s="1"/>
  <c r="F24" i="5"/>
  <c r="G23" i="5"/>
  <c r="J23" i="5" s="1"/>
  <c r="L23" i="5" s="1"/>
  <c r="F23" i="5"/>
  <c r="G22" i="5"/>
  <c r="J22" i="5" s="1"/>
  <c r="L22" i="5" s="1"/>
  <c r="F22" i="5"/>
  <c r="G21" i="5"/>
  <c r="J21" i="5" s="1"/>
  <c r="L21" i="5" s="1"/>
  <c r="F21" i="5"/>
  <c r="G20" i="5"/>
  <c r="I20" i="5" s="1"/>
  <c r="F20" i="5"/>
  <c r="G19" i="5"/>
  <c r="J19" i="5" s="1"/>
  <c r="L19" i="5" s="1"/>
  <c r="F19" i="5"/>
  <c r="G18" i="5"/>
  <c r="J18" i="5" s="1"/>
  <c r="L18" i="5" s="1"/>
  <c r="F18" i="5"/>
  <c r="G17" i="5"/>
  <c r="J17" i="5" s="1"/>
  <c r="L17" i="5" s="1"/>
  <c r="F17" i="5"/>
  <c r="G16" i="5"/>
  <c r="I16" i="5" s="1"/>
  <c r="F16" i="5"/>
  <c r="G15" i="5"/>
  <c r="J15" i="5" s="1"/>
  <c r="L15" i="5" s="1"/>
  <c r="F15" i="5"/>
  <c r="G14" i="5"/>
  <c r="J14" i="5" s="1"/>
  <c r="L14" i="5" s="1"/>
  <c r="F14" i="5"/>
  <c r="G13" i="5"/>
  <c r="J13" i="5" s="1"/>
  <c r="L13" i="5" s="1"/>
  <c r="F13" i="5"/>
  <c r="G12" i="5"/>
  <c r="I12" i="5" s="1"/>
  <c r="F12" i="5"/>
  <c r="G11" i="5"/>
  <c r="J11" i="5" s="1"/>
  <c r="L11" i="5" s="1"/>
  <c r="F11" i="5"/>
  <c r="G10" i="5"/>
  <c r="J10" i="5" s="1"/>
  <c r="L10" i="5" s="1"/>
  <c r="F10" i="5"/>
  <c r="G9" i="5"/>
  <c r="J9" i="5" s="1"/>
  <c r="L9" i="5" s="1"/>
  <c r="F9" i="5"/>
  <c r="G8" i="5"/>
  <c r="I8" i="5" s="1"/>
  <c r="F8" i="5"/>
  <c r="G7" i="5"/>
  <c r="J7" i="5" s="1"/>
  <c r="L7" i="5" s="1"/>
  <c r="F7" i="5"/>
  <c r="G6" i="5"/>
  <c r="J6" i="5" s="1"/>
  <c r="L6" i="5" s="1"/>
  <c r="F6" i="5"/>
  <c r="G5" i="5"/>
  <c r="J5" i="5" s="1"/>
  <c r="L5" i="5" s="1"/>
  <c r="F5" i="5"/>
  <c r="G4" i="5"/>
  <c r="I4" i="5" s="1"/>
  <c r="F4" i="5"/>
  <c r="G3" i="5"/>
  <c r="J3" i="5" s="1"/>
  <c r="L3" i="5" s="1"/>
  <c r="F3" i="5"/>
  <c r="G2" i="5"/>
  <c r="G42" i="5" s="1"/>
  <c r="F2" i="5"/>
  <c r="G38" i="4"/>
  <c r="I38" i="4"/>
  <c r="J38" i="4"/>
  <c r="L38" i="4"/>
  <c r="F38" i="4"/>
  <c r="M42" i="4"/>
  <c r="G31" i="4"/>
  <c r="J31" i="4" s="1"/>
  <c r="L31" i="4" s="1"/>
  <c r="G32" i="4"/>
  <c r="J32" i="4" s="1"/>
  <c r="L32" i="4" s="1"/>
  <c r="G33" i="4"/>
  <c r="J33" i="4" s="1"/>
  <c r="L33" i="4" s="1"/>
  <c r="G34" i="4"/>
  <c r="J34" i="4" s="1"/>
  <c r="L34" i="4" s="1"/>
  <c r="F30" i="4"/>
  <c r="F31" i="4"/>
  <c r="F32" i="4"/>
  <c r="F33" i="4"/>
  <c r="F34" i="4"/>
  <c r="F35" i="4"/>
  <c r="F36" i="4"/>
  <c r="F37" i="4"/>
  <c r="F39" i="4"/>
  <c r="G36" i="4"/>
  <c r="I36" i="4" s="1"/>
  <c r="G37" i="4"/>
  <c r="I37" i="4" s="1"/>
  <c r="G39" i="4"/>
  <c r="I39" i="4" s="1"/>
  <c r="F21" i="4"/>
  <c r="F22" i="4"/>
  <c r="F23" i="4"/>
  <c r="F24" i="4"/>
  <c r="F25" i="4"/>
  <c r="F26" i="4"/>
  <c r="F27" i="4"/>
  <c r="F28" i="4"/>
  <c r="F29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5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F11" i="4"/>
  <c r="F12" i="4"/>
  <c r="F13" i="4"/>
  <c r="F14" i="4"/>
  <c r="F15" i="4"/>
  <c r="F16" i="4"/>
  <c r="F17" i="4"/>
  <c r="F18" i="4"/>
  <c r="F19" i="4"/>
  <c r="F20" i="4"/>
  <c r="F3" i="4"/>
  <c r="F4" i="4"/>
  <c r="F5" i="4"/>
  <c r="F6" i="4"/>
  <c r="F7" i="4"/>
  <c r="F8" i="4"/>
  <c r="F9" i="4"/>
  <c r="F10" i="4"/>
  <c r="J4" i="5" l="1"/>
  <c r="L4" i="5" s="1"/>
  <c r="J8" i="5"/>
  <c r="L8" i="5" s="1"/>
  <c r="J12" i="5"/>
  <c r="L12" i="5" s="1"/>
  <c r="J16" i="5"/>
  <c r="L16" i="5" s="1"/>
  <c r="J20" i="5"/>
  <c r="L20" i="5" s="1"/>
  <c r="J24" i="5"/>
  <c r="L24" i="5" s="1"/>
  <c r="J28" i="5"/>
  <c r="L28" i="5" s="1"/>
  <c r="J32" i="5"/>
  <c r="L32" i="5" s="1"/>
  <c r="J36" i="5"/>
  <c r="L36" i="5" s="1"/>
  <c r="I5" i="5"/>
  <c r="I9" i="5"/>
  <c r="I13" i="5"/>
  <c r="I17" i="5"/>
  <c r="I21" i="5"/>
  <c r="I25" i="5"/>
  <c r="I29" i="5"/>
  <c r="I33" i="5"/>
  <c r="I37" i="5"/>
  <c r="I38" i="5"/>
  <c r="I2" i="5"/>
  <c r="I42" i="5" s="1"/>
  <c r="I6" i="5"/>
  <c r="I10" i="5"/>
  <c r="I14" i="5"/>
  <c r="I18" i="5"/>
  <c r="I22" i="5"/>
  <c r="I26" i="5"/>
  <c r="I30" i="5"/>
  <c r="I34" i="5"/>
  <c r="J2" i="5"/>
  <c r="L2" i="5" s="1"/>
  <c r="I3" i="5"/>
  <c r="I7" i="5"/>
  <c r="I11" i="5"/>
  <c r="I15" i="5"/>
  <c r="I19" i="5"/>
  <c r="I23" i="5"/>
  <c r="I27" i="5"/>
  <c r="I31" i="5"/>
  <c r="I35" i="5"/>
  <c r="I39" i="5"/>
  <c r="I32" i="4"/>
  <c r="I31" i="4"/>
  <c r="I34" i="4"/>
  <c r="I33" i="4"/>
  <c r="I21" i="4" l="1"/>
  <c r="J22" i="4"/>
  <c r="L22" i="4" s="1"/>
  <c r="J23" i="4"/>
  <c r="L23" i="4" s="1"/>
  <c r="I24" i="4"/>
  <c r="F2" i="4"/>
  <c r="J39" i="4"/>
  <c r="L39" i="4" s="1"/>
  <c r="J37" i="4"/>
  <c r="L37" i="4" s="1"/>
  <c r="J36" i="4"/>
  <c r="L36" i="4" s="1"/>
  <c r="J35" i="4"/>
  <c r="L35" i="4" s="1"/>
  <c r="J30" i="4"/>
  <c r="L30" i="4" s="1"/>
  <c r="J29" i="4"/>
  <c r="L29" i="4" s="1"/>
  <c r="J28" i="4"/>
  <c r="L28" i="4" s="1"/>
  <c r="J27" i="4"/>
  <c r="L27" i="4" s="1"/>
  <c r="J26" i="4"/>
  <c r="L26" i="4" s="1"/>
  <c r="J25" i="4"/>
  <c r="L25" i="4" s="1"/>
  <c r="J21" i="4"/>
  <c r="L21" i="4" s="1"/>
  <c r="J20" i="4"/>
  <c r="L20" i="4" s="1"/>
  <c r="J19" i="4"/>
  <c r="L19" i="4" s="1"/>
  <c r="J18" i="4"/>
  <c r="L18" i="4" s="1"/>
  <c r="J17" i="4"/>
  <c r="L17" i="4" s="1"/>
  <c r="J16" i="4"/>
  <c r="L16" i="4" s="1"/>
  <c r="J15" i="4"/>
  <c r="L15" i="4" s="1"/>
  <c r="G2" i="4"/>
  <c r="I2" i="4" s="1"/>
  <c r="I3" i="4"/>
  <c r="I4" i="4"/>
  <c r="J5" i="4"/>
  <c r="L5" i="4" s="1"/>
  <c r="J6" i="4"/>
  <c r="L6" i="4" s="1"/>
  <c r="I7" i="4"/>
  <c r="I8" i="4"/>
  <c r="J9" i="4"/>
  <c r="L9" i="4" s="1"/>
  <c r="I10" i="4"/>
  <c r="I11" i="4"/>
  <c r="I12" i="4"/>
  <c r="J13" i="4"/>
  <c r="L13" i="4" s="1"/>
  <c r="J14" i="4"/>
  <c r="L14" i="4" s="1"/>
  <c r="J8" i="4"/>
  <c r="L8" i="4" s="1"/>
  <c r="I18" i="4"/>
  <c r="I30" i="4"/>
  <c r="J10" i="4" l="1"/>
  <c r="L10" i="4" s="1"/>
  <c r="J12" i="4"/>
  <c r="L12" i="4" s="1"/>
  <c r="I16" i="4"/>
  <c r="I35" i="4"/>
  <c r="I28" i="4"/>
  <c r="I23" i="4"/>
  <c r="J2" i="4"/>
  <c r="L2" i="4" s="1"/>
  <c r="I15" i="4"/>
  <c r="I20" i="4"/>
  <c r="J4" i="4"/>
  <c r="L4" i="4" s="1"/>
  <c r="I17" i="4"/>
  <c r="I22" i="4"/>
  <c r="I26" i="4"/>
  <c r="I5" i="4"/>
  <c r="J24" i="4"/>
  <c r="L24" i="4" s="1"/>
  <c r="I14" i="4"/>
  <c r="J7" i="4"/>
  <c r="L7" i="4" s="1"/>
  <c r="I27" i="4"/>
  <c r="I19" i="4"/>
  <c r="I25" i="4"/>
  <c r="I29" i="4"/>
  <c r="I9" i="4"/>
  <c r="I13" i="4"/>
  <c r="J3" i="4"/>
  <c r="L3" i="4" s="1"/>
  <c r="I6" i="4"/>
  <c r="G42" i="4"/>
  <c r="J11" i="4"/>
  <c r="L11" i="4" s="1"/>
  <c r="I4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4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4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4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4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4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4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N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462672AB-5464-426D-8461-3B6D5B1E6D1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7493FFDD-2065-4ABB-B877-2211539052A6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DAE24458-C9FA-46FE-91FA-1E5D6C18460A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B1460924-D86E-439E-87A2-0208161F300F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D95FEDB1-2FB0-476F-A481-FC59EB4D40EB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B0BB52A4-57E9-4E29-8855-DAD431EB6EA9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6AE307FB-1332-48CA-A307-66BD26F980D4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N1" authorId="0" shapeId="0" xr:uid="{561A7C5A-B3B3-4F0B-8797-0CF0A3B94FE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sharedStrings.xml><?xml version="1.0" encoding="utf-8"?>
<sst xmlns="http://schemas.openxmlformats.org/spreadsheetml/2006/main" count="432" uniqueCount="109">
  <si>
    <t>FECHA</t>
  </si>
  <si>
    <t>REG.</t>
  </si>
  <si>
    <t>CUENTA</t>
  </si>
  <si>
    <t>NIF</t>
  </si>
  <si>
    <t>NOMBRE</t>
  </si>
  <si>
    <t>DESCRIPCIÓN</t>
  </si>
  <si>
    <t>BASE</t>
  </si>
  <si>
    <t>%IVA</t>
  </si>
  <si>
    <t>IMPORTE IVA</t>
  </si>
  <si>
    <t>BASE RETENCION</t>
  </si>
  <si>
    <t>%IRPF</t>
  </si>
  <si>
    <t>TOTAL IRPF</t>
  </si>
  <si>
    <t>TOTAL</t>
  </si>
  <si>
    <t>CONTRAPARTIDA</t>
  </si>
  <si>
    <t>PAIS</t>
  </si>
  <si>
    <t>PROVINCIA</t>
  </si>
  <si>
    <t>PAGO AUTOMATICO</t>
  </si>
  <si>
    <t>OPERACION ARRENDAMIENTO</t>
  </si>
  <si>
    <t xml:space="preserve">N/F </t>
  </si>
  <si>
    <t>REAL CANOE NATACION CLUB</t>
  </si>
  <si>
    <t>CONVER FORMAT 98, S.L.</t>
  </si>
  <si>
    <t>RESTAURANTE URRECHU CLUB, S.L.</t>
  </si>
  <si>
    <t>B-82055260</t>
  </si>
  <si>
    <t>G-28457083</t>
  </si>
  <si>
    <t>B-83046011</t>
  </si>
  <si>
    <t>EL CIELO DE URRECHU, S.L.</t>
  </si>
  <si>
    <t>B-86387594</t>
  </si>
  <si>
    <t>H83070557</t>
  </si>
  <si>
    <t>COMUNIDAD DE PROPIETARIOS LA PINEDA II</t>
  </si>
  <si>
    <t>A-79303582</t>
  </si>
  <si>
    <t>INVERSIONES TERRENOS Y SERVICIOS, S.A.</t>
  </si>
  <si>
    <t>SPANISH TAPAS INVESTMENTS, S.L.</t>
  </si>
  <si>
    <t>B-86797511</t>
  </si>
  <si>
    <t>W-5121001-A</t>
  </si>
  <si>
    <t>LATAM AIRLINES GROUP S.A</t>
  </si>
  <si>
    <t>ANTONIO SIGUERO S.L.</t>
  </si>
  <si>
    <t>B-28924371</t>
  </si>
  <si>
    <t>TREVOLA, S.L.</t>
  </si>
  <si>
    <t>B-78085412</t>
  </si>
  <si>
    <t>V-78394764</t>
  </si>
  <si>
    <t>FEDERACIÓN MADRILEÑA DE NATACIÓN</t>
  </si>
  <si>
    <t>IBERIA TAPAS INVESTMENTS, S.L.</t>
  </si>
  <si>
    <t>B-88006598</t>
  </si>
  <si>
    <t>001/24</t>
  </si>
  <si>
    <t>12/01/2024</t>
  </si>
  <si>
    <t>22/01/2024</t>
  </si>
  <si>
    <t>23/01/2024</t>
  </si>
  <si>
    <t>29/01/2024</t>
  </si>
  <si>
    <t>31/01/2024</t>
  </si>
  <si>
    <t>002/24</t>
  </si>
  <si>
    <t>003/24</t>
  </si>
  <si>
    <t>004/24</t>
  </si>
  <si>
    <t>005/24</t>
  </si>
  <si>
    <t>006/24</t>
  </si>
  <si>
    <t>007/24</t>
  </si>
  <si>
    <t>008/24</t>
  </si>
  <si>
    <t>009/24</t>
  </si>
  <si>
    <t>010/24</t>
  </si>
  <si>
    <t>011/24</t>
  </si>
  <si>
    <t>012/24</t>
  </si>
  <si>
    <t>02271969Y</t>
  </si>
  <si>
    <t>RUBEN HERNANDEZ DIAZ</t>
  </si>
  <si>
    <t>B-79965687</t>
  </si>
  <si>
    <t>AHOSMA</t>
  </si>
  <si>
    <t>013/24</t>
  </si>
  <si>
    <t>014/24</t>
  </si>
  <si>
    <t>015/24</t>
  </si>
  <si>
    <t>016/24</t>
  </si>
  <si>
    <t>017/24</t>
  </si>
  <si>
    <t>019/24</t>
  </si>
  <si>
    <t>018/24</t>
  </si>
  <si>
    <t>020/24</t>
  </si>
  <si>
    <t>021/24</t>
  </si>
  <si>
    <t>022/24</t>
  </si>
  <si>
    <t>023/24</t>
  </si>
  <si>
    <t>024/24</t>
  </si>
  <si>
    <t>025/24</t>
  </si>
  <si>
    <t>026/24</t>
  </si>
  <si>
    <t>027/24</t>
  </si>
  <si>
    <t>028/24</t>
  </si>
  <si>
    <t>029/24</t>
  </si>
  <si>
    <t>02/02/2024</t>
  </si>
  <si>
    <t>05/02/2024</t>
  </si>
  <si>
    <t>08/02/2024</t>
  </si>
  <si>
    <t>20/02/2024</t>
  </si>
  <si>
    <t>22/02/2024</t>
  </si>
  <si>
    <t>23/02/2024</t>
  </si>
  <si>
    <t>28/02/2024</t>
  </si>
  <si>
    <t>29/02/2024</t>
  </si>
  <si>
    <t>B-83984252</t>
  </si>
  <si>
    <t>PAFAIM S.L.</t>
  </si>
  <si>
    <t>030/24</t>
  </si>
  <si>
    <t>031/24</t>
  </si>
  <si>
    <t>032/24</t>
  </si>
  <si>
    <t>033/24</t>
  </si>
  <si>
    <t>DUTTI TRANS SL</t>
  </si>
  <si>
    <t>B-83282897</t>
  </si>
  <si>
    <t>B-88083910</t>
  </si>
  <si>
    <t>GIUDECCA RESTAURANTS S.L.U.</t>
  </si>
  <si>
    <t>034/24</t>
  </si>
  <si>
    <t>035/24</t>
  </si>
  <si>
    <t>036/24</t>
  </si>
  <si>
    <t>037/24</t>
  </si>
  <si>
    <t>038/24</t>
  </si>
  <si>
    <t>PERFECT VIEWS S.L.</t>
  </si>
  <si>
    <t>B-87620712</t>
  </si>
  <si>
    <t>UZ LA FINCA S.L.</t>
  </si>
  <si>
    <t>B-05423090</t>
  </si>
  <si>
    <t>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</si>
</sst>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14" x14ac:knownFonts="1">
    <font>
      <sz val="11"/>
      <color theme="1"/>
      <name val="Calibri"/>
      <family val="2"/>
      <scheme val="minor"/>
    </font>
    <font>
      <b/>
      <sz val="10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9"/>
      <name val="Calibri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6" fillId="0" borderId="0" xfId="0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4" fontId="0" fillId="0" borderId="0" xfId="0" applyNumberFormat="1"/>
    <xf numFmtId="2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2" fontId="7" fillId="2" borderId="2" xfId="0" applyNumberFormat="1" applyFont="1" applyFill="1" applyBorder="1" applyAlignment="1">
      <alignment horizontal="center" vertical="center" wrapText="1"/>
    </xf>
    <xf numFmtId="2" fontId="11" fillId="0" borderId="0" xfId="0" applyNumberFormat="1" applyFont="1"/>
    <xf numFmtId="14" fontId="11" fillId="0" borderId="0" xfId="0" applyNumberFormat="1" applyFont="1"/>
    <xf numFmtId="49" fontId="10" fillId="0" borderId="0" xfId="0" applyNumberFormat="1" applyFont="1"/>
    <xf numFmtId="2" fontId="10" fillId="0" borderId="0" xfId="0" applyNumberFormat="1" applyFont="1"/>
    <xf numFmtId="49" fontId="10" fillId="0" borderId="0" xfId="0" applyNumberFormat="1" applyFont="1" applyAlignment="1">
      <alignment horizontal="center"/>
    </xf>
    <xf numFmtId="49" fontId="11" fillId="0" borderId="0" xfId="0" applyNumberFormat="1" applyFont="1"/>
    <xf numFmtId="49" fontId="11" fillId="0" borderId="0" xfId="0" applyNumberFormat="1" applyFont="1" applyAlignment="1">
      <alignment vertical="top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2" fontId="11" fillId="0" borderId="0" xfId="0" applyNumberFormat="1" applyFont="1" applyAlignment="1">
      <alignment vertical="top"/>
    </xf>
    <xf numFmtId="49" fontId="10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14" fontId="11" fillId="0" borderId="0" xfId="0" applyNumberFormat="1" applyFont="1" applyAlignment="1">
      <alignment horizontal="left" vertical="top"/>
    </xf>
    <xf numFmtId="164" fontId="11" fillId="0" borderId="0" xfId="0" applyNumberFormat="1" applyFont="1"/>
    <xf numFmtId="164" fontId="0" fillId="0" borderId="0" xfId="0" applyNumberFormat="1"/>
    <xf numFmtId="164" fontId="9" fillId="3" borderId="3" xfId="0" applyNumberFormat="1" applyFont="1" applyFill="1" applyBorder="1"/>
    <xf numFmtId="164" fontId="12" fillId="2" borderId="0" xfId="0" applyNumberFormat="1" applyFont="1" applyFill="1"/>
    <xf numFmtId="164" fontId="5" fillId="2" borderId="0" xfId="0" applyNumberFormat="1" applyFont="1" applyFill="1"/>
    <xf numFmtId="164" fontId="5" fillId="0" borderId="0" xfId="0" applyNumberFormat="1" applyFont="1"/>
    <xf numFmtId="164" fontId="7" fillId="2" borderId="2" xfId="0" applyNumberFormat="1" applyFont="1" applyFill="1" applyBorder="1" applyAlignment="1">
      <alignment horizontal="center" vertical="center" wrapText="1"/>
    </xf>
    <xf numFmtId="164" fontId="10" fillId="0" borderId="0" xfId="0" applyNumberFormat="1" applyFont="1"/>
    <xf numFmtId="164" fontId="11" fillId="0" borderId="0" xfId="0" applyNumberFormat="1" applyFont="1" applyAlignment="1">
      <alignment vertical="top"/>
    </xf>
    <xf numFmtId="164" fontId="13" fillId="0" borderId="0" xfId="0" applyNumberFormat="1" applyFont="1"/>
    <xf numFmtId="2" fontId="0" fillId="0" borderId="0" xfId="0" applyNumberFormat="1" applyAlignment="1">
      <alignment vertical="top"/>
    </xf>
    <xf numFmtId="14" fontId="7" fillId="2" borderId="2" xfId="0" applyNumberFormat="1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vertical="top"/>
    </xf>
    <xf numFmtId="14" fontId="1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6"/>
  <sheetViews>
    <sheetView workbookViewId="0">
      <pane ySplit="1" topLeftCell="A2" activePane="bottomLeft" state="frozen"/>
      <selection pane="bottomLeft" sqref="A1:XFD1048576"/>
    </sheetView>
  </sheetViews>
  <sheetFormatPr baseColWidth="10" defaultRowHeight="14.4" x14ac:dyDescent="0.3"/>
  <cols>
    <col min="1" max="1" width="11.33203125" style="4" customWidth="1"/>
    <col min="2" max="2" width="16.44140625" style="2" customWidth="1"/>
    <col min="3" max="3" width="4.44140625" style="2" customWidth="1"/>
    <col min="4" max="4" width="13.21875" style="2" customWidth="1"/>
    <col min="5" max="5" width="42.88671875" style="2" customWidth="1"/>
    <col min="6" max="6" width="44.6640625" style="2" bestFit="1" customWidth="1"/>
    <col min="7" max="7" width="11.5546875" style="25" customWidth="1"/>
    <col min="8" max="8" width="8.77734375" style="5" bestFit="1" customWidth="1"/>
    <col min="9" max="9" width="13.33203125" style="25" customWidth="1"/>
    <col min="10" max="10" width="11.6640625" style="25" customWidth="1"/>
    <col min="11" max="11" width="6.109375" style="5" customWidth="1"/>
    <col min="12" max="12" width="8.5546875" style="25" customWidth="1"/>
    <col min="13" max="13" width="10.6640625" style="28" customWidth="1"/>
    <col min="14" max="14" width="14.88671875" style="3" bestFit="1" customWidth="1"/>
    <col min="15" max="16" width="11.44140625" style="3" customWidth="1"/>
    <col min="17" max="17" width="12.5546875" style="2" customWidth="1"/>
    <col min="18" max="18" width="14.109375" customWidth="1"/>
  </cols>
  <sheetData>
    <row r="1" spans="1:18" s="1" customFormat="1" ht="30" customHeight="1" x14ac:dyDescent="0.3">
      <c r="A1" s="35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0" t="s">
        <v>6</v>
      </c>
      <c r="H1" s="9" t="s">
        <v>7</v>
      </c>
      <c r="I1" s="30" t="s">
        <v>8</v>
      </c>
      <c r="J1" s="30" t="s">
        <v>9</v>
      </c>
      <c r="K1" s="9" t="s">
        <v>10</v>
      </c>
      <c r="L1" s="30" t="s">
        <v>11</v>
      </c>
      <c r="M1" s="30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</row>
    <row r="2" spans="1:18" x14ac:dyDescent="0.3">
      <c r="A2" s="36" t="s">
        <v>44</v>
      </c>
      <c r="B2" s="16" t="s">
        <v>43</v>
      </c>
      <c r="C2" s="16"/>
      <c r="D2" s="2" t="s">
        <v>39</v>
      </c>
      <c r="E2" s="2" t="s">
        <v>40</v>
      </c>
      <c r="F2" s="15" t="str">
        <f>CONCATENATE(S2,B2," ",E2)</f>
        <v>001/24 FEDERACIÓN MADRILEÑA DE NATACIÓN</v>
      </c>
      <c r="G2" s="24">
        <f>M2/(1-K2/100+H2/100)</f>
        <v>108.74380165289257</v>
      </c>
      <c r="H2" s="20">
        <v>21</v>
      </c>
      <c r="I2" s="24">
        <f>G2*H2/100</f>
        <v>22.836198347107437</v>
      </c>
      <c r="J2" s="24">
        <f>G2</f>
        <v>108.74380165289257</v>
      </c>
      <c r="K2" s="10"/>
      <c r="L2" s="24">
        <f>J2*K2/100</f>
        <v>0</v>
      </c>
      <c r="M2" s="27">
        <v>131.58000000000001</v>
      </c>
      <c r="N2" s="14"/>
    </row>
    <row r="3" spans="1:18" x14ac:dyDescent="0.3">
      <c r="A3" s="36" t="s">
        <v>44</v>
      </c>
      <c r="B3" s="16" t="s">
        <v>49</v>
      </c>
      <c r="C3" s="12"/>
      <c r="D3" s="2" t="s">
        <v>60</v>
      </c>
      <c r="E3" s="17" t="s">
        <v>61</v>
      </c>
      <c r="F3" s="15" t="str">
        <f t="shared" ref="F3:F39" si="0">CONCATENATE(S3,B3," ",E3)</f>
        <v>002/24 RUBEN HERNANDEZ DIAZ</v>
      </c>
      <c r="G3" s="24">
        <f t="shared" ref="G3:G39" si="1">M3/(1-K3/100+H3/100)</f>
        <v>68.446280991735534</v>
      </c>
      <c r="H3" s="34">
        <v>21</v>
      </c>
      <c r="I3" s="24">
        <f>G3*H3/100</f>
        <v>14.373719008264461</v>
      </c>
      <c r="J3" s="24">
        <f>G3</f>
        <v>68.446280991735534</v>
      </c>
      <c r="K3" s="10"/>
      <c r="L3" s="24">
        <f>J3*K3/100</f>
        <v>0</v>
      </c>
      <c r="M3" s="27">
        <v>82.82</v>
      </c>
      <c r="N3" s="14"/>
    </row>
    <row r="4" spans="1:18" x14ac:dyDescent="0.3">
      <c r="A4" s="36" t="s">
        <v>44</v>
      </c>
      <c r="B4" s="16" t="s">
        <v>50</v>
      </c>
      <c r="C4" s="12"/>
      <c r="D4" s="2" t="s">
        <v>22</v>
      </c>
      <c r="E4" s="17" t="s">
        <v>20</v>
      </c>
      <c r="F4" s="15" t="str">
        <f t="shared" si="0"/>
        <v>003/24 CONVER FORMAT 98, S.L.</v>
      </c>
      <c r="G4" s="24">
        <f t="shared" si="1"/>
        <v>135.36363636363637</v>
      </c>
      <c r="H4" s="34">
        <v>21</v>
      </c>
      <c r="I4" s="24">
        <f>G4*H4/100</f>
        <v>28.426363636363639</v>
      </c>
      <c r="J4" s="24">
        <f>G4</f>
        <v>135.36363636363637</v>
      </c>
      <c r="K4" s="10"/>
      <c r="L4" s="24">
        <f>J4*K4/100</f>
        <v>0</v>
      </c>
      <c r="M4" s="27">
        <v>163.79</v>
      </c>
      <c r="N4" s="14"/>
    </row>
    <row r="5" spans="1:18" x14ac:dyDescent="0.3">
      <c r="A5" s="36" t="s">
        <v>44</v>
      </c>
      <c r="B5" s="2" t="s">
        <v>51</v>
      </c>
      <c r="D5" s="2" t="s">
        <v>62</v>
      </c>
      <c r="E5" s="2" t="s">
        <v>63</v>
      </c>
      <c r="F5" s="15" t="str">
        <f t="shared" si="0"/>
        <v>004/24 AHOSMA</v>
      </c>
      <c r="G5" s="24">
        <f t="shared" si="1"/>
        <v>213.04132231404958</v>
      </c>
      <c r="H5" s="34">
        <v>21</v>
      </c>
      <c r="I5" s="24">
        <f t="shared" ref="I5:I14" si="2">G5*H5/100</f>
        <v>44.738677685950414</v>
      </c>
      <c r="J5" s="24">
        <f t="shared" ref="J5:J14" si="3">G5</f>
        <v>213.04132231404958</v>
      </c>
      <c r="K5" s="10"/>
      <c r="L5" s="24">
        <f t="shared" ref="L5:L14" si="4">J5*K5/100</f>
        <v>0</v>
      </c>
      <c r="M5" s="27">
        <v>257.77999999999997</v>
      </c>
      <c r="N5" s="14"/>
    </row>
    <row r="6" spans="1:18" x14ac:dyDescent="0.3">
      <c r="A6" s="36" t="s">
        <v>45</v>
      </c>
      <c r="B6" s="16" t="s">
        <v>52</v>
      </c>
      <c r="C6" s="12"/>
      <c r="D6" s="2" t="s">
        <v>39</v>
      </c>
      <c r="E6" s="2" t="s">
        <v>40</v>
      </c>
      <c r="F6" s="15" t="str">
        <f t="shared" si="0"/>
        <v>005/24 FEDERACIÓN MADRILEÑA DE NATACIÓN</v>
      </c>
      <c r="G6" s="24">
        <f t="shared" si="1"/>
        <v>43.32231404958678</v>
      </c>
      <c r="H6" s="34">
        <v>21</v>
      </c>
      <c r="I6" s="24">
        <f t="shared" si="2"/>
        <v>9.0976859504132239</v>
      </c>
      <c r="J6" s="24">
        <f t="shared" si="3"/>
        <v>43.32231404958678</v>
      </c>
      <c r="K6" s="10"/>
      <c r="L6" s="24">
        <f t="shared" si="4"/>
        <v>0</v>
      </c>
      <c r="M6" s="27">
        <v>52.42</v>
      </c>
      <c r="N6" s="14"/>
    </row>
    <row r="7" spans="1:18" x14ac:dyDescent="0.3">
      <c r="A7" s="36" t="s">
        <v>46</v>
      </c>
      <c r="B7" s="15" t="s">
        <v>53</v>
      </c>
      <c r="C7" s="12"/>
      <c r="D7" s="16" t="s">
        <v>33</v>
      </c>
      <c r="E7" s="16" t="s">
        <v>34</v>
      </c>
      <c r="F7" s="15" t="str">
        <f t="shared" si="0"/>
        <v>006/24 LATAM AIRLINES GROUP S.A</v>
      </c>
      <c r="G7" s="24">
        <f t="shared" si="1"/>
        <v>4616.5041322314055</v>
      </c>
      <c r="H7" s="34">
        <v>21</v>
      </c>
      <c r="I7" s="24">
        <f t="shared" si="2"/>
        <v>969.46586776859522</v>
      </c>
      <c r="J7" s="24">
        <f t="shared" si="3"/>
        <v>4616.5041322314055</v>
      </c>
      <c r="K7" s="10"/>
      <c r="L7" s="24">
        <f t="shared" si="4"/>
        <v>0</v>
      </c>
      <c r="M7" s="27">
        <v>5585.97</v>
      </c>
      <c r="N7" s="14"/>
    </row>
    <row r="8" spans="1:18" x14ac:dyDescent="0.3">
      <c r="A8" s="36" t="s">
        <v>46</v>
      </c>
      <c r="B8" s="15" t="s">
        <v>54</v>
      </c>
      <c r="C8" s="12"/>
      <c r="D8" s="16" t="s">
        <v>33</v>
      </c>
      <c r="E8" s="16" t="s">
        <v>34</v>
      </c>
      <c r="F8" s="15" t="str">
        <f t="shared" si="0"/>
        <v>007/24 LATAM AIRLINES GROUP S.A</v>
      </c>
      <c r="G8" s="24">
        <f t="shared" si="1"/>
        <v>451.24793388429754</v>
      </c>
      <c r="H8" s="34">
        <v>21</v>
      </c>
      <c r="I8" s="24">
        <f t="shared" si="2"/>
        <v>94.762066115702495</v>
      </c>
      <c r="J8" s="24">
        <f t="shared" si="3"/>
        <v>451.24793388429754</v>
      </c>
      <c r="K8" s="10"/>
      <c r="L8" s="24">
        <f t="shared" si="4"/>
        <v>0</v>
      </c>
      <c r="M8" s="27">
        <v>546.01</v>
      </c>
      <c r="N8" s="14"/>
    </row>
    <row r="9" spans="1:18" x14ac:dyDescent="0.3">
      <c r="A9" s="36" t="s">
        <v>47</v>
      </c>
      <c r="B9" s="15" t="s">
        <v>55</v>
      </c>
      <c r="C9" s="12"/>
      <c r="D9" s="16" t="s">
        <v>33</v>
      </c>
      <c r="E9" s="16" t="s">
        <v>34</v>
      </c>
      <c r="F9" s="15" t="str">
        <f t="shared" si="0"/>
        <v>008/24 LATAM AIRLINES GROUP S.A</v>
      </c>
      <c r="G9" s="24">
        <f t="shared" si="1"/>
        <v>110.95867768595041</v>
      </c>
      <c r="H9" s="34">
        <v>21</v>
      </c>
      <c r="I9" s="24">
        <f t="shared" si="2"/>
        <v>23.301322314049585</v>
      </c>
      <c r="J9" s="24">
        <f t="shared" si="3"/>
        <v>110.95867768595041</v>
      </c>
      <c r="K9" s="10"/>
      <c r="L9" s="24">
        <f t="shared" si="4"/>
        <v>0</v>
      </c>
      <c r="M9" s="27">
        <v>134.26</v>
      </c>
      <c r="N9" s="14"/>
    </row>
    <row r="10" spans="1:18" x14ac:dyDescent="0.3">
      <c r="A10" s="36" t="s">
        <v>48</v>
      </c>
      <c r="B10" s="15" t="s">
        <v>56</v>
      </c>
      <c r="C10" s="12"/>
      <c r="D10" s="16" t="s">
        <v>32</v>
      </c>
      <c r="E10" s="16" t="s">
        <v>31</v>
      </c>
      <c r="F10" s="15" t="str">
        <f t="shared" si="0"/>
        <v>009/24 SPANISH TAPAS INVESTMENTS, S.L.</v>
      </c>
      <c r="G10" s="24">
        <f t="shared" si="1"/>
        <v>130.14876033057851</v>
      </c>
      <c r="H10" s="34">
        <v>21</v>
      </c>
      <c r="I10" s="24">
        <f t="shared" si="2"/>
        <v>27.331239669421489</v>
      </c>
      <c r="J10" s="24">
        <f t="shared" si="3"/>
        <v>130.14876033057851</v>
      </c>
      <c r="K10" s="10"/>
      <c r="L10" s="24">
        <f t="shared" si="4"/>
        <v>0</v>
      </c>
      <c r="M10" s="27">
        <v>157.47999999999999</v>
      </c>
      <c r="N10" s="14"/>
    </row>
    <row r="11" spans="1:18" x14ac:dyDescent="0.3">
      <c r="A11" s="36" t="s">
        <v>48</v>
      </c>
      <c r="B11" s="15" t="s">
        <v>57</v>
      </c>
      <c r="C11" s="12"/>
      <c r="D11" s="16" t="s">
        <v>23</v>
      </c>
      <c r="E11" s="2" t="s">
        <v>19</v>
      </c>
      <c r="F11" s="15" t="str">
        <f t="shared" si="0"/>
        <v>010/24 REAL CANOE NATACION CLUB</v>
      </c>
      <c r="G11" s="24">
        <f t="shared" si="1"/>
        <v>5798.5785123966944</v>
      </c>
      <c r="H11" s="34">
        <v>21</v>
      </c>
      <c r="I11" s="24">
        <f t="shared" si="2"/>
        <v>1217.7014876033058</v>
      </c>
      <c r="J11" s="24">
        <f t="shared" si="3"/>
        <v>5798.5785123966944</v>
      </c>
      <c r="K11" s="10"/>
      <c r="L11" s="24">
        <f t="shared" si="4"/>
        <v>0</v>
      </c>
      <c r="M11" s="27">
        <v>7016.28</v>
      </c>
      <c r="N11" s="14"/>
    </row>
    <row r="12" spans="1:18" x14ac:dyDescent="0.3">
      <c r="A12" s="36" t="s">
        <v>48</v>
      </c>
      <c r="B12" s="15" t="s">
        <v>58</v>
      </c>
      <c r="C12" s="12"/>
      <c r="D12" s="2" t="s">
        <v>24</v>
      </c>
      <c r="E12" s="2" t="s">
        <v>21</v>
      </c>
      <c r="F12" s="15" t="str">
        <f t="shared" si="0"/>
        <v>011/24 RESTAURANTE URRECHU CLUB, S.L.</v>
      </c>
      <c r="G12" s="24">
        <f t="shared" si="1"/>
        <v>117.09917355371901</v>
      </c>
      <c r="H12" s="34">
        <v>21</v>
      </c>
      <c r="I12" s="24">
        <f t="shared" si="2"/>
        <v>24.590826446280992</v>
      </c>
      <c r="J12" s="24">
        <f t="shared" si="3"/>
        <v>117.09917355371901</v>
      </c>
      <c r="K12" s="10"/>
      <c r="L12" s="24">
        <f t="shared" si="4"/>
        <v>0</v>
      </c>
      <c r="M12" s="27">
        <v>141.69</v>
      </c>
      <c r="N12" s="14"/>
    </row>
    <row r="13" spans="1:18" x14ac:dyDescent="0.3">
      <c r="A13" s="36" t="s">
        <v>48</v>
      </c>
      <c r="B13" s="15" t="s">
        <v>59</v>
      </c>
      <c r="C13" s="12"/>
      <c r="D13" s="2" t="s">
        <v>36</v>
      </c>
      <c r="E13" s="17" t="s">
        <v>35</v>
      </c>
      <c r="F13" s="15" t="str">
        <f t="shared" si="0"/>
        <v>012/24 ANTONIO SIGUERO S.L.</v>
      </c>
      <c r="G13" s="24">
        <f t="shared" si="1"/>
        <v>503.63636363636363</v>
      </c>
      <c r="H13" s="20">
        <v>21</v>
      </c>
      <c r="I13" s="24">
        <f t="shared" si="2"/>
        <v>105.76363636363637</v>
      </c>
      <c r="J13" s="24">
        <f t="shared" si="3"/>
        <v>503.63636363636363</v>
      </c>
      <c r="K13" s="10"/>
      <c r="L13" s="24">
        <f t="shared" si="4"/>
        <v>0</v>
      </c>
      <c r="M13" s="27">
        <v>609.4</v>
      </c>
      <c r="N13" s="14"/>
    </row>
    <row r="14" spans="1:18" x14ac:dyDescent="0.3">
      <c r="A14" s="36" t="s">
        <v>81</v>
      </c>
      <c r="B14" s="15" t="s">
        <v>64</v>
      </c>
      <c r="C14" s="12"/>
      <c r="D14" s="16" t="s">
        <v>23</v>
      </c>
      <c r="E14" s="2" t="s">
        <v>19</v>
      </c>
      <c r="F14" s="15" t="str">
        <f t="shared" si="0"/>
        <v>013/24 REAL CANOE NATACION CLUB</v>
      </c>
      <c r="G14" s="24">
        <f t="shared" si="1"/>
        <v>4083.0413223140495</v>
      </c>
      <c r="H14" s="34">
        <v>21</v>
      </c>
      <c r="I14" s="24">
        <f t="shared" si="2"/>
        <v>857.43867768595044</v>
      </c>
      <c r="J14" s="24">
        <f t="shared" si="3"/>
        <v>4083.0413223140495</v>
      </c>
      <c r="K14" s="10"/>
      <c r="L14" s="24">
        <f t="shared" si="4"/>
        <v>0</v>
      </c>
      <c r="M14" s="27">
        <v>4940.4799999999996</v>
      </c>
      <c r="N14" s="14"/>
    </row>
    <row r="15" spans="1:18" x14ac:dyDescent="0.3">
      <c r="A15" s="36" t="s">
        <v>82</v>
      </c>
      <c r="B15" s="15" t="s">
        <v>65</v>
      </c>
      <c r="C15" s="12"/>
      <c r="D15" s="2" t="s">
        <v>22</v>
      </c>
      <c r="E15" s="17" t="s">
        <v>20</v>
      </c>
      <c r="F15" s="15" t="str">
        <f t="shared" si="0"/>
        <v>014/24 CONVER FORMAT 98, S.L.</v>
      </c>
      <c r="G15" s="24">
        <f t="shared" si="1"/>
        <v>229.06611570247935</v>
      </c>
      <c r="H15" s="34">
        <v>21</v>
      </c>
      <c r="I15" s="24">
        <f>G15*H15/100</f>
        <v>48.103884297520665</v>
      </c>
      <c r="J15" s="24">
        <f>G15</f>
        <v>229.06611570247935</v>
      </c>
      <c r="K15" s="10"/>
      <c r="L15" s="24">
        <f>J15*K15/100</f>
        <v>0</v>
      </c>
      <c r="M15" s="27">
        <v>277.17</v>
      </c>
      <c r="N15" s="14"/>
    </row>
    <row r="16" spans="1:18" x14ac:dyDescent="0.3">
      <c r="A16" s="36" t="s">
        <v>82</v>
      </c>
      <c r="B16" s="15" t="s">
        <v>66</v>
      </c>
      <c r="C16" s="12"/>
      <c r="D16" s="2" t="s">
        <v>89</v>
      </c>
      <c r="E16" s="2" t="s">
        <v>90</v>
      </c>
      <c r="F16" s="15" t="str">
        <f t="shared" si="0"/>
        <v>015/24 PAFAIM S.L.</v>
      </c>
      <c r="G16" s="24">
        <f t="shared" si="1"/>
        <v>742.28925619834706</v>
      </c>
      <c r="H16" s="34">
        <v>21</v>
      </c>
      <c r="I16" s="24">
        <f>G16*H16/100</f>
        <v>155.88074380165287</v>
      </c>
      <c r="J16" s="24">
        <f>G16</f>
        <v>742.28925619834706</v>
      </c>
      <c r="K16" s="10"/>
      <c r="L16" s="24">
        <f>J16*K16/100</f>
        <v>0</v>
      </c>
      <c r="M16" s="27">
        <v>898.17</v>
      </c>
      <c r="N16" s="14"/>
    </row>
    <row r="17" spans="1:19" x14ac:dyDescent="0.3">
      <c r="A17" s="36" t="s">
        <v>83</v>
      </c>
      <c r="B17" s="15" t="s">
        <v>67</v>
      </c>
      <c r="C17" s="12"/>
      <c r="D17" s="2" t="s">
        <v>29</v>
      </c>
      <c r="E17" s="2" t="s">
        <v>30</v>
      </c>
      <c r="F17" s="15" t="str">
        <f t="shared" si="0"/>
        <v>016/24 INVERSIONES TERRENOS Y SERVICIOS, S.A.</v>
      </c>
      <c r="G17" s="24">
        <f t="shared" si="1"/>
        <v>500</v>
      </c>
      <c r="H17" s="34">
        <v>21</v>
      </c>
      <c r="I17" s="24">
        <f>G17*H17/100</f>
        <v>105</v>
      </c>
      <c r="J17" s="24">
        <f>G17</f>
        <v>500</v>
      </c>
      <c r="K17" s="10"/>
      <c r="L17" s="24">
        <f>J17*K17/100</f>
        <v>0</v>
      </c>
      <c r="M17" s="27">
        <v>605</v>
      </c>
      <c r="N17" s="14"/>
    </row>
    <row r="18" spans="1:19" x14ac:dyDescent="0.3">
      <c r="A18" s="36" t="s">
        <v>83</v>
      </c>
      <c r="B18" s="15" t="s">
        <v>68</v>
      </c>
      <c r="C18" s="12"/>
      <c r="D18" s="2" t="s">
        <v>29</v>
      </c>
      <c r="E18" s="2" t="s">
        <v>30</v>
      </c>
      <c r="F18" s="15" t="str">
        <f t="shared" si="0"/>
        <v>017/24 INVERSIONES TERRENOS Y SERVICIOS, S.A.</v>
      </c>
      <c r="G18" s="24">
        <f t="shared" si="1"/>
        <v>7489.280991735538</v>
      </c>
      <c r="H18" s="34">
        <v>21</v>
      </c>
      <c r="I18" s="24">
        <f t="shared" ref="I18:I23" si="5">G18*H18/100</f>
        <v>1572.7490082644631</v>
      </c>
      <c r="J18" s="24">
        <f t="shared" ref="J18:J23" si="6">G18</f>
        <v>7489.280991735538</v>
      </c>
      <c r="K18" s="10"/>
      <c r="L18" s="24">
        <f t="shared" ref="L18:L23" si="7">J18*K18/100</f>
        <v>0</v>
      </c>
      <c r="M18" s="27">
        <v>9062.0300000000007</v>
      </c>
      <c r="N18" s="14"/>
    </row>
    <row r="19" spans="1:19" x14ac:dyDescent="0.3">
      <c r="A19" s="36" t="s">
        <v>83</v>
      </c>
      <c r="B19" s="15" t="s">
        <v>70</v>
      </c>
      <c r="C19" s="12"/>
      <c r="D19" s="2" t="s">
        <v>42</v>
      </c>
      <c r="E19" s="2" t="s">
        <v>41</v>
      </c>
      <c r="F19" s="15" t="str">
        <f t="shared" si="0"/>
        <v>N/F 018/24 IBERIA TAPAS INVESTMENTS, S.L.</v>
      </c>
      <c r="G19" s="24">
        <f t="shared" si="1"/>
        <v>47.67768595041322</v>
      </c>
      <c r="H19" s="5">
        <v>21</v>
      </c>
      <c r="I19" s="25">
        <f t="shared" si="5"/>
        <v>10.012314049586777</v>
      </c>
      <c r="J19" s="25">
        <f t="shared" si="6"/>
        <v>47.67768595041322</v>
      </c>
      <c r="L19" s="25">
        <f t="shared" si="7"/>
        <v>0</v>
      </c>
      <c r="M19" s="27">
        <v>57.69</v>
      </c>
      <c r="S19" t="s">
        <v>18</v>
      </c>
    </row>
    <row r="20" spans="1:19" x14ac:dyDescent="0.3">
      <c r="A20" s="36" t="s">
        <v>83</v>
      </c>
      <c r="B20" s="15" t="s">
        <v>69</v>
      </c>
      <c r="C20" s="12"/>
      <c r="D20" s="2" t="s">
        <v>27</v>
      </c>
      <c r="E20" s="2" t="s">
        <v>28</v>
      </c>
      <c r="F20" s="15" t="str">
        <f t="shared" si="0"/>
        <v>019/24 COMUNIDAD DE PROPIETARIOS LA PINEDA II</v>
      </c>
      <c r="G20" s="24">
        <f t="shared" si="1"/>
        <v>252.50413223140495</v>
      </c>
      <c r="H20" s="34">
        <v>21</v>
      </c>
      <c r="I20" s="24">
        <f t="shared" si="5"/>
        <v>53.025867768595042</v>
      </c>
      <c r="J20" s="24">
        <f t="shared" si="6"/>
        <v>252.50413223140495</v>
      </c>
      <c r="K20" s="10"/>
      <c r="L20" s="24">
        <f t="shared" si="7"/>
        <v>0</v>
      </c>
      <c r="M20" s="27">
        <v>305.52999999999997</v>
      </c>
      <c r="N20" s="14"/>
    </row>
    <row r="21" spans="1:19" x14ac:dyDescent="0.3">
      <c r="A21" s="36" t="s">
        <v>84</v>
      </c>
      <c r="B21" s="15" t="s">
        <v>71</v>
      </c>
      <c r="C21" s="12"/>
      <c r="D21" s="2" t="s">
        <v>22</v>
      </c>
      <c r="E21" s="17" t="s">
        <v>20</v>
      </c>
      <c r="F21" s="15" t="str">
        <f t="shared" si="0"/>
        <v>020/24 CONVER FORMAT 98, S.L.</v>
      </c>
      <c r="G21" s="24">
        <f t="shared" si="1"/>
        <v>213.85950413223139</v>
      </c>
      <c r="H21" s="34">
        <v>21</v>
      </c>
      <c r="I21" s="24">
        <f t="shared" si="5"/>
        <v>44.910495867768596</v>
      </c>
      <c r="J21" s="24">
        <f t="shared" si="6"/>
        <v>213.85950413223139</v>
      </c>
      <c r="K21" s="10"/>
      <c r="L21" s="24">
        <f t="shared" si="7"/>
        <v>0</v>
      </c>
      <c r="M21" s="27">
        <v>258.77</v>
      </c>
      <c r="N21" s="14"/>
    </row>
    <row r="22" spans="1:19" x14ac:dyDescent="0.3">
      <c r="A22" s="36" t="s">
        <v>84</v>
      </c>
      <c r="B22" s="15" t="s">
        <v>72</v>
      </c>
      <c r="C22" s="12"/>
      <c r="D22" s="17" t="s">
        <v>38</v>
      </c>
      <c r="E22" s="2" t="s">
        <v>37</v>
      </c>
      <c r="F22" s="15" t="str">
        <f t="shared" si="0"/>
        <v>021/24 TREVOLA, S.L.</v>
      </c>
      <c r="G22" s="24">
        <f t="shared" si="1"/>
        <v>250.22314049586777</v>
      </c>
      <c r="H22" s="34">
        <v>21</v>
      </c>
      <c r="I22" s="24">
        <f t="shared" si="5"/>
        <v>52.546859504132236</v>
      </c>
      <c r="J22" s="24">
        <f t="shared" si="6"/>
        <v>250.22314049586777</v>
      </c>
      <c r="K22" s="10"/>
      <c r="L22" s="24">
        <f t="shared" si="7"/>
        <v>0</v>
      </c>
      <c r="M22" s="27">
        <v>302.77</v>
      </c>
      <c r="N22" s="14"/>
    </row>
    <row r="23" spans="1:19" x14ac:dyDescent="0.3">
      <c r="A23" s="36" t="s">
        <v>85</v>
      </c>
      <c r="B23" s="15" t="s">
        <v>73</v>
      </c>
      <c r="C23" s="12"/>
      <c r="D23" s="16" t="s">
        <v>33</v>
      </c>
      <c r="E23" s="16" t="s">
        <v>34</v>
      </c>
      <c r="F23" s="15" t="str">
        <f t="shared" si="0"/>
        <v>022/24 LATAM AIRLINES GROUP S.A</v>
      </c>
      <c r="G23" s="24">
        <f t="shared" si="1"/>
        <v>350.39669421487605</v>
      </c>
      <c r="H23" s="34">
        <v>21</v>
      </c>
      <c r="I23" s="24">
        <f t="shared" si="5"/>
        <v>73.583305785123969</v>
      </c>
      <c r="J23" s="24">
        <f t="shared" si="6"/>
        <v>350.39669421487605</v>
      </c>
      <c r="K23" s="10"/>
      <c r="L23" s="24">
        <f t="shared" si="7"/>
        <v>0</v>
      </c>
      <c r="M23" s="27">
        <v>423.98</v>
      </c>
      <c r="N23" s="14"/>
    </row>
    <row r="24" spans="1:19" x14ac:dyDescent="0.3">
      <c r="A24" s="36" t="s">
        <v>86</v>
      </c>
      <c r="B24" s="15" t="s">
        <v>74</v>
      </c>
      <c r="C24" s="12"/>
      <c r="D24" s="16" t="s">
        <v>33</v>
      </c>
      <c r="E24" s="16" t="s">
        <v>34</v>
      </c>
      <c r="F24" s="15" t="str">
        <f t="shared" si="0"/>
        <v>023/24 LATAM AIRLINES GROUP S.A</v>
      </c>
      <c r="G24" s="24">
        <f t="shared" si="1"/>
        <v>697.09917355371908</v>
      </c>
      <c r="H24" s="34">
        <v>21</v>
      </c>
      <c r="I24" s="24">
        <f t="shared" ref="I24:I39" si="8">G24*H24/100</f>
        <v>146.39082644628101</v>
      </c>
      <c r="J24" s="24">
        <f t="shared" ref="J24:J39" si="9">G24</f>
        <v>697.09917355371908</v>
      </c>
      <c r="K24" s="10"/>
      <c r="L24" s="24">
        <f t="shared" ref="L24:L39" si="10">J24*K24/100</f>
        <v>0</v>
      </c>
      <c r="M24" s="27">
        <v>843.49</v>
      </c>
      <c r="N24" s="14"/>
    </row>
    <row r="25" spans="1:19" x14ac:dyDescent="0.3">
      <c r="A25" s="36" t="s">
        <v>87</v>
      </c>
      <c r="B25" s="15" t="s">
        <v>75</v>
      </c>
      <c r="C25" s="12"/>
      <c r="D25" s="2" t="s">
        <v>29</v>
      </c>
      <c r="E25" s="2" t="s">
        <v>30</v>
      </c>
      <c r="F25" s="15" t="str">
        <f t="shared" si="0"/>
        <v>024/24 INVERSIONES TERRENOS Y SERVICIOS, S.A.</v>
      </c>
      <c r="G25" s="24">
        <f t="shared" si="1"/>
        <v>527.14876033057851</v>
      </c>
      <c r="H25" s="34">
        <v>21</v>
      </c>
      <c r="I25" s="24">
        <f t="shared" si="8"/>
        <v>110.70123966942148</v>
      </c>
      <c r="J25" s="24">
        <f t="shared" si="9"/>
        <v>527.14876033057851</v>
      </c>
      <c r="K25" s="10"/>
      <c r="L25" s="24">
        <f t="shared" si="10"/>
        <v>0</v>
      </c>
      <c r="M25" s="27">
        <v>637.85</v>
      </c>
      <c r="N25" s="14"/>
    </row>
    <row r="26" spans="1:19" x14ac:dyDescent="0.3">
      <c r="A26" s="36" t="s">
        <v>88</v>
      </c>
      <c r="B26" s="15" t="s">
        <v>76</v>
      </c>
      <c r="C26" s="12"/>
      <c r="D26" s="2" t="s">
        <v>24</v>
      </c>
      <c r="E26" s="2" t="s">
        <v>21</v>
      </c>
      <c r="F26" s="15" t="str">
        <f t="shared" si="0"/>
        <v>025/24 RESTAURANTE URRECHU CLUB, S.L.</v>
      </c>
      <c r="G26" s="24">
        <f t="shared" si="1"/>
        <v>708.01652892561992</v>
      </c>
      <c r="H26" s="34">
        <v>21</v>
      </c>
      <c r="I26" s="24">
        <f t="shared" si="8"/>
        <v>148.68347107438018</v>
      </c>
      <c r="J26" s="24">
        <f t="shared" si="9"/>
        <v>708.01652892561992</v>
      </c>
      <c r="K26" s="10"/>
      <c r="L26" s="24">
        <f t="shared" si="10"/>
        <v>0</v>
      </c>
      <c r="M26" s="27">
        <v>856.7</v>
      </c>
      <c r="N26" s="14"/>
    </row>
    <row r="27" spans="1:19" x14ac:dyDescent="0.3">
      <c r="A27" s="36" t="s">
        <v>88</v>
      </c>
      <c r="B27" s="15" t="s">
        <v>77</v>
      </c>
      <c r="C27" s="12"/>
      <c r="D27" s="2" t="s">
        <v>26</v>
      </c>
      <c r="E27" s="2" t="s">
        <v>25</v>
      </c>
      <c r="F27" s="15" t="str">
        <f t="shared" si="0"/>
        <v>N/F 026/24 EL CIELO DE URRECHU, S.L.</v>
      </c>
      <c r="G27" s="24">
        <f t="shared" si="1"/>
        <v>106.68595041322315</v>
      </c>
      <c r="H27" s="5">
        <v>21</v>
      </c>
      <c r="I27" s="25">
        <f t="shared" si="8"/>
        <v>22.404049586776864</v>
      </c>
      <c r="J27" s="25">
        <f t="shared" si="9"/>
        <v>106.68595041322315</v>
      </c>
      <c r="L27" s="25">
        <f t="shared" si="10"/>
        <v>0</v>
      </c>
      <c r="M27" s="27">
        <v>129.09</v>
      </c>
      <c r="S27" t="s">
        <v>18</v>
      </c>
    </row>
    <row r="28" spans="1:19" x14ac:dyDescent="0.3">
      <c r="A28" s="36" t="s">
        <v>88</v>
      </c>
      <c r="B28" s="15" t="s">
        <v>78</v>
      </c>
      <c r="C28" s="12"/>
      <c r="D28" s="16" t="s">
        <v>23</v>
      </c>
      <c r="E28" s="2" t="s">
        <v>19</v>
      </c>
      <c r="F28" s="15" t="str">
        <f t="shared" si="0"/>
        <v>027/24 REAL CANOE NATACION CLUB</v>
      </c>
      <c r="G28" s="24">
        <f t="shared" si="1"/>
        <v>11318.859504132231</v>
      </c>
      <c r="H28" s="20">
        <v>21</v>
      </c>
      <c r="I28" s="24">
        <f t="shared" si="8"/>
        <v>2376.9604958677683</v>
      </c>
      <c r="J28" s="24">
        <f t="shared" si="9"/>
        <v>11318.859504132231</v>
      </c>
      <c r="K28" s="10"/>
      <c r="L28" s="24">
        <f t="shared" si="10"/>
        <v>0</v>
      </c>
      <c r="M28" s="27">
        <v>13695.82</v>
      </c>
      <c r="N28" s="14"/>
    </row>
    <row r="29" spans="1:19" x14ac:dyDescent="0.3">
      <c r="A29" s="36" t="s">
        <v>88</v>
      </c>
      <c r="B29" s="15" t="s">
        <v>79</v>
      </c>
      <c r="C29" s="12"/>
      <c r="D29" s="2" t="s">
        <v>36</v>
      </c>
      <c r="E29" s="17" t="s">
        <v>35</v>
      </c>
      <c r="F29" s="15" t="str">
        <f t="shared" si="0"/>
        <v>028/24 ANTONIO SIGUERO S.L.</v>
      </c>
      <c r="G29" s="24">
        <f t="shared" si="1"/>
        <v>960.66115702479351</v>
      </c>
      <c r="H29" s="34">
        <v>21</v>
      </c>
      <c r="I29" s="24">
        <f t="shared" si="8"/>
        <v>201.73884297520664</v>
      </c>
      <c r="J29" s="24">
        <f t="shared" si="9"/>
        <v>960.66115702479351</v>
      </c>
      <c r="K29" s="10"/>
      <c r="L29" s="24">
        <f t="shared" si="10"/>
        <v>0</v>
      </c>
      <c r="M29" s="27">
        <v>1162.4000000000001</v>
      </c>
      <c r="N29" s="14"/>
    </row>
    <row r="30" spans="1:19" s="18" customFormat="1" x14ac:dyDescent="0.3">
      <c r="A30" s="23">
        <v>45373</v>
      </c>
      <c r="B30" s="15" t="s">
        <v>80</v>
      </c>
      <c r="C30" s="12"/>
      <c r="D30" s="2" t="s">
        <v>96</v>
      </c>
      <c r="E30" s="2" t="s">
        <v>95</v>
      </c>
      <c r="F30" s="15" t="str">
        <f t="shared" si="0"/>
        <v>029/24 DUTTI TRANS SL</v>
      </c>
      <c r="G30" s="24">
        <f t="shared" si="1"/>
        <v>905</v>
      </c>
      <c r="H30" s="34">
        <v>21</v>
      </c>
      <c r="I30" s="32">
        <f t="shared" si="8"/>
        <v>190.05</v>
      </c>
      <c r="J30" s="32">
        <f t="shared" si="9"/>
        <v>905</v>
      </c>
      <c r="K30" s="20"/>
      <c r="L30" s="32">
        <f t="shared" si="10"/>
        <v>0</v>
      </c>
      <c r="M30" s="27">
        <v>1095.05</v>
      </c>
      <c r="N30" s="21"/>
      <c r="O30" s="22"/>
      <c r="P30" s="22"/>
      <c r="Q30" s="19"/>
    </row>
    <row r="31" spans="1:19" s="18" customFormat="1" x14ac:dyDescent="0.3">
      <c r="A31" s="23">
        <v>45373</v>
      </c>
      <c r="B31" s="15" t="s">
        <v>91</v>
      </c>
      <c r="C31" s="12"/>
      <c r="D31" s="17" t="s">
        <v>38</v>
      </c>
      <c r="E31" s="2" t="s">
        <v>37</v>
      </c>
      <c r="F31" s="15" t="str">
        <f t="shared" si="0"/>
        <v>030/24 TREVOLA, S.L.</v>
      </c>
      <c r="G31" s="24">
        <f t="shared" si="1"/>
        <v>334.04132231404958</v>
      </c>
      <c r="H31" s="34">
        <v>21</v>
      </c>
      <c r="I31" s="32">
        <f t="shared" si="8"/>
        <v>70.148677685950418</v>
      </c>
      <c r="J31" s="32">
        <f t="shared" si="9"/>
        <v>334.04132231404958</v>
      </c>
      <c r="K31" s="20"/>
      <c r="L31" s="32">
        <f t="shared" si="10"/>
        <v>0</v>
      </c>
      <c r="M31" s="27">
        <v>404.19</v>
      </c>
      <c r="N31" s="21"/>
      <c r="O31" s="22"/>
      <c r="P31" s="22"/>
      <c r="Q31" s="19"/>
    </row>
    <row r="32" spans="1:19" s="18" customFormat="1" x14ac:dyDescent="0.3">
      <c r="A32" s="23">
        <v>45373</v>
      </c>
      <c r="B32" s="15" t="s">
        <v>92</v>
      </c>
      <c r="C32" s="12"/>
      <c r="D32" s="2" t="s">
        <v>29</v>
      </c>
      <c r="E32" s="2" t="s">
        <v>30</v>
      </c>
      <c r="F32" s="15" t="str">
        <f t="shared" si="0"/>
        <v>031/24 INVERSIONES TERRENOS Y SERVICIOS, S.A.</v>
      </c>
      <c r="G32" s="24">
        <f t="shared" si="1"/>
        <v>556.19008264462809</v>
      </c>
      <c r="H32" s="34">
        <v>21</v>
      </c>
      <c r="I32" s="32">
        <f t="shared" si="8"/>
        <v>116.7999173553719</v>
      </c>
      <c r="J32" s="32">
        <f t="shared" si="9"/>
        <v>556.19008264462809</v>
      </c>
      <c r="K32" s="20"/>
      <c r="L32" s="32">
        <f t="shared" si="10"/>
        <v>0</v>
      </c>
      <c r="M32" s="27">
        <v>672.99</v>
      </c>
      <c r="N32" s="21"/>
      <c r="O32" s="22"/>
      <c r="P32" s="22"/>
      <c r="Q32" s="19"/>
    </row>
    <row r="33" spans="1:19" s="18" customFormat="1" x14ac:dyDescent="0.3">
      <c r="A33" s="23">
        <v>45373</v>
      </c>
      <c r="B33" s="15" t="s">
        <v>93</v>
      </c>
      <c r="C33" s="12"/>
      <c r="D33" s="2" t="s">
        <v>97</v>
      </c>
      <c r="E33" s="2" t="s">
        <v>98</v>
      </c>
      <c r="F33" s="15" t="str">
        <f t="shared" si="0"/>
        <v>032/24 GIUDECCA RESTAURANTS S.L.U.</v>
      </c>
      <c r="G33" s="24">
        <f t="shared" si="1"/>
        <v>200.5619834710744</v>
      </c>
      <c r="H33" s="34">
        <v>21</v>
      </c>
      <c r="I33" s="32">
        <f t="shared" si="8"/>
        <v>42.118016528925629</v>
      </c>
      <c r="J33" s="32">
        <f t="shared" si="9"/>
        <v>200.5619834710744</v>
      </c>
      <c r="K33" s="20"/>
      <c r="L33" s="32">
        <f t="shared" si="10"/>
        <v>0</v>
      </c>
      <c r="M33" s="27">
        <v>242.68</v>
      </c>
      <c r="N33" s="21"/>
      <c r="O33" s="22"/>
      <c r="P33" s="22"/>
      <c r="Q33" s="19"/>
    </row>
    <row r="34" spans="1:19" s="18" customFormat="1" x14ac:dyDescent="0.3">
      <c r="A34" s="23">
        <v>45373</v>
      </c>
      <c r="B34" s="15" t="s">
        <v>94</v>
      </c>
      <c r="C34" s="12"/>
      <c r="D34" s="2" t="s">
        <v>32</v>
      </c>
      <c r="E34" s="2" t="s">
        <v>31</v>
      </c>
      <c r="F34" s="15" t="str">
        <f t="shared" si="0"/>
        <v>033/24 SPANISH TAPAS INVESTMENTS, S.L.</v>
      </c>
      <c r="G34" s="24">
        <f t="shared" si="1"/>
        <v>120.51239669421487</v>
      </c>
      <c r="H34" s="34">
        <v>21</v>
      </c>
      <c r="I34" s="32">
        <f t="shared" si="8"/>
        <v>25.307603305785122</v>
      </c>
      <c r="J34" s="32">
        <f t="shared" si="9"/>
        <v>120.51239669421487</v>
      </c>
      <c r="K34" s="20"/>
      <c r="L34" s="32">
        <f t="shared" si="10"/>
        <v>0</v>
      </c>
      <c r="M34" s="27">
        <v>145.82</v>
      </c>
      <c r="N34" s="21"/>
      <c r="O34" s="22"/>
      <c r="P34" s="22"/>
      <c r="Q34" s="19"/>
    </row>
    <row r="35" spans="1:19" x14ac:dyDescent="0.3">
      <c r="A35" s="11">
        <v>45382</v>
      </c>
      <c r="B35" s="15" t="s">
        <v>99</v>
      </c>
      <c r="C35" s="15"/>
      <c r="D35" s="2" t="s">
        <v>36</v>
      </c>
      <c r="E35" s="17" t="s">
        <v>35</v>
      </c>
      <c r="F35" s="15" t="str">
        <f t="shared" si="0"/>
        <v>034/24 ANTONIO SIGUERO S.L.</v>
      </c>
      <c r="G35" s="24">
        <f t="shared" si="1"/>
        <v>7696.1900826446281</v>
      </c>
      <c r="H35" s="34">
        <v>21</v>
      </c>
      <c r="I35" s="24">
        <f t="shared" si="8"/>
        <v>1616.1999173553718</v>
      </c>
      <c r="J35" s="24">
        <f t="shared" si="9"/>
        <v>7696.1900826446281</v>
      </c>
      <c r="K35" s="10"/>
      <c r="L35" s="24">
        <f t="shared" si="10"/>
        <v>0</v>
      </c>
      <c r="M35" s="27">
        <v>9312.39</v>
      </c>
      <c r="N35" s="14"/>
    </row>
    <row r="36" spans="1:19" x14ac:dyDescent="0.3">
      <c r="A36" s="11">
        <v>45382</v>
      </c>
      <c r="B36" s="15" t="s">
        <v>100</v>
      </c>
      <c r="C36" s="15"/>
      <c r="D36" s="15" t="s">
        <v>105</v>
      </c>
      <c r="E36" s="15" t="s">
        <v>104</v>
      </c>
      <c r="F36" s="15" t="str">
        <f t="shared" si="0"/>
        <v>035/24 PERFECT VIEWS S.L.</v>
      </c>
      <c r="G36" s="24">
        <f t="shared" si="1"/>
        <v>265.43801652892563</v>
      </c>
      <c r="H36" s="20">
        <v>21</v>
      </c>
      <c r="I36" s="24">
        <f t="shared" si="8"/>
        <v>55.741983471074384</v>
      </c>
      <c r="J36" s="24">
        <f t="shared" si="9"/>
        <v>265.43801652892563</v>
      </c>
      <c r="K36" s="10"/>
      <c r="L36" s="24">
        <f t="shared" si="10"/>
        <v>0</v>
      </c>
      <c r="M36" s="27">
        <v>321.18</v>
      </c>
      <c r="N36" s="14"/>
    </row>
    <row r="37" spans="1:19" x14ac:dyDescent="0.3">
      <c r="A37" s="11">
        <v>45382</v>
      </c>
      <c r="B37" s="15" t="s">
        <v>101</v>
      </c>
      <c r="C37" s="15"/>
      <c r="D37" s="2" t="s">
        <v>24</v>
      </c>
      <c r="E37" s="2" t="s">
        <v>21</v>
      </c>
      <c r="F37" s="15" t="str">
        <f t="shared" si="0"/>
        <v>036/24 RESTAURANTE URRECHU CLUB, S.L.</v>
      </c>
      <c r="G37" s="24">
        <f t="shared" si="1"/>
        <v>176.08264462809919</v>
      </c>
      <c r="H37" s="20">
        <v>21</v>
      </c>
      <c r="I37" s="24">
        <f t="shared" si="8"/>
        <v>36.977355371900828</v>
      </c>
      <c r="J37" s="24">
        <f t="shared" si="9"/>
        <v>176.08264462809919</v>
      </c>
      <c r="K37" s="10"/>
      <c r="L37" s="24">
        <f t="shared" si="10"/>
        <v>0</v>
      </c>
      <c r="M37" s="27">
        <v>213.06</v>
      </c>
      <c r="N37" s="14"/>
    </row>
    <row r="38" spans="1:19" x14ac:dyDescent="0.3">
      <c r="A38" s="11">
        <v>45382</v>
      </c>
      <c r="B38" s="15" t="s">
        <v>102</v>
      </c>
      <c r="C38" s="15"/>
      <c r="D38" s="16" t="s">
        <v>23</v>
      </c>
      <c r="E38" s="2" t="s">
        <v>19</v>
      </c>
      <c r="F38" s="15" t="str">
        <f t="shared" si="0"/>
        <v>037/24 REAL CANOE NATACION CLUB</v>
      </c>
      <c r="G38" s="24">
        <f t="shared" si="1"/>
        <v>8317.6198347107438</v>
      </c>
      <c r="H38" s="20">
        <v>21</v>
      </c>
      <c r="I38" s="24">
        <f t="shared" si="8"/>
        <v>1746.7001652892563</v>
      </c>
      <c r="J38" s="24">
        <f t="shared" si="9"/>
        <v>8317.6198347107438</v>
      </c>
      <c r="K38" s="10"/>
      <c r="L38" s="24">
        <f t="shared" si="10"/>
        <v>0</v>
      </c>
      <c r="M38" s="27">
        <v>10064.32</v>
      </c>
      <c r="N38" s="14"/>
    </row>
    <row r="39" spans="1:19" x14ac:dyDescent="0.3">
      <c r="A39" s="11">
        <v>45382</v>
      </c>
      <c r="B39" s="15" t="s">
        <v>103</v>
      </c>
      <c r="C39" s="15"/>
      <c r="D39" s="15" t="s">
        <v>107</v>
      </c>
      <c r="E39" s="15" t="s">
        <v>106</v>
      </c>
      <c r="F39" s="15" t="str">
        <f t="shared" si="0"/>
        <v>N/F 038/24 UZ LA FINCA S.L.</v>
      </c>
      <c r="G39" s="24">
        <f t="shared" si="1"/>
        <v>180.7685950413223</v>
      </c>
      <c r="H39" s="5">
        <v>21</v>
      </c>
      <c r="I39" s="24">
        <f t="shared" si="8"/>
        <v>37.961404958677683</v>
      </c>
      <c r="J39" s="25">
        <f t="shared" si="9"/>
        <v>180.7685950413223</v>
      </c>
      <c r="L39" s="25">
        <f t="shared" si="10"/>
        <v>0</v>
      </c>
      <c r="M39" s="27">
        <v>218.73</v>
      </c>
      <c r="S39" t="s">
        <v>18</v>
      </c>
    </row>
    <row r="40" spans="1:19" x14ac:dyDescent="0.3">
      <c r="A40" s="37"/>
      <c r="B40" s="12"/>
      <c r="C40" s="12"/>
      <c r="D40" s="12"/>
      <c r="E40" s="12"/>
      <c r="F40" s="15"/>
      <c r="G40" s="24"/>
      <c r="H40" s="34"/>
      <c r="I40" s="24"/>
      <c r="J40" s="24"/>
      <c r="K40" s="10"/>
      <c r="L40" s="24"/>
      <c r="M40" s="33"/>
      <c r="N40" s="14"/>
    </row>
    <row r="41" spans="1:19" ht="15" thickBot="1" x14ac:dyDescent="0.35">
      <c r="A41" s="37"/>
      <c r="B41" s="12"/>
      <c r="C41" s="12"/>
      <c r="D41" s="12"/>
      <c r="E41" s="12"/>
      <c r="F41" s="15"/>
      <c r="G41" s="24"/>
      <c r="H41" s="10"/>
      <c r="I41" s="24"/>
      <c r="J41" s="24"/>
      <c r="K41" s="10"/>
      <c r="L41" s="24"/>
      <c r="M41" s="33"/>
      <c r="N41" s="14"/>
    </row>
    <row r="42" spans="1:19" ht="15" thickBot="1" x14ac:dyDescent="0.35">
      <c r="A42" s="37"/>
      <c r="B42" s="12"/>
      <c r="C42" s="12"/>
      <c r="D42" s="12"/>
      <c r="E42" s="12"/>
      <c r="G42" s="26">
        <f>SUM(G2:G41)</f>
        <v>59526.305785123965</v>
      </c>
      <c r="I42" s="26">
        <f>SUM(I2:I41)</f>
        <v>12500.524214876035</v>
      </c>
      <c r="J42" s="24"/>
      <c r="K42" s="10"/>
      <c r="L42" s="24"/>
      <c r="M42" s="26">
        <f>SUM(M2:M41)</f>
        <v>72026.829999999973</v>
      </c>
      <c r="N42" s="2"/>
      <c r="Q42"/>
    </row>
    <row r="43" spans="1:19" x14ac:dyDescent="0.3">
      <c r="A43" s="37"/>
      <c r="B43" s="12"/>
      <c r="C43" s="12"/>
      <c r="D43" s="12"/>
      <c r="E43" s="12"/>
      <c r="F43" s="15"/>
      <c r="G43" s="24"/>
      <c r="H43" s="10"/>
      <c r="I43" s="24"/>
      <c r="J43" s="31"/>
      <c r="K43" s="13"/>
      <c r="L43" s="31"/>
      <c r="M43" s="33"/>
      <c r="N43" s="14"/>
    </row>
    <row r="44" spans="1:19" x14ac:dyDescent="0.3">
      <c r="A44" s="37"/>
      <c r="B44" s="12"/>
      <c r="C44" s="12"/>
      <c r="D44" s="12"/>
      <c r="E44" s="12"/>
      <c r="F44" s="12"/>
      <c r="G44" s="31"/>
      <c r="H44" s="13"/>
      <c r="I44" s="31"/>
      <c r="J44" s="31"/>
      <c r="K44" s="13"/>
      <c r="L44" s="31"/>
      <c r="M44" s="33"/>
      <c r="N44" s="14"/>
      <c r="S44" t="s">
        <v>18</v>
      </c>
    </row>
    <row r="45" spans="1:19" x14ac:dyDescent="0.3">
      <c r="A45" s="37"/>
      <c r="B45" s="12"/>
      <c r="C45" s="12"/>
      <c r="D45" s="12"/>
      <c r="E45" s="12"/>
      <c r="F45" s="12"/>
      <c r="G45" s="31"/>
      <c r="H45" s="13"/>
      <c r="I45" s="31"/>
      <c r="J45" s="31"/>
      <c r="K45" s="13"/>
      <c r="L45" s="31"/>
      <c r="M45" s="33"/>
      <c r="N45" s="14"/>
      <c r="S45" t="s">
        <v>18</v>
      </c>
    </row>
    <row r="46" spans="1:19" x14ac:dyDescent="0.3">
      <c r="A46" s="37"/>
      <c r="B46" s="12"/>
      <c r="C46" s="12"/>
      <c r="D46" s="12"/>
      <c r="E46" s="12"/>
      <c r="F46" s="12"/>
      <c r="G46" s="31"/>
      <c r="H46" s="13"/>
      <c r="I46" s="31"/>
      <c r="J46" s="31"/>
      <c r="K46" s="13"/>
      <c r="L46" s="31"/>
      <c r="M46" s="33"/>
      <c r="N46" s="14"/>
      <c r="S46" t="s">
        <v>18</v>
      </c>
    </row>
    <row r="47" spans="1:19" x14ac:dyDescent="0.3">
      <c r="A47" s="37"/>
      <c r="B47" s="12"/>
      <c r="C47" s="12"/>
      <c r="D47" s="12"/>
      <c r="E47" s="12"/>
      <c r="F47" s="12"/>
      <c r="G47" s="31"/>
      <c r="H47" s="13"/>
      <c r="I47" s="31"/>
      <c r="J47" s="31"/>
      <c r="K47" s="13"/>
      <c r="L47" s="31"/>
      <c r="M47" s="33"/>
      <c r="N47" s="14"/>
      <c r="S47" t="s">
        <v>18</v>
      </c>
    </row>
    <row r="48" spans="1:19" x14ac:dyDescent="0.3">
      <c r="A48" s="37"/>
      <c r="B48" s="12"/>
      <c r="C48" s="12"/>
      <c r="D48" s="12"/>
      <c r="E48" s="12"/>
      <c r="F48" s="12"/>
      <c r="G48" s="31"/>
      <c r="H48" s="13"/>
      <c r="I48" s="31"/>
      <c r="J48" s="31"/>
      <c r="K48" s="13"/>
      <c r="L48" s="31"/>
      <c r="M48" s="33"/>
      <c r="N48" s="14"/>
      <c r="S48" t="s">
        <v>18</v>
      </c>
    </row>
    <row r="49" spans="1:19" x14ac:dyDescent="0.3">
      <c r="A49" s="37"/>
      <c r="B49" s="12"/>
      <c r="C49" s="12"/>
      <c r="D49" s="12"/>
      <c r="E49" s="12"/>
      <c r="F49" s="12"/>
      <c r="G49" s="31"/>
      <c r="H49" s="13"/>
      <c r="I49" s="31"/>
      <c r="J49" s="31"/>
      <c r="K49" s="13"/>
      <c r="L49" s="31"/>
      <c r="M49" s="33"/>
      <c r="N49" s="14"/>
      <c r="S49" t="s">
        <v>18</v>
      </c>
    </row>
    <row r="50" spans="1:19" x14ac:dyDescent="0.3">
      <c r="A50" s="37"/>
      <c r="B50" s="12"/>
      <c r="C50" s="12"/>
      <c r="D50" s="12"/>
      <c r="E50" s="12"/>
      <c r="F50" s="12"/>
      <c r="G50" s="31"/>
      <c r="H50" s="13"/>
      <c r="I50" s="31"/>
      <c r="J50" s="31"/>
      <c r="K50" s="13"/>
      <c r="L50" s="31"/>
      <c r="M50" s="33"/>
      <c r="N50" s="14"/>
      <c r="S50" t="s">
        <v>18</v>
      </c>
    </row>
    <row r="51" spans="1:19" x14ac:dyDescent="0.3">
      <c r="A51" s="37"/>
      <c r="B51" s="12"/>
      <c r="C51" s="12"/>
      <c r="D51" s="12"/>
      <c r="E51" s="12"/>
      <c r="F51" s="12"/>
      <c r="G51" s="31"/>
      <c r="H51" s="13"/>
      <c r="I51" s="31"/>
      <c r="J51" s="31"/>
      <c r="K51" s="13"/>
      <c r="L51" s="31"/>
      <c r="M51" s="33"/>
      <c r="N51" s="14"/>
      <c r="S51" t="s">
        <v>18</v>
      </c>
    </row>
    <row r="52" spans="1:19" x14ac:dyDescent="0.3">
      <c r="A52" s="37"/>
      <c r="B52" s="12"/>
      <c r="C52" s="12"/>
      <c r="D52" s="12"/>
      <c r="E52" s="12"/>
      <c r="F52" s="12"/>
      <c r="G52" s="31"/>
      <c r="H52" s="13"/>
      <c r="I52" s="31"/>
      <c r="J52" s="31"/>
      <c r="K52" s="13"/>
      <c r="L52" s="31"/>
      <c r="M52" s="33"/>
      <c r="N52" s="14"/>
      <c r="S52" t="s">
        <v>18</v>
      </c>
    </row>
    <row r="53" spans="1:19" x14ac:dyDescent="0.3">
      <c r="A53" s="37"/>
      <c r="B53" s="12"/>
      <c r="C53" s="12"/>
      <c r="D53" s="12"/>
      <c r="E53" s="12"/>
      <c r="F53" s="12"/>
      <c r="G53" s="31"/>
      <c r="H53" s="13"/>
      <c r="I53" s="31"/>
      <c r="J53" s="31"/>
      <c r="K53" s="13"/>
      <c r="L53" s="31"/>
      <c r="M53" s="33"/>
      <c r="N53" s="14"/>
      <c r="S53" t="s">
        <v>18</v>
      </c>
    </row>
    <row r="54" spans="1:19" x14ac:dyDescent="0.3">
      <c r="A54" s="37"/>
      <c r="B54" s="12"/>
      <c r="C54" s="12"/>
      <c r="D54" s="12"/>
      <c r="E54" s="12"/>
      <c r="F54" s="12"/>
      <c r="G54" s="31"/>
      <c r="H54" s="13"/>
      <c r="I54" s="31"/>
      <c r="J54" s="31"/>
      <c r="K54" s="13"/>
      <c r="L54" s="31"/>
      <c r="M54" s="33"/>
      <c r="N54" s="14"/>
      <c r="S54" t="s">
        <v>18</v>
      </c>
    </row>
    <row r="55" spans="1:19" x14ac:dyDescent="0.3">
      <c r="A55" s="37"/>
      <c r="B55" s="12"/>
      <c r="C55" s="12"/>
      <c r="D55" s="12"/>
      <c r="E55" s="12"/>
      <c r="F55" s="12"/>
      <c r="G55" s="31"/>
      <c r="H55" s="13"/>
      <c r="I55" s="31"/>
      <c r="J55" s="31"/>
      <c r="K55" s="13"/>
      <c r="L55" s="31"/>
      <c r="M55" s="33"/>
      <c r="N55" s="14"/>
      <c r="S55" t="s">
        <v>18</v>
      </c>
    </row>
    <row r="56" spans="1:19" x14ac:dyDescent="0.3">
      <c r="A56" s="37"/>
      <c r="B56" s="12"/>
      <c r="C56" s="12"/>
      <c r="D56" s="12"/>
      <c r="E56" s="12"/>
      <c r="F56" s="12"/>
      <c r="G56" s="31"/>
      <c r="H56" s="13"/>
      <c r="I56" s="31"/>
      <c r="J56" s="31"/>
      <c r="K56" s="13"/>
      <c r="L56" s="31"/>
      <c r="M56" s="33"/>
      <c r="N56" s="14"/>
      <c r="S56" t="s">
        <v>18</v>
      </c>
    </row>
    <row r="57" spans="1:19" x14ac:dyDescent="0.3">
      <c r="F57" s="12"/>
      <c r="G57" s="31"/>
      <c r="H57" s="13"/>
      <c r="I57" s="31"/>
      <c r="J57" s="31"/>
      <c r="K57" s="13"/>
      <c r="L57" s="31"/>
      <c r="M57" s="29"/>
      <c r="N57" s="14"/>
      <c r="S57" t="s">
        <v>18</v>
      </c>
    </row>
    <row r="58" spans="1:19" x14ac:dyDescent="0.3">
      <c r="F58" s="12"/>
      <c r="G58" s="31"/>
      <c r="H58" s="13"/>
      <c r="I58" s="31"/>
      <c r="J58" s="31"/>
      <c r="K58" s="13"/>
      <c r="L58" s="31"/>
      <c r="M58" s="29"/>
      <c r="N58" s="14"/>
      <c r="S58" t="s">
        <v>18</v>
      </c>
    </row>
    <row r="59" spans="1:19" x14ac:dyDescent="0.3">
      <c r="F59" s="12"/>
      <c r="G59" s="31"/>
      <c r="H59" s="13"/>
      <c r="I59" s="31"/>
      <c r="J59" s="31"/>
      <c r="K59" s="13"/>
      <c r="L59" s="31"/>
      <c r="M59" s="29"/>
      <c r="N59" s="14"/>
      <c r="S59" t="s">
        <v>18</v>
      </c>
    </row>
    <row r="60" spans="1:19" x14ac:dyDescent="0.3">
      <c r="F60" s="12"/>
      <c r="G60" s="31"/>
      <c r="H60" s="13"/>
      <c r="I60" s="31"/>
      <c r="J60" s="31"/>
      <c r="K60" s="13"/>
      <c r="L60" s="31"/>
      <c r="M60" s="29"/>
      <c r="N60" s="14"/>
      <c r="S60" t="s">
        <v>18</v>
      </c>
    </row>
    <row r="61" spans="1:19" x14ac:dyDescent="0.3">
      <c r="F61" s="12"/>
      <c r="G61" s="31"/>
      <c r="H61" s="13"/>
      <c r="I61" s="31"/>
      <c r="J61" s="31"/>
      <c r="K61" s="13"/>
      <c r="L61" s="31"/>
      <c r="M61" s="29"/>
      <c r="N61" s="14"/>
      <c r="S61" t="s">
        <v>18</v>
      </c>
    </row>
    <row r="62" spans="1:19" x14ac:dyDescent="0.3">
      <c r="F62" s="12"/>
      <c r="G62" s="31"/>
      <c r="H62" s="13"/>
      <c r="I62" s="31"/>
      <c r="J62" s="31"/>
      <c r="K62" s="13"/>
      <c r="L62" s="31"/>
      <c r="M62" s="29"/>
      <c r="N62" s="14"/>
      <c r="S62" t="s">
        <v>18</v>
      </c>
    </row>
    <row r="63" spans="1:19" x14ac:dyDescent="0.3">
      <c r="F63" s="12"/>
      <c r="G63" s="31"/>
      <c r="H63" s="13"/>
      <c r="I63" s="31"/>
      <c r="J63" s="31"/>
      <c r="K63" s="13"/>
      <c r="L63" s="31"/>
      <c r="M63" s="29"/>
      <c r="N63" s="14"/>
      <c r="S63" t="s">
        <v>18</v>
      </c>
    </row>
    <row r="64" spans="1:19" x14ac:dyDescent="0.3">
      <c r="F64" s="12"/>
      <c r="G64" s="31"/>
      <c r="H64" s="13"/>
      <c r="I64" s="31"/>
      <c r="J64" s="31"/>
      <c r="K64" s="13"/>
      <c r="L64" s="31"/>
      <c r="M64" s="29"/>
      <c r="N64" s="14"/>
      <c r="S64" t="s">
        <v>18</v>
      </c>
    </row>
    <row r="65" spans="6:19" x14ac:dyDescent="0.3">
      <c r="F65" s="12"/>
      <c r="G65" s="31"/>
      <c r="H65" s="13"/>
      <c r="I65" s="31"/>
      <c r="J65" s="31"/>
      <c r="K65" s="13"/>
      <c r="L65" s="31"/>
      <c r="N65" s="14"/>
      <c r="S65" t="s">
        <v>18</v>
      </c>
    </row>
    <row r="66" spans="6:19" x14ac:dyDescent="0.3">
      <c r="F66" s="12"/>
      <c r="G66" s="31"/>
      <c r="H66" s="13"/>
      <c r="I66" s="31"/>
      <c r="J66" s="31"/>
      <c r="K66" s="13"/>
      <c r="L66" s="31"/>
      <c r="N66" s="14"/>
      <c r="S66" t="s">
        <v>18</v>
      </c>
    </row>
    <row r="67" spans="6:19" x14ac:dyDescent="0.3">
      <c r="F67" s="12"/>
      <c r="G67" s="31"/>
      <c r="H67" s="13"/>
      <c r="I67" s="31"/>
      <c r="J67" s="31"/>
      <c r="K67" s="13"/>
      <c r="L67" s="31"/>
      <c r="N67" s="14"/>
      <c r="S67" t="s">
        <v>18</v>
      </c>
    </row>
    <row r="68" spans="6:19" x14ac:dyDescent="0.3">
      <c r="F68" s="12"/>
      <c r="G68" s="31"/>
      <c r="H68" s="13"/>
      <c r="I68" s="31"/>
      <c r="J68" s="31"/>
      <c r="K68" s="13"/>
      <c r="L68" s="31"/>
      <c r="N68" s="14"/>
      <c r="S68" t="s">
        <v>18</v>
      </c>
    </row>
    <row r="69" spans="6:19" x14ac:dyDescent="0.3">
      <c r="F69" s="12"/>
      <c r="G69" s="31"/>
      <c r="H69" s="13"/>
      <c r="I69" s="31"/>
      <c r="J69" s="31"/>
      <c r="K69" s="13"/>
      <c r="L69" s="31"/>
      <c r="N69" s="14"/>
      <c r="S69" t="s">
        <v>18</v>
      </c>
    </row>
    <row r="70" spans="6:19" x14ac:dyDescent="0.3">
      <c r="F70" s="12"/>
      <c r="G70" s="31"/>
      <c r="H70" s="13"/>
      <c r="I70" s="31"/>
      <c r="J70" s="31"/>
      <c r="K70" s="13"/>
      <c r="L70" s="31"/>
      <c r="N70" s="14"/>
      <c r="S70" t="s">
        <v>18</v>
      </c>
    </row>
    <row r="71" spans="6:19" x14ac:dyDescent="0.3">
      <c r="F71" s="12"/>
      <c r="G71" s="31"/>
      <c r="H71" s="13"/>
      <c r="I71" s="31"/>
      <c r="J71" s="31"/>
      <c r="K71" s="13"/>
      <c r="L71" s="31"/>
      <c r="N71" s="14"/>
      <c r="S71" t="s">
        <v>18</v>
      </c>
    </row>
    <row r="72" spans="6:19" x14ac:dyDescent="0.3">
      <c r="F72" s="12"/>
      <c r="G72" s="31"/>
      <c r="H72" s="13"/>
      <c r="I72" s="31"/>
      <c r="J72" s="31"/>
      <c r="K72" s="13"/>
      <c r="L72" s="31"/>
      <c r="N72" s="14"/>
      <c r="S72" t="s">
        <v>18</v>
      </c>
    </row>
    <row r="73" spans="6:19" x14ac:dyDescent="0.3">
      <c r="F73" s="12"/>
      <c r="G73" s="31"/>
      <c r="H73" s="13"/>
      <c r="I73" s="31"/>
      <c r="J73" s="31"/>
      <c r="K73" s="13"/>
      <c r="L73" s="31"/>
      <c r="N73" s="14"/>
      <c r="S73" t="s">
        <v>18</v>
      </c>
    </row>
    <row r="74" spans="6:19" x14ac:dyDescent="0.3">
      <c r="F74" s="12"/>
      <c r="G74" s="31"/>
      <c r="H74" s="13"/>
      <c r="I74" s="31"/>
      <c r="J74" s="31"/>
      <c r="K74" s="13"/>
      <c r="L74" s="31"/>
      <c r="N74" s="14"/>
      <c r="S74" t="s">
        <v>18</v>
      </c>
    </row>
    <row r="75" spans="6:19" x14ac:dyDescent="0.3">
      <c r="F75" s="12"/>
      <c r="G75" s="31"/>
      <c r="H75" s="13"/>
      <c r="I75" s="31"/>
      <c r="J75" s="31"/>
      <c r="K75" s="13"/>
      <c r="L75" s="31"/>
      <c r="N75" s="14"/>
      <c r="S75" t="s">
        <v>18</v>
      </c>
    </row>
    <row r="76" spans="6:19" x14ac:dyDescent="0.3">
      <c r="F76" s="12"/>
      <c r="G76" s="31"/>
      <c r="H76" s="13"/>
      <c r="I76" s="31"/>
      <c r="J76" s="31"/>
      <c r="K76" s="13"/>
      <c r="L76" s="31"/>
      <c r="N76" s="14"/>
      <c r="S76" t="s">
        <v>18</v>
      </c>
    </row>
    <row r="77" spans="6:19" x14ac:dyDescent="0.3">
      <c r="F77" s="12"/>
      <c r="G77" s="31"/>
      <c r="H77" s="13"/>
      <c r="I77" s="31"/>
      <c r="J77" s="31"/>
      <c r="K77" s="13"/>
      <c r="L77" s="31"/>
      <c r="N77" s="14"/>
      <c r="S77" t="s">
        <v>18</v>
      </c>
    </row>
    <row r="78" spans="6:19" x14ac:dyDescent="0.3">
      <c r="F78" s="12"/>
      <c r="G78" s="31"/>
      <c r="H78" s="13"/>
      <c r="I78" s="31"/>
      <c r="J78" s="31"/>
      <c r="K78" s="13"/>
      <c r="L78" s="31"/>
      <c r="N78" s="14"/>
      <c r="S78" t="s">
        <v>18</v>
      </c>
    </row>
    <row r="79" spans="6:19" x14ac:dyDescent="0.3">
      <c r="F79" s="12"/>
      <c r="G79" s="31"/>
      <c r="H79" s="13"/>
      <c r="I79" s="31"/>
      <c r="J79" s="31"/>
      <c r="K79" s="13"/>
      <c r="L79" s="31"/>
      <c r="N79" s="14"/>
      <c r="S79" t="s">
        <v>18</v>
      </c>
    </row>
    <row r="80" spans="6:19" x14ac:dyDescent="0.3">
      <c r="F80" s="12"/>
      <c r="G80" s="31"/>
      <c r="H80" s="13"/>
      <c r="I80" s="31"/>
      <c r="J80" s="31"/>
      <c r="K80" s="13"/>
      <c r="L80" s="31"/>
      <c r="N80" s="14"/>
      <c r="S80" t="s">
        <v>18</v>
      </c>
    </row>
    <row r="81" spans="6:19" x14ac:dyDescent="0.3">
      <c r="F81" s="12"/>
      <c r="G81" s="31"/>
      <c r="H81" s="13"/>
      <c r="I81" s="31"/>
      <c r="J81" s="31"/>
      <c r="K81" s="13"/>
      <c r="L81" s="31"/>
      <c r="N81" s="14"/>
      <c r="S81" t="s">
        <v>18</v>
      </c>
    </row>
    <row r="82" spans="6:19" x14ac:dyDescent="0.3">
      <c r="F82" s="12"/>
      <c r="G82" s="31"/>
      <c r="H82" s="13"/>
      <c r="I82" s="31"/>
      <c r="J82" s="31"/>
      <c r="K82" s="13"/>
      <c r="L82" s="31"/>
      <c r="N82" s="14"/>
      <c r="S82" t="s">
        <v>18</v>
      </c>
    </row>
    <row r="83" spans="6:19" x14ac:dyDescent="0.3">
      <c r="F83" s="12"/>
      <c r="G83" s="31"/>
      <c r="H83" s="13"/>
      <c r="I83" s="31"/>
      <c r="J83" s="31"/>
      <c r="K83" s="13"/>
      <c r="L83" s="31"/>
      <c r="N83" s="14"/>
      <c r="S83" t="s">
        <v>18</v>
      </c>
    </row>
    <row r="84" spans="6:19" x14ac:dyDescent="0.3">
      <c r="F84" s="12"/>
      <c r="G84" s="31"/>
      <c r="H84" s="13"/>
      <c r="I84" s="31"/>
      <c r="J84" s="31"/>
      <c r="K84" s="13"/>
      <c r="L84" s="31"/>
      <c r="N84" s="14"/>
      <c r="S84" t="s">
        <v>18</v>
      </c>
    </row>
    <row r="85" spans="6:19" x14ac:dyDescent="0.3">
      <c r="F85" s="12"/>
      <c r="G85" s="31"/>
      <c r="H85" s="13"/>
      <c r="I85" s="31"/>
      <c r="J85" s="31"/>
      <c r="K85" s="13"/>
      <c r="L85" s="31"/>
      <c r="N85" s="14"/>
      <c r="S85" t="s">
        <v>18</v>
      </c>
    </row>
    <row r="86" spans="6:19" x14ac:dyDescent="0.3">
      <c r="F86" s="12"/>
      <c r="G86" s="31"/>
      <c r="H86" s="13"/>
      <c r="I86" s="31"/>
      <c r="J86" s="31"/>
      <c r="K86" s="13"/>
      <c r="L86" s="31"/>
      <c r="N86" s="14"/>
      <c r="S86" t="s">
        <v>18</v>
      </c>
    </row>
    <row r="87" spans="6:19" x14ac:dyDescent="0.3">
      <c r="F87" s="12"/>
      <c r="G87" s="31"/>
      <c r="H87" s="13"/>
      <c r="I87" s="31"/>
      <c r="J87" s="31"/>
      <c r="K87" s="13"/>
      <c r="L87" s="31"/>
      <c r="N87" s="14"/>
      <c r="S87" t="s">
        <v>18</v>
      </c>
    </row>
    <row r="88" spans="6:19" x14ac:dyDescent="0.3">
      <c r="F88" s="12"/>
      <c r="G88" s="31"/>
      <c r="H88" s="13"/>
      <c r="I88" s="31"/>
      <c r="N88" s="14"/>
      <c r="S88" t="s">
        <v>18</v>
      </c>
    </row>
    <row r="89" spans="6:19" x14ac:dyDescent="0.3">
      <c r="S89" t="s">
        <v>18</v>
      </c>
    </row>
    <row r="90" spans="6:19" x14ac:dyDescent="0.3">
      <c r="S90" t="s">
        <v>18</v>
      </c>
    </row>
    <row r="91" spans="6:19" x14ac:dyDescent="0.3">
      <c r="S91" t="s">
        <v>18</v>
      </c>
    </row>
    <row r="92" spans="6:19" x14ac:dyDescent="0.3">
      <c r="S92" t="s">
        <v>18</v>
      </c>
    </row>
    <row r="93" spans="6:19" x14ac:dyDescent="0.3">
      <c r="S93" t="s">
        <v>18</v>
      </c>
    </row>
    <row r="94" spans="6:19" x14ac:dyDescent="0.3">
      <c r="S94" t="s">
        <v>18</v>
      </c>
    </row>
    <row r="95" spans="6:19" x14ac:dyDescent="0.3">
      <c r="S95" t="s">
        <v>18</v>
      </c>
    </row>
    <row r="96" spans="6:19" x14ac:dyDescent="0.3">
      <c r="S96" t="s">
        <v>18</v>
      </c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EEFE-D253-45CB-9ED5-D8AB4DFA496F}">
  <dimension ref="A1:S96"/>
  <sheetViews>
    <sheetView tabSelected="1" workbookViewId="0">
      <selection activeCell="E11" sqref="E11"/>
    </sheetView>
  </sheetViews>
  <sheetFormatPr baseColWidth="10" defaultRowHeight="14.4" x14ac:dyDescent="0.3"/>
  <cols>
    <col min="1" max="1" width="11.33203125" style="4" customWidth="1"/>
    <col min="2" max="2" width="16.44140625" style="2" customWidth="1"/>
    <col min="3" max="3" width="4.44140625" style="2" customWidth="1"/>
    <col min="4" max="4" width="13.21875" style="2" customWidth="1"/>
    <col min="5" max="5" width="42.88671875" style="2" customWidth="1"/>
    <col min="6" max="6" width="44.6640625" style="2" bestFit="1" customWidth="1"/>
    <col min="7" max="7" width="11.5546875" style="25"/>
    <col min="8" max="8" width="8.77734375" style="5" bestFit="1" customWidth="1"/>
    <col min="9" max="9" width="13.33203125" style="25" customWidth="1"/>
    <col min="10" max="10" width="11.6640625" style="25" customWidth="1"/>
    <col min="11" max="11" width="6.109375" style="5" customWidth="1"/>
    <col min="12" max="12" width="8.5546875" style="25" customWidth="1"/>
    <col min="13" max="13" width="10.6640625" style="28" customWidth="1"/>
    <col min="14" max="14" width="14.88671875" style="3" bestFit="1" customWidth="1"/>
    <col min="15" max="16" width="11.44140625" style="3" customWidth="1"/>
    <col min="17" max="17" width="12.5546875" style="2" customWidth="1"/>
    <col min="18" max="18" width="14.109375" customWidth="1"/>
  </cols>
  <sheetData>
    <row r="1" spans="1:18" s="1" customFormat="1" ht="30" customHeight="1" x14ac:dyDescent="0.3">
      <c r="A1" s="35" t="s">
        <v>0</v>
      </c>
      <c r="B1" s="8" t="s">
        <v>108</v>
      </c>
      <c r="C1" s="8" t="s">
        <v>2</v>
      </c>
      <c r="D1" s="8" t="s">
        <v>3</v>
      </c>
      <c r="E1" s="8" t="s">
        <v>4</v>
      </c>
      <c r="F1" s="8" t="s">
        <v>5</v>
      </c>
      <c r="G1" s="30" t="s">
        <v>6</v>
      </c>
      <c r="H1" s="9" t="s">
        <v>7</v>
      </c>
      <c r="I1" s="30" t="s">
        <v>8</v>
      </c>
      <c r="J1" s="30" t="s">
        <v>9</v>
      </c>
      <c r="K1" s="9" t="s">
        <v>10</v>
      </c>
      <c r="L1" s="30" t="s">
        <v>11</v>
      </c>
      <c r="M1" s="30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</row>
    <row r="2" spans="1:18" x14ac:dyDescent="0.3">
      <c r="A2" s="36" t="s">
        <v>44</v>
      </c>
      <c r="B2" s="16" t="s">
        <v>43</v>
      </c>
      <c r="C2" s="16"/>
      <c r="D2" s="2" t="s">
        <v>39</v>
      </c>
      <c r="E2" s="2" t="s">
        <v>40</v>
      </c>
      <c r="F2" s="15" t="str">
        <f>CONCATENATE(S2,B2," ",E2)</f>
        <v>001/24 FEDERACIÓN MADRILEÑA DE NATACIÓN</v>
      </c>
      <c r="G2" s="24">
        <f>M2/(1-K2/100+H2/100)</f>
        <v>108.74380165289257</v>
      </c>
      <c r="H2" s="20">
        <v>21</v>
      </c>
      <c r="I2" s="24">
        <f>G2*H2/100</f>
        <v>22.836198347107437</v>
      </c>
      <c r="J2" s="24">
        <f>G2</f>
        <v>108.74380165289257</v>
      </c>
      <c r="K2" s="10"/>
      <c r="L2" s="24">
        <f>J2*K2/100</f>
        <v>0</v>
      </c>
      <c r="M2" s="27">
        <v>131.58000000000001</v>
      </c>
      <c r="N2" s="14"/>
    </row>
    <row r="3" spans="1:18" x14ac:dyDescent="0.3">
      <c r="A3" s="36" t="s">
        <v>44</v>
      </c>
      <c r="B3" s="16" t="s">
        <v>49</v>
      </c>
      <c r="C3" s="12"/>
      <c r="D3" s="2" t="s">
        <v>60</v>
      </c>
      <c r="E3" s="17" t="s">
        <v>61</v>
      </c>
      <c r="F3" s="15" t="str">
        <f t="shared" ref="F3:F39" si="0">CONCATENATE(S3,B3," ",E3)</f>
        <v>002/24 RUBEN HERNANDEZ DIAZ</v>
      </c>
      <c r="G3" s="24">
        <f t="shared" ref="G3:G39" si="1">M3/(1-K3/100+H3/100)</f>
        <v>68.446280991735534</v>
      </c>
      <c r="H3" s="34">
        <v>21</v>
      </c>
      <c r="I3" s="24">
        <f>G3*H3/100</f>
        <v>14.373719008264461</v>
      </c>
      <c r="J3" s="24">
        <f>G3</f>
        <v>68.446280991735534</v>
      </c>
      <c r="K3" s="10"/>
      <c r="L3" s="24">
        <f>J3*K3/100</f>
        <v>0</v>
      </c>
      <c r="M3" s="27">
        <v>82.82</v>
      </c>
      <c r="N3" s="14"/>
    </row>
    <row r="4" spans="1:18" x14ac:dyDescent="0.3">
      <c r="A4" s="36" t="s">
        <v>44</v>
      </c>
      <c r="B4" s="16" t="s">
        <v>50</v>
      </c>
      <c r="C4" s="12"/>
      <c r="D4" s="2" t="s">
        <v>22</v>
      </c>
      <c r="E4" s="17" t="s">
        <v>20</v>
      </c>
      <c r="F4" s="15" t="str">
        <f t="shared" si="0"/>
        <v>003/24 CONVER FORMAT 98, S.L.</v>
      </c>
      <c r="G4" s="24">
        <f t="shared" si="1"/>
        <v>135.36363636363637</v>
      </c>
      <c r="H4" s="34">
        <v>21</v>
      </c>
      <c r="I4" s="24">
        <f>G4*H4/100</f>
        <v>28.426363636363639</v>
      </c>
      <c r="J4" s="24">
        <f>G4</f>
        <v>135.36363636363637</v>
      </c>
      <c r="K4" s="10"/>
      <c r="L4" s="24">
        <f>J4*K4/100</f>
        <v>0</v>
      </c>
      <c r="M4" s="27">
        <v>163.79</v>
      </c>
      <c r="N4" s="14"/>
    </row>
    <row r="5" spans="1:18" x14ac:dyDescent="0.3">
      <c r="A5" s="36" t="s">
        <v>44</v>
      </c>
      <c r="B5" s="2" t="s">
        <v>51</v>
      </c>
      <c r="D5" s="2" t="s">
        <v>62</v>
      </c>
      <c r="E5" s="2" t="s">
        <v>63</v>
      </c>
      <c r="F5" s="15" t="str">
        <f t="shared" si="0"/>
        <v>004/24 AHOSMA</v>
      </c>
      <c r="G5" s="24">
        <f t="shared" si="1"/>
        <v>213.04132231404958</v>
      </c>
      <c r="H5" s="34">
        <v>21</v>
      </c>
      <c r="I5" s="24">
        <f t="shared" ref="I5:I14" si="2">G5*H5/100</f>
        <v>44.738677685950414</v>
      </c>
      <c r="J5" s="24">
        <f t="shared" ref="J5:J14" si="3">G5</f>
        <v>213.04132231404958</v>
      </c>
      <c r="K5" s="10"/>
      <c r="L5" s="24">
        <f t="shared" ref="L5:L14" si="4">J5*K5/100</f>
        <v>0</v>
      </c>
      <c r="M5" s="27">
        <v>257.77999999999997</v>
      </c>
      <c r="N5" s="14"/>
    </row>
    <row r="6" spans="1:18" x14ac:dyDescent="0.3">
      <c r="A6" s="36" t="s">
        <v>45</v>
      </c>
      <c r="B6" s="16" t="s">
        <v>52</v>
      </c>
      <c r="C6" s="12"/>
      <c r="D6" s="2" t="s">
        <v>39</v>
      </c>
      <c r="E6" s="2" t="s">
        <v>40</v>
      </c>
      <c r="F6" s="15" t="str">
        <f t="shared" si="0"/>
        <v>005/24 FEDERACIÓN MADRILEÑA DE NATACIÓN</v>
      </c>
      <c r="G6" s="24">
        <f t="shared" si="1"/>
        <v>43.32231404958678</v>
      </c>
      <c r="H6" s="34">
        <v>21</v>
      </c>
      <c r="I6" s="24">
        <f t="shared" si="2"/>
        <v>9.0976859504132239</v>
      </c>
      <c r="J6" s="24">
        <f t="shared" si="3"/>
        <v>43.32231404958678</v>
      </c>
      <c r="K6" s="10"/>
      <c r="L6" s="24">
        <f t="shared" si="4"/>
        <v>0</v>
      </c>
      <c r="M6" s="27">
        <v>52.42</v>
      </c>
      <c r="N6" s="14"/>
    </row>
    <row r="7" spans="1:18" x14ac:dyDescent="0.3">
      <c r="A7" s="36" t="s">
        <v>46</v>
      </c>
      <c r="B7" s="15" t="s">
        <v>53</v>
      </c>
      <c r="C7" s="12"/>
      <c r="D7" s="16" t="s">
        <v>33</v>
      </c>
      <c r="E7" s="16" t="s">
        <v>34</v>
      </c>
      <c r="F7" s="15" t="str">
        <f t="shared" si="0"/>
        <v>006/24 LATAM AIRLINES GROUP S.A</v>
      </c>
      <c r="G7" s="24">
        <f t="shared" si="1"/>
        <v>4616.5041322314055</v>
      </c>
      <c r="H7" s="34">
        <v>21</v>
      </c>
      <c r="I7" s="24">
        <f t="shared" si="2"/>
        <v>969.46586776859522</v>
      </c>
      <c r="J7" s="24">
        <f t="shared" si="3"/>
        <v>4616.5041322314055</v>
      </c>
      <c r="K7" s="10"/>
      <c r="L7" s="24">
        <f t="shared" si="4"/>
        <v>0</v>
      </c>
      <c r="M7" s="27">
        <v>5585.97</v>
      </c>
      <c r="N7" s="14"/>
    </row>
    <row r="8" spans="1:18" x14ac:dyDescent="0.3">
      <c r="A8" s="36" t="s">
        <v>46</v>
      </c>
      <c r="B8" s="15" t="s">
        <v>54</v>
      </c>
      <c r="C8" s="12"/>
      <c r="D8" s="16" t="s">
        <v>33</v>
      </c>
      <c r="E8" s="16" t="s">
        <v>34</v>
      </c>
      <c r="F8" s="15" t="str">
        <f t="shared" si="0"/>
        <v>007/24 LATAM AIRLINES GROUP S.A</v>
      </c>
      <c r="G8" s="24">
        <f t="shared" si="1"/>
        <v>451.24793388429754</v>
      </c>
      <c r="H8" s="34">
        <v>21</v>
      </c>
      <c r="I8" s="24">
        <f t="shared" si="2"/>
        <v>94.762066115702495</v>
      </c>
      <c r="J8" s="24">
        <f t="shared" si="3"/>
        <v>451.24793388429754</v>
      </c>
      <c r="K8" s="10"/>
      <c r="L8" s="24">
        <f t="shared" si="4"/>
        <v>0</v>
      </c>
      <c r="M8" s="27">
        <v>546.01</v>
      </c>
      <c r="N8" s="14"/>
    </row>
    <row r="9" spans="1:18" x14ac:dyDescent="0.3">
      <c r="A9" s="36" t="s">
        <v>47</v>
      </c>
      <c r="B9" s="15" t="s">
        <v>55</v>
      </c>
      <c r="C9" s="12"/>
      <c r="D9" s="16" t="s">
        <v>33</v>
      </c>
      <c r="E9" s="16" t="s">
        <v>34</v>
      </c>
      <c r="F9" s="15" t="str">
        <f t="shared" si="0"/>
        <v>008/24 LATAM AIRLINES GROUP S.A</v>
      </c>
      <c r="G9" s="24">
        <f t="shared" si="1"/>
        <v>110.95867768595041</v>
      </c>
      <c r="H9" s="34">
        <v>21</v>
      </c>
      <c r="I9" s="24">
        <f t="shared" si="2"/>
        <v>23.301322314049585</v>
      </c>
      <c r="J9" s="24">
        <f t="shared" si="3"/>
        <v>110.95867768595041</v>
      </c>
      <c r="K9" s="10"/>
      <c r="L9" s="24">
        <f t="shared" si="4"/>
        <v>0</v>
      </c>
      <c r="M9" s="27">
        <v>134.26</v>
      </c>
      <c r="N9" s="14"/>
    </row>
    <row r="10" spans="1:18" x14ac:dyDescent="0.3">
      <c r="A10" s="36" t="s">
        <v>48</v>
      </c>
      <c r="B10" s="15" t="s">
        <v>56</v>
      </c>
      <c r="C10" s="12"/>
      <c r="D10" s="16" t="s">
        <v>32</v>
      </c>
      <c r="E10" s="16" t="s">
        <v>31</v>
      </c>
      <c r="F10" s="15" t="str">
        <f t="shared" si="0"/>
        <v>009/24 SPANISH TAPAS INVESTMENTS, S.L.</v>
      </c>
      <c r="G10" s="24">
        <f t="shared" si="1"/>
        <v>130.14876033057851</v>
      </c>
      <c r="H10" s="34">
        <v>21</v>
      </c>
      <c r="I10" s="24">
        <f t="shared" si="2"/>
        <v>27.331239669421489</v>
      </c>
      <c r="J10" s="24">
        <f t="shared" si="3"/>
        <v>130.14876033057851</v>
      </c>
      <c r="K10" s="10"/>
      <c r="L10" s="24">
        <f t="shared" si="4"/>
        <v>0</v>
      </c>
      <c r="M10" s="27">
        <v>157.47999999999999</v>
      </c>
      <c r="N10" s="14"/>
    </row>
    <row r="11" spans="1:18" x14ac:dyDescent="0.3">
      <c r="A11" s="36" t="s">
        <v>48</v>
      </c>
      <c r="B11" s="15" t="s">
        <v>57</v>
      </c>
      <c r="C11" s="12"/>
      <c r="D11" s="16" t="s">
        <v>23</v>
      </c>
      <c r="E11" s="2" t="s">
        <v>19</v>
      </c>
      <c r="F11" s="15" t="str">
        <f t="shared" si="0"/>
        <v>010/24 REAL CANOE NATACION CLUB</v>
      </c>
      <c r="G11" s="24">
        <f t="shared" si="1"/>
        <v>5798.5785123966944</v>
      </c>
      <c r="H11" s="34">
        <v>21</v>
      </c>
      <c r="I11" s="24">
        <f t="shared" si="2"/>
        <v>1217.7014876033058</v>
      </c>
      <c r="J11" s="24">
        <f t="shared" si="3"/>
        <v>5798.5785123966944</v>
      </c>
      <c r="K11" s="10"/>
      <c r="L11" s="24">
        <f t="shared" si="4"/>
        <v>0</v>
      </c>
      <c r="M11" s="27">
        <v>7016.28</v>
      </c>
      <c r="N11" s="14"/>
    </row>
    <row r="12" spans="1:18" x14ac:dyDescent="0.3">
      <c r="A12" s="36" t="s">
        <v>48</v>
      </c>
      <c r="B12" s="15" t="s">
        <v>58</v>
      </c>
      <c r="C12" s="12"/>
      <c r="D12" s="2" t="s">
        <v>24</v>
      </c>
      <c r="E12" s="2" t="s">
        <v>21</v>
      </c>
      <c r="F12" s="15" t="str">
        <f t="shared" si="0"/>
        <v>011/24 RESTAURANTE URRECHU CLUB, S.L.</v>
      </c>
      <c r="G12" s="24">
        <f t="shared" si="1"/>
        <v>117.09917355371901</v>
      </c>
      <c r="H12" s="34">
        <v>21</v>
      </c>
      <c r="I12" s="24">
        <f t="shared" si="2"/>
        <v>24.590826446280992</v>
      </c>
      <c r="J12" s="24">
        <f t="shared" si="3"/>
        <v>117.09917355371901</v>
      </c>
      <c r="K12" s="10"/>
      <c r="L12" s="24">
        <f t="shared" si="4"/>
        <v>0</v>
      </c>
      <c r="M12" s="27">
        <v>141.69</v>
      </c>
      <c r="N12" s="14"/>
    </row>
    <row r="13" spans="1:18" x14ac:dyDescent="0.3">
      <c r="A13" s="36" t="s">
        <v>48</v>
      </c>
      <c r="B13" s="15" t="s">
        <v>59</v>
      </c>
      <c r="C13" s="12"/>
      <c r="D13" s="2" t="s">
        <v>36</v>
      </c>
      <c r="E13" s="17" t="s">
        <v>35</v>
      </c>
      <c r="F13" s="15" t="str">
        <f t="shared" si="0"/>
        <v>012/24 ANTONIO SIGUERO S.L.</v>
      </c>
      <c r="G13" s="24">
        <f t="shared" si="1"/>
        <v>503.63636363636363</v>
      </c>
      <c r="H13" s="20">
        <v>21</v>
      </c>
      <c r="I13" s="24">
        <f t="shared" si="2"/>
        <v>105.76363636363637</v>
      </c>
      <c r="J13" s="24">
        <f t="shared" si="3"/>
        <v>503.63636363636363</v>
      </c>
      <c r="K13" s="10"/>
      <c r="L13" s="24">
        <f t="shared" si="4"/>
        <v>0</v>
      </c>
      <c r="M13" s="27">
        <v>609.4</v>
      </c>
      <c r="N13" s="14"/>
    </row>
    <row r="14" spans="1:18" x14ac:dyDescent="0.3">
      <c r="A14" s="36" t="s">
        <v>81</v>
      </c>
      <c r="B14" s="15" t="s">
        <v>64</v>
      </c>
      <c r="C14" s="12"/>
      <c r="D14" s="16" t="s">
        <v>23</v>
      </c>
      <c r="E14" s="2" t="s">
        <v>19</v>
      </c>
      <c r="F14" s="15" t="str">
        <f t="shared" si="0"/>
        <v>013/24 REAL CANOE NATACION CLUB</v>
      </c>
      <c r="G14" s="24">
        <f t="shared" si="1"/>
        <v>4083.0413223140495</v>
      </c>
      <c r="H14" s="34">
        <v>21</v>
      </c>
      <c r="I14" s="24">
        <f t="shared" si="2"/>
        <v>857.43867768595044</v>
      </c>
      <c r="J14" s="24">
        <f t="shared" si="3"/>
        <v>4083.0413223140495</v>
      </c>
      <c r="K14" s="10"/>
      <c r="L14" s="24">
        <f t="shared" si="4"/>
        <v>0</v>
      </c>
      <c r="M14" s="27">
        <v>4940.4799999999996</v>
      </c>
      <c r="N14" s="14"/>
    </row>
    <row r="15" spans="1:18" x14ac:dyDescent="0.3">
      <c r="A15" s="36" t="s">
        <v>82</v>
      </c>
      <c r="B15" s="15" t="s">
        <v>65</v>
      </c>
      <c r="C15" s="12"/>
      <c r="D15" s="2" t="s">
        <v>22</v>
      </c>
      <c r="E15" s="17" t="s">
        <v>20</v>
      </c>
      <c r="F15" s="15" t="str">
        <f t="shared" si="0"/>
        <v>014/24 CONVER FORMAT 98, S.L.</v>
      </c>
      <c r="G15" s="24">
        <f t="shared" si="1"/>
        <v>229.06611570247935</v>
      </c>
      <c r="H15" s="34">
        <v>21</v>
      </c>
      <c r="I15" s="24">
        <f>G15*H15/100</f>
        <v>48.103884297520665</v>
      </c>
      <c r="J15" s="24">
        <f>G15</f>
        <v>229.06611570247935</v>
      </c>
      <c r="K15" s="10"/>
      <c r="L15" s="24">
        <f>J15*K15/100</f>
        <v>0</v>
      </c>
      <c r="M15" s="27">
        <v>277.17</v>
      </c>
      <c r="N15" s="14"/>
    </row>
    <row r="16" spans="1:18" x14ac:dyDescent="0.3">
      <c r="A16" s="36" t="s">
        <v>82</v>
      </c>
      <c r="B16" s="15" t="s">
        <v>66</v>
      </c>
      <c r="C16" s="12"/>
      <c r="D16" s="2" t="s">
        <v>89</v>
      </c>
      <c r="E16" s="2" t="s">
        <v>90</v>
      </c>
      <c r="F16" s="15" t="str">
        <f t="shared" si="0"/>
        <v>015/24 PAFAIM S.L.</v>
      </c>
      <c r="G16" s="24">
        <f t="shared" si="1"/>
        <v>742.28925619834706</v>
      </c>
      <c r="H16" s="34">
        <v>21</v>
      </c>
      <c r="I16" s="24">
        <f>G16*H16/100</f>
        <v>155.88074380165287</v>
      </c>
      <c r="J16" s="24">
        <f>G16</f>
        <v>742.28925619834706</v>
      </c>
      <c r="K16" s="10"/>
      <c r="L16" s="24">
        <f>J16*K16/100</f>
        <v>0</v>
      </c>
      <c r="M16" s="27">
        <v>898.17</v>
      </c>
      <c r="N16" s="14"/>
    </row>
    <row r="17" spans="1:19" x14ac:dyDescent="0.3">
      <c r="A17" s="36" t="s">
        <v>83</v>
      </c>
      <c r="B17" s="15" t="s">
        <v>67</v>
      </c>
      <c r="C17" s="12"/>
      <c r="D17" s="2" t="s">
        <v>29</v>
      </c>
      <c r="E17" s="2" t="s">
        <v>30</v>
      </c>
      <c r="F17" s="15" t="str">
        <f t="shared" si="0"/>
        <v>016/24 INVERSIONES TERRENOS Y SERVICIOS, S.A.</v>
      </c>
      <c r="G17" s="24">
        <f t="shared" si="1"/>
        <v>500</v>
      </c>
      <c r="H17" s="34">
        <v>21</v>
      </c>
      <c r="I17" s="24">
        <f>G17*H17/100</f>
        <v>105</v>
      </c>
      <c r="J17" s="24">
        <f>G17</f>
        <v>500</v>
      </c>
      <c r="K17" s="10"/>
      <c r="L17" s="24">
        <f>J17*K17/100</f>
        <v>0</v>
      </c>
      <c r="M17" s="27">
        <v>605</v>
      </c>
      <c r="N17" s="14"/>
    </row>
    <row r="18" spans="1:19" x14ac:dyDescent="0.3">
      <c r="A18" s="36" t="s">
        <v>83</v>
      </c>
      <c r="B18" s="15" t="s">
        <v>68</v>
      </c>
      <c r="C18" s="12"/>
      <c r="D18" s="2" t="s">
        <v>29</v>
      </c>
      <c r="E18" s="2" t="s">
        <v>30</v>
      </c>
      <c r="F18" s="15" t="str">
        <f t="shared" si="0"/>
        <v>017/24 INVERSIONES TERRENOS Y SERVICIOS, S.A.</v>
      </c>
      <c r="G18" s="24">
        <f t="shared" si="1"/>
        <v>7489.280991735538</v>
      </c>
      <c r="H18" s="34">
        <v>21</v>
      </c>
      <c r="I18" s="24">
        <f t="shared" ref="I18:I39" si="5">G18*H18/100</f>
        <v>1572.7490082644631</v>
      </c>
      <c r="J18" s="24">
        <f t="shared" ref="J18:J39" si="6">G18</f>
        <v>7489.280991735538</v>
      </c>
      <c r="K18" s="10"/>
      <c r="L18" s="24">
        <f t="shared" ref="L18:L39" si="7">J18*K18/100</f>
        <v>0</v>
      </c>
      <c r="M18" s="27">
        <v>9062.0300000000007</v>
      </c>
      <c r="N18" s="14"/>
    </row>
    <row r="19" spans="1:19" x14ac:dyDescent="0.3">
      <c r="A19" s="36" t="s">
        <v>83</v>
      </c>
      <c r="B19" s="15" t="s">
        <v>70</v>
      </c>
      <c r="C19" s="12"/>
      <c r="D19" s="2" t="s">
        <v>42</v>
      </c>
      <c r="E19" s="2" t="s">
        <v>41</v>
      </c>
      <c r="F19" s="15" t="str">
        <f t="shared" si="0"/>
        <v>N/F 018/24 IBERIA TAPAS INVESTMENTS, S.L.</v>
      </c>
      <c r="G19" s="24">
        <f t="shared" si="1"/>
        <v>47.67768595041322</v>
      </c>
      <c r="H19" s="5">
        <v>21</v>
      </c>
      <c r="I19" s="25">
        <f t="shared" si="5"/>
        <v>10.012314049586777</v>
      </c>
      <c r="J19" s="25">
        <f t="shared" si="6"/>
        <v>47.67768595041322</v>
      </c>
      <c r="L19" s="25">
        <f t="shared" si="7"/>
        <v>0</v>
      </c>
      <c r="M19" s="27">
        <v>57.69</v>
      </c>
      <c r="S19" t="s">
        <v>18</v>
      </c>
    </row>
    <row r="20" spans="1:19" x14ac:dyDescent="0.3">
      <c r="A20" s="36" t="s">
        <v>83</v>
      </c>
      <c r="B20" s="15" t="s">
        <v>69</v>
      </c>
      <c r="C20" s="12"/>
      <c r="D20" s="2" t="s">
        <v>27</v>
      </c>
      <c r="E20" s="2" t="s">
        <v>28</v>
      </c>
      <c r="F20" s="15" t="str">
        <f t="shared" si="0"/>
        <v>019/24 COMUNIDAD DE PROPIETARIOS LA PINEDA II</v>
      </c>
      <c r="G20" s="24">
        <f t="shared" si="1"/>
        <v>252.50413223140495</v>
      </c>
      <c r="H20" s="34">
        <v>21</v>
      </c>
      <c r="I20" s="24">
        <f t="shared" si="5"/>
        <v>53.025867768595042</v>
      </c>
      <c r="J20" s="24">
        <f t="shared" si="6"/>
        <v>252.50413223140495</v>
      </c>
      <c r="K20" s="10"/>
      <c r="L20" s="24">
        <f t="shared" si="7"/>
        <v>0</v>
      </c>
      <c r="M20" s="27">
        <v>305.52999999999997</v>
      </c>
      <c r="N20" s="14"/>
    </row>
    <row r="21" spans="1:19" x14ac:dyDescent="0.3">
      <c r="A21" s="36" t="s">
        <v>84</v>
      </c>
      <c r="B21" s="15" t="s">
        <v>71</v>
      </c>
      <c r="C21" s="12"/>
      <c r="D21" s="2" t="s">
        <v>22</v>
      </c>
      <c r="E21" s="17" t="s">
        <v>20</v>
      </c>
      <c r="F21" s="15" t="str">
        <f t="shared" si="0"/>
        <v>020/24 CONVER FORMAT 98, S.L.</v>
      </c>
      <c r="G21" s="24">
        <f t="shared" si="1"/>
        <v>213.85950413223139</v>
      </c>
      <c r="H21" s="34">
        <v>21</v>
      </c>
      <c r="I21" s="24">
        <f t="shared" si="5"/>
        <v>44.910495867768596</v>
      </c>
      <c r="J21" s="24">
        <f t="shared" si="6"/>
        <v>213.85950413223139</v>
      </c>
      <c r="K21" s="10"/>
      <c r="L21" s="24">
        <f t="shared" si="7"/>
        <v>0</v>
      </c>
      <c r="M21" s="27">
        <v>258.77</v>
      </c>
      <c r="N21" s="14"/>
    </row>
    <row r="22" spans="1:19" x14ac:dyDescent="0.3">
      <c r="A22" s="36" t="s">
        <v>84</v>
      </c>
      <c r="B22" s="15" t="s">
        <v>72</v>
      </c>
      <c r="C22" s="12"/>
      <c r="D22" s="17" t="s">
        <v>38</v>
      </c>
      <c r="E22" s="2" t="s">
        <v>37</v>
      </c>
      <c r="F22" s="15" t="str">
        <f t="shared" si="0"/>
        <v>021/24 TREVOLA, S.L.</v>
      </c>
      <c r="G22" s="24">
        <f t="shared" si="1"/>
        <v>250.22314049586777</v>
      </c>
      <c r="H22" s="34">
        <v>21</v>
      </c>
      <c r="I22" s="24">
        <f t="shared" si="5"/>
        <v>52.546859504132236</v>
      </c>
      <c r="J22" s="24">
        <f t="shared" si="6"/>
        <v>250.22314049586777</v>
      </c>
      <c r="K22" s="10"/>
      <c r="L22" s="24">
        <f t="shared" si="7"/>
        <v>0</v>
      </c>
      <c r="M22" s="27">
        <v>302.77</v>
      </c>
      <c r="N22" s="14"/>
    </row>
    <row r="23" spans="1:19" x14ac:dyDescent="0.3">
      <c r="A23" s="36" t="s">
        <v>85</v>
      </c>
      <c r="B23" s="15" t="s">
        <v>73</v>
      </c>
      <c r="C23" s="12"/>
      <c r="D23" s="16" t="s">
        <v>33</v>
      </c>
      <c r="E23" s="16" t="s">
        <v>34</v>
      </c>
      <c r="F23" s="15" t="str">
        <f t="shared" si="0"/>
        <v>022/24 LATAM AIRLINES GROUP S.A</v>
      </c>
      <c r="G23" s="24">
        <f t="shared" si="1"/>
        <v>350.39669421487605</v>
      </c>
      <c r="H23" s="34">
        <v>21</v>
      </c>
      <c r="I23" s="24">
        <f t="shared" si="5"/>
        <v>73.583305785123969</v>
      </c>
      <c r="J23" s="24">
        <f t="shared" si="6"/>
        <v>350.39669421487605</v>
      </c>
      <c r="K23" s="10"/>
      <c r="L23" s="24">
        <f t="shared" si="7"/>
        <v>0</v>
      </c>
      <c r="M23" s="27">
        <v>423.98</v>
      </c>
      <c r="N23" s="14"/>
    </row>
    <row r="24" spans="1:19" x14ac:dyDescent="0.3">
      <c r="A24" s="36" t="s">
        <v>86</v>
      </c>
      <c r="B24" s="15" t="s">
        <v>74</v>
      </c>
      <c r="C24" s="12"/>
      <c r="D24" s="16" t="s">
        <v>33</v>
      </c>
      <c r="E24" s="16" t="s">
        <v>34</v>
      </c>
      <c r="F24" s="15" t="str">
        <f t="shared" si="0"/>
        <v>023/24 LATAM AIRLINES GROUP S.A</v>
      </c>
      <c r="G24" s="24">
        <f t="shared" si="1"/>
        <v>697.09917355371908</v>
      </c>
      <c r="H24" s="34">
        <v>21</v>
      </c>
      <c r="I24" s="24">
        <f t="shared" si="5"/>
        <v>146.39082644628101</v>
      </c>
      <c r="J24" s="24">
        <f t="shared" si="6"/>
        <v>697.09917355371908</v>
      </c>
      <c r="K24" s="10"/>
      <c r="L24" s="24">
        <f t="shared" si="7"/>
        <v>0</v>
      </c>
      <c r="M24" s="27">
        <v>843.49</v>
      </c>
      <c r="N24" s="14"/>
    </row>
    <row r="25" spans="1:19" x14ac:dyDescent="0.3">
      <c r="A25" s="36" t="s">
        <v>87</v>
      </c>
      <c r="B25" s="15" t="s">
        <v>75</v>
      </c>
      <c r="C25" s="12"/>
      <c r="D25" s="2" t="s">
        <v>29</v>
      </c>
      <c r="E25" s="2" t="s">
        <v>30</v>
      </c>
      <c r="F25" s="15" t="str">
        <f t="shared" si="0"/>
        <v>024/24 INVERSIONES TERRENOS Y SERVICIOS, S.A.</v>
      </c>
      <c r="G25" s="24">
        <f t="shared" si="1"/>
        <v>527.14876033057851</v>
      </c>
      <c r="H25" s="34">
        <v>21</v>
      </c>
      <c r="I25" s="24">
        <f t="shared" si="5"/>
        <v>110.70123966942148</v>
      </c>
      <c r="J25" s="24">
        <f t="shared" si="6"/>
        <v>527.14876033057851</v>
      </c>
      <c r="K25" s="10"/>
      <c r="L25" s="24">
        <f t="shared" si="7"/>
        <v>0</v>
      </c>
      <c r="M25" s="27">
        <v>637.85</v>
      </c>
      <c r="N25" s="14"/>
    </row>
    <row r="26" spans="1:19" x14ac:dyDescent="0.3">
      <c r="A26" s="36" t="s">
        <v>88</v>
      </c>
      <c r="B26" s="15" t="s">
        <v>76</v>
      </c>
      <c r="C26" s="12"/>
      <c r="D26" s="2" t="s">
        <v>24</v>
      </c>
      <c r="E26" s="2" t="s">
        <v>21</v>
      </c>
      <c r="F26" s="15" t="str">
        <f t="shared" si="0"/>
        <v>025/24 RESTAURANTE URRECHU CLUB, S.L.</v>
      </c>
      <c r="G26" s="24">
        <f t="shared" si="1"/>
        <v>708.01652892561992</v>
      </c>
      <c r="H26" s="34">
        <v>21</v>
      </c>
      <c r="I26" s="24">
        <f t="shared" si="5"/>
        <v>148.68347107438018</v>
      </c>
      <c r="J26" s="24">
        <f t="shared" si="6"/>
        <v>708.01652892561992</v>
      </c>
      <c r="K26" s="10"/>
      <c r="L26" s="24">
        <f t="shared" si="7"/>
        <v>0</v>
      </c>
      <c r="M26" s="27">
        <v>856.7</v>
      </c>
      <c r="N26" s="14"/>
    </row>
    <row r="27" spans="1:19" x14ac:dyDescent="0.3">
      <c r="A27" s="36" t="s">
        <v>88</v>
      </c>
      <c r="B27" s="15" t="s">
        <v>77</v>
      </c>
      <c r="C27" s="12"/>
      <c r="D27" s="2" t="s">
        <v>26</v>
      </c>
      <c r="E27" s="2" t="s">
        <v>25</v>
      </c>
      <c r="F27" s="15" t="str">
        <f t="shared" si="0"/>
        <v>N/F 026/24 EL CIELO DE URRECHU, S.L.</v>
      </c>
      <c r="G27" s="24">
        <f t="shared" si="1"/>
        <v>106.68595041322315</v>
      </c>
      <c r="H27" s="5">
        <v>21</v>
      </c>
      <c r="I27" s="25">
        <f t="shared" si="5"/>
        <v>22.404049586776864</v>
      </c>
      <c r="J27" s="25">
        <f t="shared" si="6"/>
        <v>106.68595041322315</v>
      </c>
      <c r="L27" s="25">
        <f t="shared" si="7"/>
        <v>0</v>
      </c>
      <c r="M27" s="27">
        <v>129.09</v>
      </c>
      <c r="S27" t="s">
        <v>18</v>
      </c>
    </row>
    <row r="28" spans="1:19" x14ac:dyDescent="0.3">
      <c r="A28" s="36" t="s">
        <v>88</v>
      </c>
      <c r="B28" s="15" t="s">
        <v>78</v>
      </c>
      <c r="C28" s="12"/>
      <c r="D28" s="16" t="s">
        <v>23</v>
      </c>
      <c r="E28" s="2" t="s">
        <v>19</v>
      </c>
      <c r="F28" s="15" t="str">
        <f t="shared" si="0"/>
        <v>027/24 REAL CANOE NATACION CLUB</v>
      </c>
      <c r="G28" s="24">
        <f t="shared" si="1"/>
        <v>11318.859504132231</v>
      </c>
      <c r="H28" s="20">
        <v>21</v>
      </c>
      <c r="I28" s="24">
        <f t="shared" si="5"/>
        <v>2376.9604958677683</v>
      </c>
      <c r="J28" s="24">
        <f t="shared" si="6"/>
        <v>11318.859504132231</v>
      </c>
      <c r="K28" s="10"/>
      <c r="L28" s="24">
        <f t="shared" si="7"/>
        <v>0</v>
      </c>
      <c r="M28" s="27">
        <v>13695.82</v>
      </c>
      <c r="N28" s="14"/>
    </row>
    <row r="29" spans="1:19" x14ac:dyDescent="0.3">
      <c r="A29" s="36" t="s">
        <v>88</v>
      </c>
      <c r="B29" s="15" t="s">
        <v>79</v>
      </c>
      <c r="C29" s="12"/>
      <c r="D29" s="2" t="s">
        <v>36</v>
      </c>
      <c r="E29" s="17" t="s">
        <v>35</v>
      </c>
      <c r="F29" s="15" t="str">
        <f t="shared" si="0"/>
        <v>028/24 ANTONIO SIGUERO S.L.</v>
      </c>
      <c r="G29" s="24">
        <f t="shared" si="1"/>
        <v>960.66115702479351</v>
      </c>
      <c r="H29" s="34">
        <v>21</v>
      </c>
      <c r="I29" s="24">
        <f t="shared" si="5"/>
        <v>201.73884297520664</v>
      </c>
      <c r="J29" s="24">
        <f t="shared" si="6"/>
        <v>960.66115702479351</v>
      </c>
      <c r="K29" s="10"/>
      <c r="L29" s="24">
        <f t="shared" si="7"/>
        <v>0</v>
      </c>
      <c r="M29" s="27">
        <v>1162.4000000000001</v>
      </c>
      <c r="N29" s="14"/>
    </row>
    <row r="30" spans="1:19" s="18" customFormat="1" x14ac:dyDescent="0.3">
      <c r="A30" s="23">
        <v>45373</v>
      </c>
      <c r="B30" s="15" t="s">
        <v>80</v>
      </c>
      <c r="C30" s="12"/>
      <c r="D30" s="2" t="s">
        <v>96</v>
      </c>
      <c r="E30" s="2" t="s">
        <v>95</v>
      </c>
      <c r="F30" s="15" t="str">
        <f t="shared" si="0"/>
        <v>029/24 DUTTI TRANS SL</v>
      </c>
      <c r="G30" s="24">
        <f t="shared" si="1"/>
        <v>905</v>
      </c>
      <c r="H30" s="34">
        <v>21</v>
      </c>
      <c r="I30" s="32">
        <f t="shared" si="5"/>
        <v>190.05</v>
      </c>
      <c r="J30" s="32">
        <f t="shared" si="6"/>
        <v>905</v>
      </c>
      <c r="K30" s="20"/>
      <c r="L30" s="32">
        <f t="shared" si="7"/>
        <v>0</v>
      </c>
      <c r="M30" s="27">
        <v>1095.05</v>
      </c>
      <c r="N30" s="21"/>
      <c r="O30" s="22"/>
      <c r="P30" s="22"/>
      <c r="Q30" s="19"/>
    </row>
    <row r="31" spans="1:19" s="18" customFormat="1" x14ac:dyDescent="0.3">
      <c r="A31" s="23">
        <v>45373</v>
      </c>
      <c r="B31" s="15" t="s">
        <v>91</v>
      </c>
      <c r="C31" s="12"/>
      <c r="D31" s="17" t="s">
        <v>38</v>
      </c>
      <c r="E31" s="2" t="s">
        <v>37</v>
      </c>
      <c r="F31" s="15" t="str">
        <f t="shared" si="0"/>
        <v>030/24 TREVOLA, S.L.</v>
      </c>
      <c r="G31" s="24">
        <f t="shared" si="1"/>
        <v>334.04132231404958</v>
      </c>
      <c r="H31" s="34">
        <v>21</v>
      </c>
      <c r="I31" s="32">
        <f t="shared" si="5"/>
        <v>70.148677685950418</v>
      </c>
      <c r="J31" s="32">
        <f t="shared" si="6"/>
        <v>334.04132231404958</v>
      </c>
      <c r="K31" s="20"/>
      <c r="L31" s="32">
        <f t="shared" si="7"/>
        <v>0</v>
      </c>
      <c r="M31" s="27">
        <v>404.19</v>
      </c>
      <c r="N31" s="21"/>
      <c r="O31" s="22"/>
      <c r="P31" s="22"/>
      <c r="Q31" s="19"/>
    </row>
    <row r="32" spans="1:19" s="18" customFormat="1" x14ac:dyDescent="0.3">
      <c r="A32" s="23">
        <v>45373</v>
      </c>
      <c r="B32" s="15" t="s">
        <v>92</v>
      </c>
      <c r="C32" s="12"/>
      <c r="D32" s="2" t="s">
        <v>29</v>
      </c>
      <c r="E32" s="2" t="s">
        <v>30</v>
      </c>
      <c r="F32" s="15" t="str">
        <f t="shared" si="0"/>
        <v>031/24 INVERSIONES TERRENOS Y SERVICIOS, S.A.</v>
      </c>
      <c r="G32" s="24">
        <f t="shared" si="1"/>
        <v>556.19008264462809</v>
      </c>
      <c r="H32" s="34">
        <v>21</v>
      </c>
      <c r="I32" s="32">
        <f t="shared" si="5"/>
        <v>116.7999173553719</v>
      </c>
      <c r="J32" s="32">
        <f t="shared" si="6"/>
        <v>556.19008264462809</v>
      </c>
      <c r="K32" s="20"/>
      <c r="L32" s="32">
        <f t="shared" si="7"/>
        <v>0</v>
      </c>
      <c r="M32" s="27">
        <v>672.99</v>
      </c>
      <c r="N32" s="21"/>
      <c r="O32" s="22"/>
      <c r="P32" s="22"/>
      <c r="Q32" s="19"/>
    </row>
    <row r="33" spans="1:19" s="18" customFormat="1" x14ac:dyDescent="0.3">
      <c r="A33" s="23">
        <v>45373</v>
      </c>
      <c r="B33" s="15" t="s">
        <v>93</v>
      </c>
      <c r="C33" s="12"/>
      <c r="D33" s="2" t="s">
        <v>97</v>
      </c>
      <c r="E33" s="2" t="s">
        <v>98</v>
      </c>
      <c r="F33" s="15" t="str">
        <f t="shared" si="0"/>
        <v>032/24 GIUDECCA RESTAURANTS S.L.U.</v>
      </c>
      <c r="G33" s="24">
        <f t="shared" si="1"/>
        <v>200.5619834710744</v>
      </c>
      <c r="H33" s="34">
        <v>21</v>
      </c>
      <c r="I33" s="32">
        <f t="shared" si="5"/>
        <v>42.118016528925629</v>
      </c>
      <c r="J33" s="32">
        <f t="shared" si="6"/>
        <v>200.5619834710744</v>
      </c>
      <c r="K33" s="20"/>
      <c r="L33" s="32">
        <f t="shared" si="7"/>
        <v>0</v>
      </c>
      <c r="M33" s="27">
        <v>242.68</v>
      </c>
      <c r="N33" s="21"/>
      <c r="O33" s="22"/>
      <c r="P33" s="22"/>
      <c r="Q33" s="19"/>
    </row>
    <row r="34" spans="1:19" s="18" customFormat="1" x14ac:dyDescent="0.3">
      <c r="A34" s="23">
        <v>45373</v>
      </c>
      <c r="B34" s="15" t="s">
        <v>94</v>
      </c>
      <c r="C34" s="12"/>
      <c r="D34" s="2" t="s">
        <v>32</v>
      </c>
      <c r="E34" s="2" t="s">
        <v>31</v>
      </c>
      <c r="F34" s="15" t="str">
        <f t="shared" si="0"/>
        <v>033/24 SPANISH TAPAS INVESTMENTS, S.L.</v>
      </c>
      <c r="G34" s="24">
        <f t="shared" si="1"/>
        <v>120.51239669421487</v>
      </c>
      <c r="H34" s="34">
        <v>21</v>
      </c>
      <c r="I34" s="32">
        <f t="shared" si="5"/>
        <v>25.307603305785122</v>
      </c>
      <c r="J34" s="32">
        <f t="shared" si="6"/>
        <v>120.51239669421487</v>
      </c>
      <c r="K34" s="20"/>
      <c r="L34" s="32">
        <f t="shared" si="7"/>
        <v>0</v>
      </c>
      <c r="M34" s="27">
        <v>145.82</v>
      </c>
      <c r="N34" s="21"/>
      <c r="O34" s="22"/>
      <c r="P34" s="22"/>
      <c r="Q34" s="19"/>
    </row>
    <row r="35" spans="1:19" x14ac:dyDescent="0.3">
      <c r="A35" s="11">
        <v>45382</v>
      </c>
      <c r="B35" s="15" t="s">
        <v>99</v>
      </c>
      <c r="C35" s="15"/>
      <c r="D35" s="2" t="s">
        <v>36</v>
      </c>
      <c r="E35" s="17" t="s">
        <v>35</v>
      </c>
      <c r="F35" s="15" t="str">
        <f t="shared" si="0"/>
        <v>034/24 ANTONIO SIGUERO S.L.</v>
      </c>
      <c r="G35" s="24">
        <f t="shared" si="1"/>
        <v>7696.1900826446281</v>
      </c>
      <c r="H35" s="34">
        <v>21</v>
      </c>
      <c r="I35" s="24">
        <f t="shared" si="5"/>
        <v>1616.1999173553718</v>
      </c>
      <c r="J35" s="24">
        <f t="shared" si="6"/>
        <v>7696.1900826446281</v>
      </c>
      <c r="K35" s="10"/>
      <c r="L35" s="24">
        <f t="shared" si="7"/>
        <v>0</v>
      </c>
      <c r="M35" s="27">
        <v>9312.39</v>
      </c>
      <c r="N35" s="14"/>
    </row>
    <row r="36" spans="1:19" x14ac:dyDescent="0.3">
      <c r="A36" s="11">
        <v>45382</v>
      </c>
      <c r="B36" s="15" t="s">
        <v>100</v>
      </c>
      <c r="C36" s="15"/>
      <c r="D36" s="15" t="s">
        <v>105</v>
      </c>
      <c r="E36" s="15" t="s">
        <v>104</v>
      </c>
      <c r="F36" s="15" t="str">
        <f t="shared" si="0"/>
        <v>035/24 PERFECT VIEWS S.L.</v>
      </c>
      <c r="G36" s="24">
        <f t="shared" si="1"/>
        <v>265.43801652892563</v>
      </c>
      <c r="H36" s="20">
        <v>21</v>
      </c>
      <c r="I36" s="24">
        <f t="shared" si="5"/>
        <v>55.741983471074384</v>
      </c>
      <c r="J36" s="24">
        <f t="shared" si="6"/>
        <v>265.43801652892563</v>
      </c>
      <c r="K36" s="10"/>
      <c r="L36" s="24">
        <f t="shared" si="7"/>
        <v>0</v>
      </c>
      <c r="M36" s="27">
        <v>321.18</v>
      </c>
      <c r="N36" s="14"/>
    </row>
    <row r="37" spans="1:19" x14ac:dyDescent="0.3">
      <c r="A37" s="11">
        <v>45382</v>
      </c>
      <c r="B37" s="15" t="s">
        <v>101</v>
      </c>
      <c r="C37" s="15"/>
      <c r="D37" s="2" t="s">
        <v>24</v>
      </c>
      <c r="E37" s="2" t="s">
        <v>21</v>
      </c>
      <c r="F37" s="15" t="str">
        <f t="shared" si="0"/>
        <v>036/24 RESTAURANTE URRECHU CLUB, S.L.</v>
      </c>
      <c r="G37" s="24">
        <f t="shared" si="1"/>
        <v>176.08264462809919</v>
      </c>
      <c r="H37" s="20">
        <v>21</v>
      </c>
      <c r="I37" s="24">
        <f t="shared" si="5"/>
        <v>36.977355371900828</v>
      </c>
      <c r="J37" s="24">
        <f t="shared" si="6"/>
        <v>176.08264462809919</v>
      </c>
      <c r="K37" s="10"/>
      <c r="L37" s="24">
        <f t="shared" si="7"/>
        <v>0</v>
      </c>
      <c r="M37" s="27">
        <v>213.06</v>
      </c>
      <c r="N37" s="14"/>
    </row>
    <row r="38" spans="1:19" x14ac:dyDescent="0.3">
      <c r="A38" s="11">
        <v>45382</v>
      </c>
      <c r="B38" s="15" t="s">
        <v>102</v>
      </c>
      <c r="C38" s="15"/>
      <c r="D38" s="16" t="s">
        <v>23</v>
      </c>
      <c r="E38" s="2" t="s">
        <v>19</v>
      </c>
      <c r="F38" s="15" t="str">
        <f t="shared" si="0"/>
        <v>037/24 REAL CANOE NATACION CLUB</v>
      </c>
      <c r="G38" s="24">
        <f t="shared" si="1"/>
        <v>8317.6198347107438</v>
      </c>
      <c r="H38" s="20">
        <v>21</v>
      </c>
      <c r="I38" s="24">
        <f t="shared" si="5"/>
        <v>1746.7001652892563</v>
      </c>
      <c r="J38" s="24">
        <f t="shared" si="6"/>
        <v>8317.6198347107438</v>
      </c>
      <c r="K38" s="10"/>
      <c r="L38" s="24">
        <f t="shared" si="7"/>
        <v>0</v>
      </c>
      <c r="M38" s="27">
        <v>10064.32</v>
      </c>
      <c r="N38" s="14"/>
    </row>
    <row r="39" spans="1:19" x14ac:dyDescent="0.3">
      <c r="A39" s="11">
        <v>45382</v>
      </c>
      <c r="B39" s="15" t="s">
        <v>103</v>
      </c>
      <c r="C39" s="15"/>
      <c r="D39" s="15" t="s">
        <v>107</v>
      </c>
      <c r="E39" s="15" t="s">
        <v>106</v>
      </c>
      <c r="F39" s="15" t="str">
        <f t="shared" si="0"/>
        <v>N/F 038/24 UZ LA FINCA S.L.</v>
      </c>
      <c r="G39" s="24">
        <f t="shared" si="1"/>
        <v>180.7685950413223</v>
      </c>
      <c r="H39" s="5">
        <v>21</v>
      </c>
      <c r="I39" s="24">
        <f t="shared" si="5"/>
        <v>37.961404958677683</v>
      </c>
      <c r="J39" s="25">
        <f t="shared" si="6"/>
        <v>180.7685950413223</v>
      </c>
      <c r="L39" s="25">
        <f t="shared" si="7"/>
        <v>0</v>
      </c>
      <c r="M39" s="27">
        <v>218.73</v>
      </c>
      <c r="S39" t="s">
        <v>18</v>
      </c>
    </row>
    <row r="40" spans="1:19" x14ac:dyDescent="0.3">
      <c r="A40" s="37"/>
      <c r="B40" s="12"/>
      <c r="C40" s="12"/>
      <c r="D40" s="12"/>
      <c r="E40" s="12"/>
      <c r="F40" s="15"/>
      <c r="G40" s="24"/>
      <c r="H40" s="34"/>
      <c r="I40" s="24"/>
      <c r="J40" s="24"/>
      <c r="K40" s="10"/>
      <c r="L40" s="24"/>
      <c r="M40" s="33"/>
      <c r="N40" s="14"/>
    </row>
    <row r="41" spans="1:19" ht="15" thickBot="1" x14ac:dyDescent="0.35">
      <c r="A41" s="37"/>
      <c r="B41" s="12"/>
      <c r="C41" s="12"/>
      <c r="D41" s="12"/>
      <c r="E41" s="12"/>
      <c r="F41" s="15"/>
      <c r="G41" s="24"/>
      <c r="H41" s="10"/>
      <c r="I41" s="24"/>
      <c r="J41" s="24"/>
      <c r="K41" s="10"/>
      <c r="L41" s="24"/>
      <c r="M41" s="33"/>
      <c r="N41" s="14"/>
    </row>
    <row r="42" spans="1:19" ht="15" thickBot="1" x14ac:dyDescent="0.35">
      <c r="A42" s="37"/>
      <c r="B42" s="12"/>
      <c r="C42" s="12"/>
      <c r="D42" s="12"/>
      <c r="E42" s="12"/>
      <c r="G42" s="26">
        <f>SUM(G2:G41)</f>
        <v>59526.305785123965</v>
      </c>
      <c r="I42" s="26">
        <f>SUM(I2:I41)</f>
        <v>12500.524214876035</v>
      </c>
      <c r="J42" s="24"/>
      <c r="K42" s="10"/>
      <c r="L42" s="24"/>
      <c r="M42" s="26">
        <f>SUM(M2:M41)</f>
        <v>72026.829999999973</v>
      </c>
      <c r="N42" s="2"/>
      <c r="Q42"/>
    </row>
    <row r="43" spans="1:19" x14ac:dyDescent="0.3">
      <c r="A43" s="37"/>
      <c r="B43" s="12"/>
      <c r="C43" s="12"/>
      <c r="D43" s="12"/>
      <c r="E43" s="12"/>
      <c r="F43" s="15"/>
      <c r="G43" s="24"/>
      <c r="H43" s="10"/>
      <c r="I43" s="24"/>
      <c r="J43" s="31"/>
      <c r="K43" s="13"/>
      <c r="L43" s="31"/>
      <c r="M43" s="33"/>
      <c r="N43" s="14"/>
    </row>
    <row r="44" spans="1:19" x14ac:dyDescent="0.3">
      <c r="A44" s="37"/>
      <c r="B44" s="12"/>
      <c r="C44" s="12"/>
      <c r="D44" s="12"/>
      <c r="E44" s="12"/>
      <c r="F44" s="12"/>
      <c r="G44" s="31"/>
      <c r="H44" s="13"/>
      <c r="I44" s="31"/>
      <c r="J44" s="31"/>
      <c r="K44" s="13"/>
      <c r="L44" s="31"/>
      <c r="M44" s="33"/>
      <c r="N44" s="14"/>
      <c r="S44" t="s">
        <v>18</v>
      </c>
    </row>
    <row r="45" spans="1:19" x14ac:dyDescent="0.3">
      <c r="A45" s="37"/>
      <c r="B45" s="12"/>
      <c r="C45" s="12"/>
      <c r="D45" s="12"/>
      <c r="E45" s="12"/>
      <c r="F45" s="12"/>
      <c r="G45" s="31"/>
      <c r="H45" s="13"/>
      <c r="I45" s="31"/>
      <c r="J45" s="31"/>
      <c r="K45" s="13"/>
      <c r="L45" s="31"/>
      <c r="M45" s="33"/>
      <c r="N45" s="14"/>
      <c r="S45" t="s">
        <v>18</v>
      </c>
    </row>
    <row r="46" spans="1:19" x14ac:dyDescent="0.3">
      <c r="A46" s="37"/>
      <c r="B46" s="12"/>
      <c r="C46" s="12"/>
      <c r="D46" s="12"/>
      <c r="E46" s="12"/>
      <c r="F46" s="12"/>
      <c r="G46" s="31"/>
      <c r="H46" s="13"/>
      <c r="I46" s="31"/>
      <c r="J46" s="31"/>
      <c r="K46" s="13"/>
      <c r="L46" s="31"/>
      <c r="M46" s="33"/>
      <c r="N46" s="14"/>
      <c r="S46" t="s">
        <v>18</v>
      </c>
    </row>
    <row r="47" spans="1:19" x14ac:dyDescent="0.3">
      <c r="A47" s="37"/>
      <c r="B47" s="12"/>
      <c r="C47" s="12"/>
      <c r="D47" s="12"/>
      <c r="E47" s="12"/>
      <c r="F47" s="12"/>
      <c r="G47" s="31"/>
      <c r="H47" s="13"/>
      <c r="I47" s="31"/>
      <c r="J47" s="31"/>
      <c r="K47" s="13"/>
      <c r="L47" s="31"/>
      <c r="M47" s="33"/>
      <c r="N47" s="14"/>
      <c r="S47" t="s">
        <v>18</v>
      </c>
    </row>
    <row r="48" spans="1:19" x14ac:dyDescent="0.3">
      <c r="A48" s="37"/>
      <c r="B48" s="12"/>
      <c r="C48" s="12"/>
      <c r="D48" s="12"/>
      <c r="E48" s="12"/>
      <c r="F48" s="12"/>
      <c r="G48" s="31"/>
      <c r="H48" s="13"/>
      <c r="I48" s="31"/>
      <c r="J48" s="31"/>
      <c r="K48" s="13"/>
      <c r="L48" s="31"/>
      <c r="M48" s="33"/>
      <c r="N48" s="14"/>
      <c r="S48" t="s">
        <v>18</v>
      </c>
    </row>
    <row r="49" spans="1:19" x14ac:dyDescent="0.3">
      <c r="A49" s="37"/>
      <c r="B49" s="12"/>
      <c r="C49" s="12"/>
      <c r="D49" s="12"/>
      <c r="E49" s="12"/>
      <c r="F49" s="12"/>
      <c r="G49" s="31"/>
      <c r="H49" s="13"/>
      <c r="I49" s="31"/>
      <c r="J49" s="31"/>
      <c r="K49" s="13"/>
      <c r="L49" s="31"/>
      <c r="M49" s="33"/>
      <c r="N49" s="14"/>
      <c r="S49" t="s">
        <v>18</v>
      </c>
    </row>
    <row r="50" spans="1:19" x14ac:dyDescent="0.3">
      <c r="A50" s="37"/>
      <c r="B50" s="12"/>
      <c r="C50" s="12"/>
      <c r="D50" s="12"/>
      <c r="E50" s="12"/>
      <c r="F50" s="12"/>
      <c r="G50" s="31"/>
      <c r="H50" s="13"/>
      <c r="I50" s="31"/>
      <c r="J50" s="31"/>
      <c r="K50" s="13"/>
      <c r="L50" s="31"/>
      <c r="M50" s="33"/>
      <c r="N50" s="14"/>
      <c r="S50" t="s">
        <v>18</v>
      </c>
    </row>
    <row r="51" spans="1:19" x14ac:dyDescent="0.3">
      <c r="A51" s="37"/>
      <c r="B51" s="12"/>
      <c r="C51" s="12"/>
      <c r="D51" s="12"/>
      <c r="E51" s="12"/>
      <c r="F51" s="12"/>
      <c r="G51" s="31"/>
      <c r="H51" s="13"/>
      <c r="I51" s="31"/>
      <c r="J51" s="31"/>
      <c r="K51" s="13"/>
      <c r="L51" s="31"/>
      <c r="M51" s="33"/>
      <c r="N51" s="14"/>
      <c r="S51" t="s">
        <v>18</v>
      </c>
    </row>
    <row r="52" spans="1:19" x14ac:dyDescent="0.3">
      <c r="A52" s="37"/>
      <c r="B52" s="12"/>
      <c r="C52" s="12"/>
      <c r="D52" s="12"/>
      <c r="E52" s="12"/>
      <c r="F52" s="12"/>
      <c r="G52" s="31"/>
      <c r="H52" s="13"/>
      <c r="I52" s="31"/>
      <c r="J52" s="31"/>
      <c r="K52" s="13"/>
      <c r="L52" s="31"/>
      <c r="M52" s="33"/>
      <c r="N52" s="14"/>
      <c r="S52" t="s">
        <v>18</v>
      </c>
    </row>
    <row r="53" spans="1:19" x14ac:dyDescent="0.3">
      <c r="A53" s="37"/>
      <c r="B53" s="12"/>
      <c r="C53" s="12"/>
      <c r="D53" s="12"/>
      <c r="E53" s="12"/>
      <c r="F53" s="12"/>
      <c r="G53" s="31"/>
      <c r="H53" s="13"/>
      <c r="I53" s="31"/>
      <c r="J53" s="31"/>
      <c r="K53" s="13"/>
      <c r="L53" s="31"/>
      <c r="M53" s="33"/>
      <c r="N53" s="14"/>
      <c r="S53" t="s">
        <v>18</v>
      </c>
    </row>
    <row r="54" spans="1:19" x14ac:dyDescent="0.3">
      <c r="A54" s="37"/>
      <c r="B54" s="12"/>
      <c r="C54" s="12"/>
      <c r="D54" s="12"/>
      <c r="E54" s="12"/>
      <c r="F54" s="12"/>
      <c r="G54" s="31"/>
      <c r="H54" s="13"/>
      <c r="I54" s="31"/>
      <c r="J54" s="31"/>
      <c r="K54" s="13"/>
      <c r="L54" s="31"/>
      <c r="M54" s="33"/>
      <c r="N54" s="14"/>
      <c r="S54" t="s">
        <v>18</v>
      </c>
    </row>
    <row r="55" spans="1:19" x14ac:dyDescent="0.3">
      <c r="A55" s="37"/>
      <c r="B55" s="12"/>
      <c r="C55" s="12"/>
      <c r="D55" s="12"/>
      <c r="E55" s="12"/>
      <c r="F55" s="12"/>
      <c r="G55" s="31"/>
      <c r="H55" s="13"/>
      <c r="I55" s="31"/>
      <c r="J55" s="31"/>
      <c r="K55" s="13"/>
      <c r="L55" s="31"/>
      <c r="M55" s="33"/>
      <c r="N55" s="14"/>
      <c r="S55" t="s">
        <v>18</v>
      </c>
    </row>
    <row r="56" spans="1:19" x14ac:dyDescent="0.3">
      <c r="A56" s="37"/>
      <c r="B56" s="12"/>
      <c r="C56" s="12"/>
      <c r="D56" s="12"/>
      <c r="E56" s="12"/>
      <c r="F56" s="12"/>
      <c r="G56" s="31"/>
      <c r="H56" s="13"/>
      <c r="I56" s="31"/>
      <c r="J56" s="31"/>
      <c r="K56" s="13"/>
      <c r="L56" s="31"/>
      <c r="M56" s="33"/>
      <c r="N56" s="14"/>
      <c r="S56" t="s">
        <v>18</v>
      </c>
    </row>
    <row r="57" spans="1:19" x14ac:dyDescent="0.3">
      <c r="F57" s="12"/>
      <c r="G57" s="31"/>
      <c r="H57" s="13"/>
      <c r="I57" s="31"/>
      <c r="J57" s="31"/>
      <c r="K57" s="13"/>
      <c r="L57" s="31"/>
      <c r="M57" s="29"/>
      <c r="N57" s="14"/>
      <c r="S57" t="s">
        <v>18</v>
      </c>
    </row>
    <row r="58" spans="1:19" x14ac:dyDescent="0.3">
      <c r="F58" s="12"/>
      <c r="G58" s="31"/>
      <c r="H58" s="13"/>
      <c r="I58" s="31"/>
      <c r="J58" s="31"/>
      <c r="K58" s="13"/>
      <c r="L58" s="31"/>
      <c r="M58" s="29"/>
      <c r="N58" s="14"/>
      <c r="S58" t="s">
        <v>18</v>
      </c>
    </row>
    <row r="59" spans="1:19" x14ac:dyDescent="0.3">
      <c r="F59" s="12"/>
      <c r="G59" s="31"/>
      <c r="H59" s="13"/>
      <c r="I59" s="31"/>
      <c r="J59" s="31"/>
      <c r="K59" s="13"/>
      <c r="L59" s="31"/>
      <c r="M59" s="29"/>
      <c r="N59" s="14"/>
      <c r="S59" t="s">
        <v>18</v>
      </c>
    </row>
    <row r="60" spans="1:19" x14ac:dyDescent="0.3">
      <c r="F60" s="12"/>
      <c r="G60" s="31"/>
      <c r="H60" s="13"/>
      <c r="I60" s="31"/>
      <c r="J60" s="31"/>
      <c r="K60" s="13"/>
      <c r="L60" s="31"/>
      <c r="M60" s="29"/>
      <c r="N60" s="14"/>
      <c r="S60" t="s">
        <v>18</v>
      </c>
    </row>
    <row r="61" spans="1:19" x14ac:dyDescent="0.3">
      <c r="F61" s="12"/>
      <c r="G61" s="31"/>
      <c r="H61" s="13"/>
      <c r="I61" s="31"/>
      <c r="J61" s="31"/>
      <c r="K61" s="13"/>
      <c r="L61" s="31"/>
      <c r="M61" s="29"/>
      <c r="N61" s="14"/>
      <c r="S61" t="s">
        <v>18</v>
      </c>
    </row>
    <row r="62" spans="1:19" x14ac:dyDescent="0.3">
      <c r="F62" s="12"/>
      <c r="G62" s="31"/>
      <c r="H62" s="13"/>
      <c r="I62" s="31"/>
      <c r="J62" s="31"/>
      <c r="K62" s="13"/>
      <c r="L62" s="31"/>
      <c r="M62" s="29"/>
      <c r="N62" s="14"/>
      <c r="S62" t="s">
        <v>18</v>
      </c>
    </row>
    <row r="63" spans="1:19" x14ac:dyDescent="0.3">
      <c r="F63" s="12"/>
      <c r="G63" s="31"/>
      <c r="H63" s="13"/>
      <c r="I63" s="31"/>
      <c r="J63" s="31"/>
      <c r="K63" s="13"/>
      <c r="L63" s="31"/>
      <c r="M63" s="29"/>
      <c r="N63" s="14"/>
      <c r="S63" t="s">
        <v>18</v>
      </c>
    </row>
    <row r="64" spans="1:19" x14ac:dyDescent="0.3">
      <c r="F64" s="12"/>
      <c r="G64" s="31"/>
      <c r="H64" s="13"/>
      <c r="I64" s="31"/>
      <c r="J64" s="31"/>
      <c r="K64" s="13"/>
      <c r="L64" s="31"/>
      <c r="M64" s="29"/>
      <c r="N64" s="14"/>
      <c r="S64" t="s">
        <v>18</v>
      </c>
    </row>
    <row r="65" spans="6:19" x14ac:dyDescent="0.3">
      <c r="F65" s="12"/>
      <c r="G65" s="31"/>
      <c r="H65" s="13"/>
      <c r="I65" s="31"/>
      <c r="J65" s="31"/>
      <c r="K65" s="13"/>
      <c r="L65" s="31"/>
      <c r="N65" s="14"/>
      <c r="S65" t="s">
        <v>18</v>
      </c>
    </row>
    <row r="66" spans="6:19" x14ac:dyDescent="0.3">
      <c r="F66" s="12"/>
      <c r="G66" s="31"/>
      <c r="H66" s="13"/>
      <c r="I66" s="31"/>
      <c r="J66" s="31"/>
      <c r="K66" s="13"/>
      <c r="L66" s="31"/>
      <c r="N66" s="14"/>
      <c r="S66" t="s">
        <v>18</v>
      </c>
    </row>
    <row r="67" spans="6:19" x14ac:dyDescent="0.3">
      <c r="F67" s="12"/>
      <c r="G67" s="31"/>
      <c r="H67" s="13"/>
      <c r="I67" s="31"/>
      <c r="J67" s="31"/>
      <c r="K67" s="13"/>
      <c r="L67" s="31"/>
      <c r="N67" s="14"/>
      <c r="S67" t="s">
        <v>18</v>
      </c>
    </row>
    <row r="68" spans="6:19" x14ac:dyDescent="0.3">
      <c r="F68" s="12"/>
      <c r="G68" s="31"/>
      <c r="H68" s="13"/>
      <c r="I68" s="31"/>
      <c r="J68" s="31"/>
      <c r="K68" s="13"/>
      <c r="L68" s="31"/>
      <c r="N68" s="14"/>
      <c r="S68" t="s">
        <v>18</v>
      </c>
    </row>
    <row r="69" spans="6:19" x14ac:dyDescent="0.3">
      <c r="F69" s="12"/>
      <c r="G69" s="31"/>
      <c r="H69" s="13"/>
      <c r="I69" s="31"/>
      <c r="J69" s="31"/>
      <c r="K69" s="13"/>
      <c r="L69" s="31"/>
      <c r="N69" s="14"/>
      <c r="S69" t="s">
        <v>18</v>
      </c>
    </row>
    <row r="70" spans="6:19" x14ac:dyDescent="0.3">
      <c r="F70" s="12"/>
      <c r="G70" s="31"/>
      <c r="H70" s="13"/>
      <c r="I70" s="31"/>
      <c r="J70" s="31"/>
      <c r="K70" s="13"/>
      <c r="L70" s="31"/>
      <c r="N70" s="14"/>
      <c r="S70" t="s">
        <v>18</v>
      </c>
    </row>
    <row r="71" spans="6:19" x14ac:dyDescent="0.3">
      <c r="F71" s="12"/>
      <c r="G71" s="31"/>
      <c r="H71" s="13"/>
      <c r="I71" s="31"/>
      <c r="J71" s="31"/>
      <c r="K71" s="13"/>
      <c r="L71" s="31"/>
      <c r="N71" s="14"/>
      <c r="S71" t="s">
        <v>18</v>
      </c>
    </row>
    <row r="72" spans="6:19" x14ac:dyDescent="0.3">
      <c r="F72" s="12"/>
      <c r="G72" s="31"/>
      <c r="H72" s="13"/>
      <c r="I72" s="31"/>
      <c r="J72" s="31"/>
      <c r="K72" s="13"/>
      <c r="L72" s="31"/>
      <c r="N72" s="14"/>
      <c r="S72" t="s">
        <v>18</v>
      </c>
    </row>
    <row r="73" spans="6:19" x14ac:dyDescent="0.3">
      <c r="F73" s="12"/>
      <c r="G73" s="31"/>
      <c r="H73" s="13"/>
      <c r="I73" s="31"/>
      <c r="J73" s="31"/>
      <c r="K73" s="13"/>
      <c r="L73" s="31"/>
      <c r="N73" s="14"/>
      <c r="S73" t="s">
        <v>18</v>
      </c>
    </row>
    <row r="74" spans="6:19" x14ac:dyDescent="0.3">
      <c r="F74" s="12"/>
      <c r="G74" s="31"/>
      <c r="H74" s="13"/>
      <c r="I74" s="31"/>
      <c r="J74" s="31"/>
      <c r="K74" s="13"/>
      <c r="L74" s="31"/>
      <c r="N74" s="14"/>
      <c r="S74" t="s">
        <v>18</v>
      </c>
    </row>
    <row r="75" spans="6:19" x14ac:dyDescent="0.3">
      <c r="F75" s="12"/>
      <c r="G75" s="31"/>
      <c r="H75" s="13"/>
      <c r="I75" s="31"/>
      <c r="J75" s="31"/>
      <c r="K75" s="13"/>
      <c r="L75" s="31"/>
      <c r="N75" s="14"/>
      <c r="S75" t="s">
        <v>18</v>
      </c>
    </row>
    <row r="76" spans="6:19" x14ac:dyDescent="0.3">
      <c r="F76" s="12"/>
      <c r="G76" s="31"/>
      <c r="H76" s="13"/>
      <c r="I76" s="31"/>
      <c r="J76" s="31"/>
      <c r="K76" s="13"/>
      <c r="L76" s="31"/>
      <c r="N76" s="14"/>
      <c r="S76" t="s">
        <v>18</v>
      </c>
    </row>
    <row r="77" spans="6:19" x14ac:dyDescent="0.3">
      <c r="F77" s="12"/>
      <c r="G77" s="31"/>
      <c r="H77" s="13"/>
      <c r="I77" s="31"/>
      <c r="J77" s="31"/>
      <c r="K77" s="13"/>
      <c r="L77" s="31"/>
      <c r="N77" s="14"/>
      <c r="S77" t="s">
        <v>18</v>
      </c>
    </row>
    <row r="78" spans="6:19" x14ac:dyDescent="0.3">
      <c r="F78" s="12"/>
      <c r="G78" s="31"/>
      <c r="H78" s="13"/>
      <c r="I78" s="31"/>
      <c r="J78" s="31"/>
      <c r="K78" s="13"/>
      <c r="L78" s="31"/>
      <c r="N78" s="14"/>
      <c r="S78" t="s">
        <v>18</v>
      </c>
    </row>
    <row r="79" spans="6:19" x14ac:dyDescent="0.3">
      <c r="F79" s="12"/>
      <c r="G79" s="31"/>
      <c r="H79" s="13"/>
      <c r="I79" s="31"/>
      <c r="J79" s="31"/>
      <c r="K79" s="13"/>
      <c r="L79" s="31"/>
      <c r="N79" s="14"/>
      <c r="S79" t="s">
        <v>18</v>
      </c>
    </row>
    <row r="80" spans="6:19" x14ac:dyDescent="0.3">
      <c r="F80" s="12"/>
      <c r="G80" s="31"/>
      <c r="H80" s="13"/>
      <c r="I80" s="31"/>
      <c r="J80" s="31"/>
      <c r="K80" s="13"/>
      <c r="L80" s="31"/>
      <c r="N80" s="14"/>
      <c r="S80" t="s">
        <v>18</v>
      </c>
    </row>
    <row r="81" spans="6:19" x14ac:dyDescent="0.3">
      <c r="F81" s="12"/>
      <c r="G81" s="31"/>
      <c r="H81" s="13"/>
      <c r="I81" s="31"/>
      <c r="J81" s="31"/>
      <c r="K81" s="13"/>
      <c r="L81" s="31"/>
      <c r="N81" s="14"/>
      <c r="S81" t="s">
        <v>18</v>
      </c>
    </row>
    <row r="82" spans="6:19" x14ac:dyDescent="0.3">
      <c r="F82" s="12"/>
      <c r="G82" s="31"/>
      <c r="H82" s="13"/>
      <c r="I82" s="31"/>
      <c r="J82" s="31"/>
      <c r="K82" s="13"/>
      <c r="L82" s="31"/>
      <c r="N82" s="14"/>
      <c r="S82" t="s">
        <v>18</v>
      </c>
    </row>
    <row r="83" spans="6:19" x14ac:dyDescent="0.3">
      <c r="F83" s="12"/>
      <c r="G83" s="31"/>
      <c r="H83" s="13"/>
      <c r="I83" s="31"/>
      <c r="J83" s="31"/>
      <c r="K83" s="13"/>
      <c r="L83" s="31"/>
      <c r="N83" s="14"/>
      <c r="S83" t="s">
        <v>18</v>
      </c>
    </row>
    <row r="84" spans="6:19" x14ac:dyDescent="0.3">
      <c r="F84" s="12"/>
      <c r="G84" s="31"/>
      <c r="H84" s="13"/>
      <c r="I84" s="31"/>
      <c r="J84" s="31"/>
      <c r="K84" s="13"/>
      <c r="L84" s="31"/>
      <c r="N84" s="14"/>
      <c r="S84" t="s">
        <v>18</v>
      </c>
    </row>
    <row r="85" spans="6:19" x14ac:dyDescent="0.3">
      <c r="F85" s="12"/>
      <c r="G85" s="31"/>
      <c r="H85" s="13"/>
      <c r="I85" s="31"/>
      <c r="J85" s="31"/>
      <c r="K85" s="13"/>
      <c r="L85" s="31"/>
      <c r="N85" s="14"/>
      <c r="S85" t="s">
        <v>18</v>
      </c>
    </row>
    <row r="86" spans="6:19" x14ac:dyDescent="0.3">
      <c r="F86" s="12"/>
      <c r="G86" s="31"/>
      <c r="H86" s="13"/>
      <c r="I86" s="31"/>
      <c r="J86" s="31"/>
      <c r="K86" s="13"/>
      <c r="L86" s="31"/>
      <c r="N86" s="14"/>
      <c r="S86" t="s">
        <v>18</v>
      </c>
    </row>
    <row r="87" spans="6:19" x14ac:dyDescent="0.3">
      <c r="F87" s="12"/>
      <c r="G87" s="31"/>
      <c r="H87" s="13"/>
      <c r="I87" s="31"/>
      <c r="J87" s="31"/>
      <c r="K87" s="13"/>
      <c r="L87" s="31"/>
      <c r="N87" s="14"/>
      <c r="S87" t="s">
        <v>18</v>
      </c>
    </row>
    <row r="88" spans="6:19" x14ac:dyDescent="0.3">
      <c r="F88" s="12"/>
      <c r="G88" s="31"/>
      <c r="H88" s="13"/>
      <c r="I88" s="31"/>
      <c r="N88" s="14"/>
      <c r="S88" t="s">
        <v>18</v>
      </c>
    </row>
    <row r="89" spans="6:19" x14ac:dyDescent="0.3">
      <c r="S89" t="s">
        <v>18</v>
      </c>
    </row>
    <row r="90" spans="6:19" x14ac:dyDescent="0.3">
      <c r="S90" t="s">
        <v>18</v>
      </c>
    </row>
    <row r="91" spans="6:19" x14ac:dyDescent="0.3">
      <c r="S91" t="s">
        <v>18</v>
      </c>
    </row>
    <row r="92" spans="6:19" x14ac:dyDescent="0.3">
      <c r="S92" t="s">
        <v>18</v>
      </c>
    </row>
    <row r="93" spans="6:19" x14ac:dyDescent="0.3">
      <c r="S93" t="s">
        <v>18</v>
      </c>
    </row>
    <row r="94" spans="6:19" x14ac:dyDescent="0.3">
      <c r="S94" t="s">
        <v>18</v>
      </c>
    </row>
    <row r="95" spans="6:19" x14ac:dyDescent="0.3">
      <c r="S95" t="s">
        <v>18</v>
      </c>
    </row>
    <row r="96" spans="6:19" x14ac:dyDescent="0.3">
      <c r="S96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COMPRAS</vt:lpstr>
    </vt:vector>
  </TitlesOfParts>
  <Company>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CONTAMAR</dc:creator>
  <cp:lastModifiedBy>Iosu Buenetxea Personal</cp:lastModifiedBy>
  <dcterms:created xsi:type="dcterms:W3CDTF">2010-04-12T06:31:15Z</dcterms:created>
  <dcterms:modified xsi:type="dcterms:W3CDTF">2026-01-28T15:09:26Z</dcterms:modified>
</cp:coreProperties>
</file>