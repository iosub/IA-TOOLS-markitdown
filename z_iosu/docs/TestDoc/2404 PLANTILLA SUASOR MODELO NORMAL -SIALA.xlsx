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ala\SynologyDrive\2024\24_CONTABILIDAD\CONTAMAR\4º TRIMESTRE\"/>
    </mc:Choice>
  </mc:AlternateContent>
  <xr:revisionPtr revIDLastSave="0" documentId="13_ncr:1_{7D847A0F-6E75-4999-9C35-BE37C0A9C59D}" xr6:coauthVersionLast="47" xr6:coauthVersionMax="47" xr10:uidLastSave="{00000000-0000-0000-0000-000000000000}"/>
  <bookViews>
    <workbookView xWindow="-110" yWindow="-110" windowWidth="19420" windowHeight="10300" tabRatio="814" activeTab="3" xr2:uid="{00000000-000D-0000-FFFF-FFFF00000000}"/>
  </bookViews>
  <sheets>
    <sheet name="COMPRAS" sheetId="8" r:id="rId1"/>
    <sheet name="COMPRAS (2)" sheetId="9" r:id="rId2"/>
    <sheet name="COMPRAS (3)" sheetId="10" r:id="rId3"/>
    <sheet name="COMPRAS (4)" sheetId="11" r:id="rId4"/>
    <sheet name="VENTAS" sheetId="4" r:id="rId5"/>
    <sheet name="VENTAS (2)" sheetId="12" r:id="rId6"/>
    <sheet name="VENTAS (3)" sheetId="13" r:id="rId7"/>
    <sheet name="VENTAS (4)" sheetId="14" r:id="rId8"/>
  </sheets>
  <definedNames>
    <definedName name="_xlnm._FilterDatabase" localSheetId="0" hidden="1">COMPRAS!$E$1:$E$140</definedName>
    <definedName name="_xlnm._FilterDatabase" localSheetId="1" hidden="1">'COMPRAS (2)'!$A$1:$S$117</definedName>
    <definedName name="_xlnm._FilterDatabase" localSheetId="4" hidden="1">VENTAS!$A$1:$S$40</definedName>
  </definedNames>
  <calcPr calcId="191029"/>
</workbook>
</file>

<file path=xl/calcChain.xml><?xml version="1.0" encoding="utf-8"?>
<calcChain xmlns="http://schemas.openxmlformats.org/spreadsheetml/2006/main">
  <c r="G189" i="11" l="1"/>
  <c r="J189" i="11" s="1"/>
  <c r="L189" i="11" s="1"/>
  <c r="F189" i="11"/>
  <c r="G188" i="11"/>
  <c r="J188" i="11" s="1"/>
  <c r="L188" i="11" s="1"/>
  <c r="F188" i="11"/>
  <c r="G153" i="11"/>
  <c r="J153" i="11" s="1"/>
  <c r="L153" i="11" s="1"/>
  <c r="F153" i="11"/>
  <c r="G152" i="11"/>
  <c r="J152" i="11" s="1"/>
  <c r="L152" i="11" s="1"/>
  <c r="F152" i="11"/>
  <c r="G176" i="11"/>
  <c r="J176" i="11" s="1"/>
  <c r="L176" i="11" s="1"/>
  <c r="F176" i="11"/>
  <c r="G175" i="11"/>
  <c r="J175" i="11" s="1"/>
  <c r="L175" i="11" s="1"/>
  <c r="F175" i="11"/>
  <c r="G167" i="11"/>
  <c r="J167" i="11" s="1"/>
  <c r="L167" i="11" s="1"/>
  <c r="F167" i="11"/>
  <c r="G166" i="11"/>
  <c r="J166" i="11" s="1"/>
  <c r="L166" i="11" s="1"/>
  <c r="F166" i="11"/>
  <c r="G155" i="11"/>
  <c r="J155" i="11" s="1"/>
  <c r="L155" i="11" s="1"/>
  <c r="F155" i="11"/>
  <c r="G154" i="11"/>
  <c r="J154" i="11" s="1"/>
  <c r="L154" i="11" s="1"/>
  <c r="F154" i="11"/>
  <c r="G141" i="11"/>
  <c r="J141" i="11" s="1"/>
  <c r="L141" i="11" s="1"/>
  <c r="F141" i="11"/>
  <c r="G140" i="11"/>
  <c r="J140" i="11" s="1"/>
  <c r="L140" i="11" s="1"/>
  <c r="F140" i="11"/>
  <c r="G139" i="11"/>
  <c r="J139" i="11" s="1"/>
  <c r="L139" i="11" s="1"/>
  <c r="F139" i="11"/>
  <c r="G185" i="11"/>
  <c r="J185" i="11" s="1"/>
  <c r="L185" i="11" s="1"/>
  <c r="F185" i="11"/>
  <c r="G184" i="11"/>
  <c r="J184" i="11" s="1"/>
  <c r="L184" i="11" s="1"/>
  <c r="F184" i="11"/>
  <c r="G174" i="11"/>
  <c r="J174" i="11" s="1"/>
  <c r="L174" i="11" s="1"/>
  <c r="F174" i="11"/>
  <c r="G173" i="11"/>
  <c r="J173" i="11" s="1"/>
  <c r="L173" i="11" s="1"/>
  <c r="F173" i="11"/>
  <c r="G151" i="11"/>
  <c r="J151" i="11" s="1"/>
  <c r="L151" i="11" s="1"/>
  <c r="F151" i="11"/>
  <c r="G150" i="11"/>
  <c r="J150" i="11" s="1"/>
  <c r="L150" i="11" s="1"/>
  <c r="F150" i="11"/>
  <c r="G169" i="11"/>
  <c r="J169" i="11" s="1"/>
  <c r="L169" i="11" s="1"/>
  <c r="F169" i="11"/>
  <c r="G168" i="11"/>
  <c r="J168" i="11" s="1"/>
  <c r="L168" i="11" s="1"/>
  <c r="F168" i="11"/>
  <c r="G180" i="11"/>
  <c r="J180" i="11" s="1"/>
  <c r="L180" i="11" s="1"/>
  <c r="F180" i="11"/>
  <c r="G144" i="11"/>
  <c r="J144" i="11" s="1"/>
  <c r="L144" i="11" s="1"/>
  <c r="F144" i="11"/>
  <c r="G163" i="11"/>
  <c r="J163" i="11" s="1"/>
  <c r="L163" i="11" s="1"/>
  <c r="F163" i="11"/>
  <c r="G162" i="11"/>
  <c r="J162" i="11" s="1"/>
  <c r="L162" i="11" s="1"/>
  <c r="F162" i="11"/>
  <c r="G161" i="11"/>
  <c r="J161" i="11" s="1"/>
  <c r="L161" i="11" s="1"/>
  <c r="F161" i="11"/>
  <c r="G149" i="11"/>
  <c r="J149" i="11" s="1"/>
  <c r="L149" i="11" s="1"/>
  <c r="F149" i="11"/>
  <c r="G156" i="11"/>
  <c r="J156" i="11" s="1"/>
  <c r="L156" i="11" s="1"/>
  <c r="F156" i="11"/>
  <c r="G179" i="11"/>
  <c r="J179" i="11" s="1"/>
  <c r="L179" i="11" s="1"/>
  <c r="F179" i="11"/>
  <c r="G59" i="11"/>
  <c r="J59" i="11" s="1"/>
  <c r="L59" i="11" s="1"/>
  <c r="F59" i="11"/>
  <c r="G171" i="11"/>
  <c r="J171" i="11" s="1"/>
  <c r="L171" i="11" s="1"/>
  <c r="F171" i="11"/>
  <c r="G65" i="11"/>
  <c r="J65" i="11" s="1"/>
  <c r="L65" i="11" s="1"/>
  <c r="F65" i="11"/>
  <c r="G106" i="11"/>
  <c r="I106" i="11" s="1"/>
  <c r="F106" i="11"/>
  <c r="G142" i="11"/>
  <c r="J142" i="11" s="1"/>
  <c r="L142" i="11" s="1"/>
  <c r="F142" i="11"/>
  <c r="G143" i="11"/>
  <c r="J143" i="11" s="1"/>
  <c r="L143" i="11" s="1"/>
  <c r="F143" i="11"/>
  <c r="F181" i="11"/>
  <c r="G60" i="11"/>
  <c r="J60" i="11" s="1"/>
  <c r="L60" i="11" s="1"/>
  <c r="F60" i="11"/>
  <c r="G50" i="11"/>
  <c r="I50" i="11" s="1"/>
  <c r="F50" i="11"/>
  <c r="G177" i="11"/>
  <c r="J177" i="11" s="1"/>
  <c r="L177" i="11" s="1"/>
  <c r="F177" i="11"/>
  <c r="G76" i="11"/>
  <c r="J76" i="11" s="1"/>
  <c r="L76" i="11" s="1"/>
  <c r="F76" i="11"/>
  <c r="G119" i="11"/>
  <c r="J119" i="11" s="1"/>
  <c r="L119" i="11" s="1"/>
  <c r="F119" i="11"/>
  <c r="G58" i="11"/>
  <c r="J58" i="11" s="1"/>
  <c r="L58" i="11" s="1"/>
  <c r="F58" i="11"/>
  <c r="G79" i="11"/>
  <c r="I79" i="11" s="1"/>
  <c r="F79" i="11"/>
  <c r="F182" i="11"/>
  <c r="G103" i="11"/>
  <c r="J103" i="11" s="1"/>
  <c r="L103" i="11" s="1"/>
  <c r="F103" i="11"/>
  <c r="G102" i="11"/>
  <c r="J102" i="11" s="1"/>
  <c r="L102" i="11" s="1"/>
  <c r="F102" i="11"/>
  <c r="G95" i="11"/>
  <c r="J95" i="11" s="1"/>
  <c r="L95" i="11" s="1"/>
  <c r="F95" i="11"/>
  <c r="G94" i="11"/>
  <c r="J94" i="11" s="1"/>
  <c r="L94" i="11" s="1"/>
  <c r="F94" i="11"/>
  <c r="G83" i="11"/>
  <c r="J83" i="11" s="1"/>
  <c r="L83" i="11" s="1"/>
  <c r="F83" i="11"/>
  <c r="G82" i="11"/>
  <c r="J82" i="11" s="1"/>
  <c r="L82" i="11" s="1"/>
  <c r="F82" i="11"/>
  <c r="G126" i="11"/>
  <c r="J126" i="11" s="1"/>
  <c r="L126" i="11" s="1"/>
  <c r="F126" i="11"/>
  <c r="G125" i="11"/>
  <c r="J125" i="11" s="1"/>
  <c r="L125" i="11" s="1"/>
  <c r="F125" i="11"/>
  <c r="G130" i="11"/>
  <c r="J130" i="11" s="1"/>
  <c r="L130" i="11" s="1"/>
  <c r="F130" i="11"/>
  <c r="G129" i="11"/>
  <c r="J129" i="11" s="1"/>
  <c r="L129" i="11" s="1"/>
  <c r="F129" i="11"/>
  <c r="G85" i="11"/>
  <c r="J85" i="11" s="1"/>
  <c r="L85" i="11" s="1"/>
  <c r="F85" i="11"/>
  <c r="G84" i="11"/>
  <c r="J84" i="11" s="1"/>
  <c r="L84" i="11" s="1"/>
  <c r="F84" i="11"/>
  <c r="G110" i="11"/>
  <c r="J110" i="11" s="1"/>
  <c r="L110" i="11" s="1"/>
  <c r="F110" i="11"/>
  <c r="G109" i="11"/>
  <c r="J109" i="11" s="1"/>
  <c r="L109" i="11" s="1"/>
  <c r="F109" i="11"/>
  <c r="G101" i="11"/>
  <c r="J101" i="11" s="1"/>
  <c r="L101" i="11" s="1"/>
  <c r="F101" i="11"/>
  <c r="G100" i="11"/>
  <c r="J100" i="11" s="1"/>
  <c r="L100" i="11" s="1"/>
  <c r="F100" i="11"/>
  <c r="G124" i="11"/>
  <c r="J124" i="11" s="1"/>
  <c r="L124" i="11" s="1"/>
  <c r="F124" i="11"/>
  <c r="G123" i="11"/>
  <c r="J123" i="11" s="1"/>
  <c r="L123" i="11" s="1"/>
  <c r="F123" i="11"/>
  <c r="G122" i="11"/>
  <c r="J122" i="11" s="1"/>
  <c r="L122" i="11" s="1"/>
  <c r="F122" i="11"/>
  <c r="G116" i="11"/>
  <c r="J116" i="11" s="1"/>
  <c r="L116" i="11" s="1"/>
  <c r="F116" i="11"/>
  <c r="G115" i="11"/>
  <c r="J115" i="11" s="1"/>
  <c r="L115" i="11" s="1"/>
  <c r="F115" i="11"/>
  <c r="G87" i="11"/>
  <c r="J87" i="11" s="1"/>
  <c r="L87" i="11" s="1"/>
  <c r="F87" i="11"/>
  <c r="G86" i="11"/>
  <c r="J86" i="11" s="1"/>
  <c r="L86" i="11" s="1"/>
  <c r="F86" i="11"/>
  <c r="G81" i="11"/>
  <c r="J81" i="11" s="1"/>
  <c r="L81" i="11" s="1"/>
  <c r="F81" i="11"/>
  <c r="G99" i="11"/>
  <c r="J99" i="11" s="1"/>
  <c r="L99" i="11" s="1"/>
  <c r="F99" i="11"/>
  <c r="G98" i="11"/>
  <c r="J98" i="11" s="1"/>
  <c r="L98" i="11" s="1"/>
  <c r="F98" i="11"/>
  <c r="G97" i="11"/>
  <c r="I97" i="11" s="1"/>
  <c r="F97" i="11"/>
  <c r="G90" i="11"/>
  <c r="J90" i="11" s="1"/>
  <c r="L90" i="11" s="1"/>
  <c r="F90" i="11"/>
  <c r="G96" i="11"/>
  <c r="J96" i="11" s="1"/>
  <c r="L96" i="11" s="1"/>
  <c r="F96" i="11"/>
  <c r="G120" i="11"/>
  <c r="J120" i="11" s="1"/>
  <c r="L120" i="11" s="1"/>
  <c r="F120" i="11"/>
  <c r="G111" i="11"/>
  <c r="I111" i="11" s="1"/>
  <c r="F111" i="11"/>
  <c r="G78" i="11"/>
  <c r="J78" i="11" s="1"/>
  <c r="L78" i="11" s="1"/>
  <c r="F78" i="11"/>
  <c r="F77" i="11"/>
  <c r="G55" i="11"/>
  <c r="I55" i="11" s="1"/>
  <c r="F55" i="11"/>
  <c r="G54" i="11"/>
  <c r="J54" i="11" s="1"/>
  <c r="L54" i="11" s="1"/>
  <c r="F54" i="11"/>
  <c r="G28" i="11"/>
  <c r="J28" i="11" s="1"/>
  <c r="L28" i="11" s="1"/>
  <c r="F28" i="11"/>
  <c r="G27" i="11"/>
  <c r="J27" i="11" s="1"/>
  <c r="L27" i="11" s="1"/>
  <c r="F27" i="11"/>
  <c r="G53" i="11"/>
  <c r="J53" i="11" s="1"/>
  <c r="L53" i="11" s="1"/>
  <c r="F53" i="11"/>
  <c r="G52" i="11"/>
  <c r="J52" i="11" s="1"/>
  <c r="L52" i="11" s="1"/>
  <c r="F52" i="11"/>
  <c r="G20" i="11"/>
  <c r="J20" i="11" s="1"/>
  <c r="L20" i="11" s="1"/>
  <c r="F20" i="11"/>
  <c r="G19" i="11"/>
  <c r="J19" i="11" s="1"/>
  <c r="L19" i="11" s="1"/>
  <c r="F19" i="11"/>
  <c r="G18" i="11"/>
  <c r="J18" i="11" s="1"/>
  <c r="L18" i="11" s="1"/>
  <c r="F18" i="11"/>
  <c r="G17" i="11"/>
  <c r="J17" i="11" s="1"/>
  <c r="L17" i="11" s="1"/>
  <c r="F17" i="11"/>
  <c r="G49" i="11"/>
  <c r="J49" i="11" s="1"/>
  <c r="L49" i="11" s="1"/>
  <c r="F49" i="11"/>
  <c r="G48" i="11"/>
  <c r="J48" i="11" s="1"/>
  <c r="L48" i="11" s="1"/>
  <c r="F48" i="11"/>
  <c r="G35" i="11"/>
  <c r="J35" i="11" s="1"/>
  <c r="L35" i="11" s="1"/>
  <c r="F35" i="11"/>
  <c r="G34" i="11"/>
  <c r="J34" i="11" s="1"/>
  <c r="L34" i="11" s="1"/>
  <c r="F34" i="11"/>
  <c r="G26" i="11"/>
  <c r="J26" i="11" s="1"/>
  <c r="L26" i="11" s="1"/>
  <c r="F26" i="11"/>
  <c r="G25" i="11"/>
  <c r="J25" i="11" s="1"/>
  <c r="L25" i="11" s="1"/>
  <c r="F25" i="11"/>
  <c r="G16" i="11"/>
  <c r="J16" i="11" s="1"/>
  <c r="L16" i="11" s="1"/>
  <c r="F16" i="11"/>
  <c r="G15" i="11"/>
  <c r="J15" i="11" s="1"/>
  <c r="L15" i="11" s="1"/>
  <c r="F15" i="11"/>
  <c r="G24" i="11"/>
  <c r="J24" i="11" s="1"/>
  <c r="L24" i="11" s="1"/>
  <c r="F24" i="11"/>
  <c r="G23" i="11"/>
  <c r="J23" i="11" s="1"/>
  <c r="L23" i="11" s="1"/>
  <c r="F23" i="11"/>
  <c r="G14" i="11"/>
  <c r="J14" i="11" s="1"/>
  <c r="L14" i="11" s="1"/>
  <c r="F14" i="11"/>
  <c r="G13" i="11"/>
  <c r="J13" i="11" s="1"/>
  <c r="L13" i="11" s="1"/>
  <c r="F13" i="11"/>
  <c r="G12" i="11"/>
  <c r="J12" i="11" s="1"/>
  <c r="L12" i="11" s="1"/>
  <c r="F12" i="11"/>
  <c r="G11" i="11"/>
  <c r="J11" i="11" s="1"/>
  <c r="L11" i="11" s="1"/>
  <c r="F11" i="11"/>
  <c r="G30" i="11"/>
  <c r="J30" i="11" s="1"/>
  <c r="L30" i="11" s="1"/>
  <c r="F30" i="11"/>
  <c r="G29" i="11"/>
  <c r="J29" i="11" s="1"/>
  <c r="L29" i="11" s="1"/>
  <c r="F29" i="11"/>
  <c r="G10" i="11"/>
  <c r="J10" i="11" s="1"/>
  <c r="L10" i="11" s="1"/>
  <c r="F10" i="11"/>
  <c r="G9" i="11"/>
  <c r="J9" i="11" s="1"/>
  <c r="L9" i="11" s="1"/>
  <c r="F9" i="11"/>
  <c r="G61" i="11"/>
  <c r="J61" i="11" s="1"/>
  <c r="L61" i="11" s="1"/>
  <c r="F61" i="11"/>
  <c r="G22" i="11"/>
  <c r="J22" i="11" s="1"/>
  <c r="L22" i="11" s="1"/>
  <c r="F22" i="11"/>
  <c r="G45" i="11"/>
  <c r="J45" i="11" s="1"/>
  <c r="L45" i="11" s="1"/>
  <c r="F45" i="11"/>
  <c r="G44" i="11"/>
  <c r="J44" i="11" s="1"/>
  <c r="L44" i="11" s="1"/>
  <c r="F44" i="11"/>
  <c r="G43" i="11"/>
  <c r="I43" i="11" s="1"/>
  <c r="F43" i="11"/>
  <c r="G38" i="11"/>
  <c r="J38" i="11" s="1"/>
  <c r="L38" i="11" s="1"/>
  <c r="F38" i="11"/>
  <c r="G39" i="11"/>
  <c r="J39" i="11" s="1"/>
  <c r="L39" i="11" s="1"/>
  <c r="F39" i="11"/>
  <c r="G62" i="11"/>
  <c r="J62" i="11" s="1"/>
  <c r="L62" i="11" s="1"/>
  <c r="F62" i="11"/>
  <c r="F172" i="11"/>
  <c r="G159" i="11"/>
  <c r="J159" i="11" s="1"/>
  <c r="L159" i="11" s="1"/>
  <c r="F159" i="11"/>
  <c r="G158" i="11"/>
  <c r="J158" i="11" s="1"/>
  <c r="L158" i="11" s="1"/>
  <c r="F158" i="11"/>
  <c r="G138" i="11"/>
  <c r="J138" i="11" s="1"/>
  <c r="L138" i="11" s="1"/>
  <c r="F138" i="11"/>
  <c r="G127" i="11"/>
  <c r="J127" i="11" s="1"/>
  <c r="L127" i="11" s="1"/>
  <c r="F127" i="11"/>
  <c r="G118" i="11"/>
  <c r="I118" i="11" s="1"/>
  <c r="F118" i="11"/>
  <c r="G92" i="11"/>
  <c r="J92" i="11" s="1"/>
  <c r="L92" i="11" s="1"/>
  <c r="F92" i="11"/>
  <c r="G91" i="11"/>
  <c r="J91" i="11" s="1"/>
  <c r="L91" i="11" s="1"/>
  <c r="F91" i="11"/>
  <c r="G75" i="11"/>
  <c r="J75" i="11" s="1"/>
  <c r="L75" i="11" s="1"/>
  <c r="F75" i="11"/>
  <c r="G64" i="11"/>
  <c r="J64" i="11" s="1"/>
  <c r="L64" i="11" s="1"/>
  <c r="F64" i="11"/>
  <c r="G63" i="11"/>
  <c r="J63" i="11" s="1"/>
  <c r="L63" i="11" s="1"/>
  <c r="F63" i="11"/>
  <c r="G57" i="11"/>
  <c r="J57" i="11" s="1"/>
  <c r="L57" i="11" s="1"/>
  <c r="F57" i="11"/>
  <c r="G56" i="11"/>
  <c r="J56" i="11" s="1"/>
  <c r="L56" i="11" s="1"/>
  <c r="F56" i="11"/>
  <c r="G46" i="11"/>
  <c r="J46" i="11" s="1"/>
  <c r="L46" i="11" s="1"/>
  <c r="F46" i="11"/>
  <c r="G41" i="11"/>
  <c r="J41" i="11" s="1"/>
  <c r="L41" i="11" s="1"/>
  <c r="F41" i="11"/>
  <c r="G37" i="11"/>
  <c r="J37" i="11" s="1"/>
  <c r="L37" i="11" s="1"/>
  <c r="F37" i="11"/>
  <c r="G8" i="11"/>
  <c r="J8" i="11" s="1"/>
  <c r="L8" i="11" s="1"/>
  <c r="F8" i="11"/>
  <c r="G33" i="11"/>
  <c r="I33" i="11" s="1"/>
  <c r="F33" i="11"/>
  <c r="F145" i="11"/>
  <c r="F146" i="11"/>
  <c r="F147" i="11"/>
  <c r="G113" i="11"/>
  <c r="I113" i="11" s="1"/>
  <c r="G112" i="11"/>
  <c r="I112" i="11" s="1"/>
  <c r="F112" i="11"/>
  <c r="F113" i="11"/>
  <c r="G80" i="11"/>
  <c r="J80" i="11" s="1"/>
  <c r="L80" i="11" s="1"/>
  <c r="F80" i="11"/>
  <c r="G147" i="11"/>
  <c r="J147" i="11" s="1"/>
  <c r="L147" i="11" s="1"/>
  <c r="G107" i="11"/>
  <c r="J107" i="11" s="1"/>
  <c r="L107" i="11" s="1"/>
  <c r="F107" i="11"/>
  <c r="G183" i="11"/>
  <c r="J183" i="11" s="1"/>
  <c r="L183" i="11" s="1"/>
  <c r="F183" i="11"/>
  <c r="G178" i="11"/>
  <c r="J178" i="11" s="1"/>
  <c r="L178" i="11" s="1"/>
  <c r="F178" i="11"/>
  <c r="G170" i="11"/>
  <c r="J170" i="11" s="1"/>
  <c r="L170" i="11" s="1"/>
  <c r="F170" i="11"/>
  <c r="G160" i="11"/>
  <c r="I160" i="11" s="1"/>
  <c r="F160" i="11"/>
  <c r="G148" i="11"/>
  <c r="J148" i="11" s="1"/>
  <c r="L148" i="11" s="1"/>
  <c r="F148" i="11"/>
  <c r="G137" i="11"/>
  <c r="J137" i="11" s="1"/>
  <c r="L137" i="11" s="1"/>
  <c r="F137" i="11"/>
  <c r="G42" i="11"/>
  <c r="I42" i="11" s="1"/>
  <c r="F42" i="11"/>
  <c r="G7" i="11"/>
  <c r="I7" i="11" s="1"/>
  <c r="F7" i="11"/>
  <c r="G51" i="11"/>
  <c r="J51" i="11" s="1"/>
  <c r="L51" i="11" s="1"/>
  <c r="F51" i="11"/>
  <c r="G88" i="11"/>
  <c r="J88" i="11" s="1"/>
  <c r="L88" i="11" s="1"/>
  <c r="F88" i="11"/>
  <c r="G93" i="11"/>
  <c r="J93" i="11" s="1"/>
  <c r="L93" i="11" s="1"/>
  <c r="F93" i="11"/>
  <c r="G114" i="11"/>
  <c r="J114" i="11" s="1"/>
  <c r="L114" i="11" s="1"/>
  <c r="F114" i="11"/>
  <c r="G121" i="11"/>
  <c r="J121" i="11" s="1"/>
  <c r="L121" i="11" s="1"/>
  <c r="F121" i="11"/>
  <c r="G32" i="11"/>
  <c r="J32" i="11" s="1"/>
  <c r="L32" i="11" s="1"/>
  <c r="F32" i="11"/>
  <c r="G186" i="11"/>
  <c r="J186" i="11" s="1"/>
  <c r="L186" i="11" s="1"/>
  <c r="F186" i="11"/>
  <c r="I188" i="11" l="1"/>
  <c r="I189" i="11"/>
  <c r="I152" i="11"/>
  <c r="I153" i="11"/>
  <c r="I175" i="11"/>
  <c r="I176" i="11"/>
  <c r="I154" i="11"/>
  <c r="I166" i="11"/>
  <c r="I167" i="11"/>
  <c r="I155" i="11"/>
  <c r="I140" i="11"/>
  <c r="I141" i="11"/>
  <c r="I139" i="11"/>
  <c r="I184" i="11"/>
  <c r="I185" i="11"/>
  <c r="I173" i="11"/>
  <c r="I174" i="11"/>
  <c r="I150" i="11"/>
  <c r="I151" i="11"/>
  <c r="I168" i="11"/>
  <c r="I169" i="11"/>
  <c r="I161" i="11"/>
  <c r="I162" i="11"/>
  <c r="I180" i="11"/>
  <c r="I144" i="11"/>
  <c r="I163" i="11"/>
  <c r="I149" i="11"/>
  <c r="I156" i="11"/>
  <c r="I179" i="11"/>
  <c r="I59" i="11"/>
  <c r="J106" i="11"/>
  <c r="L106" i="11" s="1"/>
  <c r="I171" i="11"/>
  <c r="I65" i="11"/>
  <c r="I142" i="11"/>
  <c r="I143" i="11"/>
  <c r="I60" i="11"/>
  <c r="J50" i="11"/>
  <c r="L50" i="11" s="1"/>
  <c r="I177" i="11"/>
  <c r="I76" i="11"/>
  <c r="I119" i="11"/>
  <c r="J79" i="11"/>
  <c r="L79" i="11" s="1"/>
  <c r="I58" i="11"/>
  <c r="I102" i="11"/>
  <c r="I103" i="11"/>
  <c r="I82" i="11"/>
  <c r="I94" i="11"/>
  <c r="I95" i="11"/>
  <c r="I83" i="11"/>
  <c r="I125" i="11"/>
  <c r="I126" i="11"/>
  <c r="I129" i="11"/>
  <c r="I130" i="11"/>
  <c r="I84" i="11"/>
  <c r="I85" i="11"/>
  <c r="I109" i="11"/>
  <c r="I110" i="11"/>
  <c r="I100" i="11"/>
  <c r="I101" i="11"/>
  <c r="I124" i="11"/>
  <c r="I122" i="11"/>
  <c r="I123" i="11"/>
  <c r="I115" i="11"/>
  <c r="I116" i="11"/>
  <c r="I86" i="11"/>
  <c r="I98" i="11"/>
  <c r="I87" i="11"/>
  <c r="J97" i="11"/>
  <c r="L97" i="11" s="1"/>
  <c r="I81" i="11"/>
  <c r="J111" i="11"/>
  <c r="L111" i="11" s="1"/>
  <c r="I99" i="11"/>
  <c r="I90" i="11"/>
  <c r="I96" i="11"/>
  <c r="I120" i="11"/>
  <c r="I78" i="11"/>
  <c r="I54" i="11"/>
  <c r="J55" i="11"/>
  <c r="L55" i="11" s="1"/>
  <c r="I27" i="11"/>
  <c r="I28" i="11"/>
  <c r="I52" i="11"/>
  <c r="I53" i="11"/>
  <c r="I19" i="11"/>
  <c r="I20" i="11"/>
  <c r="I17" i="11"/>
  <c r="I18" i="11"/>
  <c r="I48" i="11"/>
  <c r="I49" i="11"/>
  <c r="I34" i="11"/>
  <c r="I35" i="11"/>
  <c r="I25" i="11"/>
  <c r="I26" i="11"/>
  <c r="I15" i="11"/>
  <c r="I16" i="11"/>
  <c r="I23" i="11"/>
  <c r="I24" i="11"/>
  <c r="I13" i="11"/>
  <c r="I14" i="11"/>
  <c r="I11" i="11"/>
  <c r="I12" i="11"/>
  <c r="I29" i="11"/>
  <c r="I30" i="11"/>
  <c r="I9" i="11"/>
  <c r="J43" i="11"/>
  <c r="L43" i="11" s="1"/>
  <c r="I10" i="11"/>
  <c r="I61" i="11"/>
  <c r="I44" i="11"/>
  <c r="I22" i="11"/>
  <c r="I45" i="11"/>
  <c r="I38" i="11"/>
  <c r="I39" i="11"/>
  <c r="I62" i="11"/>
  <c r="I159" i="11"/>
  <c r="I158" i="11"/>
  <c r="I138" i="11"/>
  <c r="I127" i="11"/>
  <c r="J118" i="11"/>
  <c r="L118" i="11" s="1"/>
  <c r="I92" i="11"/>
  <c r="I91" i="11"/>
  <c r="I75" i="11"/>
  <c r="I64" i="11"/>
  <c r="J33" i="11"/>
  <c r="L33" i="11" s="1"/>
  <c r="I63" i="11"/>
  <c r="I57" i="11"/>
  <c r="I56" i="11"/>
  <c r="I46" i="11"/>
  <c r="I41" i="11"/>
  <c r="I37" i="11"/>
  <c r="I8" i="11"/>
  <c r="J113" i="11"/>
  <c r="L113" i="11" s="1"/>
  <c r="J112" i="11"/>
  <c r="L112" i="11" s="1"/>
  <c r="I80" i="11"/>
  <c r="I147" i="11"/>
  <c r="I107" i="11"/>
  <c r="I183" i="11"/>
  <c r="I178" i="11"/>
  <c r="I170" i="11"/>
  <c r="J160" i="11"/>
  <c r="L160" i="11" s="1"/>
  <c r="I148" i="11"/>
  <c r="I137" i="11"/>
  <c r="J7" i="11"/>
  <c r="L7" i="11" s="1"/>
  <c r="J42" i="11"/>
  <c r="L42" i="11" s="1"/>
  <c r="I51" i="11"/>
  <c r="I88" i="11"/>
  <c r="I93" i="11"/>
  <c r="I114" i="11"/>
  <c r="I121" i="11"/>
  <c r="I32" i="11"/>
  <c r="I186" i="11"/>
  <c r="F34" i="14" l="1"/>
  <c r="F35" i="14"/>
  <c r="F36" i="14"/>
  <c r="F37" i="14"/>
  <c r="F38" i="14"/>
  <c r="F39" i="14"/>
  <c r="F40" i="14"/>
  <c r="G146" i="11"/>
  <c r="J146" i="11" s="1"/>
  <c r="L146" i="11" s="1"/>
  <c r="G157" i="11"/>
  <c r="I157" i="11" s="1"/>
  <c r="F157" i="11"/>
  <c r="G187" i="11"/>
  <c r="J187" i="11" s="1"/>
  <c r="L187" i="11" s="1"/>
  <c r="F187" i="11"/>
  <c r="G165" i="11"/>
  <c r="J165" i="11" s="1"/>
  <c r="L165" i="11" s="1"/>
  <c r="F165" i="11"/>
  <c r="G164" i="11"/>
  <c r="J164" i="11" s="1"/>
  <c r="L164" i="11" s="1"/>
  <c r="F164" i="11"/>
  <c r="G136" i="11"/>
  <c r="J136" i="11" s="1"/>
  <c r="L136" i="11" s="1"/>
  <c r="F136" i="11"/>
  <c r="G135" i="11"/>
  <c r="J135" i="11" s="1"/>
  <c r="L135" i="11" s="1"/>
  <c r="F135" i="11"/>
  <c r="G134" i="11"/>
  <c r="I134" i="11" s="1"/>
  <c r="F134" i="11"/>
  <c r="G108" i="11"/>
  <c r="J108" i="11" s="1"/>
  <c r="L108" i="11" s="1"/>
  <c r="F108" i="11"/>
  <c r="G74" i="11"/>
  <c r="J74" i="11" s="1"/>
  <c r="L74" i="11" s="1"/>
  <c r="F74" i="11"/>
  <c r="G73" i="11"/>
  <c r="J73" i="11" s="1"/>
  <c r="L73" i="11" s="1"/>
  <c r="F73" i="11"/>
  <c r="G72" i="11"/>
  <c r="J72" i="11" s="1"/>
  <c r="L72" i="11" s="1"/>
  <c r="F72" i="11"/>
  <c r="G117" i="11"/>
  <c r="I117" i="11" s="1"/>
  <c r="F117" i="11"/>
  <c r="G105" i="11"/>
  <c r="J105" i="11" s="1"/>
  <c r="L105" i="11" s="1"/>
  <c r="F105" i="11"/>
  <c r="G131" i="11"/>
  <c r="J131" i="11" s="1"/>
  <c r="L131" i="11" s="1"/>
  <c r="F131" i="11"/>
  <c r="G104" i="11"/>
  <c r="J104" i="11" s="1"/>
  <c r="L104" i="11" s="1"/>
  <c r="F104" i="11"/>
  <c r="G128" i="11"/>
  <c r="J128" i="11" s="1"/>
  <c r="L128" i="11" s="1"/>
  <c r="F128" i="11"/>
  <c r="G89" i="11"/>
  <c r="J89" i="11" s="1"/>
  <c r="L89" i="11" s="1"/>
  <c r="F89" i="11"/>
  <c r="G69" i="11"/>
  <c r="J69" i="11" s="1"/>
  <c r="L69" i="11" s="1"/>
  <c r="F69" i="11"/>
  <c r="G40" i="11"/>
  <c r="J40" i="11" s="1"/>
  <c r="L40" i="11" s="1"/>
  <c r="F40" i="11"/>
  <c r="G6" i="11"/>
  <c r="J6" i="11" s="1"/>
  <c r="L6" i="11" s="1"/>
  <c r="F6" i="11"/>
  <c r="G5" i="11"/>
  <c r="J5" i="11" s="1"/>
  <c r="L5" i="11" s="1"/>
  <c r="F5" i="11"/>
  <c r="G4" i="11"/>
  <c r="I4" i="11" s="1"/>
  <c r="F4" i="11"/>
  <c r="G36" i="11"/>
  <c r="J36" i="11" s="1"/>
  <c r="L36" i="11" s="1"/>
  <c r="F36" i="11"/>
  <c r="G21" i="11"/>
  <c r="J21" i="11" s="1"/>
  <c r="L21" i="11" s="1"/>
  <c r="G66" i="11"/>
  <c r="J66" i="11" s="1"/>
  <c r="L66" i="11" s="1"/>
  <c r="F66" i="11"/>
  <c r="F47" i="11"/>
  <c r="F67" i="11"/>
  <c r="F31" i="11"/>
  <c r="G31" i="11"/>
  <c r="J31" i="11" s="1"/>
  <c r="L31" i="11" s="1"/>
  <c r="G67" i="11"/>
  <c r="J67" i="11" s="1"/>
  <c r="L67" i="11" s="1"/>
  <c r="M193" i="11"/>
  <c r="G3" i="11"/>
  <c r="J3" i="11" s="1"/>
  <c r="L3" i="11" s="1"/>
  <c r="G47" i="11"/>
  <c r="J47" i="11" s="1"/>
  <c r="L47" i="11" s="1"/>
  <c r="G68" i="11"/>
  <c r="I68" i="11" s="1"/>
  <c r="G70" i="11"/>
  <c r="J70" i="11" s="1"/>
  <c r="L70" i="11" s="1"/>
  <c r="G71" i="11"/>
  <c r="J71" i="11" s="1"/>
  <c r="L71" i="11" s="1"/>
  <c r="G77" i="11"/>
  <c r="G132" i="11"/>
  <c r="J132" i="11" s="1"/>
  <c r="L132" i="11" s="1"/>
  <c r="G133" i="11"/>
  <c r="J133" i="11" s="1"/>
  <c r="L133" i="11" s="1"/>
  <c r="G145" i="11"/>
  <c r="G172" i="11"/>
  <c r="G181" i="11"/>
  <c r="G182" i="11"/>
  <c r="G190" i="11"/>
  <c r="F68" i="11"/>
  <c r="F133" i="11"/>
  <c r="F132" i="11"/>
  <c r="F71" i="11"/>
  <c r="F70" i="11"/>
  <c r="F3" i="11"/>
  <c r="G2" i="11"/>
  <c r="I2" i="11" s="1"/>
  <c r="F2" i="11"/>
  <c r="I146" i="11" l="1"/>
  <c r="I135" i="11"/>
  <c r="J157" i="11"/>
  <c r="L157" i="11" s="1"/>
  <c r="I187" i="11"/>
  <c r="I165" i="11"/>
  <c r="J134" i="11"/>
  <c r="L134" i="11" s="1"/>
  <c r="I164" i="11"/>
  <c r="I136" i="11"/>
  <c r="I72" i="11"/>
  <c r="I108" i="11"/>
  <c r="I73" i="11"/>
  <c r="I74" i="11"/>
  <c r="J117" i="11"/>
  <c r="L117" i="11" s="1"/>
  <c r="I5" i="11"/>
  <c r="I105" i="11"/>
  <c r="I131" i="11"/>
  <c r="I104" i="11"/>
  <c r="J4" i="11"/>
  <c r="L4" i="11" s="1"/>
  <c r="I128" i="11"/>
  <c r="I89" i="11"/>
  <c r="I69" i="11"/>
  <c r="I40" i="11"/>
  <c r="I6" i="11"/>
  <c r="I36" i="11"/>
  <c r="I21" i="11"/>
  <c r="I66" i="11"/>
  <c r="I31" i="11"/>
  <c r="I67" i="11"/>
  <c r="J68" i="11"/>
  <c r="L68" i="11" s="1"/>
  <c r="I47" i="11"/>
  <c r="I132" i="11"/>
  <c r="I133" i="11"/>
  <c r="I70" i="11"/>
  <c r="I71" i="11"/>
  <c r="J2" i="11"/>
  <c r="L2" i="11" s="1"/>
  <c r="I3" i="11"/>
  <c r="G34" i="14"/>
  <c r="G35" i="14"/>
  <c r="G36" i="14"/>
  <c r="G37" i="14"/>
  <c r="G38" i="14"/>
  <c r="G39" i="14"/>
  <c r="G40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2" i="14"/>
  <c r="M43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7" i="13"/>
  <c r="F36" i="13"/>
  <c r="G150" i="10" l="1"/>
  <c r="J150" i="10" s="1"/>
  <c r="L150" i="10" s="1"/>
  <c r="F150" i="10"/>
  <c r="G75" i="10"/>
  <c r="J75" i="10" s="1"/>
  <c r="L75" i="10" s="1"/>
  <c r="F75" i="10"/>
  <c r="G35" i="10"/>
  <c r="J35" i="10" s="1"/>
  <c r="L35" i="10" s="1"/>
  <c r="F35" i="10"/>
  <c r="G141" i="10"/>
  <c r="I141" i="10" s="1"/>
  <c r="F141" i="10"/>
  <c r="G68" i="10"/>
  <c r="J68" i="10" s="1"/>
  <c r="L68" i="10" s="1"/>
  <c r="F68" i="10"/>
  <c r="G31" i="10"/>
  <c r="J31" i="10" s="1"/>
  <c r="L31" i="10" s="1"/>
  <c r="F31" i="10"/>
  <c r="G217" i="10"/>
  <c r="I217" i="10" s="1"/>
  <c r="F217" i="10"/>
  <c r="G51" i="10"/>
  <c r="I51" i="10" s="1"/>
  <c r="F51" i="10"/>
  <c r="G222" i="10"/>
  <c r="J222" i="10" s="1"/>
  <c r="L222" i="10" s="1"/>
  <c r="F222" i="10"/>
  <c r="G54" i="10"/>
  <c r="J54" i="10" s="1"/>
  <c r="L54" i="10" s="1"/>
  <c r="F54" i="10"/>
  <c r="G43" i="10"/>
  <c r="J43" i="10" s="1"/>
  <c r="L43" i="10" s="1"/>
  <c r="F43" i="10"/>
  <c r="G128" i="10"/>
  <c r="J128" i="10" s="1"/>
  <c r="L128" i="10" s="1"/>
  <c r="F128" i="10"/>
  <c r="G100" i="10"/>
  <c r="J100" i="10" s="1"/>
  <c r="L100" i="10" s="1"/>
  <c r="F100" i="10"/>
  <c r="G144" i="10"/>
  <c r="J144" i="10" s="1"/>
  <c r="L144" i="10" s="1"/>
  <c r="F144" i="10"/>
  <c r="G131" i="10"/>
  <c r="J131" i="10" s="1"/>
  <c r="L131" i="10" s="1"/>
  <c r="F131" i="10"/>
  <c r="G206" i="10"/>
  <c r="J206" i="10" s="1"/>
  <c r="L206" i="10" s="1"/>
  <c r="F206" i="10"/>
  <c r="G162" i="10"/>
  <c r="J162" i="10" s="1"/>
  <c r="L162" i="10" s="1"/>
  <c r="F162" i="10"/>
  <c r="G101" i="10"/>
  <c r="J101" i="10" s="1"/>
  <c r="L101" i="10" s="1"/>
  <c r="F101" i="10"/>
  <c r="G93" i="10"/>
  <c r="J93" i="10" s="1"/>
  <c r="L93" i="10" s="1"/>
  <c r="F93" i="10"/>
  <c r="G190" i="10"/>
  <c r="J190" i="10" s="1"/>
  <c r="L190" i="10" s="1"/>
  <c r="F190" i="10"/>
  <c r="G39" i="10"/>
  <c r="J39" i="10" s="1"/>
  <c r="L39" i="10" s="1"/>
  <c r="F39" i="10"/>
  <c r="G81" i="10"/>
  <c r="J81" i="10" s="1"/>
  <c r="L81" i="10" s="1"/>
  <c r="F81" i="10"/>
  <c r="G89" i="10"/>
  <c r="J89" i="10" s="1"/>
  <c r="L89" i="10" s="1"/>
  <c r="F89" i="10"/>
  <c r="G69" i="10"/>
  <c r="J69" i="10" s="1"/>
  <c r="L69" i="10" s="1"/>
  <c r="F69" i="10"/>
  <c r="G28" i="10"/>
  <c r="J28" i="10" s="1"/>
  <c r="L28" i="10" s="1"/>
  <c r="F28" i="10"/>
  <c r="G53" i="10"/>
  <c r="J53" i="10" s="1"/>
  <c r="L53" i="10" s="1"/>
  <c r="F53" i="10"/>
  <c r="G9" i="10"/>
  <c r="J9" i="10" s="1"/>
  <c r="L9" i="10" s="1"/>
  <c r="F9" i="10"/>
  <c r="G38" i="10"/>
  <c r="J38" i="10" s="1"/>
  <c r="L38" i="10" s="1"/>
  <c r="F38" i="10"/>
  <c r="G221" i="10"/>
  <c r="I221" i="10" s="1"/>
  <c r="F221" i="10"/>
  <c r="G46" i="10"/>
  <c r="I46" i="10" s="1"/>
  <c r="F46" i="10"/>
  <c r="G37" i="10"/>
  <c r="J37" i="10" s="1"/>
  <c r="L37" i="10" s="1"/>
  <c r="F37" i="10"/>
  <c r="G30" i="10"/>
  <c r="J30" i="10" s="1"/>
  <c r="L30" i="10" s="1"/>
  <c r="F30" i="10"/>
  <c r="G29" i="10"/>
  <c r="J29" i="10" s="1"/>
  <c r="L29" i="10" s="1"/>
  <c r="F29" i="10"/>
  <c r="G26" i="10"/>
  <c r="J26" i="10" s="1"/>
  <c r="L26" i="10" s="1"/>
  <c r="F26" i="10"/>
  <c r="G20" i="10"/>
  <c r="I20" i="10" s="1"/>
  <c r="F20" i="10"/>
  <c r="G21" i="10"/>
  <c r="I21" i="10" s="1"/>
  <c r="F21" i="10"/>
  <c r="G205" i="10"/>
  <c r="J205" i="10" s="1"/>
  <c r="L205" i="10" s="1"/>
  <c r="F205" i="10"/>
  <c r="G159" i="10"/>
  <c r="J159" i="10" s="1"/>
  <c r="L159" i="10" s="1"/>
  <c r="F159" i="10"/>
  <c r="G151" i="10"/>
  <c r="J151" i="10" s="1"/>
  <c r="L151" i="10" s="1"/>
  <c r="F151" i="10"/>
  <c r="G127" i="10"/>
  <c r="J127" i="10" s="1"/>
  <c r="L127" i="10" s="1"/>
  <c r="F127" i="10"/>
  <c r="G60" i="10"/>
  <c r="I60" i="10" s="1"/>
  <c r="F60" i="10"/>
  <c r="G59" i="10"/>
  <c r="J59" i="10" s="1"/>
  <c r="L59" i="10" s="1"/>
  <c r="F59" i="10"/>
  <c r="G90" i="10"/>
  <c r="J90" i="10" s="1"/>
  <c r="L90" i="10" s="1"/>
  <c r="F90" i="10"/>
  <c r="G88" i="10"/>
  <c r="J88" i="10" s="1"/>
  <c r="L88" i="10" s="1"/>
  <c r="F88" i="10"/>
  <c r="G230" i="10"/>
  <c r="J230" i="10" s="1"/>
  <c r="L230" i="10" s="1"/>
  <c r="F230" i="10"/>
  <c r="G229" i="10"/>
  <c r="J229" i="10" s="1"/>
  <c r="L229" i="10" s="1"/>
  <c r="F229" i="10"/>
  <c r="G130" i="10"/>
  <c r="J130" i="10" s="1"/>
  <c r="L130" i="10" s="1"/>
  <c r="F130" i="10"/>
  <c r="G129" i="10"/>
  <c r="J129" i="10" s="1"/>
  <c r="L129" i="10" s="1"/>
  <c r="F129" i="10"/>
  <c r="G228" i="10"/>
  <c r="J228" i="10" s="1"/>
  <c r="L228" i="10" s="1"/>
  <c r="F228" i="10"/>
  <c r="G227" i="10"/>
  <c r="J227" i="10" s="1"/>
  <c r="L227" i="10" s="1"/>
  <c r="F227" i="10"/>
  <c r="G194" i="10"/>
  <c r="J194" i="10" s="1"/>
  <c r="L194" i="10" s="1"/>
  <c r="F194" i="10"/>
  <c r="G193" i="10"/>
  <c r="J193" i="10" s="1"/>
  <c r="L193" i="10" s="1"/>
  <c r="F193" i="10"/>
  <c r="G140" i="10"/>
  <c r="J140" i="10" s="1"/>
  <c r="L140" i="10" s="1"/>
  <c r="F140" i="10"/>
  <c r="G139" i="10"/>
  <c r="J139" i="10" s="1"/>
  <c r="L139" i="10" s="1"/>
  <c r="F139" i="10"/>
  <c r="G216" i="10"/>
  <c r="J216" i="10" s="1"/>
  <c r="L216" i="10" s="1"/>
  <c r="F216" i="10"/>
  <c r="G215" i="10"/>
  <c r="J215" i="10" s="1"/>
  <c r="L215" i="10" s="1"/>
  <c r="F215" i="10"/>
  <c r="G173" i="10"/>
  <c r="J173" i="10" s="1"/>
  <c r="L173" i="10" s="1"/>
  <c r="F173" i="10"/>
  <c r="G172" i="10"/>
  <c r="J172" i="10" s="1"/>
  <c r="L172" i="10" s="1"/>
  <c r="F172" i="10"/>
  <c r="G214" i="10"/>
  <c r="J214" i="10" s="1"/>
  <c r="L214" i="10" s="1"/>
  <c r="F214" i="10"/>
  <c r="G213" i="10"/>
  <c r="J213" i="10" s="1"/>
  <c r="L213" i="10" s="1"/>
  <c r="F213" i="10"/>
  <c r="G185" i="10"/>
  <c r="J185" i="10" s="1"/>
  <c r="L185" i="10" s="1"/>
  <c r="F185" i="10"/>
  <c r="G184" i="10"/>
  <c r="J184" i="10" s="1"/>
  <c r="L184" i="10" s="1"/>
  <c r="F184" i="10"/>
  <c r="G183" i="10"/>
  <c r="I183" i="10" s="1"/>
  <c r="F183" i="10"/>
  <c r="G182" i="10"/>
  <c r="J182" i="10" s="1"/>
  <c r="L182" i="10" s="1"/>
  <c r="F182" i="10"/>
  <c r="G181" i="10"/>
  <c r="J181" i="10" s="1"/>
  <c r="L181" i="10" s="1"/>
  <c r="F181" i="10"/>
  <c r="G180" i="10"/>
  <c r="J180" i="10" s="1"/>
  <c r="L180" i="10" s="1"/>
  <c r="F180" i="10"/>
  <c r="G171" i="10"/>
  <c r="I171" i="10" s="1"/>
  <c r="F171" i="10"/>
  <c r="G170" i="10"/>
  <c r="J170" i="10" s="1"/>
  <c r="L170" i="10" s="1"/>
  <c r="F170" i="10"/>
  <c r="G189" i="10"/>
  <c r="J189" i="10" s="1"/>
  <c r="L189" i="10" s="1"/>
  <c r="F189" i="10"/>
  <c r="G188" i="10"/>
  <c r="J188" i="10" s="1"/>
  <c r="L188" i="10" s="1"/>
  <c r="F188" i="10"/>
  <c r="G169" i="10"/>
  <c r="J169" i="10" s="1"/>
  <c r="L169" i="10" s="1"/>
  <c r="F169" i="10"/>
  <c r="G168" i="10"/>
  <c r="J168" i="10" s="1"/>
  <c r="L168" i="10" s="1"/>
  <c r="F168" i="10"/>
  <c r="G212" i="10"/>
  <c r="J212" i="10" s="1"/>
  <c r="L212" i="10" s="1"/>
  <c r="F212" i="10"/>
  <c r="G211" i="10"/>
  <c r="J211" i="10" s="1"/>
  <c r="L211" i="10" s="1"/>
  <c r="F211" i="10"/>
  <c r="G192" i="10"/>
  <c r="J192" i="10" s="1"/>
  <c r="L192" i="10" s="1"/>
  <c r="F192" i="10"/>
  <c r="G191" i="10"/>
  <c r="J191" i="10" s="1"/>
  <c r="L191" i="10" s="1"/>
  <c r="F191" i="10"/>
  <c r="G138" i="10"/>
  <c r="J138" i="10" s="1"/>
  <c r="L138" i="10" s="1"/>
  <c r="F138" i="10"/>
  <c r="G137" i="10"/>
  <c r="J137" i="10" s="1"/>
  <c r="L137" i="10" s="1"/>
  <c r="F137" i="10"/>
  <c r="G210" i="10"/>
  <c r="J210" i="10" s="1"/>
  <c r="L210" i="10" s="1"/>
  <c r="F210" i="10"/>
  <c r="G209" i="10"/>
  <c r="J209" i="10" s="1"/>
  <c r="L209" i="10" s="1"/>
  <c r="F209" i="10"/>
  <c r="G136" i="10"/>
  <c r="J136" i="10" s="1"/>
  <c r="L136" i="10" s="1"/>
  <c r="F136" i="10"/>
  <c r="G135" i="10"/>
  <c r="J135" i="10" s="1"/>
  <c r="L135" i="10" s="1"/>
  <c r="F135" i="10"/>
  <c r="G208" i="10"/>
  <c r="J208" i="10" s="1"/>
  <c r="L208" i="10" s="1"/>
  <c r="F208" i="10"/>
  <c r="G207" i="10"/>
  <c r="J207" i="10" s="1"/>
  <c r="L207" i="10" s="1"/>
  <c r="F207" i="10"/>
  <c r="G198" i="10"/>
  <c r="J198" i="10" s="1"/>
  <c r="L198" i="10" s="1"/>
  <c r="F198" i="10"/>
  <c r="G197" i="10"/>
  <c r="J197" i="10" s="1"/>
  <c r="L197" i="10" s="1"/>
  <c r="F197" i="10"/>
  <c r="G149" i="10"/>
  <c r="J149" i="10" s="1"/>
  <c r="L149" i="10" s="1"/>
  <c r="F149" i="10"/>
  <c r="G148" i="10"/>
  <c r="J148" i="10" s="1"/>
  <c r="L148" i="10" s="1"/>
  <c r="F148" i="10"/>
  <c r="G133" i="10"/>
  <c r="J133" i="10" s="1"/>
  <c r="L133" i="10" s="1"/>
  <c r="F133" i="10"/>
  <c r="G132" i="10"/>
  <c r="J132" i="10" s="1"/>
  <c r="L132" i="10" s="1"/>
  <c r="F132" i="10"/>
  <c r="G226" i="10"/>
  <c r="J226" i="10" s="1"/>
  <c r="L226" i="10" s="1"/>
  <c r="F226" i="10"/>
  <c r="G225" i="10"/>
  <c r="J225" i="10" s="1"/>
  <c r="L225" i="10" s="1"/>
  <c r="F225" i="10"/>
  <c r="G179" i="10"/>
  <c r="J179" i="10" s="1"/>
  <c r="L179" i="10" s="1"/>
  <c r="F179" i="10"/>
  <c r="G178" i="10"/>
  <c r="J178" i="10" s="1"/>
  <c r="L178" i="10" s="1"/>
  <c r="F178" i="10"/>
  <c r="F186" i="10"/>
  <c r="G186" i="10"/>
  <c r="I186" i="10" s="1"/>
  <c r="G175" i="10"/>
  <c r="J175" i="10" s="1"/>
  <c r="L175" i="10" s="1"/>
  <c r="F175" i="10"/>
  <c r="G174" i="10"/>
  <c r="J174" i="10" s="1"/>
  <c r="L174" i="10" s="1"/>
  <c r="F174" i="10"/>
  <c r="G204" i="10"/>
  <c r="J204" i="10" s="1"/>
  <c r="L204" i="10" s="1"/>
  <c r="F204" i="10"/>
  <c r="G203" i="10"/>
  <c r="J203" i="10" s="1"/>
  <c r="L203" i="10" s="1"/>
  <c r="F203" i="10"/>
  <c r="G147" i="10"/>
  <c r="J147" i="10" s="1"/>
  <c r="L147" i="10" s="1"/>
  <c r="F147" i="10"/>
  <c r="G146" i="10"/>
  <c r="J146" i="10" s="1"/>
  <c r="L146" i="10" s="1"/>
  <c r="F146" i="10"/>
  <c r="G143" i="10"/>
  <c r="J143" i="10" s="1"/>
  <c r="L143" i="10" s="1"/>
  <c r="F143" i="10"/>
  <c r="G142" i="10"/>
  <c r="J142" i="10" s="1"/>
  <c r="L142" i="10" s="1"/>
  <c r="F142" i="10"/>
  <c r="G158" i="10"/>
  <c r="J158" i="10" s="1"/>
  <c r="L158" i="10" s="1"/>
  <c r="F158" i="10"/>
  <c r="G157" i="10"/>
  <c r="J157" i="10" s="1"/>
  <c r="L157" i="10" s="1"/>
  <c r="F157" i="10"/>
  <c r="G196" i="10"/>
  <c r="J196" i="10" s="1"/>
  <c r="L196" i="10" s="1"/>
  <c r="F196" i="10"/>
  <c r="G195" i="10"/>
  <c r="J195" i="10" s="1"/>
  <c r="L195" i="10" s="1"/>
  <c r="F195" i="10"/>
  <c r="G200" i="10"/>
  <c r="J200" i="10" s="1"/>
  <c r="L200" i="10" s="1"/>
  <c r="F200" i="10"/>
  <c r="G199" i="10"/>
  <c r="J199" i="10" s="1"/>
  <c r="L199" i="10" s="1"/>
  <c r="F199" i="10"/>
  <c r="G167" i="10"/>
  <c r="J167" i="10" s="1"/>
  <c r="L167" i="10" s="1"/>
  <c r="F167" i="10"/>
  <c r="G166" i="10"/>
  <c r="J166" i="10" s="1"/>
  <c r="L166" i="10" s="1"/>
  <c r="F166" i="10"/>
  <c r="G187" i="10"/>
  <c r="J187" i="10" s="1"/>
  <c r="L187" i="10" s="1"/>
  <c r="F187" i="10"/>
  <c r="G156" i="10"/>
  <c r="J156" i="10" s="1"/>
  <c r="L156" i="10" s="1"/>
  <c r="F156" i="10"/>
  <c r="G155" i="10"/>
  <c r="J155" i="10" s="1"/>
  <c r="L155" i="10" s="1"/>
  <c r="F155" i="10"/>
  <c r="G202" i="10"/>
  <c r="J202" i="10" s="1"/>
  <c r="L202" i="10" s="1"/>
  <c r="F202" i="10"/>
  <c r="G201" i="10"/>
  <c r="J201" i="10" s="1"/>
  <c r="L201" i="10" s="1"/>
  <c r="F201" i="10"/>
  <c r="G224" i="10"/>
  <c r="J224" i="10" s="1"/>
  <c r="L224" i="10" s="1"/>
  <c r="F224" i="10"/>
  <c r="G223" i="10"/>
  <c r="J223" i="10" s="1"/>
  <c r="L223" i="10" s="1"/>
  <c r="F223" i="10"/>
  <c r="G219" i="10"/>
  <c r="J219" i="10" s="1"/>
  <c r="L219" i="10" s="1"/>
  <c r="F219" i="10"/>
  <c r="G161" i="10"/>
  <c r="J161" i="10" s="1"/>
  <c r="L161" i="10" s="1"/>
  <c r="F161" i="10"/>
  <c r="G165" i="10"/>
  <c r="I165" i="10" s="1"/>
  <c r="F165" i="10"/>
  <c r="G164" i="10"/>
  <c r="I164" i="10" s="1"/>
  <c r="F164" i="10"/>
  <c r="G163" i="10"/>
  <c r="I163" i="10" s="1"/>
  <c r="F163" i="10"/>
  <c r="G134" i="10"/>
  <c r="I134" i="10" s="1"/>
  <c r="F134" i="10"/>
  <c r="G112" i="10"/>
  <c r="J112" i="10" s="1"/>
  <c r="L112" i="10" s="1"/>
  <c r="F112" i="10"/>
  <c r="G99" i="10"/>
  <c r="J99" i="10" s="1"/>
  <c r="L99" i="10" s="1"/>
  <c r="F99" i="10"/>
  <c r="G80" i="10"/>
  <c r="J80" i="10" s="1"/>
  <c r="L80" i="10" s="1"/>
  <c r="F80" i="10"/>
  <c r="G85" i="10"/>
  <c r="J85" i="10" s="1"/>
  <c r="L85" i="10" s="1"/>
  <c r="F85" i="10"/>
  <c r="G84" i="10"/>
  <c r="J84" i="10" s="1"/>
  <c r="L84" i="10" s="1"/>
  <c r="F84" i="10"/>
  <c r="G83" i="10"/>
  <c r="J83" i="10" s="1"/>
  <c r="L83" i="10" s="1"/>
  <c r="F83" i="10"/>
  <c r="G70" i="10"/>
  <c r="J70" i="10" s="1"/>
  <c r="L70" i="10" s="1"/>
  <c r="F70" i="10"/>
  <c r="G95" i="10"/>
  <c r="J95" i="10" s="1"/>
  <c r="L95" i="10" s="1"/>
  <c r="F95" i="10"/>
  <c r="F94" i="10"/>
  <c r="F82" i="10"/>
  <c r="G52" i="10"/>
  <c r="J52" i="10" s="1"/>
  <c r="L52" i="10" s="1"/>
  <c r="F52" i="10"/>
  <c r="G27" i="10"/>
  <c r="J27" i="10" s="1"/>
  <c r="L27" i="10" s="1"/>
  <c r="F27" i="10"/>
  <c r="F32" i="10"/>
  <c r="G32" i="10"/>
  <c r="J32" i="10" s="1"/>
  <c r="L32" i="10" s="1"/>
  <c r="G34" i="10"/>
  <c r="J34" i="10" s="1"/>
  <c r="L34" i="10" s="1"/>
  <c r="F34" i="10"/>
  <c r="G33" i="10"/>
  <c r="J33" i="10" s="1"/>
  <c r="L33" i="10" s="1"/>
  <c r="F33" i="10"/>
  <c r="F36" i="10"/>
  <c r="G36" i="10"/>
  <c r="I36" i="10" s="1"/>
  <c r="G47" i="10"/>
  <c r="J47" i="10" s="1"/>
  <c r="L47" i="10" s="1"/>
  <c r="F47" i="10"/>
  <c r="G42" i="10"/>
  <c r="J42" i="10" s="1"/>
  <c r="L42" i="10" s="1"/>
  <c r="F42" i="10"/>
  <c r="G114" i="10"/>
  <c r="J114" i="10" s="1"/>
  <c r="L114" i="10" s="1"/>
  <c r="F114" i="10"/>
  <c r="G113" i="10"/>
  <c r="J113" i="10" s="1"/>
  <c r="L113" i="10" s="1"/>
  <c r="F113" i="10"/>
  <c r="G103" i="10"/>
  <c r="J103" i="10" s="1"/>
  <c r="L103" i="10" s="1"/>
  <c r="F103" i="10"/>
  <c r="G102" i="10"/>
  <c r="J102" i="10" s="1"/>
  <c r="L102" i="10" s="1"/>
  <c r="F102" i="10"/>
  <c r="G74" i="10"/>
  <c r="I74" i="10" s="1"/>
  <c r="F74" i="10"/>
  <c r="G73" i="10"/>
  <c r="J73" i="10" s="1"/>
  <c r="L73" i="10" s="1"/>
  <c r="F73" i="10"/>
  <c r="G116" i="10"/>
  <c r="J116" i="10" s="1"/>
  <c r="L116" i="10" s="1"/>
  <c r="F116" i="10"/>
  <c r="G115" i="10"/>
  <c r="J115" i="10" s="1"/>
  <c r="L115" i="10" s="1"/>
  <c r="F115" i="10"/>
  <c r="G79" i="10"/>
  <c r="J79" i="10" s="1"/>
  <c r="L79" i="10" s="1"/>
  <c r="F79" i="10"/>
  <c r="G78" i="10"/>
  <c r="J78" i="10" s="1"/>
  <c r="L78" i="10" s="1"/>
  <c r="F78" i="10"/>
  <c r="G105" i="10"/>
  <c r="J105" i="10" s="1"/>
  <c r="L105" i="10" s="1"/>
  <c r="F105" i="10"/>
  <c r="G104" i="10"/>
  <c r="J104" i="10" s="1"/>
  <c r="L104" i="10" s="1"/>
  <c r="F104" i="10"/>
  <c r="G107" i="10"/>
  <c r="J107" i="10" s="1"/>
  <c r="L107" i="10" s="1"/>
  <c r="F107" i="10"/>
  <c r="G106" i="10"/>
  <c r="J106" i="10" s="1"/>
  <c r="L106" i="10" s="1"/>
  <c r="F106" i="10"/>
  <c r="G98" i="10"/>
  <c r="J98" i="10" s="1"/>
  <c r="L98" i="10" s="1"/>
  <c r="F98" i="10"/>
  <c r="G97" i="10"/>
  <c r="J97" i="10" s="1"/>
  <c r="L97" i="10" s="1"/>
  <c r="F97" i="10"/>
  <c r="G111" i="10"/>
  <c r="J111" i="10" s="1"/>
  <c r="L111" i="10" s="1"/>
  <c r="F111" i="10"/>
  <c r="G110" i="10"/>
  <c r="J110" i="10" s="1"/>
  <c r="L110" i="10" s="1"/>
  <c r="F110" i="10"/>
  <c r="G92" i="10"/>
  <c r="J92" i="10" s="1"/>
  <c r="L92" i="10" s="1"/>
  <c r="F92" i="10"/>
  <c r="G91" i="10"/>
  <c r="J91" i="10" s="1"/>
  <c r="L91" i="10" s="1"/>
  <c r="F91" i="10"/>
  <c r="G72" i="10"/>
  <c r="J72" i="10" s="1"/>
  <c r="L72" i="10" s="1"/>
  <c r="F72" i="10"/>
  <c r="G71" i="10"/>
  <c r="J71" i="10" s="1"/>
  <c r="L71" i="10" s="1"/>
  <c r="F71" i="10"/>
  <c r="G118" i="10"/>
  <c r="J118" i="10" s="1"/>
  <c r="L118" i="10" s="1"/>
  <c r="F118" i="10"/>
  <c r="G117" i="10"/>
  <c r="J117" i="10" s="1"/>
  <c r="L117" i="10" s="1"/>
  <c r="F117" i="10"/>
  <c r="G109" i="10"/>
  <c r="I109" i="10" s="1"/>
  <c r="F109" i="10"/>
  <c r="G108" i="10"/>
  <c r="J108" i="10" s="1"/>
  <c r="L108" i="10" s="1"/>
  <c r="F108" i="10"/>
  <c r="G56" i="10"/>
  <c r="J56" i="10" s="1"/>
  <c r="L56" i="10" s="1"/>
  <c r="F56" i="10"/>
  <c r="G55" i="10"/>
  <c r="J55" i="10" s="1"/>
  <c r="L55" i="10" s="1"/>
  <c r="F55" i="10"/>
  <c r="G16" i="10"/>
  <c r="J16" i="10" s="1"/>
  <c r="L16" i="10" s="1"/>
  <c r="F16" i="10"/>
  <c r="G15" i="10"/>
  <c r="J15" i="10" s="1"/>
  <c r="L15" i="10" s="1"/>
  <c r="F15" i="10"/>
  <c r="G41" i="10"/>
  <c r="I41" i="10" s="1"/>
  <c r="F41" i="10"/>
  <c r="G40" i="10"/>
  <c r="J40" i="10" s="1"/>
  <c r="L40" i="10" s="1"/>
  <c r="F40" i="10"/>
  <c r="G13" i="10"/>
  <c r="J13" i="10" s="1"/>
  <c r="L13" i="10" s="1"/>
  <c r="F13" i="10"/>
  <c r="G12" i="10"/>
  <c r="J12" i="10" s="1"/>
  <c r="L12" i="10" s="1"/>
  <c r="F12" i="10"/>
  <c r="G24" i="10"/>
  <c r="J24" i="10" s="1"/>
  <c r="L24" i="10" s="1"/>
  <c r="F24" i="10"/>
  <c r="G23" i="10"/>
  <c r="J23" i="10" s="1"/>
  <c r="L23" i="10" s="1"/>
  <c r="F23" i="10"/>
  <c r="G49" i="10"/>
  <c r="J49" i="10" s="1"/>
  <c r="L49" i="10" s="1"/>
  <c r="F49" i="10"/>
  <c r="G48" i="10"/>
  <c r="J48" i="10" s="1"/>
  <c r="L48" i="10" s="1"/>
  <c r="F48" i="10"/>
  <c r="G11" i="10"/>
  <c r="I11" i="10" s="1"/>
  <c r="F11" i="10"/>
  <c r="G10" i="10"/>
  <c r="J10" i="10" s="1"/>
  <c r="L10" i="10" s="1"/>
  <c r="F10" i="10"/>
  <c r="G45" i="10"/>
  <c r="I45" i="10" s="1"/>
  <c r="F45" i="10"/>
  <c r="G44" i="10"/>
  <c r="J44" i="10" s="1"/>
  <c r="L44" i="10" s="1"/>
  <c r="F44" i="10"/>
  <c r="G19" i="10"/>
  <c r="J19" i="10" s="1"/>
  <c r="L19" i="10" s="1"/>
  <c r="F19" i="10"/>
  <c r="G18" i="10"/>
  <c r="J18" i="10" s="1"/>
  <c r="L18" i="10" s="1"/>
  <c r="F18" i="10"/>
  <c r="G8" i="10"/>
  <c r="J8" i="10" s="1"/>
  <c r="L8" i="10" s="1"/>
  <c r="F8" i="10"/>
  <c r="G7" i="10"/>
  <c r="J7" i="10" s="1"/>
  <c r="L7" i="10" s="1"/>
  <c r="F7" i="10"/>
  <c r="G145" i="10"/>
  <c r="J145" i="10" s="1"/>
  <c r="L145" i="10" s="1"/>
  <c r="F145" i="10"/>
  <c r="G160" i="10"/>
  <c r="J160" i="10" s="1"/>
  <c r="L160" i="10" s="1"/>
  <c r="F160" i="10"/>
  <c r="G154" i="10"/>
  <c r="J154" i="10" s="1"/>
  <c r="L154" i="10" s="1"/>
  <c r="F154" i="10"/>
  <c r="G126" i="10"/>
  <c r="J126" i="10" s="1"/>
  <c r="L126" i="10" s="1"/>
  <c r="F126" i="10"/>
  <c r="G125" i="10"/>
  <c r="J125" i="10" s="1"/>
  <c r="L125" i="10" s="1"/>
  <c r="F125" i="10"/>
  <c r="G124" i="10"/>
  <c r="I124" i="10" s="1"/>
  <c r="F124" i="10"/>
  <c r="G233" i="10"/>
  <c r="J233" i="10" s="1"/>
  <c r="L233" i="10" s="1"/>
  <c r="F233" i="10"/>
  <c r="G177" i="10"/>
  <c r="J177" i="10" s="1"/>
  <c r="L177" i="10" s="1"/>
  <c r="F177" i="10"/>
  <c r="I150" i="10" l="1"/>
  <c r="I75" i="10"/>
  <c r="I35" i="10"/>
  <c r="I68" i="10"/>
  <c r="J141" i="10"/>
  <c r="L141" i="10" s="1"/>
  <c r="I31" i="10"/>
  <c r="J217" i="10"/>
  <c r="L217" i="10" s="1"/>
  <c r="J51" i="10"/>
  <c r="L51" i="10" s="1"/>
  <c r="I222" i="10"/>
  <c r="I54" i="10"/>
  <c r="I43" i="10"/>
  <c r="I128" i="10"/>
  <c r="I100" i="10"/>
  <c r="I144" i="10"/>
  <c r="I131" i="10"/>
  <c r="I206" i="10"/>
  <c r="I162" i="10"/>
  <c r="I101" i="10"/>
  <c r="I93" i="10"/>
  <c r="I190" i="10"/>
  <c r="I39" i="10"/>
  <c r="I81" i="10"/>
  <c r="I89" i="10"/>
  <c r="I69" i="10"/>
  <c r="I28" i="10"/>
  <c r="I53" i="10"/>
  <c r="I9" i="10"/>
  <c r="I38" i="10"/>
  <c r="J46" i="10"/>
  <c r="L46" i="10" s="1"/>
  <c r="J221" i="10"/>
  <c r="L221" i="10" s="1"/>
  <c r="I37" i="10"/>
  <c r="I30" i="10"/>
  <c r="I29" i="10"/>
  <c r="I26" i="10"/>
  <c r="J20" i="10"/>
  <c r="L20" i="10" s="1"/>
  <c r="J21" i="10"/>
  <c r="L21" i="10" s="1"/>
  <c r="I205" i="10"/>
  <c r="I159" i="10"/>
  <c r="I151" i="10"/>
  <c r="J60" i="10"/>
  <c r="L60" i="10" s="1"/>
  <c r="I127" i="10"/>
  <c r="I59" i="10"/>
  <c r="I229" i="10"/>
  <c r="I90" i="10"/>
  <c r="I88" i="10"/>
  <c r="I230" i="10"/>
  <c r="I227" i="10"/>
  <c r="I129" i="10"/>
  <c r="I130" i="10"/>
  <c r="I228" i="10"/>
  <c r="I184" i="10"/>
  <c r="I193" i="10"/>
  <c r="I194" i="10"/>
  <c r="I139" i="10"/>
  <c r="I140" i="10"/>
  <c r="I215" i="10"/>
  <c r="I216" i="10"/>
  <c r="I172" i="10"/>
  <c r="I173" i="10"/>
  <c r="I213" i="10"/>
  <c r="I214" i="10"/>
  <c r="I185" i="10"/>
  <c r="I182" i="10"/>
  <c r="I170" i="10"/>
  <c r="J183" i="10"/>
  <c r="L183" i="10" s="1"/>
  <c r="I180" i="10"/>
  <c r="I181" i="10"/>
  <c r="J171" i="10"/>
  <c r="L171" i="10" s="1"/>
  <c r="I188" i="10"/>
  <c r="I189" i="10"/>
  <c r="I168" i="10"/>
  <c r="I191" i="10"/>
  <c r="I169" i="10"/>
  <c r="I211" i="10"/>
  <c r="I212" i="10"/>
  <c r="I192" i="10"/>
  <c r="I209" i="10"/>
  <c r="I137" i="10"/>
  <c r="I207" i="10"/>
  <c r="I138" i="10"/>
  <c r="I210" i="10"/>
  <c r="I132" i="10"/>
  <c r="I135" i="10"/>
  <c r="I155" i="10"/>
  <c r="I136" i="10"/>
  <c r="I208" i="10"/>
  <c r="I197" i="10"/>
  <c r="I198" i="10"/>
  <c r="I148" i="10"/>
  <c r="I149" i="10"/>
  <c r="I133" i="10"/>
  <c r="I225" i="10"/>
  <c r="I226" i="10"/>
  <c r="I178" i="10"/>
  <c r="J186" i="10"/>
  <c r="L186" i="10" s="1"/>
  <c r="I179" i="10"/>
  <c r="I174" i="10"/>
  <c r="I175" i="10"/>
  <c r="I203" i="10"/>
  <c r="I204" i="10"/>
  <c r="I146" i="10"/>
  <c r="I147" i="10"/>
  <c r="I142" i="10"/>
  <c r="I143" i="10"/>
  <c r="I157" i="10"/>
  <c r="I158" i="10"/>
  <c r="I195" i="10"/>
  <c r="I196" i="10"/>
  <c r="I199" i="10"/>
  <c r="I200" i="10"/>
  <c r="I166" i="10"/>
  <c r="I167" i="10"/>
  <c r="I187" i="10"/>
  <c r="I156" i="10"/>
  <c r="I201" i="10"/>
  <c r="I202" i="10"/>
  <c r="I223" i="10"/>
  <c r="J163" i="10"/>
  <c r="L163" i="10" s="1"/>
  <c r="I224" i="10"/>
  <c r="I219" i="10"/>
  <c r="J164" i="10"/>
  <c r="L164" i="10" s="1"/>
  <c r="I161" i="10"/>
  <c r="J165" i="10"/>
  <c r="L165" i="10" s="1"/>
  <c r="I84" i="10"/>
  <c r="J134" i="10"/>
  <c r="L134" i="10" s="1"/>
  <c r="I83" i="10"/>
  <c r="I112" i="10"/>
  <c r="I99" i="10"/>
  <c r="I80" i="10"/>
  <c r="I85" i="10"/>
  <c r="I70" i="10"/>
  <c r="I95" i="10"/>
  <c r="I52" i="10"/>
  <c r="I32" i="10"/>
  <c r="I27" i="10"/>
  <c r="I33" i="10"/>
  <c r="J36" i="10"/>
  <c r="L36" i="10" s="1"/>
  <c r="I34" i="10"/>
  <c r="I102" i="10"/>
  <c r="I47" i="10"/>
  <c r="I42" i="10"/>
  <c r="I113" i="10"/>
  <c r="I73" i="10"/>
  <c r="I114" i="10"/>
  <c r="I103" i="10"/>
  <c r="I104" i="10"/>
  <c r="J74" i="10"/>
  <c r="L74" i="10" s="1"/>
  <c r="I115" i="10"/>
  <c r="I116" i="10"/>
  <c r="I78" i="10"/>
  <c r="I79" i="10"/>
  <c r="I105" i="10"/>
  <c r="I108" i="10"/>
  <c r="I106" i="10"/>
  <c r="I107" i="10"/>
  <c r="I97" i="10"/>
  <c r="I98" i="10"/>
  <c r="I110" i="10"/>
  <c r="I111" i="10"/>
  <c r="I91" i="10"/>
  <c r="I92" i="10"/>
  <c r="I71" i="10"/>
  <c r="I72" i="10"/>
  <c r="I117" i="10"/>
  <c r="I118" i="10"/>
  <c r="I40" i="10"/>
  <c r="J109" i="10"/>
  <c r="L109" i="10" s="1"/>
  <c r="I55" i="10"/>
  <c r="I56" i="10"/>
  <c r="I15" i="10"/>
  <c r="I16" i="10"/>
  <c r="I23" i="10"/>
  <c r="J41" i="10"/>
  <c r="L41" i="10" s="1"/>
  <c r="I12" i="10"/>
  <c r="I13" i="10"/>
  <c r="I24" i="10"/>
  <c r="I48" i="10"/>
  <c r="I49" i="10"/>
  <c r="I10" i="10"/>
  <c r="J11" i="10"/>
  <c r="L11" i="10" s="1"/>
  <c r="I44" i="10"/>
  <c r="J45" i="10"/>
  <c r="L45" i="10" s="1"/>
  <c r="I18" i="10"/>
  <c r="I19" i="10"/>
  <c r="I8" i="10"/>
  <c r="I7" i="10"/>
  <c r="I145" i="10"/>
  <c r="I125" i="10"/>
  <c r="I160" i="10"/>
  <c r="J124" i="10"/>
  <c r="L124" i="10" s="1"/>
  <c r="I154" i="10"/>
  <c r="I126" i="10"/>
  <c r="I233" i="10"/>
  <c r="I177" i="10"/>
  <c r="G232" i="10"/>
  <c r="J232" i="10" s="1"/>
  <c r="L232" i="10" s="1"/>
  <c r="F232" i="10"/>
  <c r="G176" i="10"/>
  <c r="J176" i="10" s="1"/>
  <c r="L176" i="10" s="1"/>
  <c r="F176" i="10"/>
  <c r="G231" i="10"/>
  <c r="J231" i="10" s="1"/>
  <c r="L231" i="10" s="1"/>
  <c r="F231" i="10"/>
  <c r="F152" i="10"/>
  <c r="F153" i="10"/>
  <c r="F218" i="10"/>
  <c r="G123" i="10"/>
  <c r="J123" i="10" s="1"/>
  <c r="L123" i="10" s="1"/>
  <c r="F123" i="10"/>
  <c r="G122" i="10"/>
  <c r="J122" i="10" s="1"/>
  <c r="L122" i="10" s="1"/>
  <c r="F122" i="10"/>
  <c r="G96" i="10"/>
  <c r="J96" i="10" s="1"/>
  <c r="L96" i="10" s="1"/>
  <c r="F96" i="10"/>
  <c r="G67" i="10"/>
  <c r="J67" i="10" s="1"/>
  <c r="L67" i="10" s="1"/>
  <c r="F67" i="10"/>
  <c r="G66" i="10"/>
  <c r="J66" i="10" s="1"/>
  <c r="L66" i="10" s="1"/>
  <c r="F66" i="10"/>
  <c r="G65" i="10"/>
  <c r="J65" i="10" s="1"/>
  <c r="L65" i="10" s="1"/>
  <c r="F65" i="10"/>
  <c r="G120" i="10"/>
  <c r="J120" i="10" s="1"/>
  <c r="L120" i="10" s="1"/>
  <c r="F120" i="10"/>
  <c r="G87" i="10"/>
  <c r="J87" i="10" s="1"/>
  <c r="L87" i="10" s="1"/>
  <c r="F87" i="10"/>
  <c r="G121" i="10"/>
  <c r="I121" i="10" s="1"/>
  <c r="F121" i="10"/>
  <c r="G86" i="10"/>
  <c r="I86" i="10" s="1"/>
  <c r="F86" i="10"/>
  <c r="G119" i="10"/>
  <c r="J119" i="10" s="1"/>
  <c r="L119" i="10" s="1"/>
  <c r="F119" i="10"/>
  <c r="F76" i="10"/>
  <c r="G77" i="10"/>
  <c r="J77" i="10" s="1"/>
  <c r="L77" i="10" s="1"/>
  <c r="F77" i="10"/>
  <c r="G57" i="10"/>
  <c r="J57" i="10" s="1"/>
  <c r="L57" i="10" s="1"/>
  <c r="F57" i="10"/>
  <c r="I122" i="10" l="1"/>
  <c r="I66" i="10"/>
  <c r="I65" i="10"/>
  <c r="I232" i="10"/>
  <c r="I176" i="10"/>
  <c r="I231" i="10"/>
  <c r="I123" i="10"/>
  <c r="I96" i="10"/>
  <c r="I67" i="10"/>
  <c r="I120" i="10"/>
  <c r="I87" i="10"/>
  <c r="J121" i="10"/>
  <c r="L121" i="10" s="1"/>
  <c r="J86" i="10"/>
  <c r="L86" i="10" s="1"/>
  <c r="I119" i="10"/>
  <c r="I77" i="10"/>
  <c r="I57" i="10"/>
  <c r="G50" i="10" l="1"/>
  <c r="J50" i="10" s="1"/>
  <c r="L50" i="10" s="1"/>
  <c r="F50" i="10"/>
  <c r="G25" i="10"/>
  <c r="J25" i="10" s="1"/>
  <c r="L25" i="10" s="1"/>
  <c r="F25" i="10"/>
  <c r="G14" i="10"/>
  <c r="J14" i="10" s="1"/>
  <c r="L14" i="10" s="1"/>
  <c r="F14" i="10"/>
  <c r="G6" i="10"/>
  <c r="J6" i="10" s="1"/>
  <c r="L6" i="10" s="1"/>
  <c r="F6" i="10"/>
  <c r="G5" i="10"/>
  <c r="J5" i="10" s="1"/>
  <c r="L5" i="10" s="1"/>
  <c r="F5" i="10"/>
  <c r="G4" i="10"/>
  <c r="J4" i="10" s="1"/>
  <c r="L4" i="10" s="1"/>
  <c r="F4" i="10"/>
  <c r="G61" i="10"/>
  <c r="J61" i="10" s="1"/>
  <c r="L61" i="10" s="1"/>
  <c r="G62" i="10"/>
  <c r="J62" i="10" s="1"/>
  <c r="L62" i="10" s="1"/>
  <c r="G63" i="10"/>
  <c r="J63" i="10" s="1"/>
  <c r="L63" i="10" s="1"/>
  <c r="G64" i="10"/>
  <c r="J64" i="10" s="1"/>
  <c r="L64" i="10" s="1"/>
  <c r="G76" i="10"/>
  <c r="G82" i="10"/>
  <c r="G94" i="10"/>
  <c r="G152" i="10"/>
  <c r="G153" i="10"/>
  <c r="G218" i="10"/>
  <c r="G220" i="10"/>
  <c r="G234" i="10"/>
  <c r="G235" i="10"/>
  <c r="G236" i="10"/>
  <c r="G22" i="10"/>
  <c r="J22" i="10" s="1"/>
  <c r="L22" i="10" s="1"/>
  <c r="G58" i="10"/>
  <c r="J58" i="10" s="1"/>
  <c r="L58" i="10" s="1"/>
  <c r="G3" i="10"/>
  <c r="J3" i="10" s="1"/>
  <c r="L3" i="10" s="1"/>
  <c r="G17" i="10"/>
  <c r="J17" i="10" s="1"/>
  <c r="L17" i="10" s="1"/>
  <c r="F64" i="10"/>
  <c r="F63" i="10"/>
  <c r="F62" i="10"/>
  <c r="F61" i="10"/>
  <c r="F58" i="10"/>
  <c r="F22" i="10"/>
  <c r="F3" i="10"/>
  <c r="G2" i="10"/>
  <c r="J2" i="10" s="1"/>
  <c r="L2" i="10" s="1"/>
  <c r="F2" i="10"/>
  <c r="F29" i="13"/>
  <c r="F30" i="13"/>
  <c r="F31" i="13"/>
  <c r="F32" i="13"/>
  <c r="F33" i="13"/>
  <c r="F34" i="13"/>
  <c r="F35" i="13"/>
  <c r="M40" i="13"/>
  <c r="G30" i="13"/>
  <c r="G31" i="13"/>
  <c r="G32" i="13"/>
  <c r="G33" i="13"/>
  <c r="G34" i="13"/>
  <c r="G35" i="13"/>
  <c r="G36" i="13"/>
  <c r="G37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G91" i="9"/>
  <c r="J91" i="9" s="1"/>
  <c r="L91" i="9" s="1"/>
  <c r="F91" i="9"/>
  <c r="G28" i="9"/>
  <c r="J28" i="9" s="1"/>
  <c r="L28" i="9" s="1"/>
  <c r="F28" i="9"/>
  <c r="G68" i="9"/>
  <c r="J68" i="9" s="1"/>
  <c r="L68" i="9" s="1"/>
  <c r="F68" i="9"/>
  <c r="G104" i="9"/>
  <c r="J104" i="9" s="1"/>
  <c r="L104" i="9" s="1"/>
  <c r="F104" i="9"/>
  <c r="I152" i="10" l="1"/>
  <c r="J152" i="10"/>
  <c r="I63" i="10"/>
  <c r="I5" i="10"/>
  <c r="I4" i="10"/>
  <c r="I50" i="10"/>
  <c r="I25" i="10"/>
  <c r="I14" i="10"/>
  <c r="I6" i="10"/>
  <c r="I64" i="10"/>
  <c r="I2" i="10"/>
  <c r="I62" i="10"/>
  <c r="I61" i="10"/>
  <c r="I58" i="10"/>
  <c r="I22" i="10"/>
  <c r="I17" i="10"/>
  <c r="I3" i="10"/>
  <c r="I91" i="9"/>
  <c r="I28" i="9"/>
  <c r="I68" i="9"/>
  <c r="I104" i="9"/>
  <c r="G17" i="9" l="1"/>
  <c r="J17" i="9" s="1"/>
  <c r="L17" i="9" s="1"/>
  <c r="F17" i="9"/>
  <c r="I17" i="9" l="1"/>
  <c r="G54" i="9" l="1"/>
  <c r="J54" i="9" s="1"/>
  <c r="L54" i="9" s="1"/>
  <c r="F54" i="9"/>
  <c r="G40" i="9"/>
  <c r="J40" i="9" s="1"/>
  <c r="L40" i="9" s="1"/>
  <c r="F40" i="9"/>
  <c r="G53" i="9"/>
  <c r="J53" i="9" s="1"/>
  <c r="L53" i="9" s="1"/>
  <c r="F53" i="9"/>
  <c r="G61" i="9"/>
  <c r="J61" i="9" s="1"/>
  <c r="L61" i="9" s="1"/>
  <c r="F61" i="9"/>
  <c r="I54" i="9" l="1"/>
  <c r="I40" i="9"/>
  <c r="I53" i="9"/>
  <c r="I61" i="9"/>
  <c r="G71" i="9" l="1"/>
  <c r="J71" i="9" s="1"/>
  <c r="L71" i="9" s="1"/>
  <c r="F71" i="9"/>
  <c r="G92" i="9"/>
  <c r="J92" i="9" s="1"/>
  <c r="L92" i="9" s="1"/>
  <c r="F92" i="9"/>
  <c r="G72" i="9"/>
  <c r="J72" i="9" s="1"/>
  <c r="L72" i="9" s="1"/>
  <c r="F72" i="9"/>
  <c r="G62" i="9"/>
  <c r="J62" i="9" s="1"/>
  <c r="L62" i="9" s="1"/>
  <c r="F62" i="9"/>
  <c r="G76" i="9"/>
  <c r="J76" i="9" s="1"/>
  <c r="L76" i="9" s="1"/>
  <c r="F76" i="9"/>
  <c r="G70" i="9"/>
  <c r="I70" i="9" s="1"/>
  <c r="F70" i="9"/>
  <c r="G33" i="9"/>
  <c r="J33" i="9" s="1"/>
  <c r="L33" i="9" s="1"/>
  <c r="F33" i="9"/>
  <c r="G35" i="9"/>
  <c r="F35" i="9"/>
  <c r="G102" i="9"/>
  <c r="J102" i="9" s="1"/>
  <c r="L102" i="9" s="1"/>
  <c r="F102" i="9"/>
  <c r="G107" i="9"/>
  <c r="J107" i="9" s="1"/>
  <c r="L107" i="9" s="1"/>
  <c r="F107" i="9"/>
  <c r="G26" i="9"/>
  <c r="J26" i="9" s="1"/>
  <c r="L26" i="9" s="1"/>
  <c r="F26" i="9"/>
  <c r="G86" i="9"/>
  <c r="J86" i="9" s="1"/>
  <c r="L86" i="9" s="1"/>
  <c r="F86" i="9"/>
  <c r="G85" i="9"/>
  <c r="J85" i="9" s="1"/>
  <c r="L85" i="9" s="1"/>
  <c r="F85" i="9"/>
  <c r="G84" i="9"/>
  <c r="J84" i="9" s="1"/>
  <c r="L84" i="9" s="1"/>
  <c r="F84" i="9"/>
  <c r="G11" i="9"/>
  <c r="J11" i="9" s="1"/>
  <c r="L11" i="9" s="1"/>
  <c r="F11" i="9"/>
  <c r="G78" i="9"/>
  <c r="J78" i="9" s="1"/>
  <c r="L78" i="9" s="1"/>
  <c r="G75" i="9"/>
  <c r="J75" i="9" s="1"/>
  <c r="L75" i="9" s="1"/>
  <c r="F75" i="9"/>
  <c r="G10" i="9"/>
  <c r="I10" i="9" s="1"/>
  <c r="F10" i="9"/>
  <c r="G14" i="9"/>
  <c r="J14" i="9" s="1"/>
  <c r="L14" i="9" s="1"/>
  <c r="F14" i="9"/>
  <c r="F73" i="9"/>
  <c r="G105" i="9"/>
  <c r="J105" i="9" s="1"/>
  <c r="L105" i="9" s="1"/>
  <c r="F105" i="9"/>
  <c r="G98" i="9"/>
  <c r="I98" i="9" s="1"/>
  <c r="F98" i="9"/>
  <c r="G89" i="9"/>
  <c r="I89" i="9" s="1"/>
  <c r="F89" i="9"/>
  <c r="G49" i="9"/>
  <c r="J49" i="9" s="1"/>
  <c r="L49" i="9" s="1"/>
  <c r="F49" i="9"/>
  <c r="G22" i="9"/>
  <c r="J22" i="9" s="1"/>
  <c r="L22" i="9" s="1"/>
  <c r="F22" i="9"/>
  <c r="G19" i="9"/>
  <c r="J19" i="9" s="1"/>
  <c r="L19" i="9" s="1"/>
  <c r="F19" i="9"/>
  <c r="F20" i="9"/>
  <c r="G20" i="9"/>
  <c r="I20" i="9" s="1"/>
  <c r="G31" i="9"/>
  <c r="J31" i="9" s="1"/>
  <c r="L31" i="9" s="1"/>
  <c r="F31" i="9"/>
  <c r="G39" i="9"/>
  <c r="J39" i="9" s="1"/>
  <c r="L39" i="9" s="1"/>
  <c r="F39" i="9"/>
  <c r="G52" i="9"/>
  <c r="I52" i="9" s="1"/>
  <c r="F52" i="9"/>
  <c r="G87" i="9"/>
  <c r="J87" i="9" s="1"/>
  <c r="L87" i="9" s="1"/>
  <c r="F87" i="9"/>
  <c r="G99" i="9"/>
  <c r="J99" i="9" s="1"/>
  <c r="L99" i="9" s="1"/>
  <c r="F99" i="9"/>
  <c r="G108" i="9"/>
  <c r="J108" i="9" s="1"/>
  <c r="L108" i="9" s="1"/>
  <c r="F108" i="9"/>
  <c r="G7" i="9"/>
  <c r="J7" i="9" s="1"/>
  <c r="L7" i="9" s="1"/>
  <c r="F7" i="9"/>
  <c r="G114" i="9"/>
  <c r="J114" i="9" s="1"/>
  <c r="L114" i="9" s="1"/>
  <c r="F114" i="9"/>
  <c r="G113" i="9"/>
  <c r="J113" i="9" s="1"/>
  <c r="L113" i="9" s="1"/>
  <c r="F113" i="9"/>
  <c r="G83" i="9"/>
  <c r="J83" i="9" s="1"/>
  <c r="L83" i="9" s="1"/>
  <c r="F83" i="9"/>
  <c r="G112" i="9"/>
  <c r="J112" i="9" s="1"/>
  <c r="L112" i="9" s="1"/>
  <c r="F112" i="9"/>
  <c r="G90" i="9"/>
  <c r="J90" i="9" s="1"/>
  <c r="L90" i="9" s="1"/>
  <c r="F90" i="9"/>
  <c r="G109" i="9"/>
  <c r="J109" i="9" s="1"/>
  <c r="L109" i="9" s="1"/>
  <c r="F109" i="9"/>
  <c r="G93" i="9"/>
  <c r="J93" i="9" s="1"/>
  <c r="L93" i="9" s="1"/>
  <c r="F93" i="9"/>
  <c r="G97" i="9"/>
  <c r="J97" i="9" s="1"/>
  <c r="L97" i="9" s="1"/>
  <c r="F97" i="9"/>
  <c r="G96" i="9"/>
  <c r="J96" i="9" s="1"/>
  <c r="L96" i="9" s="1"/>
  <c r="F96" i="9"/>
  <c r="G95" i="9"/>
  <c r="J95" i="9" s="1"/>
  <c r="L95" i="9" s="1"/>
  <c r="F95" i="9"/>
  <c r="G88" i="9"/>
  <c r="J88" i="9" s="1"/>
  <c r="L88" i="9" s="1"/>
  <c r="F88" i="9"/>
  <c r="G117" i="9"/>
  <c r="J117" i="9" s="1"/>
  <c r="L117" i="9" s="1"/>
  <c r="F117" i="9"/>
  <c r="G100" i="9"/>
  <c r="J100" i="9" s="1"/>
  <c r="L100" i="9" s="1"/>
  <c r="F100" i="9"/>
  <c r="G116" i="9"/>
  <c r="J116" i="9" s="1"/>
  <c r="L116" i="9" s="1"/>
  <c r="F116" i="9"/>
  <c r="G101" i="9"/>
  <c r="J101" i="9" s="1"/>
  <c r="L101" i="9" s="1"/>
  <c r="F101" i="9"/>
  <c r="G115" i="9"/>
  <c r="J115" i="9" s="1"/>
  <c r="L115" i="9" s="1"/>
  <c r="F115" i="9"/>
  <c r="G106" i="9"/>
  <c r="J106" i="9" s="1"/>
  <c r="L106" i="9" s="1"/>
  <c r="F106" i="9"/>
  <c r="G111" i="9"/>
  <c r="J111" i="9" s="1"/>
  <c r="L111" i="9" s="1"/>
  <c r="F111" i="9"/>
  <c r="F110" i="9"/>
  <c r="F94" i="9"/>
  <c r="F103" i="9"/>
  <c r="G82" i="9"/>
  <c r="J82" i="9" s="1"/>
  <c r="L82" i="9" s="1"/>
  <c r="F82" i="9"/>
  <c r="G81" i="9"/>
  <c r="J81" i="9" s="1"/>
  <c r="L81" i="9" s="1"/>
  <c r="F81" i="9"/>
  <c r="G55" i="9"/>
  <c r="J55" i="9" s="1"/>
  <c r="L55" i="9" s="1"/>
  <c r="F55" i="9"/>
  <c r="G69" i="9"/>
  <c r="I69" i="9" s="1"/>
  <c r="F69" i="9"/>
  <c r="G67" i="9"/>
  <c r="J67" i="9" s="1"/>
  <c r="L67" i="9" s="1"/>
  <c r="F67" i="9"/>
  <c r="G74" i="9"/>
  <c r="I74" i="9" s="1"/>
  <c r="F74" i="9"/>
  <c r="G66" i="9"/>
  <c r="J66" i="9" s="1"/>
  <c r="L66" i="9" s="1"/>
  <c r="F66" i="9"/>
  <c r="G50" i="9"/>
  <c r="J50" i="9" s="1"/>
  <c r="L50" i="9" s="1"/>
  <c r="F50" i="9"/>
  <c r="G77" i="9"/>
  <c r="J77" i="9" s="1"/>
  <c r="L77" i="9" s="1"/>
  <c r="F77" i="9"/>
  <c r="G48" i="9"/>
  <c r="J48" i="9" s="1"/>
  <c r="L48" i="9" s="1"/>
  <c r="F48" i="9"/>
  <c r="G47" i="9"/>
  <c r="J47" i="9" s="1"/>
  <c r="L47" i="9" s="1"/>
  <c r="F47" i="9"/>
  <c r="G46" i="9"/>
  <c r="I46" i="9" s="1"/>
  <c r="F46" i="9"/>
  <c r="F51" i="9"/>
  <c r="G51" i="9"/>
  <c r="J51" i="9" s="1"/>
  <c r="L51" i="9" s="1"/>
  <c r="G57" i="9"/>
  <c r="J57" i="9" s="1"/>
  <c r="L57" i="9" s="1"/>
  <c r="F57" i="9"/>
  <c r="G60" i="9"/>
  <c r="J60" i="9" s="1"/>
  <c r="L60" i="9" s="1"/>
  <c r="F60" i="9"/>
  <c r="G59" i="9"/>
  <c r="J59" i="9" s="1"/>
  <c r="L59" i="9" s="1"/>
  <c r="F59" i="9"/>
  <c r="G58" i="9"/>
  <c r="J58" i="9" s="1"/>
  <c r="L58" i="9" s="1"/>
  <c r="F58" i="9"/>
  <c r="G65" i="9"/>
  <c r="I65" i="9" s="1"/>
  <c r="F65" i="9"/>
  <c r="G63" i="9"/>
  <c r="J63" i="9" s="1"/>
  <c r="L63" i="9" s="1"/>
  <c r="F63" i="9"/>
  <c r="G80" i="9"/>
  <c r="J80" i="9" s="1"/>
  <c r="L80" i="9" s="1"/>
  <c r="F80" i="9"/>
  <c r="G64" i="9"/>
  <c r="J64" i="9" s="1"/>
  <c r="L64" i="9" s="1"/>
  <c r="F64" i="9"/>
  <c r="G79" i="9"/>
  <c r="J79" i="9" s="1"/>
  <c r="L79" i="9" s="1"/>
  <c r="F79" i="9"/>
  <c r="G56" i="9"/>
  <c r="J56" i="9" s="1"/>
  <c r="L56" i="9" s="1"/>
  <c r="F56" i="9"/>
  <c r="G94" i="9"/>
  <c r="G103" i="9"/>
  <c r="G110" i="9"/>
  <c r="G32" i="9"/>
  <c r="J32" i="9" s="1"/>
  <c r="L32" i="9" s="1"/>
  <c r="F32" i="9"/>
  <c r="G9" i="9"/>
  <c r="J9" i="9" s="1"/>
  <c r="L9" i="9" s="1"/>
  <c r="F9" i="9"/>
  <c r="G15" i="9"/>
  <c r="J15" i="9" s="1"/>
  <c r="L15" i="9" s="1"/>
  <c r="F15" i="9"/>
  <c r="G21" i="9"/>
  <c r="J21" i="9" s="1"/>
  <c r="L21" i="9" s="1"/>
  <c r="F21" i="9"/>
  <c r="G36" i="9"/>
  <c r="J36" i="9" s="1"/>
  <c r="L36" i="9" s="1"/>
  <c r="F36" i="9"/>
  <c r="G13" i="9"/>
  <c r="J13" i="9" s="1"/>
  <c r="L13" i="9" s="1"/>
  <c r="F13" i="9"/>
  <c r="F30" i="9"/>
  <c r="G29" i="9"/>
  <c r="J29" i="9" s="1"/>
  <c r="L29" i="9" s="1"/>
  <c r="F29" i="9"/>
  <c r="G27" i="9"/>
  <c r="J27" i="9" s="1"/>
  <c r="L27" i="9" s="1"/>
  <c r="G30" i="9"/>
  <c r="G34" i="9"/>
  <c r="J34" i="9" s="1"/>
  <c r="L34" i="9" s="1"/>
  <c r="G37" i="9"/>
  <c r="J37" i="9" s="1"/>
  <c r="L37" i="9" s="1"/>
  <c r="G38" i="9"/>
  <c r="J38" i="9" s="1"/>
  <c r="L38" i="9" s="1"/>
  <c r="F34" i="9"/>
  <c r="G6" i="9"/>
  <c r="J6" i="9" s="1"/>
  <c r="L6" i="9" s="1"/>
  <c r="F6" i="9"/>
  <c r="G5" i="9"/>
  <c r="I5" i="9" s="1"/>
  <c r="F5" i="9"/>
  <c r="G4" i="9"/>
  <c r="I4" i="9" s="1"/>
  <c r="F4" i="9"/>
  <c r="G18" i="9"/>
  <c r="J18" i="9" s="1"/>
  <c r="L18" i="9" s="1"/>
  <c r="F18" i="9"/>
  <c r="G25" i="9"/>
  <c r="J25" i="9" s="1"/>
  <c r="L25" i="9" s="1"/>
  <c r="F25" i="9"/>
  <c r="G24" i="9"/>
  <c r="I24" i="9" s="1"/>
  <c r="F24" i="9"/>
  <c r="G23" i="9"/>
  <c r="I23" i="9" s="1"/>
  <c r="F23" i="9"/>
  <c r="G8" i="9"/>
  <c r="J8" i="9" s="1"/>
  <c r="L8" i="9" s="1"/>
  <c r="G12" i="9"/>
  <c r="I12" i="9" s="1"/>
  <c r="G16" i="9"/>
  <c r="J16" i="9" s="1"/>
  <c r="L16" i="9" s="1"/>
  <c r="F27" i="9"/>
  <c r="F12" i="9"/>
  <c r="G41" i="9"/>
  <c r="J41" i="9" s="1"/>
  <c r="L41" i="9" s="1"/>
  <c r="F41" i="9"/>
  <c r="G42" i="9"/>
  <c r="J42" i="9" s="1"/>
  <c r="L42" i="9" s="1"/>
  <c r="F42" i="9"/>
  <c r="G43" i="9"/>
  <c r="I43" i="9" s="1"/>
  <c r="F43" i="9"/>
  <c r="F37" i="9"/>
  <c r="F16" i="9"/>
  <c r="G45" i="9"/>
  <c r="J45" i="9" s="1"/>
  <c r="L45" i="9" s="1"/>
  <c r="F45" i="9"/>
  <c r="G44" i="9"/>
  <c r="J44" i="9" s="1"/>
  <c r="L44" i="9" s="1"/>
  <c r="F44" i="9"/>
  <c r="G3" i="9"/>
  <c r="J3" i="9" s="1"/>
  <c r="L3" i="9" s="1"/>
  <c r="F3" i="9"/>
  <c r="G2" i="9"/>
  <c r="J2" i="9" s="1"/>
  <c r="L2" i="9" s="1"/>
  <c r="F2" i="9"/>
  <c r="G38" i="12"/>
  <c r="I38" i="12" s="1"/>
  <c r="G39" i="12"/>
  <c r="I39" i="12" s="1"/>
  <c r="G40" i="12"/>
  <c r="I40" i="12" s="1"/>
  <c r="G41" i="12"/>
  <c r="I41" i="12" s="1"/>
  <c r="G42" i="12"/>
  <c r="I42" i="12" s="1"/>
  <c r="G43" i="12"/>
  <c r="I43" i="12" s="1"/>
  <c r="G44" i="12"/>
  <c r="I44" i="12" s="1"/>
  <c r="F38" i="12"/>
  <c r="F39" i="12"/>
  <c r="F40" i="12"/>
  <c r="F41" i="12"/>
  <c r="F42" i="12"/>
  <c r="F43" i="12"/>
  <c r="F44" i="12"/>
  <c r="I71" i="9" l="1"/>
  <c r="I92" i="9"/>
  <c r="I72" i="9"/>
  <c r="I62" i="9"/>
  <c r="I76" i="9"/>
  <c r="J70" i="9"/>
  <c r="L70" i="9" s="1"/>
  <c r="I33" i="9"/>
  <c r="I102" i="9"/>
  <c r="I107" i="9"/>
  <c r="I26" i="9"/>
  <c r="I84" i="9"/>
  <c r="I85" i="9"/>
  <c r="I86" i="9"/>
  <c r="I11" i="9"/>
  <c r="I78" i="9"/>
  <c r="I75" i="9"/>
  <c r="J10" i="9"/>
  <c r="L10" i="9" s="1"/>
  <c r="I14" i="9"/>
  <c r="J98" i="9"/>
  <c r="L98" i="9" s="1"/>
  <c r="I105" i="9"/>
  <c r="J89" i="9"/>
  <c r="L89" i="9" s="1"/>
  <c r="I49" i="9"/>
  <c r="I22" i="9"/>
  <c r="I19" i="9"/>
  <c r="J20" i="9"/>
  <c r="L20" i="9" s="1"/>
  <c r="I31" i="9"/>
  <c r="I39" i="9"/>
  <c r="J52" i="9"/>
  <c r="L52" i="9" s="1"/>
  <c r="I87" i="9"/>
  <c r="I99" i="9"/>
  <c r="I108" i="9"/>
  <c r="I7" i="9"/>
  <c r="I95" i="9"/>
  <c r="I114" i="9"/>
  <c r="I113" i="9"/>
  <c r="I83" i="9"/>
  <c r="I112" i="9"/>
  <c r="I90" i="9"/>
  <c r="I109" i="9"/>
  <c r="I93" i="9"/>
  <c r="I96" i="9"/>
  <c r="I97" i="9"/>
  <c r="I88" i="9"/>
  <c r="I117" i="9"/>
  <c r="I100" i="9"/>
  <c r="I116" i="9"/>
  <c r="I101" i="9"/>
  <c r="I115" i="9"/>
  <c r="I106" i="9"/>
  <c r="I111" i="9"/>
  <c r="I81" i="9"/>
  <c r="I82" i="9"/>
  <c r="I55" i="9"/>
  <c r="J12" i="9"/>
  <c r="L12" i="9" s="1"/>
  <c r="I47" i="9"/>
  <c r="J69" i="9"/>
  <c r="L69" i="9" s="1"/>
  <c r="I58" i="9"/>
  <c r="I59" i="9"/>
  <c r="J46" i="9"/>
  <c r="L46" i="9" s="1"/>
  <c r="I67" i="9"/>
  <c r="I51" i="9"/>
  <c r="J74" i="9"/>
  <c r="L74" i="9" s="1"/>
  <c r="I66" i="9"/>
  <c r="I50" i="9"/>
  <c r="I77" i="9"/>
  <c r="I48" i="9"/>
  <c r="J24" i="9"/>
  <c r="L24" i="9" s="1"/>
  <c r="I57" i="9"/>
  <c r="J5" i="9"/>
  <c r="L5" i="9" s="1"/>
  <c r="I34" i="9"/>
  <c r="I60" i="9"/>
  <c r="J65" i="9"/>
  <c r="L65" i="9" s="1"/>
  <c r="I63" i="9"/>
  <c r="I80" i="9"/>
  <c r="I64" i="9"/>
  <c r="I79" i="9"/>
  <c r="I56" i="9"/>
  <c r="J23" i="9"/>
  <c r="L23" i="9" s="1"/>
  <c r="J4" i="9"/>
  <c r="L4" i="9" s="1"/>
  <c r="I32" i="9"/>
  <c r="I9" i="9"/>
  <c r="I15" i="9"/>
  <c r="I21" i="9"/>
  <c r="I36" i="9"/>
  <c r="I13" i="9"/>
  <c r="I29" i="9"/>
  <c r="I6" i="9"/>
  <c r="I18" i="9"/>
  <c r="J43" i="9"/>
  <c r="L43" i="9" s="1"/>
  <c r="I25" i="9"/>
  <c r="I44" i="9"/>
  <c r="I41" i="9"/>
  <c r="I42" i="9"/>
  <c r="I27" i="9"/>
  <c r="I37" i="9"/>
  <c r="I16" i="9"/>
  <c r="I38" i="9"/>
  <c r="I8" i="9"/>
  <c r="I45" i="9"/>
  <c r="I2" i="9"/>
  <c r="I3" i="9"/>
  <c r="J41" i="12"/>
  <c r="L41" i="12" s="1"/>
  <c r="J44" i="12"/>
  <c r="L44" i="12" s="1"/>
  <c r="J40" i="12"/>
  <c r="L40" i="12" s="1"/>
  <c r="J43" i="12"/>
  <c r="L43" i="12" s="1"/>
  <c r="J39" i="12"/>
  <c r="L39" i="12" s="1"/>
  <c r="J42" i="12"/>
  <c r="L42" i="12" s="1"/>
  <c r="J38" i="12"/>
  <c r="L38" i="12" s="1"/>
  <c r="G23" i="12" l="1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14" i="12"/>
  <c r="G15" i="12"/>
  <c r="G16" i="12"/>
  <c r="G17" i="12"/>
  <c r="G18" i="12"/>
  <c r="G19" i="12"/>
  <c r="G20" i="12"/>
  <c r="G21" i="12"/>
  <c r="G22" i="12"/>
  <c r="M4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G12" i="12"/>
  <c r="G13" i="12"/>
  <c r="G3" i="12"/>
  <c r="G4" i="12"/>
  <c r="G5" i="12"/>
  <c r="G6" i="12"/>
  <c r="G7" i="12"/>
  <c r="G8" i="12"/>
  <c r="G9" i="12"/>
  <c r="G10" i="12"/>
  <c r="G11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G79" i="8"/>
  <c r="J79" i="8" s="1"/>
  <c r="L79" i="8" s="1"/>
  <c r="F79" i="8"/>
  <c r="G68" i="8"/>
  <c r="J68" i="8" s="1"/>
  <c r="L68" i="8" s="1"/>
  <c r="F68" i="8"/>
  <c r="F67" i="8"/>
  <c r="G67" i="8"/>
  <c r="I67" i="8" s="1"/>
  <c r="F15" i="8"/>
  <c r="G15" i="8"/>
  <c r="I15" i="8" s="1"/>
  <c r="G116" i="8"/>
  <c r="J116" i="8" s="1"/>
  <c r="L116" i="8" s="1"/>
  <c r="F116" i="8"/>
  <c r="G63" i="8"/>
  <c r="J63" i="8" s="1"/>
  <c r="L63" i="8" s="1"/>
  <c r="F63" i="8"/>
  <c r="G89" i="8"/>
  <c r="J89" i="8" s="1"/>
  <c r="L89" i="8" s="1"/>
  <c r="F89" i="8"/>
  <c r="G39" i="8"/>
  <c r="J39" i="8" s="1"/>
  <c r="L39" i="8" s="1"/>
  <c r="F39" i="8"/>
  <c r="G38" i="8"/>
  <c r="J38" i="8" s="1"/>
  <c r="L38" i="8" s="1"/>
  <c r="F38" i="8"/>
  <c r="G33" i="8"/>
  <c r="J33" i="8" s="1"/>
  <c r="L33" i="8" s="1"/>
  <c r="F33" i="8"/>
  <c r="G32" i="8"/>
  <c r="J32" i="8" s="1"/>
  <c r="L32" i="8" s="1"/>
  <c r="F32" i="8"/>
  <c r="G30" i="8"/>
  <c r="I30" i="8" s="1"/>
  <c r="F30" i="8"/>
  <c r="G134" i="8"/>
  <c r="J134" i="8" s="1"/>
  <c r="L134" i="8" s="1"/>
  <c r="F134" i="8"/>
  <c r="G78" i="8"/>
  <c r="J78" i="8" s="1"/>
  <c r="L78" i="8" s="1"/>
  <c r="F78" i="8"/>
  <c r="G47" i="8"/>
  <c r="I47" i="8" s="1"/>
  <c r="F47" i="8"/>
  <c r="G101" i="8"/>
  <c r="J101" i="8" s="1"/>
  <c r="L101" i="8" s="1"/>
  <c r="F101" i="8"/>
  <c r="G108" i="8"/>
  <c r="J108" i="8" s="1"/>
  <c r="L108" i="8" s="1"/>
  <c r="F108" i="8"/>
  <c r="G51" i="8"/>
  <c r="I51" i="8" s="1"/>
  <c r="F51" i="8"/>
  <c r="G50" i="8"/>
  <c r="I50" i="8" s="1"/>
  <c r="F50" i="8"/>
  <c r="G35" i="8"/>
  <c r="I35" i="8" s="1"/>
  <c r="F35" i="8"/>
  <c r="G135" i="8"/>
  <c r="J135" i="8" s="1"/>
  <c r="L135" i="8" s="1"/>
  <c r="F135" i="8"/>
  <c r="G133" i="8"/>
  <c r="J133" i="8" s="1"/>
  <c r="L133" i="8" s="1"/>
  <c r="F133" i="8"/>
  <c r="G130" i="8"/>
  <c r="J130" i="8" s="1"/>
  <c r="L130" i="8" s="1"/>
  <c r="F130" i="8"/>
  <c r="G129" i="8"/>
  <c r="I129" i="8" s="1"/>
  <c r="F129" i="8"/>
  <c r="G125" i="8"/>
  <c r="J125" i="8" s="1"/>
  <c r="L125" i="8" s="1"/>
  <c r="F125" i="8"/>
  <c r="G124" i="8"/>
  <c r="J124" i="8" s="1"/>
  <c r="L124" i="8" s="1"/>
  <c r="F124" i="8"/>
  <c r="G123" i="8"/>
  <c r="I123" i="8" s="1"/>
  <c r="F123" i="8"/>
  <c r="G122" i="8"/>
  <c r="J122" i="8" s="1"/>
  <c r="L122" i="8" s="1"/>
  <c r="F122" i="8"/>
  <c r="G121" i="8"/>
  <c r="I121" i="8" s="1"/>
  <c r="F121" i="8"/>
  <c r="G120" i="8"/>
  <c r="J120" i="8" s="1"/>
  <c r="L120" i="8" s="1"/>
  <c r="F120" i="8"/>
  <c r="G119" i="8"/>
  <c r="J119" i="8" s="1"/>
  <c r="L119" i="8" s="1"/>
  <c r="F119" i="8"/>
  <c r="G115" i="8"/>
  <c r="J115" i="8" s="1"/>
  <c r="L115" i="8" s="1"/>
  <c r="F115" i="8"/>
  <c r="G109" i="8"/>
  <c r="I109" i="8" s="1"/>
  <c r="F109" i="8"/>
  <c r="G100" i="8"/>
  <c r="J100" i="8" s="1"/>
  <c r="L100" i="8" s="1"/>
  <c r="F100" i="8"/>
  <c r="G99" i="8"/>
  <c r="J99" i="8" s="1"/>
  <c r="L99" i="8" s="1"/>
  <c r="F99" i="8"/>
  <c r="G97" i="8"/>
  <c r="J97" i="8" s="1"/>
  <c r="L97" i="8" s="1"/>
  <c r="F97" i="8"/>
  <c r="G96" i="8"/>
  <c r="J96" i="8" s="1"/>
  <c r="L96" i="8" s="1"/>
  <c r="F96" i="8"/>
  <c r="G95" i="8"/>
  <c r="J95" i="8" s="1"/>
  <c r="L95" i="8" s="1"/>
  <c r="F95" i="8"/>
  <c r="G94" i="8"/>
  <c r="J94" i="8" s="1"/>
  <c r="L94" i="8" s="1"/>
  <c r="F94" i="8"/>
  <c r="G93" i="8"/>
  <c r="J93" i="8" s="1"/>
  <c r="L93" i="8" s="1"/>
  <c r="F93" i="8"/>
  <c r="G92" i="8"/>
  <c r="J92" i="8" s="1"/>
  <c r="L92" i="8" s="1"/>
  <c r="F92" i="8"/>
  <c r="G91" i="8"/>
  <c r="J91" i="8" s="1"/>
  <c r="L91" i="8" s="1"/>
  <c r="F91" i="8"/>
  <c r="G90" i="8"/>
  <c r="J90" i="8" s="1"/>
  <c r="L90" i="8" s="1"/>
  <c r="F90" i="8"/>
  <c r="G88" i="8"/>
  <c r="J88" i="8" s="1"/>
  <c r="L88" i="8" s="1"/>
  <c r="F88" i="8"/>
  <c r="G87" i="8"/>
  <c r="J87" i="8" s="1"/>
  <c r="L87" i="8" s="1"/>
  <c r="F87" i="8"/>
  <c r="G83" i="8"/>
  <c r="J83" i="8" s="1"/>
  <c r="L83" i="8" s="1"/>
  <c r="F83" i="8"/>
  <c r="G82" i="8"/>
  <c r="I82" i="8" s="1"/>
  <c r="F82" i="8"/>
  <c r="G81" i="8"/>
  <c r="J81" i="8" s="1"/>
  <c r="L81" i="8" s="1"/>
  <c r="F81" i="8"/>
  <c r="G75" i="8"/>
  <c r="J75" i="8" s="1"/>
  <c r="L75" i="8" s="1"/>
  <c r="F75" i="8"/>
  <c r="G74" i="8"/>
  <c r="J74" i="8" s="1"/>
  <c r="L74" i="8" s="1"/>
  <c r="F74" i="8"/>
  <c r="G73" i="8"/>
  <c r="J73" i="8" s="1"/>
  <c r="L73" i="8" s="1"/>
  <c r="F73" i="8"/>
  <c r="G70" i="8"/>
  <c r="J70" i="8" s="1"/>
  <c r="L70" i="8" s="1"/>
  <c r="F70" i="8"/>
  <c r="G64" i="8"/>
  <c r="I64" i="8" s="1"/>
  <c r="F64" i="8"/>
  <c r="G60" i="8"/>
  <c r="J60" i="8" s="1"/>
  <c r="L60" i="8" s="1"/>
  <c r="F60" i="8"/>
  <c r="G59" i="8"/>
  <c r="J59" i="8" s="1"/>
  <c r="L59" i="8" s="1"/>
  <c r="F59" i="8"/>
  <c r="G55" i="8"/>
  <c r="I55" i="8" s="1"/>
  <c r="F55" i="8"/>
  <c r="G49" i="8"/>
  <c r="J49" i="8" s="1"/>
  <c r="L49" i="8" s="1"/>
  <c r="F49" i="8"/>
  <c r="G48" i="8"/>
  <c r="J48" i="8" s="1"/>
  <c r="L48" i="8" s="1"/>
  <c r="F48" i="8"/>
  <c r="G44" i="8"/>
  <c r="J44" i="8" s="1"/>
  <c r="L44" i="8" s="1"/>
  <c r="F44" i="8"/>
  <c r="G37" i="8"/>
  <c r="J37" i="8" s="1"/>
  <c r="L37" i="8" s="1"/>
  <c r="F37" i="8"/>
  <c r="G36" i="8"/>
  <c r="J36" i="8" s="1"/>
  <c r="L36" i="8" s="1"/>
  <c r="F36" i="8"/>
  <c r="G14" i="8"/>
  <c r="J14" i="8" s="1"/>
  <c r="L14" i="8" s="1"/>
  <c r="F14" i="8"/>
  <c r="G26" i="8"/>
  <c r="J26" i="8" s="1"/>
  <c r="L26" i="8" s="1"/>
  <c r="F26" i="8"/>
  <c r="G25" i="8"/>
  <c r="J25" i="8" s="1"/>
  <c r="L25" i="8" s="1"/>
  <c r="F25" i="8"/>
  <c r="G24" i="8"/>
  <c r="I24" i="8" s="1"/>
  <c r="F24" i="8"/>
  <c r="G23" i="8"/>
  <c r="J23" i="8" s="1"/>
  <c r="L23" i="8" s="1"/>
  <c r="F23" i="8"/>
  <c r="G22" i="8"/>
  <c r="J22" i="8" s="1"/>
  <c r="L22" i="8" s="1"/>
  <c r="F22" i="8"/>
  <c r="G21" i="8"/>
  <c r="J21" i="8" s="1"/>
  <c r="L21" i="8" s="1"/>
  <c r="F21" i="8"/>
  <c r="G20" i="8"/>
  <c r="J20" i="8" s="1"/>
  <c r="L20" i="8" s="1"/>
  <c r="F20" i="8"/>
  <c r="G19" i="8"/>
  <c r="J19" i="8" s="1"/>
  <c r="L19" i="8" s="1"/>
  <c r="F19" i="8"/>
  <c r="G18" i="8"/>
  <c r="I18" i="8" s="1"/>
  <c r="F18" i="8"/>
  <c r="G12" i="8"/>
  <c r="J12" i="8" s="1"/>
  <c r="L12" i="8" s="1"/>
  <c r="F12" i="8"/>
  <c r="G11" i="8"/>
  <c r="J11" i="8" s="1"/>
  <c r="L11" i="8" s="1"/>
  <c r="F11" i="8"/>
  <c r="G10" i="8"/>
  <c r="J10" i="8" s="1"/>
  <c r="L10" i="8" s="1"/>
  <c r="F10" i="8"/>
  <c r="G9" i="8"/>
  <c r="J9" i="8" s="1"/>
  <c r="L9" i="8" s="1"/>
  <c r="F9" i="8"/>
  <c r="I79" i="8" l="1"/>
  <c r="J67" i="8"/>
  <c r="L67" i="8" s="1"/>
  <c r="J15" i="8"/>
  <c r="L15" i="8" s="1"/>
  <c r="I68" i="8"/>
  <c r="I116" i="8"/>
  <c r="I63" i="8"/>
  <c r="I89" i="8"/>
  <c r="I39" i="8"/>
  <c r="I38" i="8"/>
  <c r="I33" i="8"/>
  <c r="J30" i="8"/>
  <c r="L30" i="8" s="1"/>
  <c r="I32" i="8"/>
  <c r="I134" i="8"/>
  <c r="J47" i="8"/>
  <c r="L47" i="8" s="1"/>
  <c r="I78" i="8"/>
  <c r="I101" i="8"/>
  <c r="J51" i="8"/>
  <c r="L51" i="8" s="1"/>
  <c r="I108" i="8"/>
  <c r="J35" i="8"/>
  <c r="L35" i="8" s="1"/>
  <c r="J50" i="8"/>
  <c r="L50" i="8" s="1"/>
  <c r="I135" i="8"/>
  <c r="I133" i="8"/>
  <c r="I130" i="8"/>
  <c r="J129" i="8"/>
  <c r="L129" i="8" s="1"/>
  <c r="I122" i="8"/>
  <c r="I125" i="8"/>
  <c r="J121" i="8"/>
  <c r="L121" i="8" s="1"/>
  <c r="I124" i="8"/>
  <c r="J123" i="8"/>
  <c r="L123" i="8" s="1"/>
  <c r="I120" i="8"/>
  <c r="I119" i="8"/>
  <c r="J109" i="8"/>
  <c r="L109" i="8" s="1"/>
  <c r="I115" i="8"/>
  <c r="I100" i="8"/>
  <c r="I99" i="8"/>
  <c r="I97" i="8"/>
  <c r="I96" i="8"/>
  <c r="I95" i="8"/>
  <c r="I94" i="8"/>
  <c r="I93" i="8"/>
  <c r="I92" i="8"/>
  <c r="I91" i="8"/>
  <c r="I90" i="8"/>
  <c r="I88" i="8"/>
  <c r="I87" i="8"/>
  <c r="I83" i="8"/>
  <c r="J82" i="8"/>
  <c r="L82" i="8" s="1"/>
  <c r="I81" i="8"/>
  <c r="I73" i="8"/>
  <c r="I74" i="8"/>
  <c r="I75" i="8"/>
  <c r="I70" i="8"/>
  <c r="J64" i="8"/>
  <c r="L64" i="8" s="1"/>
  <c r="I60" i="8"/>
  <c r="I59" i="8"/>
  <c r="J55" i="8"/>
  <c r="L55" i="8" s="1"/>
  <c r="I49" i="8"/>
  <c r="I48" i="8"/>
  <c r="I44" i="8"/>
  <c r="I37" i="8"/>
  <c r="I36" i="8"/>
  <c r="I25" i="8"/>
  <c r="I14" i="8"/>
  <c r="J24" i="8"/>
  <c r="L24" i="8" s="1"/>
  <c r="I26" i="8"/>
  <c r="I23" i="8"/>
  <c r="I22" i="8"/>
  <c r="I21" i="8"/>
  <c r="I20" i="8"/>
  <c r="J18" i="8"/>
  <c r="L18" i="8" s="1"/>
  <c r="I19" i="8"/>
  <c r="I12" i="8"/>
  <c r="I11" i="8"/>
  <c r="I10" i="8"/>
  <c r="I9" i="8"/>
  <c r="G132" i="8" l="1"/>
  <c r="J132" i="8" s="1"/>
  <c r="L132" i="8" s="1"/>
  <c r="F132" i="8"/>
  <c r="G113" i="8"/>
  <c r="J113" i="8" s="1"/>
  <c r="L113" i="8" s="1"/>
  <c r="F113" i="8"/>
  <c r="G111" i="8"/>
  <c r="J111" i="8" s="1"/>
  <c r="L111" i="8" s="1"/>
  <c r="F111" i="8"/>
  <c r="G110" i="8"/>
  <c r="J110" i="8" s="1"/>
  <c r="L110" i="8" s="1"/>
  <c r="F110" i="8"/>
  <c r="G80" i="8"/>
  <c r="J80" i="8" s="1"/>
  <c r="L80" i="8" s="1"/>
  <c r="F80" i="8"/>
  <c r="G76" i="8"/>
  <c r="I76" i="8" s="1"/>
  <c r="F72" i="8"/>
  <c r="F76" i="8"/>
  <c r="G62" i="8"/>
  <c r="J62" i="8" s="1"/>
  <c r="L62" i="8" s="1"/>
  <c r="F62" i="8"/>
  <c r="G45" i="8"/>
  <c r="I45" i="8" s="1"/>
  <c r="F45" i="8"/>
  <c r="G41" i="8"/>
  <c r="J41" i="8" s="1"/>
  <c r="L41" i="8" s="1"/>
  <c r="F41" i="8"/>
  <c r="G40" i="8"/>
  <c r="J40" i="8" s="1"/>
  <c r="L40" i="8" s="1"/>
  <c r="F40" i="8"/>
  <c r="G34" i="8"/>
  <c r="J34" i="8" s="1"/>
  <c r="L34" i="8" s="1"/>
  <c r="F34" i="8"/>
  <c r="G29" i="8"/>
  <c r="J29" i="8" s="1"/>
  <c r="L29" i="8" s="1"/>
  <c r="F29" i="8"/>
  <c r="G13" i="8"/>
  <c r="J13" i="8" s="1"/>
  <c r="L13" i="8" s="1"/>
  <c r="F13" i="8"/>
  <c r="G6" i="8"/>
  <c r="I6" i="8" s="1"/>
  <c r="F6" i="8"/>
  <c r="G46" i="8"/>
  <c r="J46" i="8" s="1"/>
  <c r="L46" i="8" s="1"/>
  <c r="F46" i="8"/>
  <c r="G131" i="8"/>
  <c r="J131" i="8" s="1"/>
  <c r="L131" i="8" s="1"/>
  <c r="F131" i="8"/>
  <c r="G118" i="8"/>
  <c r="J118" i="8" s="1"/>
  <c r="L118" i="8" s="1"/>
  <c r="F118" i="8"/>
  <c r="G112" i="8"/>
  <c r="J112" i="8" s="1"/>
  <c r="L112" i="8" s="1"/>
  <c r="F112" i="8"/>
  <c r="G98" i="8"/>
  <c r="J98" i="8" s="1"/>
  <c r="L98" i="8" s="1"/>
  <c r="F98" i="8"/>
  <c r="G86" i="8"/>
  <c r="J86" i="8" s="1"/>
  <c r="L86" i="8" s="1"/>
  <c r="F86" i="8"/>
  <c r="G77" i="8"/>
  <c r="J77" i="8" s="1"/>
  <c r="L77" i="8" s="1"/>
  <c r="F77" i="8"/>
  <c r="G65" i="8"/>
  <c r="J65" i="8" s="1"/>
  <c r="L65" i="8" s="1"/>
  <c r="F65" i="8"/>
  <c r="G61" i="8"/>
  <c r="J61" i="8" s="1"/>
  <c r="L61" i="8" s="1"/>
  <c r="F61" i="8"/>
  <c r="G42" i="8"/>
  <c r="J42" i="8" s="1"/>
  <c r="L42" i="8" s="1"/>
  <c r="F42" i="8"/>
  <c r="G31" i="8"/>
  <c r="J31" i="8" s="1"/>
  <c r="L31" i="8" s="1"/>
  <c r="F31" i="8"/>
  <c r="G17" i="8"/>
  <c r="I17" i="8" s="1"/>
  <c r="F17" i="8"/>
  <c r="G8" i="8"/>
  <c r="J8" i="8" s="1"/>
  <c r="L8" i="8" s="1"/>
  <c r="F8" i="8"/>
  <c r="I132" i="8" l="1"/>
  <c r="I113" i="8"/>
  <c r="J76" i="8"/>
  <c r="L76" i="8" s="1"/>
  <c r="I111" i="8"/>
  <c r="I110" i="8"/>
  <c r="I80" i="8"/>
  <c r="I62" i="8"/>
  <c r="J45" i="8"/>
  <c r="L45" i="8" s="1"/>
  <c r="I41" i="8"/>
  <c r="I40" i="8"/>
  <c r="I34" i="8"/>
  <c r="I29" i="8"/>
  <c r="I13" i="8"/>
  <c r="J6" i="8"/>
  <c r="L6" i="8" s="1"/>
  <c r="I46" i="8"/>
  <c r="I131" i="8"/>
  <c r="I118" i="8"/>
  <c r="I112" i="8"/>
  <c r="I98" i="8"/>
  <c r="I86" i="8"/>
  <c r="I77" i="8"/>
  <c r="I65" i="8"/>
  <c r="I61" i="8"/>
  <c r="I42" i="8"/>
  <c r="I31" i="8"/>
  <c r="J17" i="8"/>
  <c r="L17" i="8" s="1"/>
  <c r="I8" i="8"/>
  <c r="G136" i="8" l="1"/>
  <c r="J136" i="8" s="1"/>
  <c r="L136" i="8" s="1"/>
  <c r="F136" i="8"/>
  <c r="G128" i="8"/>
  <c r="J128" i="8" s="1"/>
  <c r="L128" i="8" s="1"/>
  <c r="F128" i="8"/>
  <c r="G114" i="8"/>
  <c r="J114" i="8" s="1"/>
  <c r="L114" i="8" s="1"/>
  <c r="F114" i="8"/>
  <c r="G127" i="8"/>
  <c r="J127" i="8" s="1"/>
  <c r="L127" i="8" s="1"/>
  <c r="F127" i="8"/>
  <c r="M143" i="8"/>
  <c r="G126" i="8"/>
  <c r="J126" i="8" s="1"/>
  <c r="L126" i="8" s="1"/>
  <c r="F126" i="8"/>
  <c r="G137" i="8"/>
  <c r="J137" i="8" s="1"/>
  <c r="L137" i="8" s="1"/>
  <c r="F137" i="8"/>
  <c r="G117" i="8"/>
  <c r="J117" i="8" s="1"/>
  <c r="L117" i="8" s="1"/>
  <c r="F117" i="8"/>
  <c r="G107" i="8"/>
  <c r="J107" i="8" s="1"/>
  <c r="L107" i="8" s="1"/>
  <c r="F107" i="8"/>
  <c r="G106" i="8"/>
  <c r="J106" i="8" s="1"/>
  <c r="L106" i="8" s="1"/>
  <c r="F106" i="8"/>
  <c r="G105" i="8"/>
  <c r="J105" i="8" s="1"/>
  <c r="L105" i="8" s="1"/>
  <c r="F105" i="8"/>
  <c r="G71" i="8"/>
  <c r="J71" i="8" s="1"/>
  <c r="L71" i="8" s="1"/>
  <c r="F71" i="8"/>
  <c r="G66" i="8"/>
  <c r="J66" i="8" s="1"/>
  <c r="L66" i="8" s="1"/>
  <c r="F66" i="8"/>
  <c r="G72" i="8"/>
  <c r="J72" i="8" s="1"/>
  <c r="L72" i="8" s="1"/>
  <c r="G103" i="8"/>
  <c r="J103" i="8" s="1"/>
  <c r="L103" i="8" s="1"/>
  <c r="F103" i="8"/>
  <c r="G85" i="8"/>
  <c r="I85" i="8" s="1"/>
  <c r="F85" i="8"/>
  <c r="G102" i="8"/>
  <c r="J102" i="8" s="1"/>
  <c r="L102" i="8" s="1"/>
  <c r="F102" i="8"/>
  <c r="G84" i="8"/>
  <c r="J84" i="8" s="1"/>
  <c r="L84" i="8" s="1"/>
  <c r="F84" i="8"/>
  <c r="G104" i="8"/>
  <c r="J104" i="8" s="1"/>
  <c r="L104" i="8" s="1"/>
  <c r="F104" i="8"/>
  <c r="G69" i="8"/>
  <c r="J69" i="8" s="1"/>
  <c r="L69" i="8" s="1"/>
  <c r="F69" i="8"/>
  <c r="G58" i="8"/>
  <c r="I58" i="8" s="1"/>
  <c r="F58" i="8"/>
  <c r="G57" i="8"/>
  <c r="J57" i="8" s="1"/>
  <c r="L57" i="8" s="1"/>
  <c r="F57" i="8"/>
  <c r="G56" i="8"/>
  <c r="J56" i="8" s="1"/>
  <c r="L56" i="8" s="1"/>
  <c r="F56" i="8"/>
  <c r="G43" i="8"/>
  <c r="I43" i="8" s="1"/>
  <c r="F43" i="8"/>
  <c r="G5" i="8"/>
  <c r="J5" i="8" s="1"/>
  <c r="L5" i="8" s="1"/>
  <c r="F5" i="8"/>
  <c r="G53" i="8"/>
  <c r="I53" i="8" s="1"/>
  <c r="F53" i="8"/>
  <c r="G28" i="8"/>
  <c r="I28" i="8" s="1"/>
  <c r="F28" i="8"/>
  <c r="G52" i="8"/>
  <c r="J52" i="8" s="1"/>
  <c r="L52" i="8" s="1"/>
  <c r="F52" i="8"/>
  <c r="G27" i="8"/>
  <c r="J27" i="8" s="1"/>
  <c r="L27" i="8" s="1"/>
  <c r="F27" i="8"/>
  <c r="G54" i="8"/>
  <c r="J54" i="8" s="1"/>
  <c r="L54" i="8" s="1"/>
  <c r="F54" i="8"/>
  <c r="G16" i="8"/>
  <c r="J16" i="8" s="1"/>
  <c r="L16" i="8" s="1"/>
  <c r="F16" i="8"/>
  <c r="G7" i="8"/>
  <c r="I7" i="8" s="1"/>
  <c r="G4" i="8"/>
  <c r="J4" i="8" s="1"/>
  <c r="L4" i="8" s="1"/>
  <c r="F4" i="8"/>
  <c r="G3" i="8"/>
  <c r="J3" i="8" s="1"/>
  <c r="L3" i="8" s="1"/>
  <c r="F3" i="8"/>
  <c r="G2" i="8"/>
  <c r="J2" i="8" s="1"/>
  <c r="L2" i="8" s="1"/>
  <c r="F2" i="8"/>
  <c r="I136" i="8" l="1"/>
  <c r="I128" i="8"/>
  <c r="I114" i="8"/>
  <c r="I127" i="8"/>
  <c r="I105" i="8"/>
  <c r="I106" i="8"/>
  <c r="I126" i="8"/>
  <c r="I137" i="8"/>
  <c r="I117" i="8"/>
  <c r="I107" i="8"/>
  <c r="I71" i="8"/>
  <c r="I66" i="8"/>
  <c r="I72" i="8"/>
  <c r="I103" i="8"/>
  <c r="J85" i="8"/>
  <c r="L85" i="8" s="1"/>
  <c r="I102" i="8"/>
  <c r="I84" i="8"/>
  <c r="I104" i="8"/>
  <c r="I69" i="8"/>
  <c r="J58" i="8"/>
  <c r="L58" i="8" s="1"/>
  <c r="I56" i="8"/>
  <c r="I57" i="8"/>
  <c r="J43" i="8"/>
  <c r="L43" i="8" s="1"/>
  <c r="I5" i="8"/>
  <c r="J53" i="8"/>
  <c r="L53" i="8" s="1"/>
  <c r="J28" i="8"/>
  <c r="L28" i="8" s="1"/>
  <c r="I52" i="8"/>
  <c r="I27" i="8"/>
  <c r="I54" i="8"/>
  <c r="I16" i="8"/>
  <c r="J7" i="8"/>
  <c r="L7" i="8" s="1"/>
  <c r="I3" i="8"/>
  <c r="I2" i="8"/>
  <c r="I4" i="8"/>
  <c r="G138" i="8" l="1"/>
  <c r="G139" i="8"/>
  <c r="G140" i="8"/>
  <c r="G38" i="4"/>
  <c r="I38" i="4"/>
  <c r="J38" i="4"/>
  <c r="L38" i="4"/>
  <c r="F38" i="4"/>
  <c r="M42" i="4"/>
  <c r="G31" i="4"/>
  <c r="J31" i="4" s="1"/>
  <c r="L31" i="4" s="1"/>
  <c r="G32" i="4"/>
  <c r="J32" i="4" s="1"/>
  <c r="L32" i="4" s="1"/>
  <c r="G33" i="4"/>
  <c r="J33" i="4" s="1"/>
  <c r="L33" i="4" s="1"/>
  <c r="G34" i="4"/>
  <c r="J34" i="4" s="1"/>
  <c r="L34" i="4" s="1"/>
  <c r="F30" i="4"/>
  <c r="F31" i="4"/>
  <c r="F32" i="4"/>
  <c r="F33" i="4"/>
  <c r="F34" i="4"/>
  <c r="F35" i="4"/>
  <c r="F36" i="4"/>
  <c r="F37" i="4"/>
  <c r="F39" i="4"/>
  <c r="G36" i="4"/>
  <c r="I36" i="4" s="1"/>
  <c r="G37" i="4"/>
  <c r="I37" i="4" s="1"/>
  <c r="G39" i="4"/>
  <c r="I39" i="4" s="1"/>
  <c r="F21" i="4"/>
  <c r="F22" i="4"/>
  <c r="F23" i="4"/>
  <c r="F24" i="4"/>
  <c r="F25" i="4"/>
  <c r="F26" i="4"/>
  <c r="F27" i="4"/>
  <c r="F28" i="4"/>
  <c r="F29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F11" i="4"/>
  <c r="F12" i="4"/>
  <c r="F13" i="4"/>
  <c r="F14" i="4"/>
  <c r="F15" i="4"/>
  <c r="F16" i="4"/>
  <c r="F17" i="4"/>
  <c r="F18" i="4"/>
  <c r="F19" i="4"/>
  <c r="F20" i="4"/>
  <c r="F3" i="4"/>
  <c r="F4" i="4"/>
  <c r="F5" i="4"/>
  <c r="F6" i="4"/>
  <c r="F7" i="4"/>
  <c r="F8" i="4"/>
  <c r="F9" i="4"/>
  <c r="F10" i="4"/>
  <c r="G143" i="8" l="1"/>
  <c r="I32" i="4"/>
  <c r="I31" i="4"/>
  <c r="I34" i="4"/>
  <c r="I33" i="4"/>
  <c r="J181" i="11"/>
  <c r="L181" i="11" s="1"/>
  <c r="I181" i="11" l="1"/>
  <c r="J182" i="11"/>
  <c r="L182" i="11" s="1"/>
  <c r="J190" i="11"/>
  <c r="L190" i="11" s="1"/>
  <c r="J77" i="11"/>
  <c r="L77" i="11" s="1"/>
  <c r="J145" i="11"/>
  <c r="L145" i="11" s="1"/>
  <c r="I182" i="11" l="1"/>
  <c r="I190" i="11"/>
  <c r="I77" i="11"/>
  <c r="I145" i="11"/>
  <c r="J17" i="14"/>
  <c r="L17" i="14" s="1"/>
  <c r="I17" i="14" l="1"/>
  <c r="J236" i="10" l="1"/>
  <c r="L236" i="10" s="1"/>
  <c r="J235" i="10"/>
  <c r="L235" i="10" s="1"/>
  <c r="J220" i="10"/>
  <c r="L220" i="10" s="1"/>
  <c r="J218" i="10"/>
  <c r="L218" i="10" s="1"/>
  <c r="J94" i="10"/>
  <c r="L94" i="10" s="1"/>
  <c r="J82" i="10"/>
  <c r="L82" i="10" s="1"/>
  <c r="J76" i="10"/>
  <c r="L76" i="10" s="1"/>
  <c r="J153" i="10"/>
  <c r="L153" i="10" s="1"/>
  <c r="I236" i="10" l="1"/>
  <c r="I235" i="10"/>
  <c r="I220" i="10"/>
  <c r="I218" i="10"/>
  <c r="I94" i="10"/>
  <c r="I82" i="10"/>
  <c r="I76" i="10"/>
  <c r="I153" i="10"/>
  <c r="J94" i="9" l="1"/>
  <c r="L94" i="9" s="1"/>
  <c r="J103" i="9"/>
  <c r="L103" i="9" s="1"/>
  <c r="J30" i="9"/>
  <c r="L30" i="9" s="1"/>
  <c r="J110" i="9"/>
  <c r="L110" i="9" s="1"/>
  <c r="J73" i="9"/>
  <c r="L73" i="9" s="1"/>
  <c r="I94" i="9" l="1"/>
  <c r="I103" i="9"/>
  <c r="I30" i="9"/>
  <c r="I110" i="9"/>
  <c r="I73" i="9"/>
  <c r="J138" i="8" l="1"/>
  <c r="L138" i="8" l="1"/>
  <c r="I138" i="8"/>
  <c r="I139" i="8" l="1"/>
  <c r="J139" i="8" l="1"/>
  <c r="L139" i="8" l="1"/>
  <c r="J140" i="8"/>
  <c r="L140" i="8" s="1"/>
  <c r="J143" i="8" l="1"/>
  <c r="I140" i="8"/>
  <c r="I143" i="8" l="1"/>
  <c r="I21" i="4"/>
  <c r="J22" i="4"/>
  <c r="L22" i="4" s="1"/>
  <c r="J23" i="4"/>
  <c r="L23" i="4" s="1"/>
  <c r="I24" i="4"/>
  <c r="F2" i="4"/>
  <c r="J39" i="4"/>
  <c r="L39" i="4" s="1"/>
  <c r="J37" i="4"/>
  <c r="L37" i="4" s="1"/>
  <c r="J36" i="4"/>
  <c r="L36" i="4" s="1"/>
  <c r="J35" i="4"/>
  <c r="L35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F2" i="14"/>
  <c r="I3" i="14"/>
  <c r="J4" i="14"/>
  <c r="L4" i="14" s="1"/>
  <c r="I8" i="14"/>
  <c r="I11" i="14"/>
  <c r="I12" i="14"/>
  <c r="J13" i="14"/>
  <c r="L13" i="14" s="1"/>
  <c r="J21" i="14"/>
  <c r="L21" i="14" s="1"/>
  <c r="I24" i="14"/>
  <c r="I27" i="14"/>
  <c r="I28" i="14"/>
  <c r="J29" i="14"/>
  <c r="L29" i="14" s="1"/>
  <c r="I30" i="14"/>
  <c r="J31" i="14"/>
  <c r="L31" i="14" s="1"/>
  <c r="J32" i="14"/>
  <c r="L32" i="14" s="1"/>
  <c r="J39" i="14"/>
  <c r="L39" i="14" s="1"/>
  <c r="F2" i="13"/>
  <c r="G2" i="13"/>
  <c r="I2" i="13" s="1"/>
  <c r="I3" i="13"/>
  <c r="J6" i="13"/>
  <c r="L6" i="13" s="1"/>
  <c r="I6" i="13"/>
  <c r="J8" i="13"/>
  <c r="L8" i="13" s="1"/>
  <c r="J14" i="13"/>
  <c r="L14" i="13" s="1"/>
  <c r="J16" i="13"/>
  <c r="L16" i="13" s="1"/>
  <c r="J20" i="13"/>
  <c r="L20" i="13" s="1"/>
  <c r="J24" i="13"/>
  <c r="L24" i="13" s="1"/>
  <c r="J30" i="13"/>
  <c r="L30" i="13" s="1"/>
  <c r="J32" i="13"/>
  <c r="L32" i="13" s="1"/>
  <c r="J36" i="13"/>
  <c r="L36" i="13" s="1"/>
  <c r="F2" i="12"/>
  <c r="G2" i="12"/>
  <c r="G47" i="12" s="1"/>
  <c r="J3" i="12"/>
  <c r="L3" i="12" s="1"/>
  <c r="J5" i="12"/>
  <c r="L5" i="12" s="1"/>
  <c r="I6" i="12"/>
  <c r="I8" i="12"/>
  <c r="J11" i="12"/>
  <c r="L11" i="12" s="1"/>
  <c r="J12" i="12"/>
  <c r="L12" i="12" s="1"/>
  <c r="J13" i="12"/>
  <c r="L13" i="12" s="1"/>
  <c r="J15" i="12"/>
  <c r="L15" i="12" s="1"/>
  <c r="I16" i="12"/>
  <c r="J17" i="12"/>
  <c r="L17" i="12" s="1"/>
  <c r="I18" i="12"/>
  <c r="J19" i="12"/>
  <c r="L19" i="12" s="1"/>
  <c r="J20" i="12"/>
  <c r="L20" i="12" s="1"/>
  <c r="J21" i="12"/>
  <c r="L21" i="12" s="1"/>
  <c r="J27" i="12"/>
  <c r="L27" i="12" s="1"/>
  <c r="J28" i="12"/>
  <c r="L28" i="12" s="1"/>
  <c r="J29" i="12"/>
  <c r="L29" i="12" s="1"/>
  <c r="I31" i="12"/>
  <c r="I32" i="12"/>
  <c r="J33" i="12"/>
  <c r="L33" i="12" s="1"/>
  <c r="J35" i="12"/>
  <c r="L35" i="12" s="1"/>
  <c r="J37" i="12"/>
  <c r="L37" i="12" s="1"/>
  <c r="G2" i="4"/>
  <c r="I2" i="4" s="1"/>
  <c r="I3" i="4"/>
  <c r="I4" i="4"/>
  <c r="J5" i="4"/>
  <c r="L5" i="4" s="1"/>
  <c r="J6" i="4"/>
  <c r="L6" i="4" s="1"/>
  <c r="I7" i="4"/>
  <c r="I8" i="4"/>
  <c r="J9" i="4"/>
  <c r="L9" i="4" s="1"/>
  <c r="I10" i="4"/>
  <c r="I11" i="4"/>
  <c r="I12" i="4"/>
  <c r="J13" i="4"/>
  <c r="L13" i="4" s="1"/>
  <c r="J14" i="4"/>
  <c r="L14" i="4" s="1"/>
  <c r="J172" i="11"/>
  <c r="L172" i="11" s="1"/>
  <c r="J234" i="10"/>
  <c r="L234" i="10" s="1"/>
  <c r="J8" i="4"/>
  <c r="L8" i="4" s="1"/>
  <c r="I18" i="4"/>
  <c r="I30" i="4"/>
  <c r="G193" i="11" l="1"/>
  <c r="I34" i="14"/>
  <c r="G43" i="14"/>
  <c r="I4" i="14"/>
  <c r="J28" i="14"/>
  <c r="L28" i="14" s="1"/>
  <c r="J27" i="14"/>
  <c r="L27" i="14" s="1"/>
  <c r="J3" i="14"/>
  <c r="L3" i="14" s="1"/>
  <c r="J4" i="13"/>
  <c r="L4" i="13" s="1"/>
  <c r="G40" i="13"/>
  <c r="G238" i="10"/>
  <c r="I30" i="13"/>
  <c r="I20" i="13"/>
  <c r="G120" i="9"/>
  <c r="I20" i="12"/>
  <c r="I28" i="12"/>
  <c r="I5" i="12"/>
  <c r="I15" i="12"/>
  <c r="J32" i="12"/>
  <c r="L32" i="12" s="1"/>
  <c r="J31" i="12"/>
  <c r="L31" i="12" s="1"/>
  <c r="I19" i="12"/>
  <c r="J16" i="12"/>
  <c r="L16" i="12" s="1"/>
  <c r="J2" i="13"/>
  <c r="L2" i="13" s="1"/>
  <c r="I37" i="12"/>
  <c r="I27" i="12"/>
  <c r="I12" i="12"/>
  <c r="I3" i="12"/>
  <c r="J3" i="13"/>
  <c r="L3" i="13" s="1"/>
  <c r="I31" i="14"/>
  <c r="J10" i="4"/>
  <c r="L10" i="4" s="1"/>
  <c r="J12" i="4"/>
  <c r="L12" i="4" s="1"/>
  <c r="I16" i="4"/>
  <c r="I35" i="4"/>
  <c r="I28" i="4"/>
  <c r="I23" i="4"/>
  <c r="J2" i="4"/>
  <c r="L2" i="4" s="1"/>
  <c r="I15" i="4"/>
  <c r="I14" i="12"/>
  <c r="J14" i="12"/>
  <c r="L14" i="12" s="1"/>
  <c r="J40" i="14"/>
  <c r="L40" i="14" s="1"/>
  <c r="I40" i="14"/>
  <c r="I20" i="4"/>
  <c r="J4" i="4"/>
  <c r="L4" i="4" s="1"/>
  <c r="I30" i="12"/>
  <c r="J30" i="12"/>
  <c r="L30" i="12" s="1"/>
  <c r="I7" i="12"/>
  <c r="J7" i="12"/>
  <c r="L7" i="12" s="1"/>
  <c r="I35" i="13"/>
  <c r="J35" i="13"/>
  <c r="L35" i="13" s="1"/>
  <c r="J22" i="13"/>
  <c r="L22" i="13" s="1"/>
  <c r="I22" i="13"/>
  <c r="I15" i="13"/>
  <c r="J15" i="13"/>
  <c r="L15" i="13" s="1"/>
  <c r="I17" i="4"/>
  <c r="I36" i="13"/>
  <c r="I31" i="13"/>
  <c r="J31" i="13"/>
  <c r="L31" i="13" s="1"/>
  <c r="I18" i="13"/>
  <c r="J18" i="13"/>
  <c r="L18" i="13" s="1"/>
  <c r="I16" i="13"/>
  <c r="I11" i="13"/>
  <c r="J11" i="13"/>
  <c r="L11" i="13" s="1"/>
  <c r="J33" i="14"/>
  <c r="L33" i="14" s="1"/>
  <c r="I33" i="14"/>
  <c r="J19" i="14"/>
  <c r="L19" i="14" s="1"/>
  <c r="I19" i="14"/>
  <c r="I19" i="13"/>
  <c r="J19" i="13"/>
  <c r="L19" i="13" s="1"/>
  <c r="J5" i="14"/>
  <c r="L5" i="14" s="1"/>
  <c r="I5" i="14"/>
  <c r="I16" i="14"/>
  <c r="J16" i="14"/>
  <c r="L16" i="14" s="1"/>
  <c r="I22" i="12"/>
  <c r="J22" i="12"/>
  <c r="L22" i="12" s="1"/>
  <c r="I11" i="12"/>
  <c r="I34" i="13"/>
  <c r="J34" i="13"/>
  <c r="L34" i="13" s="1"/>
  <c r="I32" i="13"/>
  <c r="I27" i="13"/>
  <c r="J27" i="13"/>
  <c r="L27" i="13" s="1"/>
  <c r="I14" i="13"/>
  <c r="I15" i="14"/>
  <c r="J15" i="14"/>
  <c r="L15" i="14" s="1"/>
  <c r="I35" i="12"/>
  <c r="I29" i="12"/>
  <c r="I21" i="12"/>
  <c r="I13" i="12"/>
  <c r="I24" i="13"/>
  <c r="I8" i="13"/>
  <c r="I4" i="13"/>
  <c r="I39" i="14"/>
  <c r="I32" i="14"/>
  <c r="I21" i="14"/>
  <c r="J12" i="14"/>
  <c r="L12" i="14" s="1"/>
  <c r="J11" i="14"/>
  <c r="L11" i="14" s="1"/>
  <c r="I36" i="12"/>
  <c r="J36" i="12"/>
  <c r="L36" i="12" s="1"/>
  <c r="I23" i="12"/>
  <c r="J23" i="12"/>
  <c r="L23" i="12" s="1"/>
  <c r="J9" i="12"/>
  <c r="L9" i="12" s="1"/>
  <c r="I9" i="12"/>
  <c r="J28" i="13"/>
  <c r="L28" i="13" s="1"/>
  <c r="I28" i="13"/>
  <c r="I23" i="13"/>
  <c r="J23" i="13"/>
  <c r="L23" i="13" s="1"/>
  <c r="J12" i="13"/>
  <c r="L12" i="13" s="1"/>
  <c r="I12" i="13"/>
  <c r="I7" i="13"/>
  <c r="J7" i="13"/>
  <c r="L7" i="13" s="1"/>
  <c r="I20" i="14"/>
  <c r="J20" i="14"/>
  <c r="L20" i="14" s="1"/>
  <c r="I26" i="13"/>
  <c r="J26" i="13"/>
  <c r="L26" i="13" s="1"/>
  <c r="I10" i="13"/>
  <c r="J10" i="13"/>
  <c r="L10" i="13" s="1"/>
  <c r="J25" i="14"/>
  <c r="L25" i="14" s="1"/>
  <c r="I25" i="14"/>
  <c r="I23" i="14"/>
  <c r="J23" i="14"/>
  <c r="L23" i="14" s="1"/>
  <c r="I2" i="12"/>
  <c r="J2" i="12"/>
  <c r="L2" i="12" s="1"/>
  <c r="I22" i="4"/>
  <c r="I26" i="4"/>
  <c r="I172" i="11"/>
  <c r="I10" i="12"/>
  <c r="J10" i="12"/>
  <c r="L10" i="12" s="1"/>
  <c r="I4" i="12"/>
  <c r="J4" i="12"/>
  <c r="I35" i="14"/>
  <c r="J35" i="14"/>
  <c r="L35" i="14" s="1"/>
  <c r="J9" i="14"/>
  <c r="L9" i="14" s="1"/>
  <c r="I9" i="14"/>
  <c r="I7" i="14"/>
  <c r="J7" i="14"/>
  <c r="L7" i="14" s="1"/>
  <c r="I33" i="12"/>
  <c r="J34" i="14"/>
  <c r="L34" i="14" s="1"/>
  <c r="I29" i="14"/>
  <c r="J24" i="14"/>
  <c r="L24" i="14" s="1"/>
  <c r="I13" i="14"/>
  <c r="J8" i="14"/>
  <c r="L8" i="14" s="1"/>
  <c r="I5" i="4"/>
  <c r="J24" i="4"/>
  <c r="L24" i="4" s="1"/>
  <c r="I14" i="4"/>
  <c r="J7" i="4"/>
  <c r="L7" i="4" s="1"/>
  <c r="I27" i="4"/>
  <c r="I19" i="4"/>
  <c r="I25" i="4"/>
  <c r="I29" i="4"/>
  <c r="I9" i="4"/>
  <c r="I13" i="4"/>
  <c r="J3" i="4"/>
  <c r="L3" i="4" s="1"/>
  <c r="I6" i="4"/>
  <c r="G42" i="4"/>
  <c r="I26" i="12"/>
  <c r="J26" i="12"/>
  <c r="L26" i="12" s="1"/>
  <c r="I34" i="12"/>
  <c r="J34" i="12"/>
  <c r="L34" i="12" s="1"/>
  <c r="I24" i="12"/>
  <c r="J24" i="12"/>
  <c r="L24" i="12" s="1"/>
  <c r="J11" i="4"/>
  <c r="L11" i="4" s="1"/>
  <c r="I234" i="10"/>
  <c r="I37" i="13"/>
  <c r="J37" i="13"/>
  <c r="L37" i="13" s="1"/>
  <c r="I21" i="13"/>
  <c r="J21" i="13"/>
  <c r="L21" i="13" s="1"/>
  <c r="I5" i="13"/>
  <c r="J5" i="13"/>
  <c r="L5" i="13" s="1"/>
  <c r="J25" i="12"/>
  <c r="L25" i="12" s="1"/>
  <c r="I25" i="12"/>
  <c r="I26" i="14"/>
  <c r="J26" i="14"/>
  <c r="L26" i="14" s="1"/>
  <c r="I10" i="14"/>
  <c r="J10" i="14"/>
  <c r="L10" i="14" s="1"/>
  <c r="J18" i="12"/>
  <c r="L18" i="12" s="1"/>
  <c r="I17" i="12"/>
  <c r="J8" i="12"/>
  <c r="L8" i="12" s="1"/>
  <c r="J6" i="12"/>
  <c r="L6" i="12" s="1"/>
  <c r="I33" i="13"/>
  <c r="J33" i="13"/>
  <c r="L33" i="13" s="1"/>
  <c r="I17" i="13"/>
  <c r="J17" i="13"/>
  <c r="L17" i="13" s="1"/>
  <c r="I38" i="14"/>
  <c r="J38" i="14"/>
  <c r="L38" i="14" s="1"/>
  <c r="I36" i="14"/>
  <c r="J36" i="14"/>
  <c r="L36" i="14" s="1"/>
  <c r="I29" i="13"/>
  <c r="J29" i="13"/>
  <c r="L29" i="13" s="1"/>
  <c r="I13" i="13"/>
  <c r="J13" i="13"/>
  <c r="L13" i="13" s="1"/>
  <c r="I25" i="13"/>
  <c r="J25" i="13"/>
  <c r="L25" i="13" s="1"/>
  <c r="I9" i="13"/>
  <c r="J9" i="13"/>
  <c r="L9" i="13" s="1"/>
  <c r="J37" i="14"/>
  <c r="L37" i="14" s="1"/>
  <c r="I37" i="14"/>
  <c r="J30" i="14"/>
  <c r="L30" i="14" s="1"/>
  <c r="I22" i="14"/>
  <c r="J22" i="14"/>
  <c r="L22" i="14" s="1"/>
  <c r="I6" i="14"/>
  <c r="J6" i="14"/>
  <c r="L6" i="14" s="1"/>
  <c r="I18" i="14"/>
  <c r="J18" i="14"/>
  <c r="L18" i="14" s="1"/>
  <c r="I14" i="14"/>
  <c r="J14" i="14"/>
  <c r="L14" i="14" s="1"/>
  <c r="I2" i="14"/>
  <c r="J2" i="14"/>
  <c r="L2" i="14" s="1"/>
  <c r="I193" i="11" l="1"/>
  <c r="J43" i="14"/>
  <c r="I40" i="13"/>
  <c r="J193" i="11"/>
  <c r="L193" i="11"/>
  <c r="I43" i="14"/>
  <c r="J40" i="13"/>
  <c r="I238" i="10"/>
  <c r="L238" i="10"/>
  <c r="L120" i="9"/>
  <c r="I120" i="9"/>
  <c r="I47" i="12"/>
  <c r="L4" i="12"/>
  <c r="J47" i="12"/>
  <c r="I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000-000005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1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100-000005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00000000-0006-0000-01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2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2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2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2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200-000005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00000000-0006-0000-02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3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3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3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10"/>
            <color indexed="81"/>
            <rFont val="Tahoma"/>
            <family val="2"/>
          </rPr>
          <t xml:space="preserve">BASE IMPONIBLE DE LA FACTURA. </t>
        </r>
      </text>
    </comment>
    <comment ref="I1" authorId="0" shapeId="0" xr:uid="{00000000-0006-0000-03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4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4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4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5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5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5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5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5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5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6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6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6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6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6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6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7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7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7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7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7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7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<sst xmlns="http://schemas.openxmlformats.org/spreadsheetml/2006/main" count="3764" uniqueCount="1053">
  <si>
    <t>FECHA</t>
  </si>
  <si>
    <t>REG.</t>
  </si>
  <si>
    <t>CUENTA</t>
  </si>
  <si>
    <t>NIF</t>
  </si>
  <si>
    <t>NOMBRE</t>
  </si>
  <si>
    <t>DESCRIPCIÓN</t>
  </si>
  <si>
    <t>BASE</t>
  </si>
  <si>
    <t>%IVA</t>
  </si>
  <si>
    <t>IMPORTE IVA</t>
  </si>
  <si>
    <t>BASE RETENCION</t>
  </si>
  <si>
    <t>%IRPF</t>
  </si>
  <si>
    <t>TOTAL IRPF</t>
  </si>
  <si>
    <t>TOTAL</t>
  </si>
  <si>
    <t>CONTRAPARTIDA</t>
  </si>
  <si>
    <t>PAIS</t>
  </si>
  <si>
    <t>PROVINCIA</t>
  </si>
  <si>
    <t>PAGO AUTOMATICO</t>
  </si>
  <si>
    <t>OPERACION ARRENDAMIENTO</t>
  </si>
  <si>
    <t>Nº DOCUMENTO</t>
  </si>
  <si>
    <t xml:space="preserve">S/F </t>
  </si>
  <si>
    <t xml:space="preserve">N/F </t>
  </si>
  <si>
    <t>REAL CANOE NATACION CLUB</t>
  </si>
  <si>
    <t>CONVER FORMAT 98, S.L.</t>
  </si>
  <si>
    <t>RESTAURANTE URRECHU CLUB, S.L.</t>
  </si>
  <si>
    <t>B-82055260</t>
  </si>
  <si>
    <t>G-28457083</t>
  </si>
  <si>
    <t>B-83046011</t>
  </si>
  <si>
    <t>X</t>
  </si>
  <si>
    <t>EL CIELO DE URRECHU, S.L.</t>
  </si>
  <si>
    <t>B-86387594</t>
  </si>
  <si>
    <t>H83070557</t>
  </si>
  <si>
    <t>COMUNIDAD DE PROPIETARIOS LA PINEDA II</t>
  </si>
  <si>
    <t>A-79303582</t>
  </si>
  <si>
    <t>INVERSIONES TERRENOS Y SERVICIOS, S.A.</t>
  </si>
  <si>
    <t>SPANISH TAPAS INVESTMENTS, S.L.</t>
  </si>
  <si>
    <t>B-86797511</t>
  </si>
  <si>
    <t>W-5121001-A</t>
  </si>
  <si>
    <t>LATAM AIRLINES GROUP S.A</t>
  </si>
  <si>
    <t>ANTONIO SIGUERO S.L.</t>
  </si>
  <si>
    <t>B-28924371</t>
  </si>
  <si>
    <t>TREVOLA, S.L.</t>
  </si>
  <si>
    <t>B-78085412</t>
  </si>
  <si>
    <t>V-78394764</t>
  </si>
  <si>
    <t>FEDERACIÓN MADRILEÑA DE NATACIÓN</t>
  </si>
  <si>
    <t>IBERIA TAPAS INVESTMENTS, S.L.</t>
  </si>
  <si>
    <t>B-88006598</t>
  </si>
  <si>
    <t>001/24</t>
  </si>
  <si>
    <t>12/01/2024</t>
  </si>
  <si>
    <t>22/01/2024</t>
  </si>
  <si>
    <t>23/01/2024</t>
  </si>
  <si>
    <t>29/01/2024</t>
  </si>
  <si>
    <t>31/01/2024</t>
  </si>
  <si>
    <t>002/24</t>
  </si>
  <si>
    <t>003/24</t>
  </si>
  <si>
    <t>004/24</t>
  </si>
  <si>
    <t>005/24</t>
  </si>
  <si>
    <t>006/24</t>
  </si>
  <si>
    <t>007/24</t>
  </si>
  <si>
    <t>008/24</t>
  </si>
  <si>
    <t>009/24</t>
  </si>
  <si>
    <t>010/24</t>
  </si>
  <si>
    <t>011/24</t>
  </si>
  <si>
    <t>012/24</t>
  </si>
  <si>
    <t>02271969Y</t>
  </si>
  <si>
    <t>RUBEN HERNANDEZ DIAZ</t>
  </si>
  <si>
    <t>B-79965687</t>
  </si>
  <si>
    <t>AHOSMA</t>
  </si>
  <si>
    <t>013/24</t>
  </si>
  <si>
    <t>014/24</t>
  </si>
  <si>
    <t>015/24</t>
  </si>
  <si>
    <t>016/24</t>
  </si>
  <si>
    <t>017/24</t>
  </si>
  <si>
    <t>019/24</t>
  </si>
  <si>
    <t>018/24</t>
  </si>
  <si>
    <t>020/24</t>
  </si>
  <si>
    <t>021/24</t>
  </si>
  <si>
    <t>022/24</t>
  </si>
  <si>
    <t>023/24</t>
  </si>
  <si>
    <t>024/24</t>
  </si>
  <si>
    <t>025/24</t>
  </si>
  <si>
    <t>026/24</t>
  </si>
  <si>
    <t>027/24</t>
  </si>
  <si>
    <t>028/24</t>
  </si>
  <si>
    <t>029/24</t>
  </si>
  <si>
    <t>02/02/2024</t>
  </si>
  <si>
    <t>05/02/2024</t>
  </si>
  <si>
    <t>08/02/2024</t>
  </si>
  <si>
    <t>20/02/2024</t>
  </si>
  <si>
    <t>22/02/2024</t>
  </si>
  <si>
    <t>23/02/2024</t>
  </si>
  <si>
    <t>28/02/2024</t>
  </si>
  <si>
    <t>29/02/2024</t>
  </si>
  <si>
    <t>B-83984252</t>
  </si>
  <si>
    <t>PAFAIM S.L.</t>
  </si>
  <si>
    <t>030/24</t>
  </si>
  <si>
    <t>031/24</t>
  </si>
  <si>
    <t>032/24</t>
  </si>
  <si>
    <t>033/24</t>
  </si>
  <si>
    <t>DUTTI TRANS SL</t>
  </si>
  <si>
    <t>B-83282897</t>
  </si>
  <si>
    <t>B-88083910</t>
  </si>
  <si>
    <t>GIUDECCA RESTAURANTS S.L.U.</t>
  </si>
  <si>
    <t>034/24</t>
  </si>
  <si>
    <t>035/24</t>
  </si>
  <si>
    <t>036/24</t>
  </si>
  <si>
    <t>037/24</t>
  </si>
  <si>
    <t>038/24</t>
  </si>
  <si>
    <t>PERFECT VIEWS S.L.</t>
  </si>
  <si>
    <t>B-87620712</t>
  </si>
  <si>
    <t>UZ LA FINCA S.L.</t>
  </si>
  <si>
    <t>B-05423090</t>
  </si>
  <si>
    <t>D</t>
  </si>
  <si>
    <t>A-78229044</t>
  </si>
  <si>
    <t>HIPER ANTENA, S.A.</t>
  </si>
  <si>
    <t>B-87621306</t>
  </si>
  <si>
    <t>ELECTRO MERCANTIL LEGANES D.A.M.,S.L.U.</t>
  </si>
  <si>
    <t>A-26106013</t>
  </si>
  <si>
    <t>SECURITAS DIRECT ESPAÑA S.A.U.</t>
  </si>
  <si>
    <t>2401C00698211</t>
  </si>
  <si>
    <t>2401C00402678</t>
  </si>
  <si>
    <t>2401C00398966</t>
  </si>
  <si>
    <t>G-28849610</t>
  </si>
  <si>
    <t>ASOCIACIÓN PROFESIONAL DE EMPRESARIOS</t>
  </si>
  <si>
    <t>CU 2.024 1.166</t>
  </si>
  <si>
    <t>IE9700053D</t>
  </si>
  <si>
    <t>APPLE DISTRIBUTION INTERNATIONAL LTD.</t>
  </si>
  <si>
    <t>189749851612</t>
  </si>
  <si>
    <t>B-79283982</t>
  </si>
  <si>
    <t>CONTAMAR S.L.</t>
  </si>
  <si>
    <t>F240117</t>
  </si>
  <si>
    <t>FR355554</t>
  </si>
  <si>
    <t>FR356074</t>
  </si>
  <si>
    <t>H4F00245</t>
  </si>
  <si>
    <t>H4F00814</t>
  </si>
  <si>
    <t>B65414138</t>
  </si>
  <si>
    <t>LANT ADVISORS, S.L.P.</t>
  </si>
  <si>
    <t>2024/000716</t>
  </si>
  <si>
    <t>TR</t>
  </si>
  <si>
    <t>B-80090806</t>
  </si>
  <si>
    <t>TECNOLOGÍA DEL CONTROL ENERGÉTICO MADRID, S.L.</t>
  </si>
  <si>
    <t>55/24</t>
  </si>
  <si>
    <t>2402C00509534</t>
  </si>
  <si>
    <t>2402C00396712</t>
  </si>
  <si>
    <t>2402C00391589</t>
  </si>
  <si>
    <t>169761941131</t>
  </si>
  <si>
    <t>F240509</t>
  </si>
  <si>
    <t>FR356563</t>
  </si>
  <si>
    <t>FR357148</t>
  </si>
  <si>
    <t>H4F01657</t>
  </si>
  <si>
    <t>H4F02437</t>
  </si>
  <si>
    <t>OCA GLOBAL INSPECCIONES REGLAMENTARIAS,S.A.U.</t>
  </si>
  <si>
    <t>A-64822281</t>
  </si>
  <si>
    <t>2404006971</t>
  </si>
  <si>
    <t>A-08472276</t>
  </si>
  <si>
    <t>WÜRTH ESPAÑA, S.A.</t>
  </si>
  <si>
    <t>4051768988</t>
  </si>
  <si>
    <t>4051782094</t>
  </si>
  <si>
    <t>2403C00782306</t>
  </si>
  <si>
    <t>2403C00463313</t>
  </si>
  <si>
    <t>2403C00413620</t>
  </si>
  <si>
    <t>151774127064</t>
  </si>
  <si>
    <t>F240926</t>
  </si>
  <si>
    <t>FR357630</t>
  </si>
  <si>
    <t>H4F02956</t>
  </si>
  <si>
    <t>163/24</t>
  </si>
  <si>
    <t>199/24</t>
  </si>
  <si>
    <t>FR358107</t>
  </si>
  <si>
    <t>TJ</t>
  </si>
  <si>
    <t>B-84146364</t>
  </si>
  <si>
    <t>SANTIAGO Y LYDIA DIAZ, S.L.</t>
  </si>
  <si>
    <t>70124FE000000040</t>
  </si>
  <si>
    <t>83924FE000000132</t>
  </si>
  <si>
    <t>B-28279123</t>
  </si>
  <si>
    <t>CHEYPER S.L.</t>
  </si>
  <si>
    <t>70124FE000000187</t>
  </si>
  <si>
    <t>70124FE000000283</t>
  </si>
  <si>
    <t>83924FE000000472</t>
  </si>
  <si>
    <t>70124FE000000465</t>
  </si>
  <si>
    <t>70124FE000000546</t>
  </si>
  <si>
    <t>70124FE000000651</t>
  </si>
  <si>
    <t>70124FE000000742</t>
  </si>
  <si>
    <t>70124FE000000927</t>
  </si>
  <si>
    <t>70124FE000001041</t>
  </si>
  <si>
    <t>24300240</t>
  </si>
  <si>
    <t>B-85279347</t>
  </si>
  <si>
    <t>SANCHEZ FILIO, S.L.</t>
  </si>
  <si>
    <t>501/349.041</t>
  </si>
  <si>
    <t>B-28421360</t>
  </si>
  <si>
    <t>BOBEL, S.L.</t>
  </si>
  <si>
    <t>B-84406289</t>
  </si>
  <si>
    <t>BRICOLAJE BRICOMAN, S.L.U.</t>
  </si>
  <si>
    <t>011-0001-679032</t>
  </si>
  <si>
    <t>018-0001-156112</t>
  </si>
  <si>
    <t>011-0001-694739</t>
  </si>
  <si>
    <t>018-0001-169509</t>
  </si>
  <si>
    <t>018-0001-171457</t>
  </si>
  <si>
    <t>018-0001-179574</t>
  </si>
  <si>
    <t>018-0002-191978</t>
  </si>
  <si>
    <t>1/24-00248</t>
  </si>
  <si>
    <t>B-87414215</t>
  </si>
  <si>
    <t>HANDYTRON TELECOMUNICACIONES SL</t>
  </si>
  <si>
    <t>501/350.427</t>
  </si>
  <si>
    <t>018-0003-242314</t>
  </si>
  <si>
    <t>018-0003-R300259</t>
  </si>
  <si>
    <t>018-0003-247225</t>
  </si>
  <si>
    <t>018-0003-272779</t>
  </si>
  <si>
    <t>B-86389541</t>
  </si>
  <si>
    <t>MAKSU ESPAÑA S.L.</t>
  </si>
  <si>
    <t>RC EOS ES2024/524131</t>
  </si>
  <si>
    <t>FT EOS ES2024/28770</t>
  </si>
  <si>
    <t>RC EOS ES2024/740396</t>
  </si>
  <si>
    <t>FT EOS ES2024/42140</t>
  </si>
  <si>
    <t>FR41UN1BAEUI</t>
  </si>
  <si>
    <t>FR-12487773327</t>
  </si>
  <si>
    <t>Amazon EU S.a.r.l., Succursale Française</t>
  </si>
  <si>
    <t>B39540760</t>
  </si>
  <si>
    <t>Repsol Comercializadora de Electricidad y Gas, S.L.U.</t>
  </si>
  <si>
    <t>610411606431</t>
  </si>
  <si>
    <t>RC EOS ES2024/1388808</t>
  </si>
  <si>
    <t>FT EOS ES2024/80816</t>
  </si>
  <si>
    <t>A-65.067.332</t>
  </si>
  <si>
    <t>Comercializadora Regulada, Gas &amp; Power, S.A.</t>
  </si>
  <si>
    <t>FE24137000969353</t>
  </si>
  <si>
    <t>A-82018474</t>
  </si>
  <si>
    <t>TELEFONICA DE ESPAÑA S.A.U.</t>
  </si>
  <si>
    <t>A-78923125</t>
  </si>
  <si>
    <t>TELEFÓNICA MÓVILES ESPAÑA, S.A.</t>
  </si>
  <si>
    <t>FMDVAAH0020325</t>
  </si>
  <si>
    <t>MMDVAAH0006447</t>
  </si>
  <si>
    <t>MMDVAAH0006448</t>
  </si>
  <si>
    <t>A-95554630</t>
  </si>
  <si>
    <t>CURENERGÍA COMERCIALIZADOR DE ÚLTIMO RECURSO S.A.U.</t>
  </si>
  <si>
    <t>09240108010090604</t>
  </si>
  <si>
    <t>RC EOS ES2024/2251216</t>
  </si>
  <si>
    <t>FT EOS ES2024/133172</t>
  </si>
  <si>
    <t>B-85057974</t>
  </si>
  <si>
    <t>ORANGE ESPAÑA VIRTUAL, S.L.U.</t>
  </si>
  <si>
    <t>B5010124-00009978</t>
  </si>
  <si>
    <t>RC EOS ES2024/3498925</t>
  </si>
  <si>
    <t>FT EOS ES2024/208549</t>
  </si>
  <si>
    <t>FR45ED56AEUI</t>
  </si>
  <si>
    <t>RC EOS ES2024/3862664</t>
  </si>
  <si>
    <t>FT EOS ES2024/230257</t>
  </si>
  <si>
    <t>09240206010045194</t>
  </si>
  <si>
    <t>FE24137003412206</t>
  </si>
  <si>
    <t>FMDVABH0010862</t>
  </si>
  <si>
    <t>MMDVABH0003439</t>
  </si>
  <si>
    <t>MMDVABH0003438</t>
  </si>
  <si>
    <t>61042967474</t>
  </si>
  <si>
    <t>RC EOS ES2024/5504310</t>
  </si>
  <si>
    <t>FT EOS ES2024/331224</t>
  </si>
  <si>
    <t>RC EOS ES2024/6329040</t>
  </si>
  <si>
    <t>FT EOS ES2024/381659</t>
  </si>
  <si>
    <t>FT EOS ES2024/397510</t>
  </si>
  <si>
    <t>RC EOS ES2024/6606827</t>
  </si>
  <si>
    <t>RC EOS ES2024/6860393</t>
  </si>
  <si>
    <t>FT EOS ES2024/412454</t>
  </si>
  <si>
    <t>B5010224-00009422</t>
  </si>
  <si>
    <t>RC EOS ES2024/6856209</t>
  </si>
  <si>
    <t>FT EOS ES2024/412132</t>
  </si>
  <si>
    <t>A86488087</t>
  </si>
  <si>
    <t>Canal de Isabel II, S.A.</t>
  </si>
  <si>
    <t>240001474684</t>
  </si>
  <si>
    <t>RC EOS ES2024/7176499</t>
  </si>
  <si>
    <t>FT EOS ES2024/431652</t>
  </si>
  <si>
    <t>ES4NN6RAEUI</t>
  </si>
  <si>
    <t>ESW0184081H</t>
  </si>
  <si>
    <t>Amazon EU S.a.r.l., Sucursal en España</t>
  </si>
  <si>
    <t>09240306010025416</t>
  </si>
  <si>
    <t>FE24137006039878</t>
  </si>
  <si>
    <t>61044050561</t>
  </si>
  <si>
    <t>MMDVACH0005566</t>
  </si>
  <si>
    <t>FMDVACH0017062</t>
  </si>
  <si>
    <t>MMDVACH0005567</t>
  </si>
  <si>
    <t>RC EOS ES2024/9083495</t>
  </si>
  <si>
    <t>FT EOS ES2024/541643</t>
  </si>
  <si>
    <t>RC EOS ES2024/9756186</t>
  </si>
  <si>
    <t>FT EOS ES2024/578174</t>
  </si>
  <si>
    <t>B5010324-00006510</t>
  </si>
  <si>
    <t>H4F03576</t>
  </si>
  <si>
    <t>04010500-4018001182</t>
  </si>
  <si>
    <t>A-84476571</t>
  </si>
  <si>
    <t>SOCIEDAD ESTATAL DE INFRAESTRUCTURAS DEL TRANSPORTE TERRESTRE, S.M.E., S.A.</t>
  </si>
  <si>
    <t>2612</t>
  </si>
  <si>
    <t>E-78154150</t>
  </si>
  <si>
    <t>COMUNIDAD DE PROPIETARIOS ZOCO DE POZUELO</t>
  </si>
  <si>
    <t>0188308</t>
  </si>
  <si>
    <t>A-08277857</t>
  </si>
  <si>
    <t>INMOBILIARIA PARIS, S.A.</t>
  </si>
  <si>
    <t>3427</t>
  </si>
  <si>
    <t>0196224</t>
  </si>
  <si>
    <t>58024/702002944</t>
  </si>
  <si>
    <t>B-82048315</t>
  </si>
  <si>
    <t>BLANCO BERNAL 1998, S.L.</t>
  </si>
  <si>
    <t>0192229</t>
  </si>
  <si>
    <t>0203044</t>
  </si>
  <si>
    <t>4167257</t>
  </si>
  <si>
    <t>A-86212420</t>
  </si>
  <si>
    <t>AENA S.M.E., S.A.</t>
  </si>
  <si>
    <t>4173801</t>
  </si>
  <si>
    <t>4182266</t>
  </si>
  <si>
    <t>4217039</t>
  </si>
  <si>
    <t>4224937</t>
  </si>
  <si>
    <t>4462964</t>
  </si>
  <si>
    <t>A-80298839</t>
  </si>
  <si>
    <t>Repsol Comercial de Productos Petrolíferos, S.A.</t>
  </si>
  <si>
    <t>031593/A/24/000667</t>
  </si>
  <si>
    <t>COSTCO WHOLESALE SPAIN, S.L.U.</t>
  </si>
  <si>
    <t>5478-2024-00240013</t>
  </si>
  <si>
    <t>B-86509460</t>
  </si>
  <si>
    <t>V-28027118</t>
  </si>
  <si>
    <t>010101117482</t>
  </si>
  <si>
    <t>8534598094</t>
  </si>
  <si>
    <t>MUTUA MADRILEÑA, S.S.A.P.F</t>
  </si>
  <si>
    <t>A-28141935</t>
  </si>
  <si>
    <t>MAPFRE ESPAÑA S.A,</t>
  </si>
  <si>
    <t>8534580010</t>
  </si>
  <si>
    <t>8534591098</t>
  </si>
  <si>
    <t>039/24</t>
  </si>
  <si>
    <t>040/24</t>
  </si>
  <si>
    <t>041/24</t>
  </si>
  <si>
    <t>042/24</t>
  </si>
  <si>
    <t>043/24</t>
  </si>
  <si>
    <t>044/24</t>
  </si>
  <si>
    <t>045/24</t>
  </si>
  <si>
    <t>046/24</t>
  </si>
  <si>
    <t>047/24</t>
  </si>
  <si>
    <t>048/24</t>
  </si>
  <si>
    <t>049/24</t>
  </si>
  <si>
    <t>EFEGETE RESTAURANTS S.L.U.</t>
  </si>
  <si>
    <t>B-88083894</t>
  </si>
  <si>
    <t>ELOTUR, S.A.</t>
  </si>
  <si>
    <t>A-28272813</t>
  </si>
  <si>
    <t>050/24</t>
  </si>
  <si>
    <t>051/24</t>
  </si>
  <si>
    <t>052/24</t>
  </si>
  <si>
    <t>053/24</t>
  </si>
  <si>
    <t>054/24</t>
  </si>
  <si>
    <t>055/24</t>
  </si>
  <si>
    <t>056/24</t>
  </si>
  <si>
    <t>057/24</t>
  </si>
  <si>
    <t>058/24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</si>
  <si>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</si>
  <si>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</si>
  <si>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</si>
  <si>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</si>
  <si>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</si>
  <si>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</si>
  <si>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</si>
  <si>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</si>
  <si>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</si>
  <si>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068/24</t>
  </si>
  <si>
    <t>069/24</t>
  </si>
  <si>
    <t>070/24</t>
  </si>
  <si>
    <t>071/24</t>
  </si>
  <si>
    <t>072/24</t>
  </si>
  <si>
    <t>073/24</t>
  </si>
  <si>
    <t>074/24</t>
  </si>
  <si>
    <t>075/24</t>
  </si>
  <si>
    <t>076/24</t>
  </si>
  <si>
    <t>077/24</t>
  </si>
  <si>
    <t>078/24</t>
  </si>
  <si>
    <t>079/24</t>
  </si>
  <si>
    <t>080/24</t>
  </si>
  <si>
    <t>081/24</t>
  </si>
  <si>
    <t>RESTAURANTES ITALIANOS ROMANO S.L.</t>
  </si>
  <si>
    <t>B-86923232</t>
  </si>
  <si>
    <t>E-78662822</t>
  </si>
  <si>
    <t>COMUNIDAD BIENES ANT. J.  SERRANO RUBIO</t>
  </si>
  <si>
    <t>46936851-S</t>
  </si>
  <si>
    <t>JAVIER SERRANO IZQUIERDO</t>
  </si>
  <si>
    <t>A004/24</t>
  </si>
  <si>
    <t>04/24</t>
  </si>
  <si>
    <t>05/24</t>
  </si>
  <si>
    <t>A005/24</t>
  </si>
  <si>
    <t>CU 2.024 2.491</t>
  </si>
  <si>
    <t>SR 2.024 1.012</t>
  </si>
  <si>
    <t>213785933140</t>
  </si>
  <si>
    <t>240003036122</t>
  </si>
  <si>
    <t>F241319</t>
  </si>
  <si>
    <t>FR358600</t>
  </si>
  <si>
    <t>FR359137</t>
  </si>
  <si>
    <t>H4F04859</t>
  </si>
  <si>
    <t>09240404010024430</t>
  </si>
  <si>
    <t>FH2411399</t>
  </si>
  <si>
    <t>B81979965</t>
  </si>
  <si>
    <t>DIGITAL AUDIMAGEN BQ SL</t>
  </si>
  <si>
    <t>FMDVADH0024041</t>
  </si>
  <si>
    <t>MMDVADH0007990</t>
  </si>
  <si>
    <t>MMDVADH0007991</t>
  </si>
  <si>
    <t>61045198528</t>
  </si>
  <si>
    <t>2404C00602450</t>
  </si>
  <si>
    <t>2404C00418443</t>
  </si>
  <si>
    <t>2404C00384112</t>
  </si>
  <si>
    <t>B5010424-00011843</t>
  </si>
  <si>
    <t>242/24</t>
  </si>
  <si>
    <t>248/24</t>
  </si>
  <si>
    <t>RC EOS ES2024/11270359</t>
  </si>
  <si>
    <t>RC EOS ES2024/13915768</t>
  </si>
  <si>
    <t>RC EOS ES2024/12194242</t>
  </si>
  <si>
    <t>RC EOS ES2024/11668613</t>
  </si>
  <si>
    <t>RC EOS ES2024/11112690</t>
  </si>
  <si>
    <t>RC EOS ES2024/13020986</t>
  </si>
  <si>
    <t>134798341450</t>
  </si>
  <si>
    <t>F241710</t>
  </si>
  <si>
    <t>FR359658</t>
  </si>
  <si>
    <t>FR360184</t>
  </si>
  <si>
    <t>H4F05329</t>
  </si>
  <si>
    <t>09240507010028142</t>
  </si>
  <si>
    <t>FH2414532</t>
  </si>
  <si>
    <t>FMDVAEH0027390</t>
  </si>
  <si>
    <t>MMDVAEH0007572</t>
  </si>
  <si>
    <t>MMDVAEH0007573</t>
  </si>
  <si>
    <t>61046471384</t>
  </si>
  <si>
    <t>2405C00530610</t>
  </si>
  <si>
    <t>2405C00412543</t>
  </si>
  <si>
    <t>2405C00410371</t>
  </si>
  <si>
    <t>B5010524-00006609</t>
  </si>
  <si>
    <t>280/24</t>
  </si>
  <si>
    <t>RC EOS ES2024/16508183</t>
  </si>
  <si>
    <t>RC EOS ES2024/17473893</t>
  </si>
  <si>
    <t>RC EOS ES2024/16569619</t>
  </si>
  <si>
    <t>RC EOS ES2024/16805036</t>
  </si>
  <si>
    <t>RC EOS ES2024/15466757</t>
  </si>
  <si>
    <t>06/24</t>
  </si>
  <si>
    <t>A006/24</t>
  </si>
  <si>
    <t>INV-ES-889828445-2024-339</t>
  </si>
  <si>
    <t>ESN7203245A</t>
  </si>
  <si>
    <t>SHENZHEN SHI WANSHENGYU DIANZI KEJI YOUXIAN GONGSI</t>
  </si>
  <si>
    <t>INV-ES-758694435-2024-627</t>
  </si>
  <si>
    <t>ESN7203237H</t>
  </si>
  <si>
    <t>ningboshizeyiwenhuachuanmeiyouxiangongsi</t>
  </si>
  <si>
    <t>ES41TEZXAEUI</t>
  </si>
  <si>
    <t>Amazon EU S.à r.l., Sucursal en España</t>
  </si>
  <si>
    <t>240004589877</t>
  </si>
  <si>
    <t>F242041</t>
  </si>
  <si>
    <t>F242340</t>
  </si>
  <si>
    <t>FR360694</t>
  </si>
  <si>
    <t>FR361213</t>
  </si>
  <si>
    <t>H4F06489</t>
  </si>
  <si>
    <t>H4F07089</t>
  </si>
  <si>
    <t>09240606010026059</t>
  </si>
  <si>
    <t>FMDVAFH0009366</t>
  </si>
  <si>
    <t>MMDVAFH0017178</t>
  </si>
  <si>
    <t>MMDVAFH0006543</t>
  </si>
  <si>
    <t>61047909055</t>
  </si>
  <si>
    <t>B5010624-00006626</t>
  </si>
  <si>
    <t>RC EOS ES2024/19209204</t>
  </si>
  <si>
    <t>RC EOS ES2024/21683320</t>
  </si>
  <si>
    <t>RC EOS ES2024/18473525</t>
  </si>
  <si>
    <t>RC EOS ES2024/21689723</t>
  </si>
  <si>
    <t>RC EOS ES2024/21887116</t>
  </si>
  <si>
    <t>70124FE000001192</t>
  </si>
  <si>
    <t>70124FE000002277</t>
  </si>
  <si>
    <t>70124FE000002201</t>
  </si>
  <si>
    <t>70124FE000002057</t>
  </si>
  <si>
    <t>70124FE000001681</t>
  </si>
  <si>
    <t>70124FE000001561</t>
  </si>
  <si>
    <t>70124FE000001415</t>
  </si>
  <si>
    <t>70124FE000001308</t>
  </si>
  <si>
    <t>018-0004-312254</t>
  </si>
  <si>
    <t>018-0005-351001</t>
  </si>
  <si>
    <t>00001-2024/A0601/00001241</t>
  </si>
  <si>
    <t>B-88430459</t>
  </si>
  <si>
    <t>ESTRATEGIAS BIGMAAT, S.L.U.</t>
  </si>
  <si>
    <t>E232-61196149</t>
  </si>
  <si>
    <t>ESA82037292</t>
  </si>
  <si>
    <t>E232 MEDIA MARKT SATURN S.A.</t>
  </si>
  <si>
    <t>011-0006-953295</t>
  </si>
  <si>
    <t>2240277152</t>
  </si>
  <si>
    <t>B-64076482</t>
  </si>
  <si>
    <t>QUIRON PREVENCION, S.L.U.</t>
  </si>
  <si>
    <t>00001-2024/A0601/00000622</t>
  </si>
  <si>
    <t>018-0004-294801</t>
  </si>
  <si>
    <t>011-0005-904587</t>
  </si>
  <si>
    <t>A-80013170</t>
  </si>
  <si>
    <t>ALMACENES ELÉCTRICOS MADRILEÑOS, S.A.</t>
  </si>
  <si>
    <t>402220781</t>
  </si>
  <si>
    <t>000162695026</t>
  </si>
  <si>
    <t>CJ</t>
  </si>
  <si>
    <t>AYUNTAMIENTO ALCOBENDAS</t>
  </si>
  <si>
    <t>096383/A/24/002685</t>
  </si>
  <si>
    <t>073662</t>
  </si>
  <si>
    <t>5556885</t>
  </si>
  <si>
    <t>0210531</t>
  </si>
  <si>
    <t>5478-2024-00036535</t>
  </si>
  <si>
    <t>096383/A/24/003643</t>
  </si>
  <si>
    <t>096383/A/24/003388</t>
  </si>
  <si>
    <t>062311</t>
  </si>
  <si>
    <t>096383/A/24/003949</t>
  </si>
  <si>
    <t>0218438</t>
  </si>
  <si>
    <t>B-86501244</t>
  </si>
  <si>
    <t>L.S.G.I. LA MORALEJA 2 S.L.U.</t>
  </si>
  <si>
    <t>00011 A0000000041010</t>
  </si>
  <si>
    <t>00010 A0000000041010</t>
  </si>
  <si>
    <t>00260 A0000000041010</t>
  </si>
  <si>
    <t>00009 A0000000041010</t>
  </si>
  <si>
    <t>SEGURO ANUAL 4312KGK</t>
  </si>
  <si>
    <t>082/24</t>
  </si>
  <si>
    <t>083/24</t>
  </si>
  <si>
    <t>084/24</t>
  </si>
  <si>
    <t>085/24</t>
  </si>
  <si>
    <t>086/24</t>
  </si>
  <si>
    <t>087/24</t>
  </si>
  <si>
    <t>088/24</t>
  </si>
  <si>
    <t>089/24</t>
  </si>
  <si>
    <t>090/24</t>
  </si>
  <si>
    <t>091/24</t>
  </si>
  <si>
    <t>092/24</t>
  </si>
  <si>
    <t>093/24</t>
  </si>
  <si>
    <t>094/24</t>
  </si>
  <si>
    <t>095/24</t>
  </si>
  <si>
    <t>096/24</t>
  </si>
  <si>
    <t>097/24</t>
  </si>
  <si>
    <t>098/24</t>
  </si>
  <si>
    <t>099/24</t>
  </si>
  <si>
    <t>100/24</t>
  </si>
  <si>
    <t>101/24</t>
  </si>
  <si>
    <t>102/24</t>
  </si>
  <si>
    <t>103/24</t>
  </si>
  <si>
    <t>104/24</t>
  </si>
  <si>
    <t>105/24</t>
  </si>
  <si>
    <t>106/24</t>
  </si>
  <si>
    <t>PRIMER TRES ESTRELLAS 1987 S.L.</t>
  </si>
  <si>
    <t>B-05423082</t>
  </si>
  <si>
    <t>MARIA INES ROMILLO HERNAN</t>
  </si>
  <si>
    <t>01394981P</t>
  </si>
  <si>
    <t>107/24</t>
  </si>
  <si>
    <t>108/24</t>
  </si>
  <si>
    <t>109/24</t>
  </si>
  <si>
    <t>110/24</t>
  </si>
  <si>
    <t>111/24</t>
  </si>
  <si>
    <t>112/24</t>
  </si>
  <si>
    <t>113/24</t>
  </si>
  <si>
    <t>114/24</t>
  </si>
  <si>
    <t>115/24</t>
  </si>
  <si>
    <t>07/24</t>
  </si>
  <si>
    <t>A007/24</t>
  </si>
  <si>
    <t>CU 2.024 3.812</t>
  </si>
  <si>
    <t>125822449730</t>
  </si>
  <si>
    <t>F242761</t>
  </si>
  <si>
    <t>FR361736</t>
  </si>
  <si>
    <t>FR362267</t>
  </si>
  <si>
    <t>H4F08185</t>
  </si>
  <si>
    <t>08/24</t>
  </si>
  <si>
    <t>A008/24</t>
  </si>
  <si>
    <t>2407C00799221</t>
  </si>
  <si>
    <t>2407C00437392</t>
  </si>
  <si>
    <t>2407C00415775</t>
  </si>
  <si>
    <t>404/24</t>
  </si>
  <si>
    <t>428/24</t>
  </si>
  <si>
    <t>453/24</t>
  </si>
  <si>
    <t>4052665771</t>
  </si>
  <si>
    <t>144835288054</t>
  </si>
  <si>
    <t>242053</t>
  </si>
  <si>
    <t>B82326711</t>
  </si>
  <si>
    <t>Climersum s.l.</t>
  </si>
  <si>
    <t>F243146</t>
  </si>
  <si>
    <t>FR362695</t>
  </si>
  <si>
    <t>FR363094</t>
  </si>
  <si>
    <t>H4F08664</t>
  </si>
  <si>
    <t>H4F09169</t>
  </si>
  <si>
    <t>2408C00617755</t>
  </si>
  <si>
    <t>2408C00399443</t>
  </si>
  <si>
    <t>2408C00397754</t>
  </si>
  <si>
    <t>504/24</t>
  </si>
  <si>
    <t>09/24</t>
  </si>
  <si>
    <t>A009/24</t>
  </si>
  <si>
    <t>Berner Montaje y Fijación, S. L.</t>
  </si>
  <si>
    <t>1166471262</t>
  </si>
  <si>
    <t>B18092957</t>
  </si>
  <si>
    <t>F243561</t>
  </si>
  <si>
    <t>FR363532</t>
  </si>
  <si>
    <t>FR364034</t>
  </si>
  <si>
    <t>1390 / 24</t>
  </si>
  <si>
    <t>1391 / 24</t>
  </si>
  <si>
    <t>A-86895075</t>
  </si>
  <si>
    <t>GYSEN PLUS S.A.</t>
  </si>
  <si>
    <t>H4F09590</t>
  </si>
  <si>
    <t>H4F10201</t>
  </si>
  <si>
    <t>FV/125561</t>
  </si>
  <si>
    <t>B83528000</t>
  </si>
  <si>
    <t>LUZ NEGRA CENTRO LNC, S.L.</t>
  </si>
  <si>
    <t>2409C00756920</t>
  </si>
  <si>
    <t>2409C00406660</t>
  </si>
  <si>
    <t>2409C00394699</t>
  </si>
  <si>
    <t>503/24</t>
  </si>
  <si>
    <t>537/24</t>
  </si>
  <si>
    <t>163848347249</t>
  </si>
  <si>
    <t>RC EOS ES2024/22168208</t>
  </si>
  <si>
    <t>FT EOS ES2024/1308332</t>
  </si>
  <si>
    <t>RC EOS ES2024/22585109</t>
  </si>
  <si>
    <t>FT EOS ES2024/1334270</t>
  </si>
  <si>
    <t>RC EOS ES2024/24679919</t>
  </si>
  <si>
    <t>FT EOS ES2024/1456072</t>
  </si>
  <si>
    <t>RC EOS ES2024/22270118</t>
  </si>
  <si>
    <t>FT EOS ES2024/1314663</t>
  </si>
  <si>
    <t>RC EOS ES2024/24753556</t>
  </si>
  <si>
    <t>FT EOS ES2024/1460145</t>
  </si>
  <si>
    <t>RC EOS ES2024/23268345</t>
  </si>
  <si>
    <t>FT EOS ES2024/1375245</t>
  </si>
  <si>
    <t>RC EOS ES2024/22246275</t>
  </si>
  <si>
    <t>FT EOS ES2024/1312946</t>
  </si>
  <si>
    <t>RC EOS ES2024/24319666</t>
  </si>
  <si>
    <t>FT EOS ES2024/1435898</t>
  </si>
  <si>
    <t>RC EOS ES2024/22203352</t>
  </si>
  <si>
    <t>FT EOS ES2024/1310232</t>
  </si>
  <si>
    <t>RC EOS ES2024/25244409</t>
  </si>
  <si>
    <t>FT EOS ES2024/1485246</t>
  </si>
  <si>
    <t>RC EOS ES2024/28115500</t>
  </si>
  <si>
    <t>FT EOS ES2024/1600440</t>
  </si>
  <si>
    <t>RC EOS ES2024/28199526</t>
  </si>
  <si>
    <t>FT EOS ES2024/1603476</t>
  </si>
  <si>
    <t>RC EOS ES2024/26216213</t>
  </si>
  <si>
    <t>FT EOS ES2024/1531088</t>
  </si>
  <si>
    <t>RC EOS ES2024/27259062</t>
  </si>
  <si>
    <t>FT EOS ES2024/1568169</t>
  </si>
  <si>
    <t>RC EOS ES2024/28072247</t>
  </si>
  <si>
    <t>FT EOS ES2024/1598276</t>
  </si>
  <si>
    <t>RC EOS ES2024/27882557</t>
  </si>
  <si>
    <t>FT EOS ES2024/1590924</t>
  </si>
  <si>
    <t>RC EOS ES2024/28084299</t>
  </si>
  <si>
    <t>FT EOS ES2024/1598902</t>
  </si>
  <si>
    <t>RC EOS ES2024/28106072</t>
  </si>
  <si>
    <t>FT EOS ES2024/1599947</t>
  </si>
  <si>
    <t>RC EOS ES2024/26618442</t>
  </si>
  <si>
    <t>FT EOS ES2024/1545666</t>
  </si>
  <si>
    <t>RC EOS ES2024/28236021</t>
  </si>
  <si>
    <t>FT EOS ES2024/1605181</t>
  </si>
  <si>
    <t>RC EOS ES2024/26148244</t>
  </si>
  <si>
    <t>FT EOS ES2024/1527678</t>
  </si>
  <si>
    <t>RC EOS ES2024/28113020</t>
  </si>
  <si>
    <t>FT EOS ES2024/1600293</t>
  </si>
  <si>
    <t>RC EOS ES2024/28219364</t>
  </si>
  <si>
    <t>FT EOS ES2024/1604452</t>
  </si>
  <si>
    <t>09240722010049968</t>
  </si>
  <si>
    <t>09240724010047223</t>
  </si>
  <si>
    <t>FMDVAGH0089972</t>
  </si>
  <si>
    <t>MMDVAGH0013148</t>
  </si>
  <si>
    <t>MMDVAGH0026709</t>
  </si>
  <si>
    <t>61049084772</t>
  </si>
  <si>
    <t>B5010724-00006804</t>
  </si>
  <si>
    <t>INV-ES-1476619335-2024-7237</t>
  </si>
  <si>
    <t>B02943520</t>
  </si>
  <si>
    <t>AUTOZOCO SL</t>
  </si>
  <si>
    <t>INV-ES-120939451-2024-18389</t>
  </si>
  <si>
    <t>N6060644I</t>
  </si>
  <si>
    <t>CT Global (UK) LTD</t>
  </si>
  <si>
    <t>INV-ES-916987855-2024-490</t>
  </si>
  <si>
    <t>N0176008A</t>
  </si>
  <si>
    <t>ningboyunxingkejiyouxiangongsi</t>
  </si>
  <si>
    <t>09240806010029668</t>
  </si>
  <si>
    <t>FMDVAHH0086031</t>
  </si>
  <si>
    <t>MMDVAHH0018985</t>
  </si>
  <si>
    <t>MMDVAHH0003289</t>
  </si>
  <si>
    <t>61050454418</t>
  </si>
  <si>
    <t>B5010824-00010707</t>
  </si>
  <si>
    <t>240006147813</t>
  </si>
  <si>
    <t>09240905010026293</t>
  </si>
  <si>
    <t>FMDVAIH0037868</t>
  </si>
  <si>
    <t>MMDVAIH0014020</t>
  </si>
  <si>
    <t>MMDVAIH0014019</t>
  </si>
  <si>
    <t>61051651571</t>
  </si>
  <si>
    <t>B5010924-00006869</t>
  </si>
  <si>
    <t>RC EOS ES2024/31711287</t>
  </si>
  <si>
    <t>FT EOS ES2024/1805442</t>
  </si>
  <si>
    <t>RC EOS ES2024/31091196</t>
  </si>
  <si>
    <t>FT EOS ES2024/1768807</t>
  </si>
  <si>
    <t>RC EOS ES2024/29406210</t>
  </si>
  <si>
    <t>FT EOS ES2024/1669326</t>
  </si>
  <si>
    <t>RC EOS ES2024/30297527</t>
  </si>
  <si>
    <t>FT EOS ES2024/1721547</t>
  </si>
  <si>
    <t>RC EOS ES2024/29902982</t>
  </si>
  <si>
    <t>FT EOS ES2024/1698720</t>
  </si>
  <si>
    <t>RC EOS ES2024/31062426</t>
  </si>
  <si>
    <t>FT EOS ES2024/1767057</t>
  </si>
  <si>
    <t>RC EOS ES2024/30950667</t>
  </si>
  <si>
    <t>FT EOS ES2024/1760219</t>
  </si>
  <si>
    <t>RC EOS ES2024/29411861</t>
  </si>
  <si>
    <t>FT EOS ES2024/1669737</t>
  </si>
  <si>
    <t>RC EOS ES2024/29091989</t>
  </si>
  <si>
    <t>FT EOS ES2024/1650789</t>
  </si>
  <si>
    <t>RC EOS ES2024/29334988</t>
  </si>
  <si>
    <t>FT EOS ES2024/1665446</t>
  </si>
  <si>
    <t>RC EOS ES2024/31046398</t>
  </si>
  <si>
    <t>FT EOS ES2024/1766092</t>
  </si>
  <si>
    <t>RC EOS ES2024/30055066</t>
  </si>
  <si>
    <t>FT EOS ES2024/1707336</t>
  </si>
  <si>
    <t>RC EOS ES2024/30134574</t>
  </si>
  <si>
    <t>FT EOS ES2024/1712038</t>
  </si>
  <si>
    <t>RC EOS ES2024/31704023</t>
  </si>
  <si>
    <t>FT EOS ES2024/1804959</t>
  </si>
  <si>
    <t>RC EOS ES2024/28639855</t>
  </si>
  <si>
    <t>FT EOS ES2024/1625301</t>
  </si>
  <si>
    <t>RC EOS ES2024/29281860</t>
  </si>
  <si>
    <t>FT EOS ES2024/1661343</t>
  </si>
  <si>
    <t>RC EOS ES2024/30945363</t>
  </si>
  <si>
    <t>FT EOS ES2024/1760036</t>
  </si>
  <si>
    <t>RC EOS ES2024/31253948</t>
  </si>
  <si>
    <t>FT EOS ES2024/1778473</t>
  </si>
  <si>
    <t>RC EOS ES2024/28866419</t>
  </si>
  <si>
    <t>FT EOS ES2024/1637617</t>
  </si>
  <si>
    <t>RC EOS ES2024/31258055</t>
  </si>
  <si>
    <t>FT EOS ES2024/1779019</t>
  </si>
  <si>
    <t>RC EOS ES2024/28890695</t>
  </si>
  <si>
    <t>FT EOS ES2024/1639103</t>
  </si>
  <si>
    <t>RC EOS ES2024/30799087</t>
  </si>
  <si>
    <t>FT EOS ES2024/1751598</t>
  </si>
  <si>
    <t>RC EOS ES2024/31197700</t>
  </si>
  <si>
    <t>FT EOS ES2024/1774796</t>
  </si>
  <si>
    <t>RC EOS ES2024/29957651</t>
  </si>
  <si>
    <t>FT EOS ES2024/1702160</t>
  </si>
  <si>
    <t>RC EOS ES2024/30338609</t>
  </si>
  <si>
    <t>FT EOS ES2024/1724244</t>
  </si>
  <si>
    <t>RC EOS ES2024/29935252</t>
  </si>
  <si>
    <t>FT EOS ES2024/1700708</t>
  </si>
  <si>
    <t>RC EOS ES2024/30183115</t>
  </si>
  <si>
    <t>FT EOS ES2024/1715121</t>
  </si>
  <si>
    <t>RC EOS ES2024/30201259</t>
  </si>
  <si>
    <t>FT EOS ES2024/1716522</t>
  </si>
  <si>
    <t>RC EOS ES2024/30158273</t>
  </si>
  <si>
    <t>FT EOS ES2024/1713550</t>
  </si>
  <si>
    <t>RC EOS ES2024/31210822</t>
  </si>
  <si>
    <t>FT EOS ES2024/1775741</t>
  </si>
  <si>
    <t>RC EOS ES2024/29937315</t>
  </si>
  <si>
    <t>FT EOS ES2024/1700841</t>
  </si>
  <si>
    <t>RC EOS ES2024/31234378</t>
  </si>
  <si>
    <t>FT EOS ES2024/1777226</t>
  </si>
  <si>
    <t>RC EOS ES2024/28906403</t>
  </si>
  <si>
    <t>FT EOS ES2024/1640123</t>
  </si>
  <si>
    <t>RC EOS ES2024/30805081</t>
  </si>
  <si>
    <t>FT EOS ES2024/1752019</t>
  </si>
  <si>
    <t>RC EOS ES2024/31737846</t>
  </si>
  <si>
    <t>FT EOS ES2024/1806987</t>
  </si>
  <si>
    <t>RC EOS ES2024/28397189</t>
  </si>
  <si>
    <t>FT EOS ES2024/1611864</t>
  </si>
  <si>
    <t>RC EOS ES2024/31729941</t>
  </si>
  <si>
    <t>FT EOS ES2024/1806485</t>
  </si>
  <si>
    <t>024-0008-358028</t>
  </si>
  <si>
    <t>018-0008-560478</t>
  </si>
  <si>
    <t>1/351/41/339235</t>
  </si>
  <si>
    <t>D-59474577</t>
  </si>
  <si>
    <t>WERKHAUS,S.L,S.C.S.</t>
  </si>
  <si>
    <t>442100283</t>
  </si>
  <si>
    <t>B40005993</t>
  </si>
  <si>
    <t>ESSAN S.L.</t>
  </si>
  <si>
    <t>018-0009-579714</t>
  </si>
  <si>
    <t>018-0009-596029</t>
  </si>
  <si>
    <t>011-0009-089259</t>
  </si>
  <si>
    <t>024-0009-439351</t>
  </si>
  <si>
    <t>018-0007-483082</t>
  </si>
  <si>
    <t>1/351/9/176913</t>
  </si>
  <si>
    <t>024-0007-268835</t>
  </si>
  <si>
    <t>018-0007-491772</t>
  </si>
  <si>
    <t>024-0007-271837</t>
  </si>
  <si>
    <t>011-0007-004439</t>
  </si>
  <si>
    <t>24/27730</t>
  </si>
  <si>
    <t>B-86047107</t>
  </si>
  <si>
    <t>MUSICAL BARQUILLO, S.L.</t>
  </si>
  <si>
    <t>096383/A/24/006125</t>
  </si>
  <si>
    <t>096383/A/24/004874</t>
  </si>
  <si>
    <t>70124FE000002403</t>
  </si>
  <si>
    <t>70124FE000002741</t>
  </si>
  <si>
    <t>70124FE000002546</t>
  </si>
  <si>
    <t>70124FE000002813</t>
  </si>
  <si>
    <t>70124FE000002961</t>
  </si>
  <si>
    <t>70124FE000002910</t>
  </si>
  <si>
    <t>70124FE000002644</t>
  </si>
  <si>
    <t>70124FE000003251</t>
  </si>
  <si>
    <t>096383/A/24/005459</t>
  </si>
  <si>
    <t>70124FE000003041</t>
  </si>
  <si>
    <t>70124FE000003181</t>
  </si>
  <si>
    <t>70124FE000003308</t>
  </si>
  <si>
    <t>70124FE000003081</t>
  </si>
  <si>
    <t>70124FE000003127</t>
  </si>
  <si>
    <t>70124FE000003028</t>
  </si>
  <si>
    <t>6375358</t>
  </si>
  <si>
    <t>0237657</t>
  </si>
  <si>
    <t>0238573</t>
  </si>
  <si>
    <t>0253196</t>
  </si>
  <si>
    <t>73337</t>
  </si>
  <si>
    <t>A-28020857</t>
  </si>
  <si>
    <t>CREDESA</t>
  </si>
  <si>
    <t>013457</t>
  </si>
  <si>
    <t>B-50871284</t>
  </si>
  <si>
    <t>HU.QUIRONSALUD M</t>
  </si>
  <si>
    <t>00281 A0000000041010</t>
  </si>
  <si>
    <t>7093/0601/00601</t>
  </si>
  <si>
    <t>B-64129851</t>
  </si>
  <si>
    <t>C.C.ZIELO SHOPPING</t>
  </si>
  <si>
    <t>01924/702104501</t>
  </si>
  <si>
    <t>B-28951283</t>
  </si>
  <si>
    <t>C.C. BURGO DE LAS ROZAS,S.L.</t>
  </si>
  <si>
    <t>FE24137016221522</t>
  </si>
  <si>
    <t>FE24137018264183</t>
  </si>
  <si>
    <t>FE24137020808594</t>
  </si>
  <si>
    <t>116/24</t>
  </si>
  <si>
    <t>117/24</t>
  </si>
  <si>
    <t>B-87552436</t>
  </si>
  <si>
    <t>DESARROLLOS EMPRESARIALES FAMASA, SL.</t>
  </si>
  <si>
    <t>118/24</t>
  </si>
  <si>
    <t>119/24</t>
  </si>
  <si>
    <t>120/24</t>
  </si>
  <si>
    <t>121/24</t>
  </si>
  <si>
    <t>122/24</t>
  </si>
  <si>
    <t>123/24</t>
  </si>
  <si>
    <t>124/24</t>
  </si>
  <si>
    <t>125/24</t>
  </si>
  <si>
    <t>126/24</t>
  </si>
  <si>
    <t>127/24</t>
  </si>
  <si>
    <t>128/24</t>
  </si>
  <si>
    <t>129/24</t>
  </si>
  <si>
    <t>130/24</t>
  </si>
  <si>
    <t>131/24</t>
  </si>
  <si>
    <t>132/24</t>
  </si>
  <si>
    <t>133/24</t>
  </si>
  <si>
    <t>134/24</t>
  </si>
  <si>
    <t>135/24</t>
  </si>
  <si>
    <t>136/24</t>
  </si>
  <si>
    <t>137/24</t>
  </si>
  <si>
    <t>138/24</t>
  </si>
  <si>
    <t>139/24</t>
  </si>
  <si>
    <t>140/24</t>
  </si>
  <si>
    <t>141/24</t>
  </si>
  <si>
    <t>142/24</t>
  </si>
  <si>
    <t>143/24</t>
  </si>
  <si>
    <t>144/24</t>
  </si>
  <si>
    <t>145/24</t>
  </si>
  <si>
    <t>146/24</t>
  </si>
  <si>
    <t>147/24</t>
  </si>
  <si>
    <t>148/24</t>
  </si>
  <si>
    <t>149/24</t>
  </si>
  <si>
    <t>CENTENO DISTRIBUCIONES, S.A.</t>
  </si>
  <si>
    <t>A-78545464</t>
  </si>
  <si>
    <t>La Boheme Gastronomia SL</t>
  </si>
  <si>
    <t>B-88314943</t>
  </si>
  <si>
    <t>MARIA SILVESTRE NIÑO</t>
  </si>
  <si>
    <t>47282497V</t>
  </si>
  <si>
    <t>150/24</t>
  </si>
  <si>
    <t>151/24</t>
  </si>
  <si>
    <t>10/24</t>
  </si>
  <si>
    <t>A010/24</t>
  </si>
  <si>
    <t>11/24</t>
  </si>
  <si>
    <t>A011/24</t>
  </si>
  <si>
    <t>12/24</t>
  </si>
  <si>
    <t>A012/24</t>
  </si>
  <si>
    <t>FR364593</t>
  </si>
  <si>
    <t>FR365154</t>
  </si>
  <si>
    <t>H4F11306</t>
  </si>
  <si>
    <t>FV/125814</t>
  </si>
  <si>
    <t>FV/126320</t>
  </si>
  <si>
    <t>CU 2.024 5.117</t>
  </si>
  <si>
    <t>191860791363</t>
  </si>
  <si>
    <t>2410C00787856</t>
  </si>
  <si>
    <t>2410C00467209</t>
  </si>
  <si>
    <t>2410C00461282</t>
  </si>
  <si>
    <t>604/24</t>
  </si>
  <si>
    <t>F243949</t>
  </si>
  <si>
    <t>171873071314</t>
  </si>
  <si>
    <t>F244362</t>
  </si>
  <si>
    <t>FR365748</t>
  </si>
  <si>
    <t>FR366285</t>
  </si>
  <si>
    <t>H4F11890</t>
  </si>
  <si>
    <t>INMAREPRO, S.L.</t>
  </si>
  <si>
    <t>FV24-3780</t>
  </si>
  <si>
    <t>B80183429</t>
  </si>
  <si>
    <t>2411C00611848</t>
  </si>
  <si>
    <t>2411C00467483</t>
  </si>
  <si>
    <t>2411C00427630</t>
  </si>
  <si>
    <t>687/24</t>
  </si>
  <si>
    <t>2412C00628818</t>
  </si>
  <si>
    <t>2412C00392848</t>
  </si>
  <si>
    <t>2412C00401000</t>
  </si>
  <si>
    <t>H4F12959</t>
  </si>
  <si>
    <t>FR366796</t>
  </si>
  <si>
    <t>F244806</t>
  </si>
  <si>
    <t>1166545016</t>
  </si>
  <si>
    <t>116885831451</t>
  </si>
  <si>
    <t>152/24</t>
  </si>
  <si>
    <t>153/24</t>
  </si>
  <si>
    <t>154/24</t>
  </si>
  <si>
    <t>155/24</t>
  </si>
  <si>
    <t>156/24</t>
  </si>
  <si>
    <t>FR367307</t>
  </si>
  <si>
    <t>70124FE000003473</t>
  </si>
  <si>
    <t>70124FE000004126</t>
  </si>
  <si>
    <t>70124FE000004050</t>
  </si>
  <si>
    <t>70124FE000003934</t>
  </si>
  <si>
    <t>70124FE000003873</t>
  </si>
  <si>
    <t>70124FE000003626</t>
  </si>
  <si>
    <t>70124FE000003402</t>
  </si>
  <si>
    <t>70124FE000003536</t>
  </si>
  <si>
    <t>70124FE000004184</t>
  </si>
  <si>
    <t>70124FE000004269</t>
  </si>
  <si>
    <t>70124FE000004318</t>
  </si>
  <si>
    <t>70124FE000004374</t>
  </si>
  <si>
    <t>70124FE000004445</t>
  </si>
  <si>
    <t>70124FE000004498</t>
  </si>
  <si>
    <t>70124FE000004001</t>
  </si>
  <si>
    <t>0273622</t>
  </si>
  <si>
    <t>0264249</t>
  </si>
  <si>
    <t>020511046534212241255</t>
  </si>
  <si>
    <t>AYUNTAMIENTO DE MADRID</t>
  </si>
  <si>
    <t>007-0010-446061</t>
  </si>
  <si>
    <t>B-84818442</t>
  </si>
  <si>
    <t>LEROY MERLIN ESPAÑA, SLU</t>
  </si>
  <si>
    <t>011-0010-126290</t>
  </si>
  <si>
    <t>061-0010-322740</t>
  </si>
  <si>
    <t>011-0010-140386</t>
  </si>
  <si>
    <t>007-0010-449001</t>
  </si>
  <si>
    <t>018-0010-681508</t>
  </si>
  <si>
    <t>018-0010-679307</t>
  </si>
  <si>
    <t>018-0010-693019</t>
  </si>
  <si>
    <t>007-0010-456464</t>
  </si>
  <si>
    <t>011-0011-177752</t>
  </si>
  <si>
    <t>011-0011-190489</t>
  </si>
  <si>
    <t>018-0011-722267</t>
  </si>
  <si>
    <t>018-0011-745784</t>
  </si>
  <si>
    <t>011-0011-223275</t>
  </si>
  <si>
    <t>018-0012-761663</t>
  </si>
  <si>
    <t>018-0012-779126</t>
  </si>
  <si>
    <t>007-0012-478724</t>
  </si>
  <si>
    <t>E223-102/00581423</t>
  </si>
  <si>
    <t>A-82037292</t>
  </si>
  <si>
    <t>MEDIA MARKT SATURN S.A.U.</t>
  </si>
  <si>
    <t>B5011024-00010376</t>
  </si>
  <si>
    <t>61053032216</t>
  </si>
  <si>
    <t>FE24137023209588</t>
  </si>
  <si>
    <t>FMDVAJH0013657</t>
  </si>
  <si>
    <t>MMDVAJH0031414</t>
  </si>
  <si>
    <t>MMDVAJH0013081</t>
  </si>
  <si>
    <t>09241004010025818</t>
  </si>
  <si>
    <t>240007705515</t>
  </si>
  <si>
    <t>RC EOS ES2024/32325305</t>
  </si>
  <si>
    <t>FT EOS ES2024/1841243</t>
  </si>
  <si>
    <t>RC EOS ES2024/32798865</t>
  </si>
  <si>
    <t>FT EOS ES2024/1867885</t>
  </si>
  <si>
    <t>RC EOS ES2024/32338511</t>
  </si>
  <si>
    <t>FT EOS ES2024/1842078</t>
  </si>
  <si>
    <t>RC EOS ES2024/32285083</t>
  </si>
  <si>
    <t>FT EOS ES2024/1838744</t>
  </si>
  <si>
    <t>RC EOS ES2024/32647480</t>
  </si>
  <si>
    <t>FT EOS ES2024/1859724</t>
  </si>
  <si>
    <t>RC EOS ES2024/32272811</t>
  </si>
  <si>
    <t>FT EOS ES2024/1837958</t>
  </si>
  <si>
    <t>RC EOS ES2024/32652687</t>
  </si>
  <si>
    <t>FT EOS ES2024/1860024</t>
  </si>
  <si>
    <t>RC EOS ES2024/33064832</t>
  </si>
  <si>
    <t>FT EOS ES2024/1883932</t>
  </si>
  <si>
    <t>RC EOS ES2024/34290150</t>
  </si>
  <si>
    <t>FT EOS ES2024/1954934</t>
  </si>
  <si>
    <t>RC EOS ES2024/32320693</t>
  </si>
  <si>
    <t>FT EOS ES2024/1840953</t>
  </si>
  <si>
    <t>RC EOS ES2024/32310888</t>
  </si>
  <si>
    <t>FT EOS ES2024/1840307</t>
  </si>
  <si>
    <t>RC EOS ES2024/34698458</t>
  </si>
  <si>
    <t>FT EOS ES2024/1978214</t>
  </si>
  <si>
    <t>RC EOS ES2024/32629297</t>
  </si>
  <si>
    <t>FT EOS ES2024/1858675</t>
  </si>
  <si>
    <t>RC EOS ES2024/34863333</t>
  </si>
  <si>
    <t>FT EOS ES2024/1987850</t>
  </si>
  <si>
    <t>INV-ES-103647171-2024-360</t>
  </si>
  <si>
    <t>SOUNDBASE (UK) CO., LIMITED</t>
  </si>
  <si>
    <t>ESN7206804B</t>
  </si>
  <si>
    <t>INV-ES-103647171-2024-361</t>
  </si>
  <si>
    <t>8241176466</t>
  </si>
  <si>
    <t>FNMT-RCM</t>
  </si>
  <si>
    <t>Q2826004J</t>
  </si>
  <si>
    <t>B5011124-00007009</t>
  </si>
  <si>
    <t>61054369462</t>
  </si>
  <si>
    <t>FE24137025686838</t>
  </si>
  <si>
    <t>FMDVAKH0006428</t>
  </si>
  <si>
    <t>MMDVAKH0034456</t>
  </si>
  <si>
    <t>MMDVAKH0004086</t>
  </si>
  <si>
    <t>09241107010025521</t>
  </si>
  <si>
    <t>RC EOS ES2024/37094241</t>
  </si>
  <si>
    <t>FT EOS ES2024/2116485</t>
  </si>
  <si>
    <t>RC EOS ES2024/38684948</t>
  </si>
  <si>
    <t>FT EOS ES2024/2206398</t>
  </si>
  <si>
    <t>RC EOS ES2024/39584072</t>
  </si>
  <si>
    <t>FT EOS ES2024/2258169</t>
  </si>
  <si>
    <t>FT EOS ES2024/2259061</t>
  </si>
  <si>
    <t>RC EOS ES2024/37924762</t>
  </si>
  <si>
    <t>FT EOS ES2024/2162325</t>
  </si>
  <si>
    <t>RC EOS ES2024/38348654</t>
  </si>
  <si>
    <t>FT EOS ES2024/2186712</t>
  </si>
  <si>
    <t>RC EOS ES2024/36849924</t>
  </si>
  <si>
    <t>FT EOS ES2024/2102404</t>
  </si>
  <si>
    <t>RC EOS ES2024/39751913</t>
  </si>
  <si>
    <t>FT EOS ES2024/2268206</t>
  </si>
  <si>
    <t>RC EOS ES2024/39573986</t>
  </si>
  <si>
    <t>FT EOS ES2024/2257502</t>
  </si>
  <si>
    <t>RC EOS ES2024/36823645</t>
  </si>
  <si>
    <t>FT EOS ES2024/2100779</t>
  </si>
  <si>
    <t>RC EOS ES2024/37597076</t>
  </si>
  <si>
    <t>FT EOS ES2024/2143940</t>
  </si>
  <si>
    <t>RC EOS ES2024/37940767</t>
  </si>
  <si>
    <t>FT EOS ES2024/2163295</t>
  </si>
  <si>
    <t>2 0 2 4 1 2 3 0 R 4 3 5 1 2 3 3 5 7 2</t>
  </si>
  <si>
    <t>ESB65130643</t>
  </si>
  <si>
    <t>Apple Retail Spain, S.L.U.</t>
  </si>
  <si>
    <t>E232-61206702</t>
  </si>
  <si>
    <t xml:space="preserve">E232 MEDIA MARKT SATURN S.A. </t>
  </si>
  <si>
    <t>096383/A/24/006780</t>
  </si>
  <si>
    <t>096383/A/24/007488</t>
  </si>
  <si>
    <t>096383/A/24/007018</t>
  </si>
  <si>
    <t>0278102</t>
  </si>
  <si>
    <t>99208</t>
  </si>
  <si>
    <t>B-83365882</t>
  </si>
  <si>
    <t>FERRETERIA SAMANIEGO S.L.</t>
  </si>
  <si>
    <t>0111196</t>
  </si>
  <si>
    <t>PM24/148148951</t>
  </si>
  <si>
    <t>A-28046316</t>
  </si>
  <si>
    <t>EMT MADRID SA</t>
  </si>
  <si>
    <t>PM24/148138779</t>
  </si>
  <si>
    <t>45724/701032472</t>
  </si>
  <si>
    <t>B-87813044</t>
  </si>
  <si>
    <t>APK81 APARCAMIENTOS S.L.</t>
  </si>
  <si>
    <t>330809</t>
  </si>
  <si>
    <t>B-80613995</t>
  </si>
  <si>
    <t>CLIMIPARKING S.L.U.</t>
  </si>
  <si>
    <t>096383/A/24/006906</t>
  </si>
  <si>
    <t>096383/A/24/008069</t>
  </si>
  <si>
    <t>096383/A/24/006781</t>
  </si>
  <si>
    <t>B5011224-00007704</t>
  </si>
  <si>
    <t>61057010164</t>
  </si>
  <si>
    <t>FE24137028231811</t>
  </si>
  <si>
    <t>FMDVALH0047764</t>
  </si>
  <si>
    <t>MMDVALH0018867</t>
  </si>
  <si>
    <t>MMDVALH0018866</t>
  </si>
  <si>
    <t>09241205010027736</t>
  </si>
  <si>
    <t>240009265693</t>
  </si>
  <si>
    <t>RC EOS ES2024/41525181</t>
  </si>
  <si>
    <t>FT EOS ES2024/2376875</t>
  </si>
  <si>
    <t>RC EOS ES2024/40794752</t>
  </si>
  <si>
    <t>FT EOS ES2024/2334055</t>
  </si>
  <si>
    <t>RC EOS ES2024/42201861</t>
  </si>
  <si>
    <t>FT EOS ES2024/2416457</t>
  </si>
  <si>
    <t>RC EOS ES2024/42750621</t>
  </si>
  <si>
    <t>FT EOS ES2024/2445885</t>
  </si>
  <si>
    <t>FT EOS ES2024/2295726</t>
  </si>
  <si>
    <t>RC EOS ES2024/40149874</t>
  </si>
  <si>
    <t>FT EOS ES2024/2293355</t>
  </si>
  <si>
    <t>RC EOS ES2024/40901972</t>
  </si>
  <si>
    <t>FT EOS ES2024/2340637</t>
  </si>
  <si>
    <t>RC EOS ES2024/41338520</t>
  </si>
  <si>
    <t>FT EOS ES2024/2366082</t>
  </si>
  <si>
    <t>RC EOS ES2024/42342623</t>
  </si>
  <si>
    <t>FT EOS ES2024/2423475</t>
  </si>
  <si>
    <t>RC EOS ES2024/40724970</t>
  </si>
  <si>
    <t>FT EOS ES2024/2330376</t>
  </si>
  <si>
    <t>RC EOS ES2024/42873627</t>
  </si>
  <si>
    <t>FT EOS ES2024/2452083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</si>
</sst>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sz val="10"/>
      <color theme="0"/>
      <name val="Calibri"/>
      <family val="2"/>
    </font>
    <font>
      <sz val="10"/>
      <color rgb="FF040C28"/>
      <name val="Arial"/>
      <family val="2"/>
    </font>
    <font>
      <sz val="10"/>
      <color rgb="FF1F1F1F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/>
    <xf numFmtId="2" fontId="8" fillId="2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0" fillId="2" borderId="0" xfId="0" applyFill="1"/>
    <xf numFmtId="0" fontId="8" fillId="2" borderId="2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49" fontId="10" fillId="0" borderId="0" xfId="0" applyNumberFormat="1" applyFont="1"/>
    <xf numFmtId="2" fontId="13" fillId="0" borderId="0" xfId="0" applyNumberFormat="1" applyFont="1"/>
    <xf numFmtId="0" fontId="13" fillId="0" borderId="0" xfId="0" applyFont="1"/>
    <xf numFmtId="2" fontId="14" fillId="2" borderId="0" xfId="0" applyNumberFormat="1" applyFont="1" applyFill="1"/>
    <xf numFmtId="14" fontId="13" fillId="0" borderId="0" xfId="0" applyNumberFormat="1" applyFont="1"/>
    <xf numFmtId="49" fontId="12" fillId="0" borderId="0" xfId="0" applyNumberFormat="1" applyFont="1"/>
    <xf numFmtId="2" fontId="12" fillId="0" borderId="0" xfId="0" applyNumberFormat="1" applyFont="1"/>
    <xf numFmtId="0" fontId="12" fillId="0" borderId="0" xfId="0" applyFont="1"/>
    <xf numFmtId="49" fontId="12" fillId="0" borderId="0" xfId="0" applyNumberFormat="1" applyFont="1" applyAlignment="1">
      <alignment horizontal="center"/>
    </xf>
    <xf numFmtId="49" fontId="13" fillId="0" borderId="0" xfId="0" applyNumberFormat="1" applyFont="1"/>
    <xf numFmtId="164" fontId="10" fillId="3" borderId="3" xfId="0" applyNumberFormat="1" applyFont="1" applyFill="1" applyBorder="1"/>
    <xf numFmtId="164" fontId="13" fillId="0" borderId="0" xfId="0" applyNumberFormat="1" applyFont="1"/>
    <xf numFmtId="2" fontId="15" fillId="0" borderId="0" xfId="0" applyNumberFormat="1" applyFont="1"/>
    <xf numFmtId="2" fontId="6" fillId="0" borderId="0" xfId="0" applyNumberFormat="1" applyFont="1"/>
    <xf numFmtId="49" fontId="13" fillId="0" borderId="0" xfId="0" applyNumberFormat="1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164" fontId="14" fillId="2" borderId="0" xfId="0" applyNumberFormat="1" applyFont="1" applyFill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6" fillId="2" borderId="1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49" fontId="0" fillId="0" borderId="0" xfId="0" applyNumberFormat="1" applyAlignment="1">
      <alignment vertical="top"/>
    </xf>
    <xf numFmtId="2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49" fontId="12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64" fontId="10" fillId="3" borderId="0" xfId="0" applyNumberFormat="1" applyFont="1" applyFill="1"/>
    <xf numFmtId="164" fontId="10" fillId="0" borderId="0" xfId="0" applyNumberFormat="1" applyFont="1"/>
    <xf numFmtId="2" fontId="10" fillId="0" borderId="0" xfId="0" applyNumberFormat="1" applyFont="1"/>
    <xf numFmtId="0" fontId="10" fillId="0" borderId="0" xfId="0" applyFont="1"/>
    <xf numFmtId="14" fontId="13" fillId="0" borderId="0" xfId="0" applyNumberFormat="1" applyFont="1" applyAlignment="1">
      <alignment horizontal="left" vertical="top"/>
    </xf>
    <xf numFmtId="49" fontId="15" fillId="0" borderId="0" xfId="0" applyNumberFormat="1" applyFont="1"/>
    <xf numFmtId="164" fontId="10" fillId="0" borderId="3" xfId="0" applyNumberFormat="1" applyFont="1" applyBorder="1"/>
    <xf numFmtId="0" fontId="17" fillId="0" borderId="0" xfId="0" applyFont="1"/>
    <xf numFmtId="0" fontId="18" fillId="0" borderId="0" xfId="0" applyFont="1"/>
    <xf numFmtId="164" fontId="6" fillId="4" borderId="0" xfId="0" applyNumberFormat="1" applyFont="1" applyFill="1"/>
    <xf numFmtId="14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19" fillId="4" borderId="0" xfId="0" applyNumberFormat="1" applyFont="1" applyFill="1" applyAlignment="1">
      <alignment horizontal="center"/>
    </xf>
    <xf numFmtId="0" fontId="11" fillId="2" borderId="0" xfId="0" applyFont="1" applyFill="1"/>
    <xf numFmtId="4" fontId="11" fillId="2" borderId="0" xfId="0" applyNumberFormat="1" applyFont="1" applyFill="1"/>
    <xf numFmtId="2" fontId="11" fillId="2" borderId="0" xfId="0" applyNumberFormat="1" applyFont="1" applyFill="1"/>
    <xf numFmtId="0" fontId="13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5"/>
  <sheetViews>
    <sheetView zoomScaleNormal="100" workbookViewId="0">
      <pane ySplit="1" topLeftCell="A32" activePane="bottomLeft" state="frozen"/>
      <selection pane="bottomLeft" activeCell="A49" sqref="A49:XFD49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2.6328125" style="2" customWidth="1"/>
    <col min="4" max="4" width="11.08984375" style="2" bestFit="1" customWidth="1"/>
    <col min="5" max="5" width="25.453125" style="2" customWidth="1"/>
    <col min="6" max="6" width="8.54296875" style="5" customWidth="1"/>
    <col min="7" max="7" width="11" style="10" customWidth="1"/>
    <col min="8" max="8" width="5.6328125" bestFit="1" customWidth="1"/>
    <col min="9" max="9" width="9.6328125" customWidth="1"/>
    <col min="10" max="10" width="11.6328125" customWidth="1"/>
    <col min="11" max="11" width="6.08984375" customWidth="1"/>
    <col min="12" max="12" width="8.54296875" customWidth="1"/>
    <col min="13" max="13" width="10.6328125" style="11" customWidth="1"/>
    <col min="14" max="14" width="42.6328125" style="36" customWidth="1"/>
    <col min="15" max="16" width="11.453125" style="3" customWidth="1"/>
    <col min="17" max="17" width="13.36328125" customWidth="1"/>
    <col min="18" max="18" width="14.08984375" customWidth="1"/>
    <col min="257" max="257" width="11.54296875" bestFit="1" customWidth="1"/>
    <col min="258" max="258" width="11.54296875" customWidth="1"/>
    <col min="259" max="259" width="2.6328125" customWidth="1"/>
    <col min="260" max="260" width="11.08984375" bestFit="1" customWidth="1"/>
    <col min="261" max="261" width="25.453125" customWidth="1"/>
    <col min="262" max="262" width="8.54296875" customWidth="1"/>
    <col min="263" max="263" width="11" customWidth="1"/>
    <col min="264" max="264" width="5.6328125" bestFit="1" customWidth="1"/>
    <col min="265" max="265" width="9.6328125" customWidth="1"/>
    <col min="266" max="266" width="11.6328125" customWidth="1"/>
    <col min="267" max="267" width="6.08984375" customWidth="1"/>
    <col min="268" max="268" width="8.54296875" customWidth="1"/>
    <col min="269" max="269" width="10.6328125" customWidth="1"/>
    <col min="270" max="270" width="42.6328125" customWidth="1"/>
    <col min="271" max="272" width="11.453125" customWidth="1"/>
    <col min="273" max="273" width="13.36328125" customWidth="1"/>
    <col min="274" max="274" width="14.08984375" customWidth="1"/>
    <col min="513" max="513" width="11.54296875" bestFit="1" customWidth="1"/>
    <col min="514" max="514" width="11.54296875" customWidth="1"/>
    <col min="515" max="515" width="2.6328125" customWidth="1"/>
    <col min="516" max="516" width="11.08984375" bestFit="1" customWidth="1"/>
    <col min="517" max="517" width="25.453125" customWidth="1"/>
    <col min="518" max="518" width="8.54296875" customWidth="1"/>
    <col min="519" max="519" width="11" customWidth="1"/>
    <col min="520" max="520" width="5.6328125" bestFit="1" customWidth="1"/>
    <col min="521" max="521" width="9.6328125" customWidth="1"/>
    <col min="522" max="522" width="11.6328125" customWidth="1"/>
    <col min="523" max="523" width="6.08984375" customWidth="1"/>
    <col min="524" max="524" width="8.54296875" customWidth="1"/>
    <col min="525" max="525" width="10.6328125" customWidth="1"/>
    <col min="526" max="526" width="42.6328125" customWidth="1"/>
    <col min="527" max="528" width="11.453125" customWidth="1"/>
    <col min="529" max="529" width="13.36328125" customWidth="1"/>
    <col min="530" max="530" width="14.08984375" customWidth="1"/>
    <col min="769" max="769" width="11.54296875" bestFit="1" customWidth="1"/>
    <col min="770" max="770" width="11.54296875" customWidth="1"/>
    <col min="771" max="771" width="2.6328125" customWidth="1"/>
    <col min="772" max="772" width="11.08984375" bestFit="1" customWidth="1"/>
    <col min="773" max="773" width="25.453125" customWidth="1"/>
    <col min="774" max="774" width="8.54296875" customWidth="1"/>
    <col min="775" max="775" width="11" customWidth="1"/>
    <col min="776" max="776" width="5.6328125" bestFit="1" customWidth="1"/>
    <col min="777" max="777" width="9.6328125" customWidth="1"/>
    <col min="778" max="778" width="11.6328125" customWidth="1"/>
    <col min="779" max="779" width="6.08984375" customWidth="1"/>
    <col min="780" max="780" width="8.54296875" customWidth="1"/>
    <col min="781" max="781" width="10.6328125" customWidth="1"/>
    <col min="782" max="782" width="42.6328125" customWidth="1"/>
    <col min="783" max="784" width="11.453125" customWidth="1"/>
    <col min="785" max="785" width="13.36328125" customWidth="1"/>
    <col min="786" max="786" width="14.08984375" customWidth="1"/>
    <col min="1025" max="1025" width="11.54296875" bestFit="1" customWidth="1"/>
    <col min="1026" max="1026" width="11.54296875" customWidth="1"/>
    <col min="1027" max="1027" width="2.6328125" customWidth="1"/>
    <col min="1028" max="1028" width="11.08984375" bestFit="1" customWidth="1"/>
    <col min="1029" max="1029" width="25.453125" customWidth="1"/>
    <col min="1030" max="1030" width="8.54296875" customWidth="1"/>
    <col min="1031" max="1031" width="11" customWidth="1"/>
    <col min="1032" max="1032" width="5.6328125" bestFit="1" customWidth="1"/>
    <col min="1033" max="1033" width="9.6328125" customWidth="1"/>
    <col min="1034" max="1034" width="11.6328125" customWidth="1"/>
    <col min="1035" max="1035" width="6.08984375" customWidth="1"/>
    <col min="1036" max="1036" width="8.54296875" customWidth="1"/>
    <col min="1037" max="1037" width="10.6328125" customWidth="1"/>
    <col min="1038" max="1038" width="42.6328125" customWidth="1"/>
    <col min="1039" max="1040" width="11.453125" customWidth="1"/>
    <col min="1041" max="1041" width="13.36328125" customWidth="1"/>
    <col min="1042" max="1042" width="14.08984375" customWidth="1"/>
    <col min="1281" max="1281" width="11.54296875" bestFit="1" customWidth="1"/>
    <col min="1282" max="1282" width="11.54296875" customWidth="1"/>
    <col min="1283" max="1283" width="2.6328125" customWidth="1"/>
    <col min="1284" max="1284" width="11.08984375" bestFit="1" customWidth="1"/>
    <col min="1285" max="1285" width="25.453125" customWidth="1"/>
    <col min="1286" max="1286" width="8.54296875" customWidth="1"/>
    <col min="1287" max="1287" width="11" customWidth="1"/>
    <col min="1288" max="1288" width="5.6328125" bestFit="1" customWidth="1"/>
    <col min="1289" max="1289" width="9.6328125" customWidth="1"/>
    <col min="1290" max="1290" width="11.6328125" customWidth="1"/>
    <col min="1291" max="1291" width="6.08984375" customWidth="1"/>
    <col min="1292" max="1292" width="8.54296875" customWidth="1"/>
    <col min="1293" max="1293" width="10.6328125" customWidth="1"/>
    <col min="1294" max="1294" width="42.6328125" customWidth="1"/>
    <col min="1295" max="1296" width="11.453125" customWidth="1"/>
    <col min="1297" max="1297" width="13.36328125" customWidth="1"/>
    <col min="1298" max="1298" width="14.08984375" customWidth="1"/>
    <col min="1537" max="1537" width="11.54296875" bestFit="1" customWidth="1"/>
    <col min="1538" max="1538" width="11.54296875" customWidth="1"/>
    <col min="1539" max="1539" width="2.6328125" customWidth="1"/>
    <col min="1540" max="1540" width="11.08984375" bestFit="1" customWidth="1"/>
    <col min="1541" max="1541" width="25.453125" customWidth="1"/>
    <col min="1542" max="1542" width="8.54296875" customWidth="1"/>
    <col min="1543" max="1543" width="11" customWidth="1"/>
    <col min="1544" max="1544" width="5.6328125" bestFit="1" customWidth="1"/>
    <col min="1545" max="1545" width="9.6328125" customWidth="1"/>
    <col min="1546" max="1546" width="11.6328125" customWidth="1"/>
    <col min="1547" max="1547" width="6.08984375" customWidth="1"/>
    <col min="1548" max="1548" width="8.54296875" customWidth="1"/>
    <col min="1549" max="1549" width="10.6328125" customWidth="1"/>
    <col min="1550" max="1550" width="42.6328125" customWidth="1"/>
    <col min="1551" max="1552" width="11.453125" customWidth="1"/>
    <col min="1553" max="1553" width="13.36328125" customWidth="1"/>
    <col min="1554" max="1554" width="14.08984375" customWidth="1"/>
    <col min="1793" max="1793" width="11.54296875" bestFit="1" customWidth="1"/>
    <col min="1794" max="1794" width="11.54296875" customWidth="1"/>
    <col min="1795" max="1795" width="2.6328125" customWidth="1"/>
    <col min="1796" max="1796" width="11.08984375" bestFit="1" customWidth="1"/>
    <col min="1797" max="1797" width="25.453125" customWidth="1"/>
    <col min="1798" max="1798" width="8.54296875" customWidth="1"/>
    <col min="1799" max="1799" width="11" customWidth="1"/>
    <col min="1800" max="1800" width="5.6328125" bestFit="1" customWidth="1"/>
    <col min="1801" max="1801" width="9.6328125" customWidth="1"/>
    <col min="1802" max="1802" width="11.6328125" customWidth="1"/>
    <col min="1803" max="1803" width="6.08984375" customWidth="1"/>
    <col min="1804" max="1804" width="8.54296875" customWidth="1"/>
    <col min="1805" max="1805" width="10.6328125" customWidth="1"/>
    <col min="1806" max="1806" width="42.6328125" customWidth="1"/>
    <col min="1807" max="1808" width="11.453125" customWidth="1"/>
    <col min="1809" max="1809" width="13.36328125" customWidth="1"/>
    <col min="1810" max="1810" width="14.08984375" customWidth="1"/>
    <col min="2049" max="2049" width="11.54296875" bestFit="1" customWidth="1"/>
    <col min="2050" max="2050" width="11.54296875" customWidth="1"/>
    <col min="2051" max="2051" width="2.6328125" customWidth="1"/>
    <col min="2052" max="2052" width="11.08984375" bestFit="1" customWidth="1"/>
    <col min="2053" max="2053" width="25.453125" customWidth="1"/>
    <col min="2054" max="2054" width="8.54296875" customWidth="1"/>
    <col min="2055" max="2055" width="11" customWidth="1"/>
    <col min="2056" max="2056" width="5.6328125" bestFit="1" customWidth="1"/>
    <col min="2057" max="2057" width="9.6328125" customWidth="1"/>
    <col min="2058" max="2058" width="11.6328125" customWidth="1"/>
    <col min="2059" max="2059" width="6.08984375" customWidth="1"/>
    <col min="2060" max="2060" width="8.54296875" customWidth="1"/>
    <col min="2061" max="2061" width="10.6328125" customWidth="1"/>
    <col min="2062" max="2062" width="42.6328125" customWidth="1"/>
    <col min="2063" max="2064" width="11.453125" customWidth="1"/>
    <col min="2065" max="2065" width="13.36328125" customWidth="1"/>
    <col min="2066" max="2066" width="14.08984375" customWidth="1"/>
    <col min="2305" max="2305" width="11.54296875" bestFit="1" customWidth="1"/>
    <col min="2306" max="2306" width="11.54296875" customWidth="1"/>
    <col min="2307" max="2307" width="2.6328125" customWidth="1"/>
    <col min="2308" max="2308" width="11.08984375" bestFit="1" customWidth="1"/>
    <col min="2309" max="2309" width="25.453125" customWidth="1"/>
    <col min="2310" max="2310" width="8.54296875" customWidth="1"/>
    <col min="2311" max="2311" width="11" customWidth="1"/>
    <col min="2312" max="2312" width="5.6328125" bestFit="1" customWidth="1"/>
    <col min="2313" max="2313" width="9.6328125" customWidth="1"/>
    <col min="2314" max="2314" width="11.6328125" customWidth="1"/>
    <col min="2315" max="2315" width="6.08984375" customWidth="1"/>
    <col min="2316" max="2316" width="8.54296875" customWidth="1"/>
    <col min="2317" max="2317" width="10.6328125" customWidth="1"/>
    <col min="2318" max="2318" width="42.6328125" customWidth="1"/>
    <col min="2319" max="2320" width="11.453125" customWidth="1"/>
    <col min="2321" max="2321" width="13.36328125" customWidth="1"/>
    <col min="2322" max="2322" width="14.08984375" customWidth="1"/>
    <col min="2561" max="2561" width="11.54296875" bestFit="1" customWidth="1"/>
    <col min="2562" max="2562" width="11.54296875" customWidth="1"/>
    <col min="2563" max="2563" width="2.6328125" customWidth="1"/>
    <col min="2564" max="2564" width="11.08984375" bestFit="1" customWidth="1"/>
    <col min="2565" max="2565" width="25.453125" customWidth="1"/>
    <col min="2566" max="2566" width="8.54296875" customWidth="1"/>
    <col min="2567" max="2567" width="11" customWidth="1"/>
    <col min="2568" max="2568" width="5.6328125" bestFit="1" customWidth="1"/>
    <col min="2569" max="2569" width="9.6328125" customWidth="1"/>
    <col min="2570" max="2570" width="11.6328125" customWidth="1"/>
    <col min="2571" max="2571" width="6.08984375" customWidth="1"/>
    <col min="2572" max="2572" width="8.54296875" customWidth="1"/>
    <col min="2573" max="2573" width="10.6328125" customWidth="1"/>
    <col min="2574" max="2574" width="42.6328125" customWidth="1"/>
    <col min="2575" max="2576" width="11.453125" customWidth="1"/>
    <col min="2577" max="2577" width="13.36328125" customWidth="1"/>
    <col min="2578" max="2578" width="14.08984375" customWidth="1"/>
    <col min="2817" max="2817" width="11.54296875" bestFit="1" customWidth="1"/>
    <col min="2818" max="2818" width="11.54296875" customWidth="1"/>
    <col min="2819" max="2819" width="2.6328125" customWidth="1"/>
    <col min="2820" max="2820" width="11.08984375" bestFit="1" customWidth="1"/>
    <col min="2821" max="2821" width="25.453125" customWidth="1"/>
    <col min="2822" max="2822" width="8.54296875" customWidth="1"/>
    <col min="2823" max="2823" width="11" customWidth="1"/>
    <col min="2824" max="2824" width="5.6328125" bestFit="1" customWidth="1"/>
    <col min="2825" max="2825" width="9.6328125" customWidth="1"/>
    <col min="2826" max="2826" width="11.6328125" customWidth="1"/>
    <col min="2827" max="2827" width="6.08984375" customWidth="1"/>
    <col min="2828" max="2828" width="8.54296875" customWidth="1"/>
    <col min="2829" max="2829" width="10.6328125" customWidth="1"/>
    <col min="2830" max="2830" width="42.6328125" customWidth="1"/>
    <col min="2831" max="2832" width="11.453125" customWidth="1"/>
    <col min="2833" max="2833" width="13.36328125" customWidth="1"/>
    <col min="2834" max="2834" width="14.08984375" customWidth="1"/>
    <col min="3073" max="3073" width="11.54296875" bestFit="1" customWidth="1"/>
    <col min="3074" max="3074" width="11.54296875" customWidth="1"/>
    <col min="3075" max="3075" width="2.6328125" customWidth="1"/>
    <col min="3076" max="3076" width="11.08984375" bestFit="1" customWidth="1"/>
    <col min="3077" max="3077" width="25.453125" customWidth="1"/>
    <col min="3078" max="3078" width="8.54296875" customWidth="1"/>
    <col min="3079" max="3079" width="11" customWidth="1"/>
    <col min="3080" max="3080" width="5.6328125" bestFit="1" customWidth="1"/>
    <col min="3081" max="3081" width="9.6328125" customWidth="1"/>
    <col min="3082" max="3082" width="11.6328125" customWidth="1"/>
    <col min="3083" max="3083" width="6.08984375" customWidth="1"/>
    <col min="3084" max="3084" width="8.54296875" customWidth="1"/>
    <col min="3085" max="3085" width="10.6328125" customWidth="1"/>
    <col min="3086" max="3086" width="42.6328125" customWidth="1"/>
    <col min="3087" max="3088" width="11.453125" customWidth="1"/>
    <col min="3089" max="3089" width="13.36328125" customWidth="1"/>
    <col min="3090" max="3090" width="14.08984375" customWidth="1"/>
    <col min="3329" max="3329" width="11.54296875" bestFit="1" customWidth="1"/>
    <col min="3330" max="3330" width="11.54296875" customWidth="1"/>
    <col min="3331" max="3331" width="2.6328125" customWidth="1"/>
    <col min="3332" max="3332" width="11.08984375" bestFit="1" customWidth="1"/>
    <col min="3333" max="3333" width="25.453125" customWidth="1"/>
    <col min="3334" max="3334" width="8.54296875" customWidth="1"/>
    <col min="3335" max="3335" width="11" customWidth="1"/>
    <col min="3336" max="3336" width="5.6328125" bestFit="1" customWidth="1"/>
    <col min="3337" max="3337" width="9.6328125" customWidth="1"/>
    <col min="3338" max="3338" width="11.6328125" customWidth="1"/>
    <col min="3339" max="3339" width="6.08984375" customWidth="1"/>
    <col min="3340" max="3340" width="8.54296875" customWidth="1"/>
    <col min="3341" max="3341" width="10.6328125" customWidth="1"/>
    <col min="3342" max="3342" width="42.6328125" customWidth="1"/>
    <col min="3343" max="3344" width="11.453125" customWidth="1"/>
    <col min="3345" max="3345" width="13.36328125" customWidth="1"/>
    <col min="3346" max="3346" width="14.08984375" customWidth="1"/>
    <col min="3585" max="3585" width="11.54296875" bestFit="1" customWidth="1"/>
    <col min="3586" max="3586" width="11.54296875" customWidth="1"/>
    <col min="3587" max="3587" width="2.6328125" customWidth="1"/>
    <col min="3588" max="3588" width="11.08984375" bestFit="1" customWidth="1"/>
    <col min="3589" max="3589" width="25.453125" customWidth="1"/>
    <col min="3590" max="3590" width="8.54296875" customWidth="1"/>
    <col min="3591" max="3591" width="11" customWidth="1"/>
    <col min="3592" max="3592" width="5.6328125" bestFit="1" customWidth="1"/>
    <col min="3593" max="3593" width="9.6328125" customWidth="1"/>
    <col min="3594" max="3594" width="11.6328125" customWidth="1"/>
    <col min="3595" max="3595" width="6.08984375" customWidth="1"/>
    <col min="3596" max="3596" width="8.54296875" customWidth="1"/>
    <col min="3597" max="3597" width="10.6328125" customWidth="1"/>
    <col min="3598" max="3598" width="42.6328125" customWidth="1"/>
    <col min="3599" max="3600" width="11.453125" customWidth="1"/>
    <col min="3601" max="3601" width="13.36328125" customWidth="1"/>
    <col min="3602" max="3602" width="14.08984375" customWidth="1"/>
    <col min="3841" max="3841" width="11.54296875" bestFit="1" customWidth="1"/>
    <col min="3842" max="3842" width="11.54296875" customWidth="1"/>
    <col min="3843" max="3843" width="2.6328125" customWidth="1"/>
    <col min="3844" max="3844" width="11.08984375" bestFit="1" customWidth="1"/>
    <col min="3845" max="3845" width="25.453125" customWidth="1"/>
    <col min="3846" max="3846" width="8.54296875" customWidth="1"/>
    <col min="3847" max="3847" width="11" customWidth="1"/>
    <col min="3848" max="3848" width="5.6328125" bestFit="1" customWidth="1"/>
    <col min="3849" max="3849" width="9.6328125" customWidth="1"/>
    <col min="3850" max="3850" width="11.6328125" customWidth="1"/>
    <col min="3851" max="3851" width="6.08984375" customWidth="1"/>
    <col min="3852" max="3852" width="8.54296875" customWidth="1"/>
    <col min="3853" max="3853" width="10.6328125" customWidth="1"/>
    <col min="3854" max="3854" width="42.6328125" customWidth="1"/>
    <col min="3855" max="3856" width="11.453125" customWidth="1"/>
    <col min="3857" max="3857" width="13.36328125" customWidth="1"/>
    <col min="3858" max="3858" width="14.08984375" customWidth="1"/>
    <col min="4097" max="4097" width="11.54296875" bestFit="1" customWidth="1"/>
    <col min="4098" max="4098" width="11.54296875" customWidth="1"/>
    <col min="4099" max="4099" width="2.6328125" customWidth="1"/>
    <col min="4100" max="4100" width="11.08984375" bestFit="1" customWidth="1"/>
    <col min="4101" max="4101" width="25.453125" customWidth="1"/>
    <col min="4102" max="4102" width="8.54296875" customWidth="1"/>
    <col min="4103" max="4103" width="11" customWidth="1"/>
    <col min="4104" max="4104" width="5.6328125" bestFit="1" customWidth="1"/>
    <col min="4105" max="4105" width="9.6328125" customWidth="1"/>
    <col min="4106" max="4106" width="11.6328125" customWidth="1"/>
    <col min="4107" max="4107" width="6.08984375" customWidth="1"/>
    <col min="4108" max="4108" width="8.54296875" customWidth="1"/>
    <col min="4109" max="4109" width="10.6328125" customWidth="1"/>
    <col min="4110" max="4110" width="42.6328125" customWidth="1"/>
    <col min="4111" max="4112" width="11.453125" customWidth="1"/>
    <col min="4113" max="4113" width="13.36328125" customWidth="1"/>
    <col min="4114" max="4114" width="14.08984375" customWidth="1"/>
    <col min="4353" max="4353" width="11.54296875" bestFit="1" customWidth="1"/>
    <col min="4354" max="4354" width="11.54296875" customWidth="1"/>
    <col min="4355" max="4355" width="2.6328125" customWidth="1"/>
    <col min="4356" max="4356" width="11.08984375" bestFit="1" customWidth="1"/>
    <col min="4357" max="4357" width="25.453125" customWidth="1"/>
    <col min="4358" max="4358" width="8.54296875" customWidth="1"/>
    <col min="4359" max="4359" width="11" customWidth="1"/>
    <col min="4360" max="4360" width="5.6328125" bestFit="1" customWidth="1"/>
    <col min="4361" max="4361" width="9.6328125" customWidth="1"/>
    <col min="4362" max="4362" width="11.6328125" customWidth="1"/>
    <col min="4363" max="4363" width="6.08984375" customWidth="1"/>
    <col min="4364" max="4364" width="8.54296875" customWidth="1"/>
    <col min="4365" max="4365" width="10.6328125" customWidth="1"/>
    <col min="4366" max="4366" width="42.6328125" customWidth="1"/>
    <col min="4367" max="4368" width="11.453125" customWidth="1"/>
    <col min="4369" max="4369" width="13.36328125" customWidth="1"/>
    <col min="4370" max="4370" width="14.08984375" customWidth="1"/>
    <col min="4609" max="4609" width="11.54296875" bestFit="1" customWidth="1"/>
    <col min="4610" max="4610" width="11.54296875" customWidth="1"/>
    <col min="4611" max="4611" width="2.6328125" customWidth="1"/>
    <col min="4612" max="4612" width="11.08984375" bestFit="1" customWidth="1"/>
    <col min="4613" max="4613" width="25.453125" customWidth="1"/>
    <col min="4614" max="4614" width="8.54296875" customWidth="1"/>
    <col min="4615" max="4615" width="11" customWidth="1"/>
    <col min="4616" max="4616" width="5.6328125" bestFit="1" customWidth="1"/>
    <col min="4617" max="4617" width="9.6328125" customWidth="1"/>
    <col min="4618" max="4618" width="11.6328125" customWidth="1"/>
    <col min="4619" max="4619" width="6.08984375" customWidth="1"/>
    <col min="4620" max="4620" width="8.54296875" customWidth="1"/>
    <col min="4621" max="4621" width="10.6328125" customWidth="1"/>
    <col min="4622" max="4622" width="42.6328125" customWidth="1"/>
    <col min="4623" max="4624" width="11.453125" customWidth="1"/>
    <col min="4625" max="4625" width="13.36328125" customWidth="1"/>
    <col min="4626" max="4626" width="14.08984375" customWidth="1"/>
    <col min="4865" max="4865" width="11.54296875" bestFit="1" customWidth="1"/>
    <col min="4866" max="4866" width="11.54296875" customWidth="1"/>
    <col min="4867" max="4867" width="2.6328125" customWidth="1"/>
    <col min="4868" max="4868" width="11.08984375" bestFit="1" customWidth="1"/>
    <col min="4869" max="4869" width="25.453125" customWidth="1"/>
    <col min="4870" max="4870" width="8.54296875" customWidth="1"/>
    <col min="4871" max="4871" width="11" customWidth="1"/>
    <col min="4872" max="4872" width="5.6328125" bestFit="1" customWidth="1"/>
    <col min="4873" max="4873" width="9.6328125" customWidth="1"/>
    <col min="4874" max="4874" width="11.6328125" customWidth="1"/>
    <col min="4875" max="4875" width="6.08984375" customWidth="1"/>
    <col min="4876" max="4876" width="8.54296875" customWidth="1"/>
    <col min="4877" max="4877" width="10.6328125" customWidth="1"/>
    <col min="4878" max="4878" width="42.6328125" customWidth="1"/>
    <col min="4879" max="4880" width="11.453125" customWidth="1"/>
    <col min="4881" max="4881" width="13.36328125" customWidth="1"/>
    <col min="4882" max="4882" width="14.08984375" customWidth="1"/>
    <col min="5121" max="5121" width="11.54296875" bestFit="1" customWidth="1"/>
    <col min="5122" max="5122" width="11.54296875" customWidth="1"/>
    <col min="5123" max="5123" width="2.6328125" customWidth="1"/>
    <col min="5124" max="5124" width="11.08984375" bestFit="1" customWidth="1"/>
    <col min="5125" max="5125" width="25.453125" customWidth="1"/>
    <col min="5126" max="5126" width="8.54296875" customWidth="1"/>
    <col min="5127" max="5127" width="11" customWidth="1"/>
    <col min="5128" max="5128" width="5.6328125" bestFit="1" customWidth="1"/>
    <col min="5129" max="5129" width="9.6328125" customWidth="1"/>
    <col min="5130" max="5130" width="11.6328125" customWidth="1"/>
    <col min="5131" max="5131" width="6.08984375" customWidth="1"/>
    <col min="5132" max="5132" width="8.54296875" customWidth="1"/>
    <col min="5133" max="5133" width="10.6328125" customWidth="1"/>
    <col min="5134" max="5134" width="42.6328125" customWidth="1"/>
    <col min="5135" max="5136" width="11.453125" customWidth="1"/>
    <col min="5137" max="5137" width="13.36328125" customWidth="1"/>
    <col min="5138" max="5138" width="14.08984375" customWidth="1"/>
    <col min="5377" max="5377" width="11.54296875" bestFit="1" customWidth="1"/>
    <col min="5378" max="5378" width="11.54296875" customWidth="1"/>
    <col min="5379" max="5379" width="2.6328125" customWidth="1"/>
    <col min="5380" max="5380" width="11.08984375" bestFit="1" customWidth="1"/>
    <col min="5381" max="5381" width="25.453125" customWidth="1"/>
    <col min="5382" max="5382" width="8.54296875" customWidth="1"/>
    <col min="5383" max="5383" width="11" customWidth="1"/>
    <col min="5384" max="5384" width="5.6328125" bestFit="1" customWidth="1"/>
    <col min="5385" max="5385" width="9.6328125" customWidth="1"/>
    <col min="5386" max="5386" width="11.6328125" customWidth="1"/>
    <col min="5387" max="5387" width="6.08984375" customWidth="1"/>
    <col min="5388" max="5388" width="8.54296875" customWidth="1"/>
    <col min="5389" max="5389" width="10.6328125" customWidth="1"/>
    <col min="5390" max="5390" width="42.6328125" customWidth="1"/>
    <col min="5391" max="5392" width="11.453125" customWidth="1"/>
    <col min="5393" max="5393" width="13.36328125" customWidth="1"/>
    <col min="5394" max="5394" width="14.08984375" customWidth="1"/>
    <col min="5633" max="5633" width="11.54296875" bestFit="1" customWidth="1"/>
    <col min="5634" max="5634" width="11.54296875" customWidth="1"/>
    <col min="5635" max="5635" width="2.6328125" customWidth="1"/>
    <col min="5636" max="5636" width="11.08984375" bestFit="1" customWidth="1"/>
    <col min="5637" max="5637" width="25.453125" customWidth="1"/>
    <col min="5638" max="5638" width="8.54296875" customWidth="1"/>
    <col min="5639" max="5639" width="11" customWidth="1"/>
    <col min="5640" max="5640" width="5.6328125" bestFit="1" customWidth="1"/>
    <col min="5641" max="5641" width="9.6328125" customWidth="1"/>
    <col min="5642" max="5642" width="11.6328125" customWidth="1"/>
    <col min="5643" max="5643" width="6.08984375" customWidth="1"/>
    <col min="5644" max="5644" width="8.54296875" customWidth="1"/>
    <col min="5645" max="5645" width="10.6328125" customWidth="1"/>
    <col min="5646" max="5646" width="42.6328125" customWidth="1"/>
    <col min="5647" max="5648" width="11.453125" customWidth="1"/>
    <col min="5649" max="5649" width="13.36328125" customWidth="1"/>
    <col min="5650" max="5650" width="14.08984375" customWidth="1"/>
    <col min="5889" max="5889" width="11.54296875" bestFit="1" customWidth="1"/>
    <col min="5890" max="5890" width="11.54296875" customWidth="1"/>
    <col min="5891" max="5891" width="2.6328125" customWidth="1"/>
    <col min="5892" max="5892" width="11.08984375" bestFit="1" customWidth="1"/>
    <col min="5893" max="5893" width="25.453125" customWidth="1"/>
    <col min="5894" max="5894" width="8.54296875" customWidth="1"/>
    <col min="5895" max="5895" width="11" customWidth="1"/>
    <col min="5896" max="5896" width="5.6328125" bestFit="1" customWidth="1"/>
    <col min="5897" max="5897" width="9.6328125" customWidth="1"/>
    <col min="5898" max="5898" width="11.6328125" customWidth="1"/>
    <col min="5899" max="5899" width="6.08984375" customWidth="1"/>
    <col min="5900" max="5900" width="8.54296875" customWidth="1"/>
    <col min="5901" max="5901" width="10.6328125" customWidth="1"/>
    <col min="5902" max="5902" width="42.6328125" customWidth="1"/>
    <col min="5903" max="5904" width="11.453125" customWidth="1"/>
    <col min="5905" max="5905" width="13.36328125" customWidth="1"/>
    <col min="5906" max="5906" width="14.08984375" customWidth="1"/>
    <col min="6145" max="6145" width="11.54296875" bestFit="1" customWidth="1"/>
    <col min="6146" max="6146" width="11.54296875" customWidth="1"/>
    <col min="6147" max="6147" width="2.6328125" customWidth="1"/>
    <col min="6148" max="6148" width="11.08984375" bestFit="1" customWidth="1"/>
    <col min="6149" max="6149" width="25.453125" customWidth="1"/>
    <col min="6150" max="6150" width="8.54296875" customWidth="1"/>
    <col min="6151" max="6151" width="11" customWidth="1"/>
    <col min="6152" max="6152" width="5.6328125" bestFit="1" customWidth="1"/>
    <col min="6153" max="6153" width="9.6328125" customWidth="1"/>
    <col min="6154" max="6154" width="11.6328125" customWidth="1"/>
    <col min="6155" max="6155" width="6.08984375" customWidth="1"/>
    <col min="6156" max="6156" width="8.54296875" customWidth="1"/>
    <col min="6157" max="6157" width="10.6328125" customWidth="1"/>
    <col min="6158" max="6158" width="42.6328125" customWidth="1"/>
    <col min="6159" max="6160" width="11.453125" customWidth="1"/>
    <col min="6161" max="6161" width="13.36328125" customWidth="1"/>
    <col min="6162" max="6162" width="14.08984375" customWidth="1"/>
    <col min="6401" max="6401" width="11.54296875" bestFit="1" customWidth="1"/>
    <col min="6402" max="6402" width="11.54296875" customWidth="1"/>
    <col min="6403" max="6403" width="2.6328125" customWidth="1"/>
    <col min="6404" max="6404" width="11.08984375" bestFit="1" customWidth="1"/>
    <col min="6405" max="6405" width="25.453125" customWidth="1"/>
    <col min="6406" max="6406" width="8.54296875" customWidth="1"/>
    <col min="6407" max="6407" width="11" customWidth="1"/>
    <col min="6408" max="6408" width="5.6328125" bestFit="1" customWidth="1"/>
    <col min="6409" max="6409" width="9.6328125" customWidth="1"/>
    <col min="6410" max="6410" width="11.6328125" customWidth="1"/>
    <col min="6411" max="6411" width="6.08984375" customWidth="1"/>
    <col min="6412" max="6412" width="8.54296875" customWidth="1"/>
    <col min="6413" max="6413" width="10.6328125" customWidth="1"/>
    <col min="6414" max="6414" width="42.6328125" customWidth="1"/>
    <col min="6415" max="6416" width="11.453125" customWidth="1"/>
    <col min="6417" max="6417" width="13.36328125" customWidth="1"/>
    <col min="6418" max="6418" width="14.08984375" customWidth="1"/>
    <col min="6657" max="6657" width="11.54296875" bestFit="1" customWidth="1"/>
    <col min="6658" max="6658" width="11.54296875" customWidth="1"/>
    <col min="6659" max="6659" width="2.6328125" customWidth="1"/>
    <col min="6660" max="6660" width="11.08984375" bestFit="1" customWidth="1"/>
    <col min="6661" max="6661" width="25.453125" customWidth="1"/>
    <col min="6662" max="6662" width="8.54296875" customWidth="1"/>
    <col min="6663" max="6663" width="11" customWidth="1"/>
    <col min="6664" max="6664" width="5.6328125" bestFit="1" customWidth="1"/>
    <col min="6665" max="6665" width="9.6328125" customWidth="1"/>
    <col min="6666" max="6666" width="11.6328125" customWidth="1"/>
    <col min="6667" max="6667" width="6.08984375" customWidth="1"/>
    <col min="6668" max="6668" width="8.54296875" customWidth="1"/>
    <col min="6669" max="6669" width="10.6328125" customWidth="1"/>
    <col min="6670" max="6670" width="42.6328125" customWidth="1"/>
    <col min="6671" max="6672" width="11.453125" customWidth="1"/>
    <col min="6673" max="6673" width="13.36328125" customWidth="1"/>
    <col min="6674" max="6674" width="14.08984375" customWidth="1"/>
    <col min="6913" max="6913" width="11.54296875" bestFit="1" customWidth="1"/>
    <col min="6914" max="6914" width="11.54296875" customWidth="1"/>
    <col min="6915" max="6915" width="2.6328125" customWidth="1"/>
    <col min="6916" max="6916" width="11.08984375" bestFit="1" customWidth="1"/>
    <col min="6917" max="6917" width="25.453125" customWidth="1"/>
    <col min="6918" max="6918" width="8.54296875" customWidth="1"/>
    <col min="6919" max="6919" width="11" customWidth="1"/>
    <col min="6920" max="6920" width="5.6328125" bestFit="1" customWidth="1"/>
    <col min="6921" max="6921" width="9.6328125" customWidth="1"/>
    <col min="6922" max="6922" width="11.6328125" customWidth="1"/>
    <col min="6923" max="6923" width="6.08984375" customWidth="1"/>
    <col min="6924" max="6924" width="8.54296875" customWidth="1"/>
    <col min="6925" max="6925" width="10.6328125" customWidth="1"/>
    <col min="6926" max="6926" width="42.6328125" customWidth="1"/>
    <col min="6927" max="6928" width="11.453125" customWidth="1"/>
    <col min="6929" max="6929" width="13.36328125" customWidth="1"/>
    <col min="6930" max="6930" width="14.08984375" customWidth="1"/>
    <col min="7169" max="7169" width="11.54296875" bestFit="1" customWidth="1"/>
    <col min="7170" max="7170" width="11.54296875" customWidth="1"/>
    <col min="7171" max="7171" width="2.6328125" customWidth="1"/>
    <col min="7172" max="7172" width="11.08984375" bestFit="1" customWidth="1"/>
    <col min="7173" max="7173" width="25.453125" customWidth="1"/>
    <col min="7174" max="7174" width="8.54296875" customWidth="1"/>
    <col min="7175" max="7175" width="11" customWidth="1"/>
    <col min="7176" max="7176" width="5.6328125" bestFit="1" customWidth="1"/>
    <col min="7177" max="7177" width="9.6328125" customWidth="1"/>
    <col min="7178" max="7178" width="11.6328125" customWidth="1"/>
    <col min="7179" max="7179" width="6.08984375" customWidth="1"/>
    <col min="7180" max="7180" width="8.54296875" customWidth="1"/>
    <col min="7181" max="7181" width="10.6328125" customWidth="1"/>
    <col min="7182" max="7182" width="42.6328125" customWidth="1"/>
    <col min="7183" max="7184" width="11.453125" customWidth="1"/>
    <col min="7185" max="7185" width="13.36328125" customWidth="1"/>
    <col min="7186" max="7186" width="14.08984375" customWidth="1"/>
    <col min="7425" max="7425" width="11.54296875" bestFit="1" customWidth="1"/>
    <col min="7426" max="7426" width="11.54296875" customWidth="1"/>
    <col min="7427" max="7427" width="2.6328125" customWidth="1"/>
    <col min="7428" max="7428" width="11.08984375" bestFit="1" customWidth="1"/>
    <col min="7429" max="7429" width="25.453125" customWidth="1"/>
    <col min="7430" max="7430" width="8.54296875" customWidth="1"/>
    <col min="7431" max="7431" width="11" customWidth="1"/>
    <col min="7432" max="7432" width="5.6328125" bestFit="1" customWidth="1"/>
    <col min="7433" max="7433" width="9.6328125" customWidth="1"/>
    <col min="7434" max="7434" width="11.6328125" customWidth="1"/>
    <col min="7435" max="7435" width="6.08984375" customWidth="1"/>
    <col min="7436" max="7436" width="8.54296875" customWidth="1"/>
    <col min="7437" max="7437" width="10.6328125" customWidth="1"/>
    <col min="7438" max="7438" width="42.6328125" customWidth="1"/>
    <col min="7439" max="7440" width="11.453125" customWidth="1"/>
    <col min="7441" max="7441" width="13.36328125" customWidth="1"/>
    <col min="7442" max="7442" width="14.08984375" customWidth="1"/>
    <col min="7681" max="7681" width="11.54296875" bestFit="1" customWidth="1"/>
    <col min="7682" max="7682" width="11.54296875" customWidth="1"/>
    <col min="7683" max="7683" width="2.6328125" customWidth="1"/>
    <col min="7684" max="7684" width="11.08984375" bestFit="1" customWidth="1"/>
    <col min="7685" max="7685" width="25.453125" customWidth="1"/>
    <col min="7686" max="7686" width="8.54296875" customWidth="1"/>
    <col min="7687" max="7687" width="11" customWidth="1"/>
    <col min="7688" max="7688" width="5.6328125" bestFit="1" customWidth="1"/>
    <col min="7689" max="7689" width="9.6328125" customWidth="1"/>
    <col min="7690" max="7690" width="11.6328125" customWidth="1"/>
    <col min="7691" max="7691" width="6.08984375" customWidth="1"/>
    <col min="7692" max="7692" width="8.54296875" customWidth="1"/>
    <col min="7693" max="7693" width="10.6328125" customWidth="1"/>
    <col min="7694" max="7694" width="42.6328125" customWidth="1"/>
    <col min="7695" max="7696" width="11.453125" customWidth="1"/>
    <col min="7697" max="7697" width="13.36328125" customWidth="1"/>
    <col min="7698" max="7698" width="14.08984375" customWidth="1"/>
    <col min="7937" max="7937" width="11.54296875" bestFit="1" customWidth="1"/>
    <col min="7938" max="7938" width="11.54296875" customWidth="1"/>
    <col min="7939" max="7939" width="2.6328125" customWidth="1"/>
    <col min="7940" max="7940" width="11.08984375" bestFit="1" customWidth="1"/>
    <col min="7941" max="7941" width="25.453125" customWidth="1"/>
    <col min="7942" max="7942" width="8.54296875" customWidth="1"/>
    <col min="7943" max="7943" width="11" customWidth="1"/>
    <col min="7944" max="7944" width="5.6328125" bestFit="1" customWidth="1"/>
    <col min="7945" max="7945" width="9.6328125" customWidth="1"/>
    <col min="7946" max="7946" width="11.6328125" customWidth="1"/>
    <col min="7947" max="7947" width="6.08984375" customWidth="1"/>
    <col min="7948" max="7948" width="8.54296875" customWidth="1"/>
    <col min="7949" max="7949" width="10.6328125" customWidth="1"/>
    <col min="7950" max="7950" width="42.6328125" customWidth="1"/>
    <col min="7951" max="7952" width="11.453125" customWidth="1"/>
    <col min="7953" max="7953" width="13.36328125" customWidth="1"/>
    <col min="7954" max="7954" width="14.08984375" customWidth="1"/>
    <col min="8193" max="8193" width="11.54296875" bestFit="1" customWidth="1"/>
    <col min="8194" max="8194" width="11.54296875" customWidth="1"/>
    <col min="8195" max="8195" width="2.6328125" customWidth="1"/>
    <col min="8196" max="8196" width="11.08984375" bestFit="1" customWidth="1"/>
    <col min="8197" max="8197" width="25.453125" customWidth="1"/>
    <col min="8198" max="8198" width="8.54296875" customWidth="1"/>
    <col min="8199" max="8199" width="11" customWidth="1"/>
    <col min="8200" max="8200" width="5.6328125" bestFit="1" customWidth="1"/>
    <col min="8201" max="8201" width="9.6328125" customWidth="1"/>
    <col min="8202" max="8202" width="11.6328125" customWidth="1"/>
    <col min="8203" max="8203" width="6.08984375" customWidth="1"/>
    <col min="8204" max="8204" width="8.54296875" customWidth="1"/>
    <col min="8205" max="8205" width="10.6328125" customWidth="1"/>
    <col min="8206" max="8206" width="42.6328125" customWidth="1"/>
    <col min="8207" max="8208" width="11.453125" customWidth="1"/>
    <col min="8209" max="8209" width="13.36328125" customWidth="1"/>
    <col min="8210" max="8210" width="14.08984375" customWidth="1"/>
    <col min="8449" max="8449" width="11.54296875" bestFit="1" customWidth="1"/>
    <col min="8450" max="8450" width="11.54296875" customWidth="1"/>
    <col min="8451" max="8451" width="2.6328125" customWidth="1"/>
    <col min="8452" max="8452" width="11.08984375" bestFit="1" customWidth="1"/>
    <col min="8453" max="8453" width="25.453125" customWidth="1"/>
    <col min="8454" max="8454" width="8.54296875" customWidth="1"/>
    <col min="8455" max="8455" width="11" customWidth="1"/>
    <col min="8456" max="8456" width="5.6328125" bestFit="1" customWidth="1"/>
    <col min="8457" max="8457" width="9.6328125" customWidth="1"/>
    <col min="8458" max="8458" width="11.6328125" customWidth="1"/>
    <col min="8459" max="8459" width="6.08984375" customWidth="1"/>
    <col min="8460" max="8460" width="8.54296875" customWidth="1"/>
    <col min="8461" max="8461" width="10.6328125" customWidth="1"/>
    <col min="8462" max="8462" width="42.6328125" customWidth="1"/>
    <col min="8463" max="8464" width="11.453125" customWidth="1"/>
    <col min="8465" max="8465" width="13.36328125" customWidth="1"/>
    <col min="8466" max="8466" width="14.08984375" customWidth="1"/>
    <col min="8705" max="8705" width="11.54296875" bestFit="1" customWidth="1"/>
    <col min="8706" max="8706" width="11.54296875" customWidth="1"/>
    <col min="8707" max="8707" width="2.6328125" customWidth="1"/>
    <col min="8708" max="8708" width="11.08984375" bestFit="1" customWidth="1"/>
    <col min="8709" max="8709" width="25.453125" customWidth="1"/>
    <col min="8710" max="8710" width="8.54296875" customWidth="1"/>
    <col min="8711" max="8711" width="11" customWidth="1"/>
    <col min="8712" max="8712" width="5.6328125" bestFit="1" customWidth="1"/>
    <col min="8713" max="8713" width="9.6328125" customWidth="1"/>
    <col min="8714" max="8714" width="11.6328125" customWidth="1"/>
    <col min="8715" max="8715" width="6.08984375" customWidth="1"/>
    <col min="8716" max="8716" width="8.54296875" customWidth="1"/>
    <col min="8717" max="8717" width="10.6328125" customWidth="1"/>
    <col min="8718" max="8718" width="42.6328125" customWidth="1"/>
    <col min="8719" max="8720" width="11.453125" customWidth="1"/>
    <col min="8721" max="8721" width="13.36328125" customWidth="1"/>
    <col min="8722" max="8722" width="14.08984375" customWidth="1"/>
    <col min="8961" max="8961" width="11.54296875" bestFit="1" customWidth="1"/>
    <col min="8962" max="8962" width="11.54296875" customWidth="1"/>
    <col min="8963" max="8963" width="2.6328125" customWidth="1"/>
    <col min="8964" max="8964" width="11.08984375" bestFit="1" customWidth="1"/>
    <col min="8965" max="8965" width="25.453125" customWidth="1"/>
    <col min="8966" max="8966" width="8.54296875" customWidth="1"/>
    <col min="8967" max="8967" width="11" customWidth="1"/>
    <col min="8968" max="8968" width="5.6328125" bestFit="1" customWidth="1"/>
    <col min="8969" max="8969" width="9.6328125" customWidth="1"/>
    <col min="8970" max="8970" width="11.6328125" customWidth="1"/>
    <col min="8971" max="8971" width="6.08984375" customWidth="1"/>
    <col min="8972" max="8972" width="8.54296875" customWidth="1"/>
    <col min="8973" max="8973" width="10.6328125" customWidth="1"/>
    <col min="8974" max="8974" width="42.6328125" customWidth="1"/>
    <col min="8975" max="8976" width="11.453125" customWidth="1"/>
    <col min="8977" max="8977" width="13.36328125" customWidth="1"/>
    <col min="8978" max="8978" width="14.08984375" customWidth="1"/>
    <col min="9217" max="9217" width="11.54296875" bestFit="1" customWidth="1"/>
    <col min="9218" max="9218" width="11.54296875" customWidth="1"/>
    <col min="9219" max="9219" width="2.6328125" customWidth="1"/>
    <col min="9220" max="9220" width="11.08984375" bestFit="1" customWidth="1"/>
    <col min="9221" max="9221" width="25.453125" customWidth="1"/>
    <col min="9222" max="9222" width="8.54296875" customWidth="1"/>
    <col min="9223" max="9223" width="11" customWidth="1"/>
    <col min="9224" max="9224" width="5.6328125" bestFit="1" customWidth="1"/>
    <col min="9225" max="9225" width="9.6328125" customWidth="1"/>
    <col min="9226" max="9226" width="11.6328125" customWidth="1"/>
    <col min="9227" max="9227" width="6.08984375" customWidth="1"/>
    <col min="9228" max="9228" width="8.54296875" customWidth="1"/>
    <col min="9229" max="9229" width="10.6328125" customWidth="1"/>
    <col min="9230" max="9230" width="42.6328125" customWidth="1"/>
    <col min="9231" max="9232" width="11.453125" customWidth="1"/>
    <col min="9233" max="9233" width="13.36328125" customWidth="1"/>
    <col min="9234" max="9234" width="14.08984375" customWidth="1"/>
    <col min="9473" max="9473" width="11.54296875" bestFit="1" customWidth="1"/>
    <col min="9474" max="9474" width="11.54296875" customWidth="1"/>
    <col min="9475" max="9475" width="2.6328125" customWidth="1"/>
    <col min="9476" max="9476" width="11.08984375" bestFit="1" customWidth="1"/>
    <col min="9477" max="9477" width="25.453125" customWidth="1"/>
    <col min="9478" max="9478" width="8.54296875" customWidth="1"/>
    <col min="9479" max="9479" width="11" customWidth="1"/>
    <col min="9480" max="9480" width="5.6328125" bestFit="1" customWidth="1"/>
    <col min="9481" max="9481" width="9.6328125" customWidth="1"/>
    <col min="9482" max="9482" width="11.6328125" customWidth="1"/>
    <col min="9483" max="9483" width="6.08984375" customWidth="1"/>
    <col min="9484" max="9484" width="8.54296875" customWidth="1"/>
    <col min="9485" max="9485" width="10.6328125" customWidth="1"/>
    <col min="9486" max="9486" width="42.6328125" customWidth="1"/>
    <col min="9487" max="9488" width="11.453125" customWidth="1"/>
    <col min="9489" max="9489" width="13.36328125" customWidth="1"/>
    <col min="9490" max="9490" width="14.08984375" customWidth="1"/>
    <col min="9729" max="9729" width="11.54296875" bestFit="1" customWidth="1"/>
    <col min="9730" max="9730" width="11.54296875" customWidth="1"/>
    <col min="9731" max="9731" width="2.6328125" customWidth="1"/>
    <col min="9732" max="9732" width="11.08984375" bestFit="1" customWidth="1"/>
    <col min="9733" max="9733" width="25.453125" customWidth="1"/>
    <col min="9734" max="9734" width="8.54296875" customWidth="1"/>
    <col min="9735" max="9735" width="11" customWidth="1"/>
    <col min="9736" max="9736" width="5.6328125" bestFit="1" customWidth="1"/>
    <col min="9737" max="9737" width="9.6328125" customWidth="1"/>
    <col min="9738" max="9738" width="11.6328125" customWidth="1"/>
    <col min="9739" max="9739" width="6.08984375" customWidth="1"/>
    <col min="9740" max="9740" width="8.54296875" customWidth="1"/>
    <col min="9741" max="9741" width="10.6328125" customWidth="1"/>
    <col min="9742" max="9742" width="42.6328125" customWidth="1"/>
    <col min="9743" max="9744" width="11.453125" customWidth="1"/>
    <col min="9745" max="9745" width="13.36328125" customWidth="1"/>
    <col min="9746" max="9746" width="14.08984375" customWidth="1"/>
    <col min="9985" max="9985" width="11.54296875" bestFit="1" customWidth="1"/>
    <col min="9986" max="9986" width="11.54296875" customWidth="1"/>
    <col min="9987" max="9987" width="2.6328125" customWidth="1"/>
    <col min="9988" max="9988" width="11.08984375" bestFit="1" customWidth="1"/>
    <col min="9989" max="9989" width="25.453125" customWidth="1"/>
    <col min="9990" max="9990" width="8.54296875" customWidth="1"/>
    <col min="9991" max="9991" width="11" customWidth="1"/>
    <col min="9992" max="9992" width="5.6328125" bestFit="1" customWidth="1"/>
    <col min="9993" max="9993" width="9.6328125" customWidth="1"/>
    <col min="9994" max="9994" width="11.6328125" customWidth="1"/>
    <col min="9995" max="9995" width="6.08984375" customWidth="1"/>
    <col min="9996" max="9996" width="8.54296875" customWidth="1"/>
    <col min="9997" max="9997" width="10.6328125" customWidth="1"/>
    <col min="9998" max="9998" width="42.6328125" customWidth="1"/>
    <col min="9999" max="10000" width="11.453125" customWidth="1"/>
    <col min="10001" max="10001" width="13.36328125" customWidth="1"/>
    <col min="10002" max="10002" width="14.08984375" customWidth="1"/>
    <col min="10241" max="10241" width="11.54296875" bestFit="1" customWidth="1"/>
    <col min="10242" max="10242" width="11.54296875" customWidth="1"/>
    <col min="10243" max="10243" width="2.6328125" customWidth="1"/>
    <col min="10244" max="10244" width="11.08984375" bestFit="1" customWidth="1"/>
    <col min="10245" max="10245" width="25.453125" customWidth="1"/>
    <col min="10246" max="10246" width="8.54296875" customWidth="1"/>
    <col min="10247" max="10247" width="11" customWidth="1"/>
    <col min="10248" max="10248" width="5.6328125" bestFit="1" customWidth="1"/>
    <col min="10249" max="10249" width="9.6328125" customWidth="1"/>
    <col min="10250" max="10250" width="11.6328125" customWidth="1"/>
    <col min="10251" max="10251" width="6.08984375" customWidth="1"/>
    <col min="10252" max="10252" width="8.54296875" customWidth="1"/>
    <col min="10253" max="10253" width="10.6328125" customWidth="1"/>
    <col min="10254" max="10254" width="42.6328125" customWidth="1"/>
    <col min="10255" max="10256" width="11.453125" customWidth="1"/>
    <col min="10257" max="10257" width="13.36328125" customWidth="1"/>
    <col min="10258" max="10258" width="14.08984375" customWidth="1"/>
    <col min="10497" max="10497" width="11.54296875" bestFit="1" customWidth="1"/>
    <col min="10498" max="10498" width="11.54296875" customWidth="1"/>
    <col min="10499" max="10499" width="2.6328125" customWidth="1"/>
    <col min="10500" max="10500" width="11.08984375" bestFit="1" customWidth="1"/>
    <col min="10501" max="10501" width="25.453125" customWidth="1"/>
    <col min="10502" max="10502" width="8.54296875" customWidth="1"/>
    <col min="10503" max="10503" width="11" customWidth="1"/>
    <col min="10504" max="10504" width="5.6328125" bestFit="1" customWidth="1"/>
    <col min="10505" max="10505" width="9.6328125" customWidth="1"/>
    <col min="10506" max="10506" width="11.6328125" customWidth="1"/>
    <col min="10507" max="10507" width="6.08984375" customWidth="1"/>
    <col min="10508" max="10508" width="8.54296875" customWidth="1"/>
    <col min="10509" max="10509" width="10.6328125" customWidth="1"/>
    <col min="10510" max="10510" width="42.6328125" customWidth="1"/>
    <col min="10511" max="10512" width="11.453125" customWidth="1"/>
    <col min="10513" max="10513" width="13.36328125" customWidth="1"/>
    <col min="10514" max="10514" width="14.08984375" customWidth="1"/>
    <col min="10753" max="10753" width="11.54296875" bestFit="1" customWidth="1"/>
    <col min="10754" max="10754" width="11.54296875" customWidth="1"/>
    <col min="10755" max="10755" width="2.6328125" customWidth="1"/>
    <col min="10756" max="10756" width="11.08984375" bestFit="1" customWidth="1"/>
    <col min="10757" max="10757" width="25.453125" customWidth="1"/>
    <col min="10758" max="10758" width="8.54296875" customWidth="1"/>
    <col min="10759" max="10759" width="11" customWidth="1"/>
    <col min="10760" max="10760" width="5.6328125" bestFit="1" customWidth="1"/>
    <col min="10761" max="10761" width="9.6328125" customWidth="1"/>
    <col min="10762" max="10762" width="11.6328125" customWidth="1"/>
    <col min="10763" max="10763" width="6.08984375" customWidth="1"/>
    <col min="10764" max="10764" width="8.54296875" customWidth="1"/>
    <col min="10765" max="10765" width="10.6328125" customWidth="1"/>
    <col min="10766" max="10766" width="42.6328125" customWidth="1"/>
    <col min="10767" max="10768" width="11.453125" customWidth="1"/>
    <col min="10769" max="10769" width="13.36328125" customWidth="1"/>
    <col min="10770" max="10770" width="14.08984375" customWidth="1"/>
    <col min="11009" max="11009" width="11.54296875" bestFit="1" customWidth="1"/>
    <col min="11010" max="11010" width="11.54296875" customWidth="1"/>
    <col min="11011" max="11011" width="2.6328125" customWidth="1"/>
    <col min="11012" max="11012" width="11.08984375" bestFit="1" customWidth="1"/>
    <col min="11013" max="11013" width="25.453125" customWidth="1"/>
    <col min="11014" max="11014" width="8.54296875" customWidth="1"/>
    <col min="11015" max="11015" width="11" customWidth="1"/>
    <col min="11016" max="11016" width="5.6328125" bestFit="1" customWidth="1"/>
    <col min="11017" max="11017" width="9.6328125" customWidth="1"/>
    <col min="11018" max="11018" width="11.6328125" customWidth="1"/>
    <col min="11019" max="11019" width="6.08984375" customWidth="1"/>
    <col min="11020" max="11020" width="8.54296875" customWidth="1"/>
    <col min="11021" max="11021" width="10.6328125" customWidth="1"/>
    <col min="11022" max="11022" width="42.6328125" customWidth="1"/>
    <col min="11023" max="11024" width="11.453125" customWidth="1"/>
    <col min="11025" max="11025" width="13.36328125" customWidth="1"/>
    <col min="11026" max="11026" width="14.08984375" customWidth="1"/>
    <col min="11265" max="11265" width="11.54296875" bestFit="1" customWidth="1"/>
    <col min="11266" max="11266" width="11.54296875" customWidth="1"/>
    <col min="11267" max="11267" width="2.6328125" customWidth="1"/>
    <col min="11268" max="11268" width="11.08984375" bestFit="1" customWidth="1"/>
    <col min="11269" max="11269" width="25.453125" customWidth="1"/>
    <col min="11270" max="11270" width="8.54296875" customWidth="1"/>
    <col min="11271" max="11271" width="11" customWidth="1"/>
    <col min="11272" max="11272" width="5.6328125" bestFit="1" customWidth="1"/>
    <col min="11273" max="11273" width="9.6328125" customWidth="1"/>
    <col min="11274" max="11274" width="11.6328125" customWidth="1"/>
    <col min="11275" max="11275" width="6.08984375" customWidth="1"/>
    <col min="11276" max="11276" width="8.54296875" customWidth="1"/>
    <col min="11277" max="11277" width="10.6328125" customWidth="1"/>
    <col min="11278" max="11278" width="42.6328125" customWidth="1"/>
    <col min="11279" max="11280" width="11.453125" customWidth="1"/>
    <col min="11281" max="11281" width="13.36328125" customWidth="1"/>
    <col min="11282" max="11282" width="14.08984375" customWidth="1"/>
    <col min="11521" max="11521" width="11.54296875" bestFit="1" customWidth="1"/>
    <col min="11522" max="11522" width="11.54296875" customWidth="1"/>
    <col min="11523" max="11523" width="2.6328125" customWidth="1"/>
    <col min="11524" max="11524" width="11.08984375" bestFit="1" customWidth="1"/>
    <col min="11525" max="11525" width="25.453125" customWidth="1"/>
    <col min="11526" max="11526" width="8.54296875" customWidth="1"/>
    <col min="11527" max="11527" width="11" customWidth="1"/>
    <col min="11528" max="11528" width="5.6328125" bestFit="1" customWidth="1"/>
    <col min="11529" max="11529" width="9.6328125" customWidth="1"/>
    <col min="11530" max="11530" width="11.6328125" customWidth="1"/>
    <col min="11531" max="11531" width="6.08984375" customWidth="1"/>
    <col min="11532" max="11532" width="8.54296875" customWidth="1"/>
    <col min="11533" max="11533" width="10.6328125" customWidth="1"/>
    <col min="11534" max="11534" width="42.6328125" customWidth="1"/>
    <col min="11535" max="11536" width="11.453125" customWidth="1"/>
    <col min="11537" max="11537" width="13.36328125" customWidth="1"/>
    <col min="11538" max="11538" width="14.08984375" customWidth="1"/>
    <col min="11777" max="11777" width="11.54296875" bestFit="1" customWidth="1"/>
    <col min="11778" max="11778" width="11.54296875" customWidth="1"/>
    <col min="11779" max="11779" width="2.6328125" customWidth="1"/>
    <col min="11780" max="11780" width="11.08984375" bestFit="1" customWidth="1"/>
    <col min="11781" max="11781" width="25.453125" customWidth="1"/>
    <col min="11782" max="11782" width="8.54296875" customWidth="1"/>
    <col min="11783" max="11783" width="11" customWidth="1"/>
    <col min="11784" max="11784" width="5.6328125" bestFit="1" customWidth="1"/>
    <col min="11785" max="11785" width="9.6328125" customWidth="1"/>
    <col min="11786" max="11786" width="11.6328125" customWidth="1"/>
    <col min="11787" max="11787" width="6.08984375" customWidth="1"/>
    <col min="11788" max="11788" width="8.54296875" customWidth="1"/>
    <col min="11789" max="11789" width="10.6328125" customWidth="1"/>
    <col min="11790" max="11790" width="42.6328125" customWidth="1"/>
    <col min="11791" max="11792" width="11.453125" customWidth="1"/>
    <col min="11793" max="11793" width="13.36328125" customWidth="1"/>
    <col min="11794" max="11794" width="14.08984375" customWidth="1"/>
    <col min="12033" max="12033" width="11.54296875" bestFit="1" customWidth="1"/>
    <col min="12034" max="12034" width="11.54296875" customWidth="1"/>
    <col min="12035" max="12035" width="2.6328125" customWidth="1"/>
    <col min="12036" max="12036" width="11.08984375" bestFit="1" customWidth="1"/>
    <col min="12037" max="12037" width="25.453125" customWidth="1"/>
    <col min="12038" max="12038" width="8.54296875" customWidth="1"/>
    <col min="12039" max="12039" width="11" customWidth="1"/>
    <col min="12040" max="12040" width="5.6328125" bestFit="1" customWidth="1"/>
    <col min="12041" max="12041" width="9.6328125" customWidth="1"/>
    <col min="12042" max="12042" width="11.6328125" customWidth="1"/>
    <col min="12043" max="12043" width="6.08984375" customWidth="1"/>
    <col min="12044" max="12044" width="8.54296875" customWidth="1"/>
    <col min="12045" max="12045" width="10.6328125" customWidth="1"/>
    <col min="12046" max="12046" width="42.6328125" customWidth="1"/>
    <col min="12047" max="12048" width="11.453125" customWidth="1"/>
    <col min="12049" max="12049" width="13.36328125" customWidth="1"/>
    <col min="12050" max="12050" width="14.08984375" customWidth="1"/>
    <col min="12289" max="12289" width="11.54296875" bestFit="1" customWidth="1"/>
    <col min="12290" max="12290" width="11.54296875" customWidth="1"/>
    <col min="12291" max="12291" width="2.6328125" customWidth="1"/>
    <col min="12292" max="12292" width="11.08984375" bestFit="1" customWidth="1"/>
    <col min="12293" max="12293" width="25.453125" customWidth="1"/>
    <col min="12294" max="12294" width="8.54296875" customWidth="1"/>
    <col min="12295" max="12295" width="11" customWidth="1"/>
    <col min="12296" max="12296" width="5.6328125" bestFit="1" customWidth="1"/>
    <col min="12297" max="12297" width="9.6328125" customWidth="1"/>
    <col min="12298" max="12298" width="11.6328125" customWidth="1"/>
    <col min="12299" max="12299" width="6.08984375" customWidth="1"/>
    <col min="12300" max="12300" width="8.54296875" customWidth="1"/>
    <col min="12301" max="12301" width="10.6328125" customWidth="1"/>
    <col min="12302" max="12302" width="42.6328125" customWidth="1"/>
    <col min="12303" max="12304" width="11.453125" customWidth="1"/>
    <col min="12305" max="12305" width="13.36328125" customWidth="1"/>
    <col min="12306" max="12306" width="14.08984375" customWidth="1"/>
    <col min="12545" max="12545" width="11.54296875" bestFit="1" customWidth="1"/>
    <col min="12546" max="12546" width="11.54296875" customWidth="1"/>
    <col min="12547" max="12547" width="2.6328125" customWidth="1"/>
    <col min="12548" max="12548" width="11.08984375" bestFit="1" customWidth="1"/>
    <col min="12549" max="12549" width="25.453125" customWidth="1"/>
    <col min="12550" max="12550" width="8.54296875" customWidth="1"/>
    <col min="12551" max="12551" width="11" customWidth="1"/>
    <col min="12552" max="12552" width="5.6328125" bestFit="1" customWidth="1"/>
    <col min="12553" max="12553" width="9.6328125" customWidth="1"/>
    <col min="12554" max="12554" width="11.6328125" customWidth="1"/>
    <col min="12555" max="12555" width="6.08984375" customWidth="1"/>
    <col min="12556" max="12556" width="8.54296875" customWidth="1"/>
    <col min="12557" max="12557" width="10.6328125" customWidth="1"/>
    <col min="12558" max="12558" width="42.6328125" customWidth="1"/>
    <col min="12559" max="12560" width="11.453125" customWidth="1"/>
    <col min="12561" max="12561" width="13.36328125" customWidth="1"/>
    <col min="12562" max="12562" width="14.08984375" customWidth="1"/>
    <col min="12801" max="12801" width="11.54296875" bestFit="1" customWidth="1"/>
    <col min="12802" max="12802" width="11.54296875" customWidth="1"/>
    <col min="12803" max="12803" width="2.6328125" customWidth="1"/>
    <col min="12804" max="12804" width="11.08984375" bestFit="1" customWidth="1"/>
    <col min="12805" max="12805" width="25.453125" customWidth="1"/>
    <col min="12806" max="12806" width="8.54296875" customWidth="1"/>
    <col min="12807" max="12807" width="11" customWidth="1"/>
    <col min="12808" max="12808" width="5.6328125" bestFit="1" customWidth="1"/>
    <col min="12809" max="12809" width="9.6328125" customWidth="1"/>
    <col min="12810" max="12810" width="11.6328125" customWidth="1"/>
    <col min="12811" max="12811" width="6.08984375" customWidth="1"/>
    <col min="12812" max="12812" width="8.54296875" customWidth="1"/>
    <col min="12813" max="12813" width="10.6328125" customWidth="1"/>
    <col min="12814" max="12814" width="42.6328125" customWidth="1"/>
    <col min="12815" max="12816" width="11.453125" customWidth="1"/>
    <col min="12817" max="12817" width="13.36328125" customWidth="1"/>
    <col min="12818" max="12818" width="14.08984375" customWidth="1"/>
    <col min="13057" max="13057" width="11.54296875" bestFit="1" customWidth="1"/>
    <col min="13058" max="13058" width="11.54296875" customWidth="1"/>
    <col min="13059" max="13059" width="2.6328125" customWidth="1"/>
    <col min="13060" max="13060" width="11.08984375" bestFit="1" customWidth="1"/>
    <col min="13061" max="13061" width="25.453125" customWidth="1"/>
    <col min="13062" max="13062" width="8.54296875" customWidth="1"/>
    <col min="13063" max="13063" width="11" customWidth="1"/>
    <col min="13064" max="13064" width="5.6328125" bestFit="1" customWidth="1"/>
    <col min="13065" max="13065" width="9.6328125" customWidth="1"/>
    <col min="13066" max="13066" width="11.6328125" customWidth="1"/>
    <col min="13067" max="13067" width="6.08984375" customWidth="1"/>
    <col min="13068" max="13068" width="8.54296875" customWidth="1"/>
    <col min="13069" max="13069" width="10.6328125" customWidth="1"/>
    <col min="13070" max="13070" width="42.6328125" customWidth="1"/>
    <col min="13071" max="13072" width="11.453125" customWidth="1"/>
    <col min="13073" max="13073" width="13.36328125" customWidth="1"/>
    <col min="13074" max="13074" width="14.08984375" customWidth="1"/>
    <col min="13313" max="13313" width="11.54296875" bestFit="1" customWidth="1"/>
    <col min="13314" max="13314" width="11.54296875" customWidth="1"/>
    <col min="13315" max="13315" width="2.6328125" customWidth="1"/>
    <col min="13316" max="13316" width="11.08984375" bestFit="1" customWidth="1"/>
    <col min="13317" max="13317" width="25.453125" customWidth="1"/>
    <col min="13318" max="13318" width="8.54296875" customWidth="1"/>
    <col min="13319" max="13319" width="11" customWidth="1"/>
    <col min="13320" max="13320" width="5.6328125" bestFit="1" customWidth="1"/>
    <col min="13321" max="13321" width="9.6328125" customWidth="1"/>
    <col min="13322" max="13322" width="11.6328125" customWidth="1"/>
    <col min="13323" max="13323" width="6.08984375" customWidth="1"/>
    <col min="13324" max="13324" width="8.54296875" customWidth="1"/>
    <col min="13325" max="13325" width="10.6328125" customWidth="1"/>
    <col min="13326" max="13326" width="42.6328125" customWidth="1"/>
    <col min="13327" max="13328" width="11.453125" customWidth="1"/>
    <col min="13329" max="13329" width="13.36328125" customWidth="1"/>
    <col min="13330" max="13330" width="14.08984375" customWidth="1"/>
    <col min="13569" max="13569" width="11.54296875" bestFit="1" customWidth="1"/>
    <col min="13570" max="13570" width="11.54296875" customWidth="1"/>
    <col min="13571" max="13571" width="2.6328125" customWidth="1"/>
    <col min="13572" max="13572" width="11.08984375" bestFit="1" customWidth="1"/>
    <col min="13573" max="13573" width="25.453125" customWidth="1"/>
    <col min="13574" max="13574" width="8.54296875" customWidth="1"/>
    <col min="13575" max="13575" width="11" customWidth="1"/>
    <col min="13576" max="13576" width="5.6328125" bestFit="1" customWidth="1"/>
    <col min="13577" max="13577" width="9.6328125" customWidth="1"/>
    <col min="13578" max="13578" width="11.6328125" customWidth="1"/>
    <col min="13579" max="13579" width="6.08984375" customWidth="1"/>
    <col min="13580" max="13580" width="8.54296875" customWidth="1"/>
    <col min="13581" max="13581" width="10.6328125" customWidth="1"/>
    <col min="13582" max="13582" width="42.6328125" customWidth="1"/>
    <col min="13583" max="13584" width="11.453125" customWidth="1"/>
    <col min="13585" max="13585" width="13.36328125" customWidth="1"/>
    <col min="13586" max="13586" width="14.08984375" customWidth="1"/>
    <col min="13825" max="13825" width="11.54296875" bestFit="1" customWidth="1"/>
    <col min="13826" max="13826" width="11.54296875" customWidth="1"/>
    <col min="13827" max="13827" width="2.6328125" customWidth="1"/>
    <col min="13828" max="13828" width="11.08984375" bestFit="1" customWidth="1"/>
    <col min="13829" max="13829" width="25.453125" customWidth="1"/>
    <col min="13830" max="13830" width="8.54296875" customWidth="1"/>
    <col min="13831" max="13831" width="11" customWidth="1"/>
    <col min="13832" max="13832" width="5.6328125" bestFit="1" customWidth="1"/>
    <col min="13833" max="13833" width="9.6328125" customWidth="1"/>
    <col min="13834" max="13834" width="11.6328125" customWidth="1"/>
    <col min="13835" max="13835" width="6.08984375" customWidth="1"/>
    <col min="13836" max="13836" width="8.54296875" customWidth="1"/>
    <col min="13837" max="13837" width="10.6328125" customWidth="1"/>
    <col min="13838" max="13838" width="42.6328125" customWidth="1"/>
    <col min="13839" max="13840" width="11.453125" customWidth="1"/>
    <col min="13841" max="13841" width="13.36328125" customWidth="1"/>
    <col min="13842" max="13842" width="14.08984375" customWidth="1"/>
    <col min="14081" max="14081" width="11.54296875" bestFit="1" customWidth="1"/>
    <col min="14082" max="14082" width="11.54296875" customWidth="1"/>
    <col min="14083" max="14083" width="2.6328125" customWidth="1"/>
    <col min="14084" max="14084" width="11.08984375" bestFit="1" customWidth="1"/>
    <col min="14085" max="14085" width="25.453125" customWidth="1"/>
    <col min="14086" max="14086" width="8.54296875" customWidth="1"/>
    <col min="14087" max="14087" width="11" customWidth="1"/>
    <col min="14088" max="14088" width="5.6328125" bestFit="1" customWidth="1"/>
    <col min="14089" max="14089" width="9.6328125" customWidth="1"/>
    <col min="14090" max="14090" width="11.6328125" customWidth="1"/>
    <col min="14091" max="14091" width="6.08984375" customWidth="1"/>
    <col min="14092" max="14092" width="8.54296875" customWidth="1"/>
    <col min="14093" max="14093" width="10.6328125" customWidth="1"/>
    <col min="14094" max="14094" width="42.6328125" customWidth="1"/>
    <col min="14095" max="14096" width="11.453125" customWidth="1"/>
    <col min="14097" max="14097" width="13.36328125" customWidth="1"/>
    <col min="14098" max="14098" width="14.08984375" customWidth="1"/>
    <col min="14337" max="14337" width="11.54296875" bestFit="1" customWidth="1"/>
    <col min="14338" max="14338" width="11.54296875" customWidth="1"/>
    <col min="14339" max="14339" width="2.6328125" customWidth="1"/>
    <col min="14340" max="14340" width="11.08984375" bestFit="1" customWidth="1"/>
    <col min="14341" max="14341" width="25.453125" customWidth="1"/>
    <col min="14342" max="14342" width="8.54296875" customWidth="1"/>
    <col min="14343" max="14343" width="11" customWidth="1"/>
    <col min="14344" max="14344" width="5.6328125" bestFit="1" customWidth="1"/>
    <col min="14345" max="14345" width="9.6328125" customWidth="1"/>
    <col min="14346" max="14346" width="11.6328125" customWidth="1"/>
    <col min="14347" max="14347" width="6.08984375" customWidth="1"/>
    <col min="14348" max="14348" width="8.54296875" customWidth="1"/>
    <col min="14349" max="14349" width="10.6328125" customWidth="1"/>
    <col min="14350" max="14350" width="42.6328125" customWidth="1"/>
    <col min="14351" max="14352" width="11.453125" customWidth="1"/>
    <col min="14353" max="14353" width="13.36328125" customWidth="1"/>
    <col min="14354" max="14354" width="14.08984375" customWidth="1"/>
    <col min="14593" max="14593" width="11.54296875" bestFit="1" customWidth="1"/>
    <col min="14594" max="14594" width="11.54296875" customWidth="1"/>
    <col min="14595" max="14595" width="2.6328125" customWidth="1"/>
    <col min="14596" max="14596" width="11.08984375" bestFit="1" customWidth="1"/>
    <col min="14597" max="14597" width="25.453125" customWidth="1"/>
    <col min="14598" max="14598" width="8.54296875" customWidth="1"/>
    <col min="14599" max="14599" width="11" customWidth="1"/>
    <col min="14600" max="14600" width="5.6328125" bestFit="1" customWidth="1"/>
    <col min="14601" max="14601" width="9.6328125" customWidth="1"/>
    <col min="14602" max="14602" width="11.6328125" customWidth="1"/>
    <col min="14603" max="14603" width="6.08984375" customWidth="1"/>
    <col min="14604" max="14604" width="8.54296875" customWidth="1"/>
    <col min="14605" max="14605" width="10.6328125" customWidth="1"/>
    <col min="14606" max="14606" width="42.6328125" customWidth="1"/>
    <col min="14607" max="14608" width="11.453125" customWidth="1"/>
    <col min="14609" max="14609" width="13.36328125" customWidth="1"/>
    <col min="14610" max="14610" width="14.08984375" customWidth="1"/>
    <col min="14849" max="14849" width="11.54296875" bestFit="1" customWidth="1"/>
    <col min="14850" max="14850" width="11.54296875" customWidth="1"/>
    <col min="14851" max="14851" width="2.6328125" customWidth="1"/>
    <col min="14852" max="14852" width="11.08984375" bestFit="1" customWidth="1"/>
    <col min="14853" max="14853" width="25.453125" customWidth="1"/>
    <col min="14854" max="14854" width="8.54296875" customWidth="1"/>
    <col min="14855" max="14855" width="11" customWidth="1"/>
    <col min="14856" max="14856" width="5.6328125" bestFit="1" customWidth="1"/>
    <col min="14857" max="14857" width="9.6328125" customWidth="1"/>
    <col min="14858" max="14858" width="11.6328125" customWidth="1"/>
    <col min="14859" max="14859" width="6.08984375" customWidth="1"/>
    <col min="14860" max="14860" width="8.54296875" customWidth="1"/>
    <col min="14861" max="14861" width="10.6328125" customWidth="1"/>
    <col min="14862" max="14862" width="42.6328125" customWidth="1"/>
    <col min="14863" max="14864" width="11.453125" customWidth="1"/>
    <col min="14865" max="14865" width="13.36328125" customWidth="1"/>
    <col min="14866" max="14866" width="14.08984375" customWidth="1"/>
    <col min="15105" max="15105" width="11.54296875" bestFit="1" customWidth="1"/>
    <col min="15106" max="15106" width="11.54296875" customWidth="1"/>
    <col min="15107" max="15107" width="2.6328125" customWidth="1"/>
    <col min="15108" max="15108" width="11.08984375" bestFit="1" customWidth="1"/>
    <col min="15109" max="15109" width="25.453125" customWidth="1"/>
    <col min="15110" max="15110" width="8.54296875" customWidth="1"/>
    <col min="15111" max="15111" width="11" customWidth="1"/>
    <col min="15112" max="15112" width="5.6328125" bestFit="1" customWidth="1"/>
    <col min="15113" max="15113" width="9.6328125" customWidth="1"/>
    <col min="15114" max="15114" width="11.6328125" customWidth="1"/>
    <col min="15115" max="15115" width="6.08984375" customWidth="1"/>
    <col min="15116" max="15116" width="8.54296875" customWidth="1"/>
    <col min="15117" max="15117" width="10.6328125" customWidth="1"/>
    <col min="15118" max="15118" width="42.6328125" customWidth="1"/>
    <col min="15119" max="15120" width="11.453125" customWidth="1"/>
    <col min="15121" max="15121" width="13.36328125" customWidth="1"/>
    <col min="15122" max="15122" width="14.08984375" customWidth="1"/>
    <col min="15361" max="15361" width="11.54296875" bestFit="1" customWidth="1"/>
    <col min="15362" max="15362" width="11.54296875" customWidth="1"/>
    <col min="15363" max="15363" width="2.6328125" customWidth="1"/>
    <col min="15364" max="15364" width="11.08984375" bestFit="1" customWidth="1"/>
    <col min="15365" max="15365" width="25.453125" customWidth="1"/>
    <col min="15366" max="15366" width="8.54296875" customWidth="1"/>
    <col min="15367" max="15367" width="11" customWidth="1"/>
    <col min="15368" max="15368" width="5.6328125" bestFit="1" customWidth="1"/>
    <col min="15369" max="15369" width="9.6328125" customWidth="1"/>
    <col min="15370" max="15370" width="11.6328125" customWidth="1"/>
    <col min="15371" max="15371" width="6.08984375" customWidth="1"/>
    <col min="15372" max="15372" width="8.54296875" customWidth="1"/>
    <col min="15373" max="15373" width="10.6328125" customWidth="1"/>
    <col min="15374" max="15374" width="42.6328125" customWidth="1"/>
    <col min="15375" max="15376" width="11.453125" customWidth="1"/>
    <col min="15377" max="15377" width="13.36328125" customWidth="1"/>
    <col min="15378" max="15378" width="14.08984375" customWidth="1"/>
    <col min="15617" max="15617" width="11.54296875" bestFit="1" customWidth="1"/>
    <col min="15618" max="15618" width="11.54296875" customWidth="1"/>
    <col min="15619" max="15619" width="2.6328125" customWidth="1"/>
    <col min="15620" max="15620" width="11.08984375" bestFit="1" customWidth="1"/>
    <col min="15621" max="15621" width="25.453125" customWidth="1"/>
    <col min="15622" max="15622" width="8.54296875" customWidth="1"/>
    <col min="15623" max="15623" width="11" customWidth="1"/>
    <col min="15624" max="15624" width="5.6328125" bestFit="1" customWidth="1"/>
    <col min="15625" max="15625" width="9.6328125" customWidth="1"/>
    <col min="15626" max="15626" width="11.6328125" customWidth="1"/>
    <col min="15627" max="15627" width="6.08984375" customWidth="1"/>
    <col min="15628" max="15628" width="8.54296875" customWidth="1"/>
    <col min="15629" max="15629" width="10.6328125" customWidth="1"/>
    <col min="15630" max="15630" width="42.6328125" customWidth="1"/>
    <col min="15631" max="15632" width="11.453125" customWidth="1"/>
    <col min="15633" max="15633" width="13.36328125" customWidth="1"/>
    <col min="15634" max="15634" width="14.08984375" customWidth="1"/>
    <col min="15873" max="15873" width="11.54296875" bestFit="1" customWidth="1"/>
    <col min="15874" max="15874" width="11.54296875" customWidth="1"/>
    <col min="15875" max="15875" width="2.6328125" customWidth="1"/>
    <col min="15876" max="15876" width="11.08984375" bestFit="1" customWidth="1"/>
    <col min="15877" max="15877" width="25.453125" customWidth="1"/>
    <col min="15878" max="15878" width="8.54296875" customWidth="1"/>
    <col min="15879" max="15879" width="11" customWidth="1"/>
    <col min="15880" max="15880" width="5.6328125" bestFit="1" customWidth="1"/>
    <col min="15881" max="15881" width="9.6328125" customWidth="1"/>
    <col min="15882" max="15882" width="11.6328125" customWidth="1"/>
    <col min="15883" max="15883" width="6.08984375" customWidth="1"/>
    <col min="15884" max="15884" width="8.54296875" customWidth="1"/>
    <col min="15885" max="15885" width="10.6328125" customWidth="1"/>
    <col min="15886" max="15886" width="42.6328125" customWidth="1"/>
    <col min="15887" max="15888" width="11.453125" customWidth="1"/>
    <col min="15889" max="15889" width="13.36328125" customWidth="1"/>
    <col min="15890" max="15890" width="14.08984375" customWidth="1"/>
    <col min="16129" max="16129" width="11.54296875" bestFit="1" customWidth="1"/>
    <col min="16130" max="16130" width="11.54296875" customWidth="1"/>
    <col min="16131" max="16131" width="2.6328125" customWidth="1"/>
    <col min="16132" max="16132" width="11.08984375" bestFit="1" customWidth="1"/>
    <col min="16133" max="16133" width="25.453125" customWidth="1"/>
    <col min="16134" max="16134" width="8.54296875" customWidth="1"/>
    <col min="16135" max="16135" width="11" customWidth="1"/>
    <col min="16136" max="16136" width="5.6328125" bestFit="1" customWidth="1"/>
    <col min="16137" max="16137" width="9.6328125" customWidth="1"/>
    <col min="16138" max="16138" width="11.6328125" customWidth="1"/>
    <col min="16139" max="16139" width="6.08984375" customWidth="1"/>
    <col min="16140" max="16140" width="8.54296875" customWidth="1"/>
    <col min="16141" max="16141" width="10.6328125" customWidth="1"/>
    <col min="16142" max="16142" width="42.6328125" customWidth="1"/>
    <col min="16143" max="16144" width="11.453125" customWidth="1"/>
    <col min="16145" max="16145" width="13.36328125" customWidth="1"/>
    <col min="16146" max="16146" width="14.08984375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x14ac:dyDescent="0.35">
      <c r="A2" s="4">
        <v>45292</v>
      </c>
      <c r="B2" s="20" t="s">
        <v>118</v>
      </c>
      <c r="C2" s="25" t="s">
        <v>111</v>
      </c>
      <c r="D2" s="25" t="s">
        <v>116</v>
      </c>
      <c r="E2" s="25" t="s">
        <v>117</v>
      </c>
      <c r="F2" s="5" t="str">
        <f t="shared" ref="F2:F6" si="0">CONCATENATE(S2,B2," ",E2)</f>
        <v>2401C00698211 SECURITAS DIRECT ESPAÑA S.A.U.</v>
      </c>
      <c r="G2" s="17">
        <f t="shared" ref="G2:G54" si="1">M2/(1-K2/100+H2/100)</f>
        <v>30.553719008264462</v>
      </c>
      <c r="H2" s="18">
        <v>21</v>
      </c>
      <c r="I2" s="17">
        <f t="shared" ref="I2:I54" si="2">G2*H2/100</f>
        <v>6.4162809917355368</v>
      </c>
      <c r="J2" s="17">
        <f t="shared" ref="J2:J54" si="3">G2</f>
        <v>30.553719008264462</v>
      </c>
      <c r="K2" s="18">
        <v>0</v>
      </c>
      <c r="L2" s="17">
        <f t="shared" ref="L2:L54" si="4">J2*K2/100</f>
        <v>0</v>
      </c>
      <c r="M2" s="19">
        <v>36.97</v>
      </c>
      <c r="N2" s="38" t="s">
        <v>27</v>
      </c>
    </row>
    <row r="3" spans="1:19" x14ac:dyDescent="0.35">
      <c r="A3" s="4">
        <v>45292</v>
      </c>
      <c r="B3" s="20" t="s">
        <v>119</v>
      </c>
      <c r="C3" s="25" t="s">
        <v>111</v>
      </c>
      <c r="D3" s="25" t="s">
        <v>116</v>
      </c>
      <c r="E3" s="25" t="s">
        <v>117</v>
      </c>
      <c r="F3" s="5" t="str">
        <f t="shared" si="0"/>
        <v>2401C00402678 SECURITAS DIRECT ESPAÑA S.A.U.</v>
      </c>
      <c r="G3" s="17">
        <f t="shared" si="1"/>
        <v>28.388429752066116</v>
      </c>
      <c r="H3" s="18">
        <v>21</v>
      </c>
      <c r="I3" s="17">
        <f t="shared" si="2"/>
        <v>5.961570247933885</v>
      </c>
      <c r="J3" s="17">
        <f t="shared" si="3"/>
        <v>28.388429752066116</v>
      </c>
      <c r="K3" s="18">
        <v>0</v>
      </c>
      <c r="L3" s="17">
        <f t="shared" si="4"/>
        <v>0</v>
      </c>
      <c r="M3" s="19">
        <v>34.35</v>
      </c>
      <c r="N3" s="38" t="s">
        <v>27</v>
      </c>
    </row>
    <row r="4" spans="1:19" x14ac:dyDescent="0.35">
      <c r="A4" s="4">
        <v>45292</v>
      </c>
      <c r="B4" s="20" t="s">
        <v>120</v>
      </c>
      <c r="C4" s="25" t="s">
        <v>111</v>
      </c>
      <c r="D4" s="25" t="s">
        <v>116</v>
      </c>
      <c r="E4" s="25" t="s">
        <v>117</v>
      </c>
      <c r="F4" s="5" t="str">
        <f t="shared" si="0"/>
        <v>2401C00398966 SECURITAS DIRECT ESPAÑA S.A.U.</v>
      </c>
      <c r="G4" s="17">
        <f t="shared" si="1"/>
        <v>28.330578512396695</v>
      </c>
      <c r="H4" s="18">
        <v>21</v>
      </c>
      <c r="I4" s="17">
        <f t="shared" si="2"/>
        <v>5.9494214876033062</v>
      </c>
      <c r="J4" s="17">
        <f t="shared" si="3"/>
        <v>28.330578512396695</v>
      </c>
      <c r="K4" s="18">
        <v>0</v>
      </c>
      <c r="L4" s="17">
        <f t="shared" si="4"/>
        <v>0</v>
      </c>
      <c r="M4" s="19">
        <v>34.28</v>
      </c>
      <c r="N4" s="38" t="s">
        <v>27</v>
      </c>
    </row>
    <row r="5" spans="1:19" x14ac:dyDescent="0.35">
      <c r="A5" s="4">
        <v>45292</v>
      </c>
      <c r="B5" s="20" t="s">
        <v>136</v>
      </c>
      <c r="C5" s="25" t="s">
        <v>111</v>
      </c>
      <c r="D5" s="25" t="s">
        <v>134</v>
      </c>
      <c r="E5" s="25" t="s">
        <v>135</v>
      </c>
      <c r="F5" s="5" t="str">
        <f t="shared" si="0"/>
        <v>2024/000716 LANT ADVISORS, S.L.P.</v>
      </c>
      <c r="G5" s="17">
        <f t="shared" si="1"/>
        <v>55</v>
      </c>
      <c r="H5" s="18">
        <v>21</v>
      </c>
      <c r="I5" s="17">
        <f t="shared" si="2"/>
        <v>11.55</v>
      </c>
      <c r="J5" s="17">
        <f t="shared" si="3"/>
        <v>55</v>
      </c>
      <c r="K5" s="18">
        <v>0</v>
      </c>
      <c r="L5" s="17">
        <f t="shared" si="4"/>
        <v>0</v>
      </c>
      <c r="M5" s="19">
        <v>66.55</v>
      </c>
      <c r="N5" s="38"/>
    </row>
    <row r="6" spans="1:19" x14ac:dyDescent="0.35">
      <c r="A6" s="4">
        <v>45294</v>
      </c>
      <c r="B6" s="20" t="s">
        <v>186</v>
      </c>
      <c r="C6" s="25" t="s">
        <v>167</v>
      </c>
      <c r="D6" s="25" t="s">
        <v>187</v>
      </c>
      <c r="E6" s="25" t="s">
        <v>188</v>
      </c>
      <c r="F6" s="5" t="str">
        <f t="shared" si="0"/>
        <v>501/349.041 BOBEL, S.L.</v>
      </c>
      <c r="G6" s="17">
        <f t="shared" si="1"/>
        <v>5.785123966942149</v>
      </c>
      <c r="H6" s="18">
        <v>21</v>
      </c>
      <c r="I6" s="17">
        <f t="shared" si="2"/>
        <v>1.2148760330578512</v>
      </c>
      <c r="J6" s="17">
        <f t="shared" si="3"/>
        <v>5.785123966942149</v>
      </c>
      <c r="K6" s="18">
        <v>0</v>
      </c>
      <c r="L6" s="17">
        <f t="shared" si="4"/>
        <v>0</v>
      </c>
      <c r="M6" s="19">
        <v>7</v>
      </c>
      <c r="N6" s="38"/>
    </row>
    <row r="7" spans="1:19" x14ac:dyDescent="0.35">
      <c r="A7" s="20">
        <v>45296</v>
      </c>
      <c r="B7" s="25" t="s">
        <v>123</v>
      </c>
      <c r="C7" s="25" t="s">
        <v>111</v>
      </c>
      <c r="D7" s="16" t="s">
        <v>121</v>
      </c>
      <c r="E7" s="16" t="s">
        <v>122</v>
      </c>
      <c r="G7" s="17">
        <f t="shared" si="1"/>
        <v>96</v>
      </c>
      <c r="H7" s="18">
        <v>0</v>
      </c>
      <c r="I7" s="17">
        <f t="shared" si="2"/>
        <v>0</v>
      </c>
      <c r="J7" s="17">
        <f t="shared" si="3"/>
        <v>96</v>
      </c>
      <c r="K7" s="18">
        <v>0</v>
      </c>
      <c r="L7" s="17">
        <f t="shared" si="4"/>
        <v>0</v>
      </c>
      <c r="M7" s="19">
        <v>96</v>
      </c>
      <c r="N7" s="35"/>
    </row>
    <row r="8" spans="1:19" x14ac:dyDescent="0.35">
      <c r="A8" s="20">
        <v>45296</v>
      </c>
      <c r="B8" s="25" t="s">
        <v>170</v>
      </c>
      <c r="C8" s="25" t="s">
        <v>167</v>
      </c>
      <c r="D8" s="16" t="s">
        <v>168</v>
      </c>
      <c r="E8" s="16" t="s">
        <v>169</v>
      </c>
      <c r="F8" s="5" t="str">
        <f t="shared" ref="F8:F15" si="5">CONCATENATE(S8,B8," ",E8)</f>
        <v>70124FE000000040 SANTIAGO Y LYDIA DIAZ, S.L.</v>
      </c>
      <c r="G8" s="17">
        <f>M8/(1-K8/100+H8/100)</f>
        <v>83.84297520661157</v>
      </c>
      <c r="H8" s="18">
        <v>21</v>
      </c>
      <c r="I8" s="17">
        <f>G8*H8/100</f>
        <v>17.60702479338843</v>
      </c>
      <c r="J8" s="17">
        <f>G8</f>
        <v>83.84297520661157</v>
      </c>
      <c r="K8" s="18">
        <v>0</v>
      </c>
      <c r="L8" s="17">
        <f>J8*K8/100</f>
        <v>0</v>
      </c>
      <c r="M8" s="19">
        <v>101.45</v>
      </c>
      <c r="N8" s="38"/>
    </row>
    <row r="9" spans="1:19" x14ac:dyDescent="0.35">
      <c r="A9" s="20">
        <v>45296</v>
      </c>
      <c r="B9" s="2" t="s">
        <v>208</v>
      </c>
      <c r="C9" s="25" t="s">
        <v>167</v>
      </c>
      <c r="D9" s="25" t="s">
        <v>206</v>
      </c>
      <c r="E9" s="16" t="s">
        <v>207</v>
      </c>
      <c r="F9" s="5" t="str">
        <f t="shared" si="5"/>
        <v>RC EOS ES2024/524131 MAKSU ESPAÑA S.L.</v>
      </c>
      <c r="G9" s="5">
        <f t="shared" ref="G9:G10" si="6">M9/(1-K9/100+H9/100)</f>
        <v>0.5</v>
      </c>
      <c r="H9" s="18">
        <v>0</v>
      </c>
      <c r="I9" s="17">
        <f t="shared" ref="I9" si="7">G9*H9/100</f>
        <v>0</v>
      </c>
      <c r="J9" s="17">
        <f t="shared" ref="J9" si="8">G9</f>
        <v>0.5</v>
      </c>
      <c r="K9" s="18">
        <v>0</v>
      </c>
      <c r="L9" s="17">
        <f t="shared" ref="L9" si="9">J9*K9/100</f>
        <v>0</v>
      </c>
      <c r="M9" s="19">
        <v>0.5</v>
      </c>
      <c r="N9" s="38"/>
    </row>
    <row r="10" spans="1:19" x14ac:dyDescent="0.35">
      <c r="A10" s="20">
        <v>45296</v>
      </c>
      <c r="B10" s="2" t="s">
        <v>209</v>
      </c>
      <c r="C10" s="25" t="s">
        <v>167</v>
      </c>
      <c r="D10" s="25" t="s">
        <v>206</v>
      </c>
      <c r="E10" s="16" t="s">
        <v>207</v>
      </c>
      <c r="F10" s="5" t="str">
        <f t="shared" si="5"/>
        <v>FT EOS ES2024/28770 MAKSU ESPAÑA S.L.</v>
      </c>
      <c r="G10" s="5">
        <f t="shared" si="6"/>
        <v>4.9586776859504134E-2</v>
      </c>
      <c r="H10" s="18">
        <v>21</v>
      </c>
      <c r="I10" s="17">
        <f>G10*H10/100</f>
        <v>1.0413223140495869E-2</v>
      </c>
      <c r="J10" s="17">
        <f>G10</f>
        <v>4.9586776859504134E-2</v>
      </c>
      <c r="K10" s="18">
        <v>0</v>
      </c>
      <c r="L10" s="17">
        <f>J10*K10/100</f>
        <v>0</v>
      </c>
      <c r="M10" s="19">
        <v>0.06</v>
      </c>
      <c r="N10" s="38"/>
    </row>
    <row r="11" spans="1:19" x14ac:dyDescent="0.35">
      <c r="A11" s="20">
        <v>45299</v>
      </c>
      <c r="B11" s="2" t="s">
        <v>210</v>
      </c>
      <c r="C11" s="25" t="s">
        <v>167</v>
      </c>
      <c r="D11" s="25" t="s">
        <v>206</v>
      </c>
      <c r="E11" s="16" t="s">
        <v>207</v>
      </c>
      <c r="F11" s="5" t="str">
        <f t="shared" ref="F11:F12" si="10">CONCATENATE(S11,B11," ",E11)</f>
        <v>RC EOS ES2024/740396 MAKSU ESPAÑA S.L.</v>
      </c>
      <c r="G11" s="5">
        <f t="shared" ref="G11:G12" si="11">M11/(1-K11/100+H11/100)</f>
        <v>1.8</v>
      </c>
      <c r="H11" s="18">
        <v>0</v>
      </c>
      <c r="I11" s="17">
        <f t="shared" ref="I11" si="12">G11*H11/100</f>
        <v>0</v>
      </c>
      <c r="J11" s="17">
        <f t="shared" ref="J11" si="13">G11</f>
        <v>1.8</v>
      </c>
      <c r="K11" s="18">
        <v>0</v>
      </c>
      <c r="L11" s="17">
        <f t="shared" ref="L11" si="14">J11*K11/100</f>
        <v>0</v>
      </c>
      <c r="M11" s="19">
        <v>1.8</v>
      </c>
      <c r="N11" s="38"/>
    </row>
    <row r="12" spans="1:19" x14ac:dyDescent="0.35">
      <c r="A12" s="20">
        <v>45299</v>
      </c>
      <c r="B12" s="2" t="s">
        <v>211</v>
      </c>
      <c r="C12" s="25" t="s">
        <v>167</v>
      </c>
      <c r="D12" s="25" t="s">
        <v>206</v>
      </c>
      <c r="E12" s="16" t="s">
        <v>207</v>
      </c>
      <c r="F12" s="5" t="str">
        <f t="shared" si="10"/>
        <v>FT EOS ES2024/42140 MAKSU ESPAÑA S.L.</v>
      </c>
      <c r="G12" s="5">
        <f t="shared" si="11"/>
        <v>0.18181818181818182</v>
      </c>
      <c r="H12" s="18">
        <v>21</v>
      </c>
      <c r="I12" s="17">
        <f>G12*H12/100</f>
        <v>3.8181818181818185E-2</v>
      </c>
      <c r="J12" s="17">
        <f>G12</f>
        <v>0.18181818181818182</v>
      </c>
      <c r="K12" s="18">
        <v>0</v>
      </c>
      <c r="L12" s="17">
        <f>J12*K12/100</f>
        <v>0</v>
      </c>
      <c r="M12" s="19">
        <v>0.22</v>
      </c>
      <c r="N12" s="38"/>
    </row>
    <row r="13" spans="1:19" x14ac:dyDescent="0.35">
      <c r="A13" s="20">
        <v>45299</v>
      </c>
      <c r="B13" s="25" t="s">
        <v>191</v>
      </c>
      <c r="C13" s="25" t="s">
        <v>167</v>
      </c>
      <c r="D13" s="25" t="s">
        <v>189</v>
      </c>
      <c r="E13" s="25" t="s">
        <v>190</v>
      </c>
      <c r="F13" s="5" t="str">
        <f t="shared" si="5"/>
        <v>011-0001-679032 BRICOLAJE BRICOMAN, S.L.U.</v>
      </c>
      <c r="G13" s="17">
        <f>M13/(1-K13/100+H13/100)</f>
        <v>15.355371900826446</v>
      </c>
      <c r="H13" s="18">
        <v>21</v>
      </c>
      <c r="I13" s="17">
        <f>G13*H13/100</f>
        <v>3.2246280991735534</v>
      </c>
      <c r="J13" s="17">
        <f>G13</f>
        <v>15.355371900826446</v>
      </c>
      <c r="K13" s="18">
        <v>0</v>
      </c>
      <c r="L13" s="17">
        <f>J13*K13/100</f>
        <v>0</v>
      </c>
      <c r="M13" s="19">
        <v>18.579999999999998</v>
      </c>
      <c r="N13" s="38" t="s">
        <v>27</v>
      </c>
    </row>
    <row r="14" spans="1:19" x14ac:dyDescent="0.35">
      <c r="A14" s="20">
        <v>45299</v>
      </c>
      <c r="B14" s="2" t="s">
        <v>232</v>
      </c>
      <c r="C14" s="2" t="s">
        <v>111</v>
      </c>
      <c r="D14" s="2" t="s">
        <v>230</v>
      </c>
      <c r="E14" s="2" t="s">
        <v>231</v>
      </c>
      <c r="F14" s="5" t="str">
        <f t="shared" si="5"/>
        <v>S/F 09240108010090604 CURENERGÍA COMERCIALIZADOR DE ÚLTIMO RECURSO S.A.U.</v>
      </c>
      <c r="G14" s="5">
        <f t="shared" ref="G14:G15" si="15">M14/(1-K14/100+H14/100)</f>
        <v>20.581818181818182</v>
      </c>
      <c r="H14">
        <v>10</v>
      </c>
      <c r="I14" s="5">
        <f t="shared" ref="I14:I15" si="16">G14*H14/100</f>
        <v>2.0581818181818181</v>
      </c>
      <c r="J14" s="5">
        <f t="shared" ref="J14:J15" si="17">G14</f>
        <v>20.581818181818182</v>
      </c>
      <c r="K14">
        <v>0</v>
      </c>
      <c r="L14" s="5">
        <f t="shared" ref="L14:L15" si="18">J14*K14/100</f>
        <v>0</v>
      </c>
      <c r="M14" s="8">
        <v>22.64</v>
      </c>
      <c r="N14" s="2"/>
      <c r="S14" t="s">
        <v>19</v>
      </c>
    </row>
    <row r="15" spans="1:19" x14ac:dyDescent="0.35">
      <c r="A15" s="20">
        <v>45299</v>
      </c>
      <c r="B15" s="2" t="s">
        <v>311</v>
      </c>
      <c r="C15" s="2" t="s">
        <v>137</v>
      </c>
      <c r="D15" s="51" t="s">
        <v>310</v>
      </c>
      <c r="E15" s="52" t="s">
        <v>313</v>
      </c>
      <c r="F15" s="5" t="str">
        <f t="shared" si="5"/>
        <v>010101117482 MUTUA MADRILEÑA, S.S.A.P.F</v>
      </c>
      <c r="G15" s="5">
        <f t="shared" si="15"/>
        <v>583.03</v>
      </c>
      <c r="H15" s="18">
        <v>0</v>
      </c>
      <c r="I15" s="5">
        <f t="shared" si="16"/>
        <v>0</v>
      </c>
      <c r="J15" s="5">
        <f t="shared" si="17"/>
        <v>583.03</v>
      </c>
      <c r="K15" s="18">
        <v>0</v>
      </c>
      <c r="L15" s="5">
        <f t="shared" si="18"/>
        <v>0</v>
      </c>
      <c r="M15" s="8">
        <v>583.03</v>
      </c>
      <c r="N15" s="2"/>
    </row>
    <row r="16" spans="1:19" x14ac:dyDescent="0.35">
      <c r="A16" s="20">
        <v>45300</v>
      </c>
      <c r="B16" s="25" t="s">
        <v>126</v>
      </c>
      <c r="C16" s="25" t="s">
        <v>111</v>
      </c>
      <c r="D16" s="49" t="s">
        <v>124</v>
      </c>
      <c r="E16" s="16" t="s">
        <v>125</v>
      </c>
      <c r="F16" s="5" t="str">
        <f t="shared" ref="F16:F67" si="19">CONCATENATE(S16,B16," ",E16)</f>
        <v>189749851612 APPLE DISTRIBUTION INTERNATIONAL LTD.</v>
      </c>
      <c r="G16" s="17">
        <f t="shared" si="1"/>
        <v>2.4710743801652897</v>
      </c>
      <c r="H16" s="18">
        <v>21</v>
      </c>
      <c r="I16" s="17">
        <f t="shared" si="2"/>
        <v>0.51892561983471086</v>
      </c>
      <c r="J16" s="17">
        <f t="shared" si="3"/>
        <v>2.4710743801652897</v>
      </c>
      <c r="K16" s="18">
        <v>0</v>
      </c>
      <c r="L16" s="17">
        <f t="shared" si="4"/>
        <v>0</v>
      </c>
      <c r="M16" s="19">
        <v>2.99</v>
      </c>
      <c r="N16" s="35"/>
    </row>
    <row r="17" spans="1:19" x14ac:dyDescent="0.35">
      <c r="A17" s="20">
        <v>45301</v>
      </c>
      <c r="B17" s="25" t="s">
        <v>171</v>
      </c>
      <c r="C17" s="25" t="s">
        <v>167</v>
      </c>
      <c r="D17" s="16" t="s">
        <v>172</v>
      </c>
      <c r="E17" s="16" t="s">
        <v>173</v>
      </c>
      <c r="F17" s="5" t="str">
        <f t="shared" si="19"/>
        <v>83924FE000000132 CHEYPER S.L.</v>
      </c>
      <c r="G17" s="17">
        <f>M17/(1-K17/100+H17/100)</f>
        <v>69.553719008264466</v>
      </c>
      <c r="H17" s="18">
        <v>21</v>
      </c>
      <c r="I17" s="17">
        <f>G17*H17/100</f>
        <v>14.606280991735538</v>
      </c>
      <c r="J17" s="17">
        <f>G17</f>
        <v>69.553719008264466</v>
      </c>
      <c r="K17" s="18">
        <v>0</v>
      </c>
      <c r="L17" s="17">
        <f>J17*K17/100</f>
        <v>0</v>
      </c>
      <c r="M17" s="19">
        <v>84.16</v>
      </c>
      <c r="N17" s="38"/>
    </row>
    <row r="18" spans="1:19" x14ac:dyDescent="0.35">
      <c r="A18" s="20">
        <v>45301</v>
      </c>
      <c r="B18" s="25" t="s">
        <v>212</v>
      </c>
      <c r="C18" s="25" t="s">
        <v>167</v>
      </c>
      <c r="D18" s="16" t="s">
        <v>213</v>
      </c>
      <c r="E18" s="16" t="s">
        <v>214</v>
      </c>
      <c r="F18" s="5" t="str">
        <f t="shared" si="19"/>
        <v>FR41UN1BAEUI Amazon EU S.a.r.l., Succursale Française</v>
      </c>
      <c r="G18" s="17">
        <f>M18/(1-K18/100+H18/100)</f>
        <v>311.26</v>
      </c>
      <c r="H18" s="18">
        <v>0</v>
      </c>
      <c r="I18" s="17">
        <f>G18*H18/100</f>
        <v>0</v>
      </c>
      <c r="J18" s="17">
        <f>G18</f>
        <v>311.26</v>
      </c>
      <c r="K18" s="18">
        <v>0</v>
      </c>
      <c r="L18" s="17">
        <f>J18*K18/100</f>
        <v>0</v>
      </c>
      <c r="M18" s="19">
        <v>311.26</v>
      </c>
      <c r="N18" s="38"/>
    </row>
    <row r="19" spans="1:19" x14ac:dyDescent="0.35">
      <c r="A19" s="20">
        <v>45301</v>
      </c>
      <c r="B19" s="25" t="s">
        <v>212</v>
      </c>
      <c r="C19" s="25" t="s">
        <v>167</v>
      </c>
      <c r="D19" s="16" t="s">
        <v>213</v>
      </c>
      <c r="E19" s="16" t="s">
        <v>214</v>
      </c>
      <c r="F19" s="5" t="str">
        <f t="shared" ref="F19:F26" si="20">CONCATENATE(S19,B19," ",E19)</f>
        <v>FR41UN1BAEUI Amazon EU S.a.r.l., Succursale Française</v>
      </c>
      <c r="G19" s="17">
        <f>M19/(1-K19/100+H19/100)</f>
        <v>-311.26</v>
      </c>
      <c r="H19" s="18">
        <v>0</v>
      </c>
      <c r="I19" s="17">
        <f>G19*H19/100</f>
        <v>0</v>
      </c>
      <c r="J19" s="17">
        <f>G19</f>
        <v>-311.26</v>
      </c>
      <c r="K19" s="18">
        <v>0</v>
      </c>
      <c r="L19" s="17">
        <f>J19*K19/100</f>
        <v>0</v>
      </c>
      <c r="M19" s="19">
        <v>-311.26</v>
      </c>
      <c r="N19" s="38"/>
    </row>
    <row r="20" spans="1:19" x14ac:dyDescent="0.35">
      <c r="A20" s="20">
        <v>45302</v>
      </c>
      <c r="B20" s="2" t="s">
        <v>217</v>
      </c>
      <c r="C20" s="2" t="s">
        <v>111</v>
      </c>
      <c r="D20" s="2" t="s">
        <v>215</v>
      </c>
      <c r="E20" s="2" t="s">
        <v>216</v>
      </c>
      <c r="F20" s="5" t="str">
        <f t="shared" si="20"/>
        <v>610411606431 Repsol Comercializadora de Electricidad y Gas, S.L.U.</v>
      </c>
      <c r="G20" s="5">
        <f t="shared" ref="G20:G23" si="21">M20/(1-K20/100+H20/100)</f>
        <v>19.27272727272727</v>
      </c>
      <c r="H20" s="18">
        <v>10</v>
      </c>
      <c r="I20" s="5">
        <f t="shared" ref="I20:I21" si="22">G20*H20/100</f>
        <v>1.9272727272727268</v>
      </c>
      <c r="J20" s="5">
        <f t="shared" ref="J20:J21" si="23">G20</f>
        <v>19.27272727272727</v>
      </c>
      <c r="K20" s="18">
        <v>0</v>
      </c>
      <c r="L20" s="5">
        <f t="shared" ref="L20:L21" si="24">J20*K20/100</f>
        <v>0</v>
      </c>
      <c r="M20" s="8">
        <v>21.2</v>
      </c>
      <c r="N20" s="2"/>
    </row>
    <row r="21" spans="1:19" x14ac:dyDescent="0.35">
      <c r="A21" s="20">
        <v>45302</v>
      </c>
      <c r="B21" s="2" t="s">
        <v>218</v>
      </c>
      <c r="C21" s="25" t="s">
        <v>167</v>
      </c>
      <c r="D21" s="25" t="s">
        <v>206</v>
      </c>
      <c r="E21" s="16" t="s">
        <v>207</v>
      </c>
      <c r="F21" s="5" t="str">
        <f t="shared" si="20"/>
        <v>RC EOS ES2024/1388808 MAKSU ESPAÑA S.L.</v>
      </c>
      <c r="G21" s="5">
        <f t="shared" si="21"/>
        <v>0.35</v>
      </c>
      <c r="H21" s="18">
        <v>0</v>
      </c>
      <c r="I21" s="17">
        <f t="shared" si="22"/>
        <v>0</v>
      </c>
      <c r="J21" s="17">
        <f t="shared" si="23"/>
        <v>0.35</v>
      </c>
      <c r="K21" s="18">
        <v>0</v>
      </c>
      <c r="L21" s="17">
        <f t="shared" si="24"/>
        <v>0</v>
      </c>
      <c r="M21" s="19">
        <v>0.35</v>
      </c>
      <c r="N21" s="38"/>
    </row>
    <row r="22" spans="1:19" x14ac:dyDescent="0.35">
      <c r="A22" s="20">
        <v>45302</v>
      </c>
      <c r="B22" s="2" t="s">
        <v>219</v>
      </c>
      <c r="C22" s="25" t="s">
        <v>167</v>
      </c>
      <c r="D22" s="25" t="s">
        <v>206</v>
      </c>
      <c r="E22" s="16" t="s">
        <v>207</v>
      </c>
      <c r="F22" s="5" t="str">
        <f t="shared" si="20"/>
        <v>FT EOS ES2024/80816 MAKSU ESPAÑA S.L.</v>
      </c>
      <c r="G22" s="5">
        <f t="shared" si="21"/>
        <v>3.3057851239669422E-2</v>
      </c>
      <c r="H22" s="18">
        <v>21</v>
      </c>
      <c r="I22" s="17">
        <f>G22*H22/100</f>
        <v>6.9421487603305784E-3</v>
      </c>
      <c r="J22" s="17">
        <f>G22</f>
        <v>3.3057851239669422E-2</v>
      </c>
      <c r="K22" s="18">
        <v>0</v>
      </c>
      <c r="L22" s="17">
        <f>J22*K22/100</f>
        <v>0</v>
      </c>
      <c r="M22" s="19">
        <v>0.04</v>
      </c>
      <c r="N22" s="38"/>
    </row>
    <row r="23" spans="1:19" x14ac:dyDescent="0.35">
      <c r="A23" s="20">
        <v>45303</v>
      </c>
      <c r="B23" s="2" t="s">
        <v>222</v>
      </c>
      <c r="C23" s="2" t="s">
        <v>111</v>
      </c>
      <c r="D23" s="2" t="s">
        <v>220</v>
      </c>
      <c r="E23" s="2" t="s">
        <v>221</v>
      </c>
      <c r="F23" s="5" t="str">
        <f t="shared" si="20"/>
        <v>S/F FE24137000969353 Comercializadora Regulada, Gas &amp; Power, S.A.</v>
      </c>
      <c r="G23" s="5">
        <f t="shared" si="21"/>
        <v>14.836363636363636</v>
      </c>
      <c r="H23" s="18">
        <v>10</v>
      </c>
      <c r="I23" s="5">
        <f t="shared" ref="I23" si="25">G23*H23/100</f>
        <v>1.4836363636363636</v>
      </c>
      <c r="J23" s="5">
        <f t="shared" ref="J23" si="26">G23</f>
        <v>14.836363636363636</v>
      </c>
      <c r="K23" s="18">
        <v>0</v>
      </c>
      <c r="L23" s="5">
        <f t="shared" ref="L23" si="27">J23*K23/100</f>
        <v>0</v>
      </c>
      <c r="M23" s="8">
        <v>16.32</v>
      </c>
      <c r="N23" s="2"/>
      <c r="S23" t="s">
        <v>19</v>
      </c>
    </row>
    <row r="24" spans="1:19" x14ac:dyDescent="0.35">
      <c r="A24" s="20">
        <v>45304</v>
      </c>
      <c r="B24" s="25" t="s">
        <v>227</v>
      </c>
      <c r="C24" s="25" t="s">
        <v>111</v>
      </c>
      <c r="D24" s="16" t="s">
        <v>223</v>
      </c>
      <c r="E24" s="16" t="s">
        <v>224</v>
      </c>
      <c r="F24" s="5" t="str">
        <f t="shared" si="20"/>
        <v>FMDVAAH0020325 TELEFONICA DE ESPAÑA S.A.U.</v>
      </c>
      <c r="G24" s="17">
        <f>M24/(1-K24/100+H24/100)</f>
        <v>17.685950413223139</v>
      </c>
      <c r="H24" s="18">
        <v>21</v>
      </c>
      <c r="I24" s="17">
        <f>G24*H24/100</f>
        <v>3.7140495867768597</v>
      </c>
      <c r="J24" s="17">
        <f>G24</f>
        <v>17.685950413223139</v>
      </c>
      <c r="K24" s="18">
        <v>0</v>
      </c>
      <c r="L24" s="17">
        <f>J24*K24/100</f>
        <v>0</v>
      </c>
      <c r="M24" s="19">
        <v>21.4</v>
      </c>
      <c r="N24" s="38"/>
    </row>
    <row r="25" spans="1:19" x14ac:dyDescent="0.35">
      <c r="A25" s="20">
        <v>45304</v>
      </c>
      <c r="B25" s="20" t="s">
        <v>228</v>
      </c>
      <c r="C25" s="25" t="s">
        <v>111</v>
      </c>
      <c r="D25" s="25" t="s">
        <v>225</v>
      </c>
      <c r="E25" s="25" t="s">
        <v>226</v>
      </c>
      <c r="F25" s="5" t="str">
        <f t="shared" si="20"/>
        <v>MMDVAAH0006447 TELEFÓNICA MÓVILES ESPAÑA, S.A.</v>
      </c>
      <c r="G25" s="5">
        <f t="shared" ref="G25:G26" si="28">M25/(1-K25/100+H25/100)</f>
        <v>37.595041322314053</v>
      </c>
      <c r="H25" s="18">
        <v>21</v>
      </c>
      <c r="I25" s="17">
        <f t="shared" ref="I25:I26" si="29">G25*H25/100</f>
        <v>7.8949586776859508</v>
      </c>
      <c r="J25" s="17">
        <f t="shared" ref="J25:J26" si="30">G25</f>
        <v>37.595041322314053</v>
      </c>
      <c r="K25" s="18">
        <v>0</v>
      </c>
      <c r="L25" s="17">
        <f t="shared" ref="L25:L26" si="31">J25*K25/100</f>
        <v>0</v>
      </c>
      <c r="M25" s="19">
        <v>45.49</v>
      </c>
      <c r="N25" s="38"/>
    </row>
    <row r="26" spans="1:19" x14ac:dyDescent="0.35">
      <c r="A26" s="20">
        <v>45304</v>
      </c>
      <c r="B26" s="20" t="s">
        <v>229</v>
      </c>
      <c r="C26" s="25" t="s">
        <v>111</v>
      </c>
      <c r="D26" s="25" t="s">
        <v>225</v>
      </c>
      <c r="E26" s="25" t="s">
        <v>226</v>
      </c>
      <c r="F26" s="5" t="str">
        <f t="shared" si="20"/>
        <v>MMDVAAH0006448 TELEFÓNICA MÓVILES ESPAÑA, S.A.</v>
      </c>
      <c r="G26" s="5">
        <f t="shared" si="28"/>
        <v>21.446280991735538</v>
      </c>
      <c r="H26" s="18">
        <v>21</v>
      </c>
      <c r="I26" s="17">
        <f t="shared" si="29"/>
        <v>4.5037190082644631</v>
      </c>
      <c r="J26" s="17">
        <f t="shared" si="30"/>
        <v>21.446280991735538</v>
      </c>
      <c r="K26" s="18">
        <v>0</v>
      </c>
      <c r="L26" s="17">
        <f t="shared" si="31"/>
        <v>0</v>
      </c>
      <c r="M26" s="19">
        <v>25.95</v>
      </c>
      <c r="N26" s="38"/>
    </row>
    <row r="27" spans="1:19" x14ac:dyDescent="0.35">
      <c r="A27" s="4">
        <v>45306</v>
      </c>
      <c r="B27" s="2" t="s">
        <v>130</v>
      </c>
      <c r="C27" s="2" t="s">
        <v>111</v>
      </c>
      <c r="D27" s="2" t="s">
        <v>114</v>
      </c>
      <c r="E27" s="2" t="s">
        <v>115</v>
      </c>
      <c r="F27" s="5" t="str">
        <f t="shared" si="19"/>
        <v>S/F FR355554 ELECTRO MERCANTIL LEGANES D.A.M.,S.L.U.</v>
      </c>
      <c r="G27" s="5">
        <f t="shared" si="1"/>
        <v>808.09917355371897</v>
      </c>
      <c r="H27" s="18">
        <v>21</v>
      </c>
      <c r="I27" s="5">
        <f t="shared" si="2"/>
        <v>169.70082644628098</v>
      </c>
      <c r="J27" s="5">
        <f t="shared" si="3"/>
        <v>808.09917355371897</v>
      </c>
      <c r="K27" s="18">
        <v>0</v>
      </c>
      <c r="L27" s="5">
        <f t="shared" si="4"/>
        <v>0</v>
      </c>
      <c r="M27" s="8">
        <v>977.8</v>
      </c>
      <c r="N27" s="2"/>
      <c r="S27" t="s">
        <v>19</v>
      </c>
    </row>
    <row r="28" spans="1:19" x14ac:dyDescent="0.35">
      <c r="A28" s="4">
        <v>45306</v>
      </c>
      <c r="B28" s="25" t="s">
        <v>132</v>
      </c>
      <c r="C28" s="25" t="s">
        <v>111</v>
      </c>
      <c r="D28" s="25" t="s">
        <v>112</v>
      </c>
      <c r="E28" s="25" t="s">
        <v>113</v>
      </c>
      <c r="F28" s="5" t="str">
        <f t="shared" si="19"/>
        <v>H4F00245 HIPER ANTENA, S.A.</v>
      </c>
      <c r="G28" s="17">
        <f t="shared" si="1"/>
        <v>266.09090909090912</v>
      </c>
      <c r="H28" s="18">
        <v>21</v>
      </c>
      <c r="I28" s="17">
        <f t="shared" si="2"/>
        <v>55.87909090909092</v>
      </c>
      <c r="J28" s="17">
        <f t="shared" si="3"/>
        <v>266.09090909090912</v>
      </c>
      <c r="K28" s="18">
        <v>0</v>
      </c>
      <c r="L28" s="17">
        <f t="shared" si="4"/>
        <v>0</v>
      </c>
      <c r="M28" s="19">
        <v>321.97000000000003</v>
      </c>
      <c r="N28" s="38"/>
    </row>
    <row r="29" spans="1:19" x14ac:dyDescent="0.35">
      <c r="A29" s="4">
        <v>45306</v>
      </c>
      <c r="B29" s="25" t="s">
        <v>192</v>
      </c>
      <c r="C29" s="25" t="s">
        <v>167</v>
      </c>
      <c r="D29" s="25" t="s">
        <v>189</v>
      </c>
      <c r="E29" s="25" t="s">
        <v>190</v>
      </c>
      <c r="F29" s="5" t="str">
        <f t="shared" si="19"/>
        <v>018-0001-156112 BRICOLAJE BRICOMAN, S.L.U.</v>
      </c>
      <c r="G29" s="17">
        <f t="shared" ref="G29:G42" si="32">M29/(1-K29/100+H29/100)</f>
        <v>8.9008264462809912</v>
      </c>
      <c r="H29" s="18">
        <v>21</v>
      </c>
      <c r="I29" s="17">
        <f t="shared" ref="I29:I42" si="33">G29*H29/100</f>
        <v>1.8691735537190082</v>
      </c>
      <c r="J29" s="17">
        <f t="shared" ref="J29:J42" si="34">G29</f>
        <v>8.9008264462809912</v>
      </c>
      <c r="K29" s="18">
        <v>0</v>
      </c>
      <c r="L29" s="17">
        <f t="shared" ref="L29:L42" si="35">J29*K29/100</f>
        <v>0</v>
      </c>
      <c r="M29" s="19">
        <v>10.77</v>
      </c>
      <c r="N29" s="38" t="s">
        <v>27</v>
      </c>
    </row>
    <row r="30" spans="1:19" x14ac:dyDescent="0.35">
      <c r="A30" s="4">
        <v>45307</v>
      </c>
      <c r="B30" s="25" t="s">
        <v>296</v>
      </c>
      <c r="C30" s="25" t="s">
        <v>167</v>
      </c>
      <c r="D30" s="25" t="s">
        <v>297</v>
      </c>
      <c r="E30" s="25" t="s">
        <v>298</v>
      </c>
      <c r="F30" s="5" t="str">
        <f t="shared" si="19"/>
        <v>4167257 AENA S.M.E., S.A.</v>
      </c>
      <c r="G30" s="17">
        <f t="shared" si="32"/>
        <v>16.652892561983471</v>
      </c>
      <c r="H30" s="18">
        <v>21</v>
      </c>
      <c r="I30" s="17">
        <f t="shared" si="33"/>
        <v>3.497107438016529</v>
      </c>
      <c r="J30" s="17">
        <f t="shared" si="34"/>
        <v>16.652892561983471</v>
      </c>
      <c r="K30" s="18">
        <v>0</v>
      </c>
      <c r="L30" s="17">
        <f t="shared" si="35"/>
        <v>0</v>
      </c>
      <c r="M30" s="19">
        <v>20.149999999999999</v>
      </c>
      <c r="N30" s="38"/>
    </row>
    <row r="31" spans="1:19" x14ac:dyDescent="0.35">
      <c r="A31" s="4">
        <v>45307</v>
      </c>
      <c r="B31" s="25" t="s">
        <v>174</v>
      </c>
      <c r="C31" s="25" t="s">
        <v>167</v>
      </c>
      <c r="D31" s="16" t="s">
        <v>168</v>
      </c>
      <c r="E31" s="16" t="s">
        <v>169</v>
      </c>
      <c r="F31" s="5" t="str">
        <f t="shared" si="19"/>
        <v>70124FE000000187 SANTIAGO Y LYDIA DIAZ, S.L.</v>
      </c>
      <c r="G31" s="17">
        <f t="shared" si="32"/>
        <v>75.88429752066115</v>
      </c>
      <c r="H31" s="18">
        <v>21</v>
      </c>
      <c r="I31" s="17">
        <f t="shared" si="33"/>
        <v>15.93570247933884</v>
      </c>
      <c r="J31" s="17">
        <f t="shared" si="34"/>
        <v>75.88429752066115</v>
      </c>
      <c r="K31" s="18">
        <v>0</v>
      </c>
      <c r="L31" s="17">
        <f t="shared" si="35"/>
        <v>0</v>
      </c>
      <c r="M31" s="19">
        <v>91.82</v>
      </c>
      <c r="N31" s="38"/>
    </row>
    <row r="32" spans="1:19" x14ac:dyDescent="0.35">
      <c r="A32" s="4">
        <v>45308</v>
      </c>
      <c r="B32" s="25" t="s">
        <v>299</v>
      </c>
      <c r="C32" s="25" t="s">
        <v>167</v>
      </c>
      <c r="D32" s="25" t="s">
        <v>297</v>
      </c>
      <c r="E32" s="25" t="s">
        <v>298</v>
      </c>
      <c r="F32" s="5" t="str">
        <f t="shared" ref="F32" si="36">CONCATENATE(S32,B32," ",E32)</f>
        <v>4173801 AENA S.M.E., S.A.</v>
      </c>
      <c r="G32" s="17">
        <f t="shared" ref="G32" si="37">M32/(1-K32/100+H32/100)</f>
        <v>15.041322314049587</v>
      </c>
      <c r="H32" s="18">
        <v>21</v>
      </c>
      <c r="I32" s="17">
        <f t="shared" ref="I32" si="38">G32*H32/100</f>
        <v>3.1586776859504138</v>
      </c>
      <c r="J32" s="17">
        <f t="shared" ref="J32" si="39">G32</f>
        <v>15.041322314049587</v>
      </c>
      <c r="K32" s="18">
        <v>0</v>
      </c>
      <c r="L32" s="17">
        <f t="shared" ref="L32" si="40">J32*K32/100</f>
        <v>0</v>
      </c>
      <c r="M32" s="19">
        <v>18.2</v>
      </c>
      <c r="N32" s="38"/>
    </row>
    <row r="33" spans="1:14" x14ac:dyDescent="0.35">
      <c r="A33" s="4">
        <v>45309</v>
      </c>
      <c r="B33" s="25" t="s">
        <v>300</v>
      </c>
      <c r="C33" s="25" t="s">
        <v>167</v>
      </c>
      <c r="D33" s="25" t="s">
        <v>297</v>
      </c>
      <c r="E33" s="25" t="s">
        <v>298</v>
      </c>
      <c r="F33" s="5" t="str">
        <f t="shared" ref="F33" si="41">CONCATENATE(S33,B33," ",E33)</f>
        <v>4182266 AENA S.M.E., S.A.</v>
      </c>
      <c r="G33" s="17">
        <f t="shared" ref="G33" si="42">M33/(1-K33/100+H33/100)</f>
        <v>17.107438016528924</v>
      </c>
      <c r="H33" s="18">
        <v>21</v>
      </c>
      <c r="I33" s="17">
        <f t="shared" ref="I33" si="43">G33*H33/100</f>
        <v>3.5925619834710738</v>
      </c>
      <c r="J33" s="17">
        <f t="shared" ref="J33" si="44">G33</f>
        <v>17.107438016528924</v>
      </c>
      <c r="K33" s="18">
        <v>0</v>
      </c>
      <c r="L33" s="17">
        <f t="shared" ref="L33" si="45">J33*K33/100</f>
        <v>0</v>
      </c>
      <c r="M33" s="19">
        <v>20.7</v>
      </c>
      <c r="N33" s="38"/>
    </row>
    <row r="34" spans="1:14" x14ac:dyDescent="0.35">
      <c r="A34" s="4">
        <v>45309</v>
      </c>
      <c r="B34" s="25" t="s">
        <v>193</v>
      </c>
      <c r="C34" s="25" t="s">
        <v>167</v>
      </c>
      <c r="D34" s="25" t="s">
        <v>189</v>
      </c>
      <c r="E34" s="25" t="s">
        <v>190</v>
      </c>
      <c r="F34" s="5" t="str">
        <f t="shared" ref="F34:F38" si="46">CONCATENATE(S34,B34," ",E34)</f>
        <v>011-0001-694739 BRICOLAJE BRICOMAN, S.L.U.</v>
      </c>
      <c r="G34" s="17">
        <f t="shared" si="32"/>
        <v>3.7272727272727271</v>
      </c>
      <c r="H34" s="18">
        <v>21</v>
      </c>
      <c r="I34" s="17">
        <f t="shared" si="33"/>
        <v>0.78272727272727272</v>
      </c>
      <c r="J34" s="17">
        <f t="shared" si="34"/>
        <v>3.7272727272727271</v>
      </c>
      <c r="K34" s="18">
        <v>0</v>
      </c>
      <c r="L34" s="17">
        <f t="shared" si="35"/>
        <v>0</v>
      </c>
      <c r="M34" s="19">
        <v>4.51</v>
      </c>
      <c r="N34" s="38" t="s">
        <v>27</v>
      </c>
    </row>
    <row r="35" spans="1:14" x14ac:dyDescent="0.35">
      <c r="A35" s="4">
        <v>45309</v>
      </c>
      <c r="B35" s="25" t="s">
        <v>280</v>
      </c>
      <c r="C35" s="25" t="s">
        <v>167</v>
      </c>
      <c r="D35" s="25" t="s">
        <v>281</v>
      </c>
      <c r="E35" s="25" t="s">
        <v>282</v>
      </c>
      <c r="F35" s="5" t="str">
        <f t="shared" si="46"/>
        <v>04010500-4018001182 SOCIEDAD ESTATAL DE INFRAESTRUCTURAS DEL TRANSPORTE TERRESTRE, S.M.E., S.A.</v>
      </c>
      <c r="G35" s="17">
        <f t="shared" si="32"/>
        <v>2.3140495867768593</v>
      </c>
      <c r="H35" s="18">
        <v>21</v>
      </c>
      <c r="I35" s="17">
        <f t="shared" si="33"/>
        <v>0.48595041322314048</v>
      </c>
      <c r="J35" s="17">
        <f t="shared" si="34"/>
        <v>2.3140495867768593</v>
      </c>
      <c r="K35" s="18">
        <v>0</v>
      </c>
      <c r="L35" s="17">
        <f t="shared" si="35"/>
        <v>0</v>
      </c>
      <c r="M35" s="19">
        <v>2.8</v>
      </c>
      <c r="N35" s="38"/>
    </row>
    <row r="36" spans="1:14" x14ac:dyDescent="0.35">
      <c r="A36" s="4">
        <v>45310</v>
      </c>
      <c r="B36" s="2" t="s">
        <v>233</v>
      </c>
      <c r="C36" s="25" t="s">
        <v>167</v>
      </c>
      <c r="D36" s="25" t="s">
        <v>206</v>
      </c>
      <c r="E36" s="16" t="s">
        <v>207</v>
      </c>
      <c r="F36" s="5" t="str">
        <f t="shared" si="46"/>
        <v>RC EOS ES2024/2251216 MAKSU ESPAÑA S.L.</v>
      </c>
      <c r="G36" s="5">
        <f t="shared" si="32"/>
        <v>3.7</v>
      </c>
      <c r="H36" s="18">
        <v>0</v>
      </c>
      <c r="I36" s="17">
        <f t="shared" si="33"/>
        <v>0</v>
      </c>
      <c r="J36" s="17">
        <f t="shared" si="34"/>
        <v>3.7</v>
      </c>
      <c r="K36" s="18">
        <v>0</v>
      </c>
      <c r="L36" s="17">
        <f t="shared" si="35"/>
        <v>0</v>
      </c>
      <c r="M36" s="19">
        <v>3.7</v>
      </c>
      <c r="N36" s="38"/>
    </row>
    <row r="37" spans="1:14" x14ac:dyDescent="0.35">
      <c r="A37" s="20">
        <v>45310</v>
      </c>
      <c r="B37" s="2" t="s">
        <v>234</v>
      </c>
      <c r="C37" s="25" t="s">
        <v>167</v>
      </c>
      <c r="D37" s="25" t="s">
        <v>206</v>
      </c>
      <c r="E37" s="16" t="s">
        <v>207</v>
      </c>
      <c r="F37" s="5" t="str">
        <f t="shared" si="46"/>
        <v>FT EOS ES2024/133172 MAKSU ESPAÑA S.L.</v>
      </c>
      <c r="G37" s="5">
        <f t="shared" si="32"/>
        <v>0.37190082644628103</v>
      </c>
      <c r="H37" s="18">
        <v>21</v>
      </c>
      <c r="I37" s="17">
        <f>G37*H37/100</f>
        <v>7.8099173553719009E-2</v>
      </c>
      <c r="J37" s="17">
        <f>G37</f>
        <v>0.37190082644628103</v>
      </c>
      <c r="K37" s="18">
        <v>0</v>
      </c>
      <c r="L37" s="17">
        <f>J37*K37/100</f>
        <v>0</v>
      </c>
      <c r="M37" s="19">
        <v>0.45</v>
      </c>
      <c r="N37" s="38"/>
    </row>
    <row r="38" spans="1:14" x14ac:dyDescent="0.35">
      <c r="A38" s="20">
        <v>45313</v>
      </c>
      <c r="B38" s="25" t="s">
        <v>301</v>
      </c>
      <c r="C38" s="25" t="s">
        <v>167</v>
      </c>
      <c r="D38" s="25" t="s">
        <v>297</v>
      </c>
      <c r="E38" s="25" t="s">
        <v>298</v>
      </c>
      <c r="F38" s="5" t="str">
        <f t="shared" si="46"/>
        <v>4217039 AENA S.M.E., S.A.</v>
      </c>
      <c r="G38" s="17">
        <f t="shared" si="32"/>
        <v>14.008264462809917</v>
      </c>
      <c r="H38" s="18">
        <v>21</v>
      </c>
      <c r="I38" s="17">
        <f t="shared" ref="I38" si="47">G38*H38/100</f>
        <v>2.9417355371900826</v>
      </c>
      <c r="J38" s="17">
        <f t="shared" ref="J38" si="48">G38</f>
        <v>14.008264462809917</v>
      </c>
      <c r="K38" s="18">
        <v>0</v>
      </c>
      <c r="L38" s="17">
        <f t="shared" ref="L38" si="49">J38*K38/100</f>
        <v>0</v>
      </c>
      <c r="M38" s="19">
        <v>16.95</v>
      </c>
      <c r="N38" s="38"/>
    </row>
    <row r="39" spans="1:14" x14ac:dyDescent="0.35">
      <c r="A39" s="20">
        <v>45314</v>
      </c>
      <c r="B39" s="25" t="s">
        <v>302</v>
      </c>
      <c r="C39" s="25" t="s">
        <v>167</v>
      </c>
      <c r="D39" s="25" t="s">
        <v>297</v>
      </c>
      <c r="E39" s="25" t="s">
        <v>298</v>
      </c>
      <c r="F39" s="5" t="str">
        <f t="shared" ref="F39" si="50">CONCATENATE(S39,B39," ",E39)</f>
        <v>4224937 AENA S.M.E., S.A.</v>
      </c>
      <c r="G39" s="17">
        <f t="shared" ref="G39" si="51">M39/(1-K39/100+H39/100)</f>
        <v>24.793388429752067</v>
      </c>
      <c r="H39" s="18">
        <v>21</v>
      </c>
      <c r="I39" s="17">
        <f t="shared" ref="I39" si="52">G39*H39/100</f>
        <v>5.2066115702479339</v>
      </c>
      <c r="J39" s="17">
        <f t="shared" ref="J39" si="53">G39</f>
        <v>24.793388429752067</v>
      </c>
      <c r="K39" s="18">
        <v>0</v>
      </c>
      <c r="L39" s="17">
        <f t="shared" ref="L39" si="54">J39*K39/100</f>
        <v>0</v>
      </c>
      <c r="M39" s="19">
        <v>30</v>
      </c>
      <c r="N39" s="38"/>
    </row>
    <row r="40" spans="1:14" x14ac:dyDescent="0.35">
      <c r="A40" s="20">
        <v>45314</v>
      </c>
      <c r="B40" s="25" t="s">
        <v>194</v>
      </c>
      <c r="C40" s="25" t="s">
        <v>167</v>
      </c>
      <c r="D40" s="25" t="s">
        <v>189</v>
      </c>
      <c r="E40" s="25" t="s">
        <v>190</v>
      </c>
      <c r="F40" s="5" t="str">
        <f t="shared" ref="F40" si="55">CONCATENATE(S40,B40," ",E40)</f>
        <v>018-0001-169509 BRICOLAJE BRICOMAN, S.L.U.</v>
      </c>
      <c r="G40" s="17">
        <f t="shared" si="32"/>
        <v>49.553719008264466</v>
      </c>
      <c r="H40" s="18">
        <v>21</v>
      </c>
      <c r="I40" s="17">
        <f t="shared" si="33"/>
        <v>10.406280991735539</v>
      </c>
      <c r="J40" s="17">
        <f t="shared" si="34"/>
        <v>49.553719008264466</v>
      </c>
      <c r="K40" s="18">
        <v>0</v>
      </c>
      <c r="L40" s="17">
        <f t="shared" si="35"/>
        <v>0</v>
      </c>
      <c r="M40" s="19">
        <v>59.96</v>
      </c>
      <c r="N40" s="38" t="s">
        <v>27</v>
      </c>
    </row>
    <row r="41" spans="1:14" x14ac:dyDescent="0.35">
      <c r="A41" s="20">
        <v>45315</v>
      </c>
      <c r="B41" s="25" t="s">
        <v>195</v>
      </c>
      <c r="C41" s="25" t="s">
        <v>167</v>
      </c>
      <c r="D41" s="25" t="s">
        <v>189</v>
      </c>
      <c r="E41" s="25" t="s">
        <v>190</v>
      </c>
      <c r="F41" s="5" t="str">
        <f t="shared" ref="F41" si="56">CONCATENATE(S41,B41," ",E41)</f>
        <v>018-0001-171457 BRICOLAJE BRICOMAN, S.L.U.</v>
      </c>
      <c r="G41" s="17">
        <f t="shared" si="32"/>
        <v>27.074380165289256</v>
      </c>
      <c r="H41" s="18">
        <v>21</v>
      </c>
      <c r="I41" s="17">
        <f t="shared" si="33"/>
        <v>5.6856198347107441</v>
      </c>
      <c r="J41" s="17">
        <f t="shared" si="34"/>
        <v>27.074380165289256</v>
      </c>
      <c r="K41" s="18">
        <v>0</v>
      </c>
      <c r="L41" s="17">
        <f t="shared" si="35"/>
        <v>0</v>
      </c>
      <c r="M41" s="19">
        <v>32.76</v>
      </c>
      <c r="N41" s="38" t="s">
        <v>27</v>
      </c>
    </row>
    <row r="42" spans="1:14" x14ac:dyDescent="0.35">
      <c r="A42" s="20">
        <v>45315</v>
      </c>
      <c r="B42" s="25" t="s">
        <v>175</v>
      </c>
      <c r="C42" s="25" t="s">
        <v>167</v>
      </c>
      <c r="D42" s="16" t="s">
        <v>168</v>
      </c>
      <c r="E42" s="16" t="s">
        <v>169</v>
      </c>
      <c r="F42" s="5" t="str">
        <f t="shared" ref="F42" si="57">CONCATENATE(S42,B42," ",E42)</f>
        <v>70124FE000000283 SANTIAGO Y LYDIA DIAZ, S.L.</v>
      </c>
      <c r="G42" s="17">
        <f t="shared" si="32"/>
        <v>84.966942148760339</v>
      </c>
      <c r="H42" s="18">
        <v>21</v>
      </c>
      <c r="I42" s="17">
        <f t="shared" si="33"/>
        <v>17.843057851239671</v>
      </c>
      <c r="J42" s="17">
        <f t="shared" si="34"/>
        <v>84.966942148760339</v>
      </c>
      <c r="K42" s="18">
        <v>0</v>
      </c>
      <c r="L42" s="17">
        <f t="shared" si="35"/>
        <v>0</v>
      </c>
      <c r="M42" s="19">
        <v>102.81</v>
      </c>
      <c r="N42" s="38"/>
    </row>
    <row r="43" spans="1:14" x14ac:dyDescent="0.35">
      <c r="A43" s="20">
        <v>45316</v>
      </c>
      <c r="B43" s="25" t="s">
        <v>140</v>
      </c>
      <c r="C43" s="25" t="s">
        <v>137</v>
      </c>
      <c r="D43" s="25" t="s">
        <v>138</v>
      </c>
      <c r="E43" s="25" t="s">
        <v>139</v>
      </c>
      <c r="F43" s="5" t="str">
        <f t="shared" si="19"/>
        <v>55/24 TECNOLOGÍA DEL CONTROL ENERGÉTICO MADRID, S.L.</v>
      </c>
      <c r="G43" s="17">
        <f t="shared" si="1"/>
        <v>973.04958677685966</v>
      </c>
      <c r="H43" s="18">
        <v>21</v>
      </c>
      <c r="I43" s="17">
        <f t="shared" si="2"/>
        <v>204.34041322314053</v>
      </c>
      <c r="J43" s="17">
        <f t="shared" si="3"/>
        <v>973.04958677685966</v>
      </c>
      <c r="K43" s="18">
        <v>0</v>
      </c>
      <c r="L43" s="17">
        <f t="shared" si="4"/>
        <v>0</v>
      </c>
      <c r="M43" s="19">
        <v>1177.3900000000001</v>
      </c>
      <c r="N43" s="35"/>
    </row>
    <row r="44" spans="1:14" x14ac:dyDescent="0.35">
      <c r="A44" s="20">
        <v>45317</v>
      </c>
      <c r="B44" s="25" t="s">
        <v>237</v>
      </c>
      <c r="C44" s="25" t="s">
        <v>111</v>
      </c>
      <c r="D44" s="25" t="s">
        <v>235</v>
      </c>
      <c r="E44" s="25" t="s">
        <v>236</v>
      </c>
      <c r="F44" s="5" t="str">
        <f>CONCATENATE(S44,B44," ",E44)</f>
        <v>B5010124-00009978 ORANGE ESPAÑA VIRTUAL, S.L.U.</v>
      </c>
      <c r="G44" s="5">
        <f>M44/(1-K44/100+H44/100)</f>
        <v>12.396694214876034</v>
      </c>
      <c r="H44" s="18">
        <v>21</v>
      </c>
      <c r="I44" s="17">
        <f>G44*H44/100</f>
        <v>2.6033057851239669</v>
      </c>
      <c r="J44" s="17">
        <f>G44</f>
        <v>12.396694214876034</v>
      </c>
      <c r="K44" s="18">
        <v>0</v>
      </c>
      <c r="L44" s="17">
        <f>J44*K44/100</f>
        <v>0</v>
      </c>
      <c r="M44" s="19">
        <v>15</v>
      </c>
      <c r="N44" s="35"/>
    </row>
    <row r="45" spans="1:14" x14ac:dyDescent="0.35">
      <c r="A45" s="20">
        <v>45320</v>
      </c>
      <c r="B45" s="25" t="s">
        <v>196</v>
      </c>
      <c r="C45" s="25" t="s">
        <v>167</v>
      </c>
      <c r="D45" s="25" t="s">
        <v>189</v>
      </c>
      <c r="E45" s="25" t="s">
        <v>190</v>
      </c>
      <c r="F45" s="5" t="str">
        <f t="shared" si="19"/>
        <v>018-0001-179574 BRICOLAJE BRICOMAN, S.L.U.</v>
      </c>
      <c r="G45" s="17">
        <f>M45/(1-K45/100+H45/100)</f>
        <v>32.115702479338843</v>
      </c>
      <c r="H45" s="18">
        <v>21</v>
      </c>
      <c r="I45" s="17">
        <f>G45*H45/100</f>
        <v>6.7442975206611573</v>
      </c>
      <c r="J45" s="17">
        <f>G45</f>
        <v>32.115702479338843</v>
      </c>
      <c r="K45" s="18">
        <v>0</v>
      </c>
      <c r="L45" s="17">
        <f>J45*K45/100</f>
        <v>0</v>
      </c>
      <c r="M45" s="19">
        <v>38.86</v>
      </c>
      <c r="N45" s="38" t="s">
        <v>27</v>
      </c>
    </row>
    <row r="46" spans="1:14" x14ac:dyDescent="0.35">
      <c r="A46" s="4">
        <v>45320</v>
      </c>
      <c r="B46" s="25" t="s">
        <v>183</v>
      </c>
      <c r="C46" s="25" t="s">
        <v>167</v>
      </c>
      <c r="D46" s="25" t="s">
        <v>184</v>
      </c>
      <c r="E46" s="25" t="s">
        <v>185</v>
      </c>
      <c r="F46" s="5" t="str">
        <f t="shared" si="19"/>
        <v>24300240 SANCHEZ FILIO, S.L.</v>
      </c>
      <c r="G46" s="17">
        <f t="shared" si="1"/>
        <v>16.322314049586776</v>
      </c>
      <c r="H46" s="18">
        <v>21</v>
      </c>
      <c r="I46" s="17">
        <f t="shared" si="2"/>
        <v>3.4276859504132227</v>
      </c>
      <c r="J46" s="17">
        <f t="shared" si="3"/>
        <v>16.322314049586776</v>
      </c>
      <c r="K46" s="18">
        <v>0</v>
      </c>
      <c r="L46" s="17">
        <f t="shared" si="4"/>
        <v>0</v>
      </c>
      <c r="M46" s="19">
        <v>19.75</v>
      </c>
      <c r="N46" s="35"/>
    </row>
    <row r="47" spans="1:14" x14ac:dyDescent="0.35">
      <c r="A47" s="4">
        <v>45320</v>
      </c>
      <c r="B47" s="25" t="s">
        <v>291</v>
      </c>
      <c r="C47" s="25" t="s">
        <v>167</v>
      </c>
      <c r="D47" s="25" t="s">
        <v>292</v>
      </c>
      <c r="E47" s="25" t="s">
        <v>293</v>
      </c>
      <c r="F47" s="5" t="str">
        <f t="shared" si="19"/>
        <v>58024/702002944 BLANCO BERNAL 1998, S.L.</v>
      </c>
      <c r="G47" s="17">
        <f t="shared" si="1"/>
        <v>0.6198347107438017</v>
      </c>
      <c r="H47" s="18">
        <v>21</v>
      </c>
      <c r="I47" s="17">
        <f t="shared" si="2"/>
        <v>0.13016528925619836</v>
      </c>
      <c r="J47" s="17">
        <f t="shared" si="3"/>
        <v>0.6198347107438017</v>
      </c>
      <c r="K47" s="18">
        <v>0</v>
      </c>
      <c r="L47" s="17">
        <f t="shared" si="4"/>
        <v>0</v>
      </c>
      <c r="M47" s="19">
        <v>0.75</v>
      </c>
      <c r="N47" s="35"/>
    </row>
    <row r="48" spans="1:14" x14ac:dyDescent="0.35">
      <c r="A48" s="4">
        <v>45321</v>
      </c>
      <c r="B48" s="2" t="s">
        <v>238</v>
      </c>
      <c r="C48" s="25" t="s">
        <v>167</v>
      </c>
      <c r="D48" s="25" t="s">
        <v>206</v>
      </c>
      <c r="E48" s="16" t="s">
        <v>207</v>
      </c>
      <c r="F48" s="5" t="str">
        <f t="shared" si="19"/>
        <v>RC EOS ES2024/3498925 MAKSU ESPAÑA S.L.</v>
      </c>
      <c r="G48" s="5">
        <f t="shared" si="1"/>
        <v>0.3</v>
      </c>
      <c r="H48" s="18">
        <v>0</v>
      </c>
      <c r="I48" s="17">
        <f t="shared" si="2"/>
        <v>0</v>
      </c>
      <c r="J48" s="17">
        <f t="shared" si="3"/>
        <v>0.3</v>
      </c>
      <c r="K48" s="18">
        <v>0</v>
      </c>
      <c r="L48" s="17">
        <f t="shared" si="4"/>
        <v>0</v>
      </c>
      <c r="M48" s="19">
        <v>0.3</v>
      </c>
      <c r="N48" s="38"/>
    </row>
    <row r="49" spans="1:19" x14ac:dyDescent="0.35">
      <c r="A49" s="4">
        <v>45321</v>
      </c>
      <c r="B49" s="2" t="s">
        <v>239</v>
      </c>
      <c r="C49" s="25" t="s">
        <v>167</v>
      </c>
      <c r="D49" s="25" t="s">
        <v>206</v>
      </c>
      <c r="E49" s="16" t="s">
        <v>207</v>
      </c>
      <c r="F49" s="5" t="str">
        <f t="shared" si="19"/>
        <v>FT EOS ES2024/208549 MAKSU ESPAÑA S.L.</v>
      </c>
      <c r="G49" s="5">
        <f t="shared" si="1"/>
        <v>2.4793388429752067E-2</v>
      </c>
      <c r="H49" s="18">
        <v>21</v>
      </c>
      <c r="I49" s="17">
        <f>G49*H49/100</f>
        <v>5.2066115702479347E-3</v>
      </c>
      <c r="J49" s="17">
        <f>G49</f>
        <v>2.4793388429752067E-2</v>
      </c>
      <c r="K49" s="18">
        <v>0</v>
      </c>
      <c r="L49" s="17">
        <f>J49*K49/100</f>
        <v>0</v>
      </c>
      <c r="M49" s="19">
        <v>0.03</v>
      </c>
      <c r="N49" s="38"/>
    </row>
    <row r="50" spans="1:19" x14ac:dyDescent="0.35">
      <c r="A50" s="4">
        <v>45321</v>
      </c>
      <c r="B50" s="2" t="s">
        <v>283</v>
      </c>
      <c r="C50" s="25" t="s">
        <v>167</v>
      </c>
      <c r="D50" s="25" t="s">
        <v>284</v>
      </c>
      <c r="E50" s="16" t="s">
        <v>285</v>
      </c>
      <c r="F50" s="5" t="str">
        <f t="shared" si="19"/>
        <v>2612 COMUNIDAD DE PROPIETARIOS ZOCO DE POZUELO</v>
      </c>
      <c r="G50" s="5">
        <f t="shared" si="1"/>
        <v>3.1818181818181821</v>
      </c>
      <c r="H50" s="18">
        <v>21</v>
      </c>
      <c r="I50" s="17">
        <f>G50*H50/100</f>
        <v>0.66818181818181832</v>
      </c>
      <c r="J50" s="17">
        <f>G50</f>
        <v>3.1818181818181821</v>
      </c>
      <c r="K50" s="18">
        <v>0</v>
      </c>
      <c r="L50" s="17">
        <f>J50*K50/100</f>
        <v>0</v>
      </c>
      <c r="M50" s="19">
        <v>3.85</v>
      </c>
      <c r="N50" s="38"/>
    </row>
    <row r="51" spans="1:19" x14ac:dyDescent="0.35">
      <c r="A51" s="4">
        <v>45321</v>
      </c>
      <c r="B51" s="2" t="s">
        <v>286</v>
      </c>
      <c r="C51" s="25" t="s">
        <v>167</v>
      </c>
      <c r="D51" s="25" t="s">
        <v>287</v>
      </c>
      <c r="E51" s="16" t="s">
        <v>288</v>
      </c>
      <c r="F51" s="5" t="str">
        <f t="shared" si="19"/>
        <v>0188308 INMOBILIARIA PARIS, S.A.</v>
      </c>
      <c r="G51" s="5">
        <f t="shared" si="1"/>
        <v>0.6198347107438017</v>
      </c>
      <c r="H51" s="18">
        <v>21</v>
      </c>
      <c r="I51" s="17">
        <f>G51*H51/100</f>
        <v>0.13016528925619836</v>
      </c>
      <c r="J51" s="17">
        <f>G51</f>
        <v>0.6198347107438017</v>
      </c>
      <c r="K51" s="18">
        <v>0</v>
      </c>
      <c r="L51" s="17">
        <f>J51*K51/100</f>
        <v>0</v>
      </c>
      <c r="M51" s="19">
        <v>0.75</v>
      </c>
      <c r="N51" s="38"/>
    </row>
    <row r="52" spans="1:19" x14ac:dyDescent="0.35">
      <c r="A52" s="4">
        <v>45322</v>
      </c>
      <c r="B52" s="2" t="s">
        <v>131</v>
      </c>
      <c r="C52" s="2" t="s">
        <v>111</v>
      </c>
      <c r="D52" s="2" t="s">
        <v>114</v>
      </c>
      <c r="E52" s="2" t="s">
        <v>115</v>
      </c>
      <c r="F52" s="5" t="str">
        <f t="shared" ref="F52:F53" si="58">CONCATENATE(S52,B52," ",E52)</f>
        <v>S/F FR356074 ELECTRO MERCANTIL LEGANES D.A.M.,S.L.U.</v>
      </c>
      <c r="G52" s="5">
        <f t="shared" ref="G52:G53" si="59">M52/(1-K52/100+H52/100)</f>
        <v>3243.7107438016528</v>
      </c>
      <c r="H52" s="18">
        <v>21</v>
      </c>
      <c r="I52" s="5">
        <f t="shared" ref="I52:I53" si="60">G52*H52/100</f>
        <v>681.17925619834716</v>
      </c>
      <c r="J52" s="5">
        <f t="shared" ref="J52:J53" si="61">G52</f>
        <v>3243.7107438016528</v>
      </c>
      <c r="K52" s="18">
        <v>0</v>
      </c>
      <c r="L52" s="5">
        <f t="shared" ref="L52:L53" si="62">J52*K52/100</f>
        <v>0</v>
      </c>
      <c r="M52" s="8">
        <v>3924.89</v>
      </c>
      <c r="N52" s="2"/>
      <c r="S52" t="s">
        <v>19</v>
      </c>
    </row>
    <row r="53" spans="1:19" x14ac:dyDescent="0.35">
      <c r="A53" s="4">
        <v>45322</v>
      </c>
      <c r="B53" s="25" t="s">
        <v>133</v>
      </c>
      <c r="C53" s="25" t="s">
        <v>111</v>
      </c>
      <c r="D53" s="25" t="s">
        <v>112</v>
      </c>
      <c r="E53" s="25" t="s">
        <v>113</v>
      </c>
      <c r="F53" s="5" t="str">
        <f t="shared" si="58"/>
        <v>H4F00814 HIPER ANTENA, S.A.</v>
      </c>
      <c r="G53" s="17">
        <f t="shared" si="59"/>
        <v>942.37190082644634</v>
      </c>
      <c r="H53" s="18">
        <v>21</v>
      </c>
      <c r="I53" s="17">
        <f t="shared" si="60"/>
        <v>197.89809917355376</v>
      </c>
      <c r="J53" s="17">
        <f t="shared" si="61"/>
        <v>942.37190082644634</v>
      </c>
      <c r="K53" s="18">
        <v>0</v>
      </c>
      <c r="L53" s="17">
        <f t="shared" si="62"/>
        <v>0</v>
      </c>
      <c r="M53" s="19">
        <v>1140.27</v>
      </c>
      <c r="N53" s="38"/>
    </row>
    <row r="54" spans="1:19" x14ac:dyDescent="0.35">
      <c r="A54" s="4">
        <v>45322</v>
      </c>
      <c r="B54" s="25" t="s">
        <v>129</v>
      </c>
      <c r="C54" s="25" t="s">
        <v>111</v>
      </c>
      <c r="D54" s="25" t="s">
        <v>127</v>
      </c>
      <c r="E54" s="25" t="s">
        <v>128</v>
      </c>
      <c r="F54" s="5" t="str">
        <f t="shared" si="19"/>
        <v>F240117 CONTAMAR S.L.</v>
      </c>
      <c r="G54" s="5">
        <f t="shared" si="1"/>
        <v>254.79338842975207</v>
      </c>
      <c r="H54" s="18">
        <v>21</v>
      </c>
      <c r="I54" s="17">
        <f t="shared" si="2"/>
        <v>53.506611570247934</v>
      </c>
      <c r="J54" s="17">
        <f t="shared" si="3"/>
        <v>254.79338842975207</v>
      </c>
      <c r="K54" s="18">
        <v>0</v>
      </c>
      <c r="L54" s="17">
        <f t="shared" si="4"/>
        <v>0</v>
      </c>
      <c r="M54" s="19">
        <v>308.3</v>
      </c>
      <c r="N54" s="38"/>
    </row>
    <row r="55" spans="1:19" x14ac:dyDescent="0.35">
      <c r="A55" s="4">
        <v>45322</v>
      </c>
      <c r="B55" s="25" t="s">
        <v>240</v>
      </c>
      <c r="C55" s="25" t="s">
        <v>167</v>
      </c>
      <c r="D55" s="16" t="s">
        <v>213</v>
      </c>
      <c r="E55" s="16" t="s">
        <v>214</v>
      </c>
      <c r="F55" s="5" t="str">
        <f t="shared" ref="F55" si="63">CONCATENATE(S55,B55," ",E55)</f>
        <v>FR45ED56AEUI Amazon EU S.a.r.l., Succursale Française</v>
      </c>
      <c r="G55" s="17">
        <f>M55/(1-K55/100+H55/100)</f>
        <v>94.96</v>
      </c>
      <c r="H55" s="18">
        <v>0</v>
      </c>
      <c r="I55" s="17">
        <f>G55*H55/100</f>
        <v>0</v>
      </c>
      <c r="J55" s="17">
        <f>G55</f>
        <v>94.96</v>
      </c>
      <c r="K55" s="18">
        <v>0</v>
      </c>
      <c r="L55" s="17">
        <f>J55*K55/100</f>
        <v>0</v>
      </c>
      <c r="M55" s="19">
        <v>94.96</v>
      </c>
      <c r="N55" s="38"/>
    </row>
    <row r="56" spans="1:19" x14ac:dyDescent="0.35">
      <c r="A56" s="4">
        <v>45323</v>
      </c>
      <c r="B56" s="20" t="s">
        <v>141</v>
      </c>
      <c r="C56" s="25" t="s">
        <v>111</v>
      </c>
      <c r="D56" s="25" t="s">
        <v>116</v>
      </c>
      <c r="E56" s="25" t="s">
        <v>117</v>
      </c>
      <c r="F56" s="5" t="str">
        <f t="shared" si="19"/>
        <v>2402C00509534 SECURITAS DIRECT ESPAÑA S.A.U.</v>
      </c>
      <c r="G56" s="17">
        <f t="shared" ref="G56:G104" si="64">M56/(1-K56/100+H56/100)</f>
        <v>30.553719008264462</v>
      </c>
      <c r="H56" s="18">
        <v>21</v>
      </c>
      <c r="I56" s="17">
        <f t="shared" ref="I56:I104" si="65">G56*H56/100</f>
        <v>6.4162809917355368</v>
      </c>
      <c r="J56" s="17">
        <f t="shared" ref="J56:J104" si="66">G56</f>
        <v>30.553719008264462</v>
      </c>
      <c r="K56" s="18">
        <v>0</v>
      </c>
      <c r="L56" s="17">
        <f t="shared" ref="L56:L104" si="67">J56*K56/100</f>
        <v>0</v>
      </c>
      <c r="M56" s="19">
        <v>36.97</v>
      </c>
      <c r="N56" s="38" t="s">
        <v>27</v>
      </c>
    </row>
    <row r="57" spans="1:19" x14ac:dyDescent="0.35">
      <c r="A57" s="4">
        <v>45323</v>
      </c>
      <c r="B57" s="20" t="s">
        <v>143</v>
      </c>
      <c r="C57" s="25" t="s">
        <v>111</v>
      </c>
      <c r="D57" s="25" t="s">
        <v>116</v>
      </c>
      <c r="E57" s="25" t="s">
        <v>117</v>
      </c>
      <c r="F57" s="5" t="str">
        <f t="shared" si="19"/>
        <v>2402C00391589 SECURITAS DIRECT ESPAÑA S.A.U.</v>
      </c>
      <c r="G57" s="17">
        <f t="shared" si="64"/>
        <v>28.388429752066116</v>
      </c>
      <c r="H57" s="18">
        <v>21</v>
      </c>
      <c r="I57" s="17">
        <f t="shared" si="65"/>
        <v>5.961570247933885</v>
      </c>
      <c r="J57" s="17">
        <f t="shared" si="66"/>
        <v>28.388429752066116</v>
      </c>
      <c r="K57" s="18">
        <v>0</v>
      </c>
      <c r="L57" s="17">
        <f t="shared" si="67"/>
        <v>0</v>
      </c>
      <c r="M57" s="19">
        <v>34.35</v>
      </c>
      <c r="N57" s="38" t="s">
        <v>27</v>
      </c>
    </row>
    <row r="58" spans="1:19" x14ac:dyDescent="0.35">
      <c r="A58" s="4">
        <v>45323</v>
      </c>
      <c r="B58" s="20" t="s">
        <v>142</v>
      </c>
      <c r="C58" s="25" t="s">
        <v>111</v>
      </c>
      <c r="D58" s="25" t="s">
        <v>116</v>
      </c>
      <c r="E58" s="25" t="s">
        <v>117</v>
      </c>
      <c r="F58" s="5" t="str">
        <f t="shared" si="19"/>
        <v>2402C00396712 SECURITAS DIRECT ESPAÑA S.A.U.</v>
      </c>
      <c r="G58" s="17">
        <f t="shared" si="64"/>
        <v>28.330578512396695</v>
      </c>
      <c r="H58" s="18">
        <v>21</v>
      </c>
      <c r="I58" s="17">
        <f t="shared" si="65"/>
        <v>5.9494214876033062</v>
      </c>
      <c r="J58" s="17">
        <f t="shared" si="66"/>
        <v>28.330578512396695</v>
      </c>
      <c r="K58" s="18">
        <v>0</v>
      </c>
      <c r="L58" s="17">
        <f t="shared" si="67"/>
        <v>0</v>
      </c>
      <c r="M58" s="19">
        <v>34.28</v>
      </c>
      <c r="N58" s="38" t="s">
        <v>27</v>
      </c>
    </row>
    <row r="59" spans="1:19" x14ac:dyDescent="0.35">
      <c r="A59" s="4">
        <v>45323</v>
      </c>
      <c r="B59" s="2" t="s">
        <v>241</v>
      </c>
      <c r="C59" s="25" t="s">
        <v>167</v>
      </c>
      <c r="D59" s="25" t="s">
        <v>206</v>
      </c>
      <c r="E59" s="16" t="s">
        <v>207</v>
      </c>
      <c r="F59" s="5" t="str">
        <f t="shared" ref="F59:F60" si="68">CONCATENATE(S59,B59," ",E59)</f>
        <v>RC EOS ES2024/3862664 MAKSU ESPAÑA S.L.</v>
      </c>
      <c r="G59" s="5">
        <f t="shared" si="64"/>
        <v>0.35</v>
      </c>
      <c r="H59" s="18">
        <v>0</v>
      </c>
      <c r="I59" s="17">
        <f t="shared" si="65"/>
        <v>0</v>
      </c>
      <c r="J59" s="17">
        <f t="shared" si="66"/>
        <v>0.35</v>
      </c>
      <c r="K59" s="18">
        <v>0</v>
      </c>
      <c r="L59" s="17">
        <f t="shared" si="67"/>
        <v>0</v>
      </c>
      <c r="M59" s="19">
        <v>0.35</v>
      </c>
      <c r="N59" s="38"/>
    </row>
    <row r="60" spans="1:19" x14ac:dyDescent="0.35">
      <c r="A60" s="4">
        <v>45323</v>
      </c>
      <c r="B60" s="2" t="s">
        <v>242</v>
      </c>
      <c r="C60" s="25" t="s">
        <v>167</v>
      </c>
      <c r="D60" s="25" t="s">
        <v>206</v>
      </c>
      <c r="E60" s="16" t="s">
        <v>207</v>
      </c>
      <c r="F60" s="5" t="str">
        <f t="shared" si="68"/>
        <v>FT EOS ES2024/230257 MAKSU ESPAÑA S.L.</v>
      </c>
      <c r="G60" s="5">
        <f t="shared" si="64"/>
        <v>3.3057851239669422E-2</v>
      </c>
      <c r="H60" s="18">
        <v>21</v>
      </c>
      <c r="I60" s="17">
        <f>G60*H60/100</f>
        <v>6.9421487603305784E-3</v>
      </c>
      <c r="J60" s="17">
        <f>G60</f>
        <v>3.3057851239669422E-2</v>
      </c>
      <c r="K60" s="18">
        <v>0</v>
      </c>
      <c r="L60" s="17">
        <f>J60*K60/100</f>
        <v>0</v>
      </c>
      <c r="M60" s="19">
        <v>0.04</v>
      </c>
      <c r="N60" s="38"/>
    </row>
    <row r="61" spans="1:19" x14ac:dyDescent="0.35">
      <c r="A61" s="4">
        <v>45323</v>
      </c>
      <c r="B61" s="25" t="s">
        <v>176</v>
      </c>
      <c r="C61" s="25" t="s">
        <v>167</v>
      </c>
      <c r="D61" s="16" t="s">
        <v>172</v>
      </c>
      <c r="E61" s="16" t="s">
        <v>173</v>
      </c>
      <c r="F61" s="5" t="str">
        <f t="shared" ref="F61:F65" si="69">CONCATENATE(S61,B61," ",E61)</f>
        <v>83924FE000000472 CHEYPER S.L.</v>
      </c>
      <c r="G61" s="17">
        <f>M61/(1-K61/100+H61/100)</f>
        <v>81.43801652892563</v>
      </c>
      <c r="H61" s="18">
        <v>21</v>
      </c>
      <c r="I61" s="17">
        <f>G61*H61/100</f>
        <v>17.10198347107438</v>
      </c>
      <c r="J61" s="17">
        <f>G61</f>
        <v>81.43801652892563</v>
      </c>
      <c r="K61" s="18">
        <v>0</v>
      </c>
      <c r="L61" s="17">
        <f>J61*K61/100</f>
        <v>0</v>
      </c>
      <c r="M61" s="19">
        <v>98.54</v>
      </c>
      <c r="N61" s="38"/>
    </row>
    <row r="62" spans="1:19" x14ac:dyDescent="0.35">
      <c r="A62" s="20">
        <v>45327</v>
      </c>
      <c r="B62" s="25" t="s">
        <v>197</v>
      </c>
      <c r="C62" s="25" t="s">
        <v>167</v>
      </c>
      <c r="D62" s="25" t="s">
        <v>189</v>
      </c>
      <c r="E62" s="25" t="s">
        <v>190</v>
      </c>
      <c r="F62" s="5" t="str">
        <f t="shared" si="69"/>
        <v>018-0002-191978 BRICOLAJE BRICOMAN, S.L.U.</v>
      </c>
      <c r="G62" s="17">
        <f>M62/(1-K62/100+H62/100)</f>
        <v>1.4049586776859504</v>
      </c>
      <c r="H62" s="18">
        <v>21</v>
      </c>
      <c r="I62" s="17">
        <f>G62*H62/100</f>
        <v>0.29504132231404961</v>
      </c>
      <c r="J62" s="17">
        <f>G62</f>
        <v>1.4049586776859504</v>
      </c>
      <c r="K62" s="18">
        <v>0</v>
      </c>
      <c r="L62" s="17">
        <f>J62*K62/100</f>
        <v>0</v>
      </c>
      <c r="M62" s="19">
        <v>1.7</v>
      </c>
      <c r="N62" s="38" t="s">
        <v>27</v>
      </c>
    </row>
    <row r="63" spans="1:19" x14ac:dyDescent="0.35">
      <c r="A63" s="20">
        <v>45327</v>
      </c>
      <c r="B63" s="2" t="s">
        <v>306</v>
      </c>
      <c r="C63" s="2" t="s">
        <v>167</v>
      </c>
      <c r="D63" s="2" t="s">
        <v>304</v>
      </c>
      <c r="E63" s="2" t="s">
        <v>305</v>
      </c>
      <c r="F63" s="5" t="str">
        <f t="shared" si="69"/>
        <v>S/F 031593/A/24/000667 Repsol Comercial de Productos Petrolíferos, S.A.</v>
      </c>
      <c r="G63" s="5">
        <f t="shared" ref="G63" si="70">M63/(1-K63/100+H63/100)</f>
        <v>57.239669421487612</v>
      </c>
      <c r="H63" s="18">
        <v>21</v>
      </c>
      <c r="I63" s="5">
        <f t="shared" ref="I63" si="71">G63*H63/100</f>
        <v>12.020330578512398</v>
      </c>
      <c r="J63" s="5">
        <f t="shared" ref="J63" si="72">G63</f>
        <v>57.239669421487612</v>
      </c>
      <c r="K63" s="18">
        <v>0</v>
      </c>
      <c r="L63" s="5">
        <f t="shared" ref="L63" si="73">J63*K63/100</f>
        <v>0</v>
      </c>
      <c r="M63" s="8">
        <v>69.260000000000005</v>
      </c>
      <c r="N63" s="2"/>
      <c r="S63" t="s">
        <v>19</v>
      </c>
    </row>
    <row r="64" spans="1:19" x14ac:dyDescent="0.35">
      <c r="A64" s="20">
        <v>45328</v>
      </c>
      <c r="B64" s="2" t="s">
        <v>243</v>
      </c>
      <c r="C64" s="2" t="s">
        <v>111</v>
      </c>
      <c r="D64" s="2" t="s">
        <v>230</v>
      </c>
      <c r="E64" s="2" t="s">
        <v>231</v>
      </c>
      <c r="F64" s="5" t="str">
        <f t="shared" si="69"/>
        <v>S/F 09240206010045194 CURENERGÍA COMERCIALIZADOR DE ÚLTIMO RECURSO S.A.U.</v>
      </c>
      <c r="G64" s="5">
        <f t="shared" ref="G64" si="74">M64/(1-K64/100+H64/100)</f>
        <v>20.072727272727271</v>
      </c>
      <c r="H64">
        <v>10</v>
      </c>
      <c r="I64" s="5">
        <f t="shared" ref="I64" si="75">G64*H64/100</f>
        <v>2.0072727272727269</v>
      </c>
      <c r="J64" s="5">
        <f t="shared" ref="J64" si="76">G64</f>
        <v>20.072727272727271</v>
      </c>
      <c r="K64">
        <v>0</v>
      </c>
      <c r="L64" s="5">
        <f t="shared" ref="L64" si="77">J64*K64/100</f>
        <v>0</v>
      </c>
      <c r="M64" s="8">
        <v>22.08</v>
      </c>
      <c r="N64" s="2"/>
      <c r="S64" t="s">
        <v>19</v>
      </c>
    </row>
    <row r="65" spans="1:19" x14ac:dyDescent="0.35">
      <c r="A65" s="20">
        <v>45329</v>
      </c>
      <c r="B65" s="25" t="s">
        <v>177</v>
      </c>
      <c r="C65" s="25" t="s">
        <v>167</v>
      </c>
      <c r="D65" s="16" t="s">
        <v>168</v>
      </c>
      <c r="E65" s="16" t="s">
        <v>169</v>
      </c>
      <c r="F65" s="5" t="str">
        <f t="shared" si="69"/>
        <v>70124FE000000465 SANTIAGO Y LYDIA DIAZ, S.L.</v>
      </c>
      <c r="G65" s="17">
        <f>M65/(1-K65/100+H65/100)</f>
        <v>70.15702479338843</v>
      </c>
      <c r="H65" s="18">
        <v>21</v>
      </c>
      <c r="I65" s="17">
        <f>G65*H65/100</f>
        <v>14.73297520661157</v>
      </c>
      <c r="J65" s="17">
        <f>G65</f>
        <v>70.15702479338843</v>
      </c>
      <c r="K65" s="18">
        <v>0</v>
      </c>
      <c r="L65" s="17">
        <f>J65*K65/100</f>
        <v>0</v>
      </c>
      <c r="M65" s="19">
        <v>84.89</v>
      </c>
      <c r="N65" s="38"/>
    </row>
    <row r="66" spans="1:19" x14ac:dyDescent="0.35">
      <c r="A66" s="20">
        <v>45330</v>
      </c>
      <c r="B66" s="2" t="s">
        <v>155</v>
      </c>
      <c r="C66" s="2" t="s">
        <v>111</v>
      </c>
      <c r="D66" s="2" t="s">
        <v>153</v>
      </c>
      <c r="E66" s="2" t="s">
        <v>154</v>
      </c>
      <c r="F66" s="5" t="str">
        <f t="shared" si="19"/>
        <v>S/F 4051768988 WÜRTH ESPAÑA, S.A.</v>
      </c>
      <c r="G66" s="5">
        <f t="shared" si="64"/>
        <v>64.380165289256212</v>
      </c>
      <c r="H66" s="18">
        <v>21</v>
      </c>
      <c r="I66" s="5">
        <f t="shared" si="65"/>
        <v>13.519834710743805</v>
      </c>
      <c r="J66" s="5">
        <f t="shared" si="66"/>
        <v>64.380165289256212</v>
      </c>
      <c r="K66">
        <v>0</v>
      </c>
      <c r="L66" s="5">
        <f t="shared" si="67"/>
        <v>0</v>
      </c>
      <c r="M66" s="19">
        <v>77.900000000000006</v>
      </c>
      <c r="N66" s="35"/>
      <c r="S66" t="s">
        <v>19</v>
      </c>
    </row>
    <row r="67" spans="1:19" x14ac:dyDescent="0.35">
      <c r="A67" s="20">
        <v>45330</v>
      </c>
      <c r="B67" s="2" t="s">
        <v>312</v>
      </c>
      <c r="C67" s="2" t="s">
        <v>137</v>
      </c>
      <c r="D67" s="51" t="s">
        <v>314</v>
      </c>
      <c r="E67" s="52" t="s">
        <v>315</v>
      </c>
      <c r="F67" s="5" t="str">
        <f t="shared" si="19"/>
        <v>8534598094 MAPFRE ESPAÑA S.A,</v>
      </c>
      <c r="G67" s="5">
        <f t="shared" si="64"/>
        <v>403.18</v>
      </c>
      <c r="H67" s="18">
        <v>0</v>
      </c>
      <c r="I67" s="5">
        <f t="shared" si="65"/>
        <v>0</v>
      </c>
      <c r="J67" s="5">
        <f t="shared" si="66"/>
        <v>403.18</v>
      </c>
      <c r="K67" s="18">
        <v>0</v>
      </c>
      <c r="L67" s="5">
        <f t="shared" si="67"/>
        <v>0</v>
      </c>
      <c r="M67" s="19">
        <v>403.18</v>
      </c>
      <c r="N67" s="35"/>
    </row>
    <row r="68" spans="1:19" x14ac:dyDescent="0.35">
      <c r="A68" s="20">
        <v>45330</v>
      </c>
      <c r="B68" s="2" t="s">
        <v>316</v>
      </c>
      <c r="C68" s="2" t="s">
        <v>137</v>
      </c>
      <c r="D68" s="51" t="s">
        <v>314</v>
      </c>
      <c r="E68" s="52" t="s">
        <v>315</v>
      </c>
      <c r="F68" s="5" t="str">
        <f t="shared" ref="F68" si="78">CONCATENATE(S68,B68," ",E68)</f>
        <v>8534580010 MAPFRE ESPAÑA S.A,</v>
      </c>
      <c r="G68" s="5">
        <f t="shared" ref="G68" si="79">M68/(1-K68/100+H68/100)</f>
        <v>306.47000000000003</v>
      </c>
      <c r="H68" s="18">
        <v>0</v>
      </c>
      <c r="I68" s="5">
        <f t="shared" ref="I68" si="80">G68*H68/100</f>
        <v>0</v>
      </c>
      <c r="J68" s="5">
        <f t="shared" ref="J68" si="81">G68</f>
        <v>306.47000000000003</v>
      </c>
      <c r="K68" s="18">
        <v>0</v>
      </c>
      <c r="L68" s="5">
        <f t="shared" ref="L68" si="82">J68*K68/100</f>
        <v>0</v>
      </c>
      <c r="M68" s="19">
        <v>306.47000000000003</v>
      </c>
      <c r="N68" s="35"/>
    </row>
    <row r="69" spans="1:19" x14ac:dyDescent="0.35">
      <c r="A69" s="20">
        <v>45331</v>
      </c>
      <c r="B69" s="25" t="s">
        <v>144</v>
      </c>
      <c r="C69" s="25" t="s">
        <v>111</v>
      </c>
      <c r="D69" s="49" t="s">
        <v>124</v>
      </c>
      <c r="E69" s="16" t="s">
        <v>125</v>
      </c>
      <c r="F69" s="5" t="str">
        <f t="shared" ref="F69:F116" si="83">CONCATENATE(S69,B69," ",E69)</f>
        <v>169761941131 APPLE DISTRIBUTION INTERNATIONAL LTD.</v>
      </c>
      <c r="G69" s="17">
        <f t="shared" si="64"/>
        <v>2.4710743801652897</v>
      </c>
      <c r="H69" s="18">
        <v>21</v>
      </c>
      <c r="I69" s="17">
        <f t="shared" si="65"/>
        <v>0.51892561983471086</v>
      </c>
      <c r="J69" s="17">
        <f t="shared" si="66"/>
        <v>2.4710743801652897</v>
      </c>
      <c r="K69" s="18">
        <v>0</v>
      </c>
      <c r="L69" s="17">
        <f t="shared" si="67"/>
        <v>0</v>
      </c>
      <c r="M69" s="19">
        <v>2.99</v>
      </c>
      <c r="N69" s="35"/>
    </row>
    <row r="70" spans="1:19" x14ac:dyDescent="0.35">
      <c r="A70" s="20">
        <v>45334</v>
      </c>
      <c r="B70" s="2" t="s">
        <v>244</v>
      </c>
      <c r="C70" s="2" t="s">
        <v>111</v>
      </c>
      <c r="D70" s="2" t="s">
        <v>220</v>
      </c>
      <c r="E70" s="2" t="s">
        <v>221</v>
      </c>
      <c r="F70" s="5" t="str">
        <f t="shared" si="83"/>
        <v>S/F FE24137003412206 Comercializadora Regulada, Gas &amp; Power, S.A.</v>
      </c>
      <c r="G70" s="5">
        <f t="shared" si="64"/>
        <v>14.272727272727272</v>
      </c>
      <c r="H70" s="18">
        <v>10</v>
      </c>
      <c r="I70" s="5">
        <f t="shared" si="65"/>
        <v>1.4272727272727272</v>
      </c>
      <c r="J70" s="5">
        <f t="shared" si="66"/>
        <v>14.272727272727272</v>
      </c>
      <c r="K70" s="18">
        <v>0</v>
      </c>
      <c r="L70" s="5">
        <f t="shared" si="67"/>
        <v>0</v>
      </c>
      <c r="M70" s="8">
        <v>15.7</v>
      </c>
      <c r="N70" s="2"/>
      <c r="S70" t="s">
        <v>19</v>
      </c>
    </row>
    <row r="71" spans="1:19" x14ac:dyDescent="0.35">
      <c r="A71" s="20">
        <v>45334</v>
      </c>
      <c r="B71" s="2" t="s">
        <v>156</v>
      </c>
      <c r="C71" s="2" t="s">
        <v>111</v>
      </c>
      <c r="D71" s="2" t="s">
        <v>153</v>
      </c>
      <c r="E71" s="2" t="s">
        <v>154</v>
      </c>
      <c r="F71" s="5" t="str">
        <f t="shared" si="83"/>
        <v>S/F 4051782094 WÜRTH ESPAÑA, S.A.</v>
      </c>
      <c r="G71" s="5">
        <f t="shared" ref="G71" si="84">M71/(1-K71/100+H71/100)</f>
        <v>24.611570247933887</v>
      </c>
      <c r="H71" s="18">
        <v>21</v>
      </c>
      <c r="I71" s="5">
        <f t="shared" ref="I71" si="85">G71*H71/100</f>
        <v>5.1684297520661167</v>
      </c>
      <c r="J71" s="5">
        <f t="shared" ref="J71" si="86">G71</f>
        <v>24.611570247933887</v>
      </c>
      <c r="K71">
        <v>0</v>
      </c>
      <c r="L71" s="5">
        <f t="shared" ref="L71:L76" si="87">J71*K71/100</f>
        <v>0</v>
      </c>
      <c r="M71" s="19">
        <v>29.78</v>
      </c>
      <c r="N71" s="35"/>
      <c r="S71" t="s">
        <v>19</v>
      </c>
    </row>
    <row r="72" spans="1:19" x14ac:dyDescent="0.35">
      <c r="A72" s="20">
        <v>45334</v>
      </c>
      <c r="B72" s="25" t="s">
        <v>152</v>
      </c>
      <c r="C72" s="25" t="s">
        <v>137</v>
      </c>
      <c r="D72" s="16" t="s">
        <v>151</v>
      </c>
      <c r="E72" s="16" t="s">
        <v>150</v>
      </c>
      <c r="F72" s="5" t="str">
        <f t="shared" si="83"/>
        <v>2404006971 OCA GLOBAL INSPECCIONES REGLAMENTARIAS,S.A.U.</v>
      </c>
      <c r="G72" s="17">
        <f t="shared" si="64"/>
        <v>506.04132231404958</v>
      </c>
      <c r="H72" s="18">
        <v>21</v>
      </c>
      <c r="I72" s="17">
        <f t="shared" si="65"/>
        <v>106.26867768595041</v>
      </c>
      <c r="J72" s="17">
        <f t="shared" si="66"/>
        <v>506.04132231404958</v>
      </c>
      <c r="K72" s="18">
        <v>0</v>
      </c>
      <c r="L72" s="5">
        <f t="shared" si="87"/>
        <v>0</v>
      </c>
      <c r="M72" s="19">
        <v>612.30999999999995</v>
      </c>
      <c r="N72" s="35"/>
    </row>
    <row r="73" spans="1:19" x14ac:dyDescent="0.35">
      <c r="A73" s="20">
        <v>45335</v>
      </c>
      <c r="B73" s="25" t="s">
        <v>245</v>
      </c>
      <c r="C73" s="25" t="s">
        <v>111</v>
      </c>
      <c r="D73" s="16" t="s">
        <v>223</v>
      </c>
      <c r="E73" s="16" t="s">
        <v>224</v>
      </c>
      <c r="F73" s="5" t="str">
        <f t="shared" si="83"/>
        <v>FMDVABH0010862 TELEFONICA DE ESPAÑA S.A.U.</v>
      </c>
      <c r="G73" s="17">
        <f>M73/(1-K73/100+H73/100)</f>
        <v>17.685950413223139</v>
      </c>
      <c r="H73" s="18">
        <v>21</v>
      </c>
      <c r="I73" s="17">
        <f>G73*H73/100</f>
        <v>3.7140495867768597</v>
      </c>
      <c r="J73" s="17">
        <f>G73</f>
        <v>17.685950413223139</v>
      </c>
      <c r="K73" s="18">
        <v>0</v>
      </c>
      <c r="L73" s="17">
        <f>J73*K73/100</f>
        <v>0</v>
      </c>
      <c r="M73" s="19">
        <v>21.4</v>
      </c>
      <c r="N73" s="38"/>
    </row>
    <row r="74" spans="1:19" x14ac:dyDescent="0.35">
      <c r="A74" s="20">
        <v>45335</v>
      </c>
      <c r="B74" s="20" t="s">
        <v>247</v>
      </c>
      <c r="C74" s="25" t="s">
        <v>111</v>
      </c>
      <c r="D74" s="25" t="s">
        <v>225</v>
      </c>
      <c r="E74" s="25" t="s">
        <v>226</v>
      </c>
      <c r="F74" s="5" t="str">
        <f t="shared" si="83"/>
        <v>MMDVABH0003438 TELEFÓNICA MÓVILES ESPAÑA, S.A.</v>
      </c>
      <c r="G74" s="5">
        <f t="shared" ref="G74:G75" si="88">M74/(1-K74/100+H74/100)</f>
        <v>40.479338842975203</v>
      </c>
      <c r="H74" s="18">
        <v>21</v>
      </c>
      <c r="I74" s="17">
        <f t="shared" ref="I74:I75" si="89">G74*H74/100</f>
        <v>8.5006611570247923</v>
      </c>
      <c r="J74" s="17">
        <f t="shared" ref="J74:J75" si="90">G74</f>
        <v>40.479338842975203</v>
      </c>
      <c r="K74" s="18">
        <v>0</v>
      </c>
      <c r="L74" s="17">
        <f t="shared" ref="L74:L75" si="91">J74*K74/100</f>
        <v>0</v>
      </c>
      <c r="M74" s="19">
        <v>48.98</v>
      </c>
      <c r="N74" s="38"/>
    </row>
    <row r="75" spans="1:19" x14ac:dyDescent="0.35">
      <c r="A75" s="20">
        <v>45335</v>
      </c>
      <c r="B75" s="20" t="s">
        <v>246</v>
      </c>
      <c r="C75" s="25" t="s">
        <v>111</v>
      </c>
      <c r="D75" s="25" t="s">
        <v>225</v>
      </c>
      <c r="E75" s="25" t="s">
        <v>226</v>
      </c>
      <c r="F75" s="5" t="str">
        <f t="shared" si="83"/>
        <v>MMDVABH0003439 TELEFÓNICA MÓVILES ESPAÑA, S.A.</v>
      </c>
      <c r="G75" s="5">
        <f t="shared" si="88"/>
        <v>22.669421487603305</v>
      </c>
      <c r="H75" s="18">
        <v>21</v>
      </c>
      <c r="I75" s="17">
        <f t="shared" si="89"/>
        <v>4.7605785123966937</v>
      </c>
      <c r="J75" s="17">
        <f t="shared" si="90"/>
        <v>22.669421487603305</v>
      </c>
      <c r="K75" s="18">
        <v>0</v>
      </c>
      <c r="L75" s="17">
        <f t="shared" si="91"/>
        <v>0</v>
      </c>
      <c r="M75" s="19">
        <v>27.43</v>
      </c>
      <c r="N75" s="38"/>
    </row>
    <row r="76" spans="1:19" x14ac:dyDescent="0.35">
      <c r="A76" s="20">
        <v>45335</v>
      </c>
      <c r="B76" s="25" t="s">
        <v>198</v>
      </c>
      <c r="C76" s="25" t="s">
        <v>167</v>
      </c>
      <c r="D76" s="16" t="s">
        <v>199</v>
      </c>
      <c r="E76" s="16" t="s">
        <v>200</v>
      </c>
      <c r="F76" s="5" t="str">
        <f t="shared" si="83"/>
        <v>1/24-00248 HANDYTRON TELECOMUNICACIONES SL</v>
      </c>
      <c r="G76" s="17">
        <f t="shared" si="64"/>
        <v>181.81818181818181</v>
      </c>
      <c r="H76" s="18">
        <v>21</v>
      </c>
      <c r="I76" s="17">
        <f t="shared" si="65"/>
        <v>38.18181818181818</v>
      </c>
      <c r="J76" s="17">
        <f t="shared" si="66"/>
        <v>181.81818181818181</v>
      </c>
      <c r="K76" s="18">
        <v>0</v>
      </c>
      <c r="L76" s="5">
        <f t="shared" si="87"/>
        <v>0</v>
      </c>
      <c r="M76" s="19">
        <v>220</v>
      </c>
      <c r="N76" s="35"/>
    </row>
    <row r="77" spans="1:19" x14ac:dyDescent="0.35">
      <c r="A77" s="20">
        <v>45335</v>
      </c>
      <c r="B77" s="25" t="s">
        <v>178</v>
      </c>
      <c r="C77" s="25" t="s">
        <v>167</v>
      </c>
      <c r="D77" s="16" t="s">
        <v>168</v>
      </c>
      <c r="E77" s="16" t="s">
        <v>169</v>
      </c>
      <c r="F77" s="5" t="str">
        <f t="shared" ref="F77:F83" si="92">CONCATENATE(S77,B77," ",E77)</f>
        <v>70124FE000000546 SANTIAGO Y LYDIA DIAZ, S.L.</v>
      </c>
      <c r="G77" s="17">
        <f>M77/(1-K77/100+H77/100)</f>
        <v>80.280991735537199</v>
      </c>
      <c r="H77" s="18">
        <v>21</v>
      </c>
      <c r="I77" s="17">
        <f>G77*H77/100</f>
        <v>16.859008264462812</v>
      </c>
      <c r="J77" s="17">
        <f>G77</f>
        <v>80.280991735537199</v>
      </c>
      <c r="K77" s="18">
        <v>0</v>
      </c>
      <c r="L77" s="17">
        <f>J77*K77/100</f>
        <v>0</v>
      </c>
      <c r="M77" s="19">
        <v>97.14</v>
      </c>
      <c r="N77" s="38"/>
    </row>
    <row r="78" spans="1:19" x14ac:dyDescent="0.35">
      <c r="A78" s="20">
        <v>45335</v>
      </c>
      <c r="B78" s="2" t="s">
        <v>294</v>
      </c>
      <c r="C78" s="25" t="s">
        <v>167</v>
      </c>
      <c r="D78" s="25" t="s">
        <v>287</v>
      </c>
      <c r="E78" s="16" t="s">
        <v>288</v>
      </c>
      <c r="F78" s="5" t="str">
        <f t="shared" si="92"/>
        <v>0192229 INMOBILIARIA PARIS, S.A.</v>
      </c>
      <c r="G78" s="5">
        <f t="shared" ref="G78:G79" si="93">M78/(1-K78/100+H78/100)</f>
        <v>0.49586776859504134</v>
      </c>
      <c r="H78" s="18">
        <v>21</v>
      </c>
      <c r="I78" s="17">
        <f>G78*H78/100</f>
        <v>0.10413223140495868</v>
      </c>
      <c r="J78" s="17">
        <f>G78</f>
        <v>0.49586776859504134</v>
      </c>
      <c r="K78" s="18">
        <v>0</v>
      </c>
      <c r="L78" s="17">
        <f>J78*K78/100</f>
        <v>0</v>
      </c>
      <c r="M78" s="19">
        <v>0.6</v>
      </c>
      <c r="N78" s="38"/>
    </row>
    <row r="79" spans="1:19" x14ac:dyDescent="0.35">
      <c r="A79" s="20">
        <v>45335</v>
      </c>
      <c r="B79" s="2" t="s">
        <v>317</v>
      </c>
      <c r="C79" s="2" t="s">
        <v>137</v>
      </c>
      <c r="D79" s="51" t="s">
        <v>314</v>
      </c>
      <c r="E79" s="52" t="s">
        <v>315</v>
      </c>
      <c r="F79" s="5" t="str">
        <f t="shared" si="92"/>
        <v>8534591098 MAPFRE ESPAÑA S.A,</v>
      </c>
      <c r="G79" s="5">
        <f t="shared" si="93"/>
        <v>479.04</v>
      </c>
      <c r="H79" s="18">
        <v>0</v>
      </c>
      <c r="I79" s="5">
        <f t="shared" ref="I79" si="94">G79*H79/100</f>
        <v>0</v>
      </c>
      <c r="J79" s="5">
        <f t="shared" ref="J79" si="95">G79</f>
        <v>479.04</v>
      </c>
      <c r="K79" s="18">
        <v>0</v>
      </c>
      <c r="L79" s="5">
        <f t="shared" ref="L79" si="96">J79*K79/100</f>
        <v>0</v>
      </c>
      <c r="M79" s="19">
        <v>479.04</v>
      </c>
      <c r="N79" s="35"/>
    </row>
    <row r="80" spans="1:19" x14ac:dyDescent="0.35">
      <c r="A80" s="20">
        <v>45336</v>
      </c>
      <c r="B80" s="20" t="s">
        <v>201</v>
      </c>
      <c r="C80" s="25" t="s">
        <v>167</v>
      </c>
      <c r="D80" s="25" t="s">
        <v>187</v>
      </c>
      <c r="E80" s="25" t="s">
        <v>188</v>
      </c>
      <c r="F80" s="5" t="str">
        <f t="shared" si="92"/>
        <v>501/350.427 BOBEL, S.L.</v>
      </c>
      <c r="G80" s="17">
        <f t="shared" ref="G80:G83" si="97">M80/(1-K80/100+H80/100)</f>
        <v>19.421487603305785</v>
      </c>
      <c r="H80" s="18">
        <v>21</v>
      </c>
      <c r="I80" s="17">
        <f t="shared" ref="I80:I82" si="98">G80*H80/100</f>
        <v>4.0785123966942152</v>
      </c>
      <c r="J80" s="17">
        <f t="shared" ref="J80:J82" si="99">G80</f>
        <v>19.421487603305785</v>
      </c>
      <c r="K80" s="18">
        <v>0</v>
      </c>
      <c r="L80" s="17">
        <f t="shared" ref="L80:L82" si="100">J80*K80/100</f>
        <v>0</v>
      </c>
      <c r="M80" s="19">
        <v>23.5</v>
      </c>
      <c r="N80" s="38"/>
    </row>
    <row r="81" spans="1:19" x14ac:dyDescent="0.35">
      <c r="A81" s="20">
        <v>45337</v>
      </c>
      <c r="B81" s="2" t="s">
        <v>248</v>
      </c>
      <c r="C81" s="2" t="s">
        <v>111</v>
      </c>
      <c r="D81" s="2" t="s">
        <v>215</v>
      </c>
      <c r="E81" s="2" t="s">
        <v>216</v>
      </c>
      <c r="F81" s="5" t="str">
        <f t="shared" si="92"/>
        <v>61042967474 Repsol Comercializadora de Electricidad y Gas, S.L.U.</v>
      </c>
      <c r="G81" s="5">
        <f t="shared" si="97"/>
        <v>20.472727272727269</v>
      </c>
      <c r="H81" s="18">
        <v>10</v>
      </c>
      <c r="I81" s="5">
        <f t="shared" si="98"/>
        <v>2.0472727272727269</v>
      </c>
      <c r="J81" s="5">
        <f t="shared" si="99"/>
        <v>20.472727272727269</v>
      </c>
      <c r="K81" s="18">
        <v>0</v>
      </c>
      <c r="L81" s="5">
        <f t="shared" si="100"/>
        <v>0</v>
      </c>
      <c r="M81" s="8">
        <v>22.52</v>
      </c>
      <c r="N81" s="2"/>
    </row>
    <row r="82" spans="1:19" x14ac:dyDescent="0.35">
      <c r="A82" s="4">
        <v>45337</v>
      </c>
      <c r="B82" s="2" t="s">
        <v>249</v>
      </c>
      <c r="C82" s="25" t="s">
        <v>167</v>
      </c>
      <c r="D82" s="25" t="s">
        <v>206</v>
      </c>
      <c r="E82" s="16" t="s">
        <v>207</v>
      </c>
      <c r="F82" s="5" t="str">
        <f t="shared" si="92"/>
        <v>RC EOS ES2024/5504310 MAKSU ESPAÑA S.L.</v>
      </c>
      <c r="G82" s="5">
        <f t="shared" si="97"/>
        <v>0.8</v>
      </c>
      <c r="H82" s="18">
        <v>0</v>
      </c>
      <c r="I82" s="17">
        <f t="shared" si="98"/>
        <v>0</v>
      </c>
      <c r="J82" s="17">
        <f t="shared" si="99"/>
        <v>0.8</v>
      </c>
      <c r="K82" s="18">
        <v>0</v>
      </c>
      <c r="L82" s="17">
        <f t="shared" si="100"/>
        <v>0</v>
      </c>
      <c r="M82" s="19">
        <v>0.8</v>
      </c>
      <c r="N82" s="38"/>
    </row>
    <row r="83" spans="1:19" x14ac:dyDescent="0.35">
      <c r="A83" s="20">
        <v>45337</v>
      </c>
      <c r="B83" s="2" t="s">
        <v>250</v>
      </c>
      <c r="C83" s="25" t="s">
        <v>167</v>
      </c>
      <c r="D83" s="25" t="s">
        <v>206</v>
      </c>
      <c r="E83" s="16" t="s">
        <v>207</v>
      </c>
      <c r="F83" s="5" t="str">
        <f t="shared" si="92"/>
        <v>FT EOS ES2024/331224 MAKSU ESPAÑA S.L.</v>
      </c>
      <c r="G83" s="5">
        <f t="shared" si="97"/>
        <v>8.2644628099173556E-2</v>
      </c>
      <c r="H83" s="18">
        <v>21</v>
      </c>
      <c r="I83" s="17">
        <f>G83*H83/100</f>
        <v>1.7355371900826446E-2</v>
      </c>
      <c r="J83" s="17">
        <f>G83</f>
        <v>8.2644628099173556E-2</v>
      </c>
      <c r="K83" s="18">
        <v>0</v>
      </c>
      <c r="L83" s="17">
        <f>J83*K83/100</f>
        <v>0</v>
      </c>
      <c r="M83" s="19">
        <v>0.1</v>
      </c>
      <c r="N83" s="38"/>
    </row>
    <row r="84" spans="1:19" x14ac:dyDescent="0.35">
      <c r="A84" s="4">
        <v>45337</v>
      </c>
      <c r="B84" s="2" t="s">
        <v>146</v>
      </c>
      <c r="C84" s="2" t="s">
        <v>111</v>
      </c>
      <c r="D84" s="2" t="s">
        <v>114</v>
      </c>
      <c r="E84" s="2" t="s">
        <v>115</v>
      </c>
      <c r="F84" s="5" t="str">
        <f t="shared" si="83"/>
        <v>S/F FR356563 ELECTRO MERCANTIL LEGANES D.A.M.,S.L.U.</v>
      </c>
      <c r="G84" s="5">
        <f t="shared" si="64"/>
        <v>2680.6611570247933</v>
      </c>
      <c r="H84" s="18">
        <v>21</v>
      </c>
      <c r="I84" s="5">
        <f t="shared" si="65"/>
        <v>562.93884297520663</v>
      </c>
      <c r="J84" s="5">
        <f t="shared" si="66"/>
        <v>2680.6611570247933</v>
      </c>
      <c r="K84" s="18">
        <v>0</v>
      </c>
      <c r="L84" s="5">
        <f t="shared" si="67"/>
        <v>0</v>
      </c>
      <c r="M84" s="8">
        <v>3243.6</v>
      </c>
      <c r="N84" s="2"/>
      <c r="S84" t="s">
        <v>19</v>
      </c>
    </row>
    <row r="85" spans="1:19" x14ac:dyDescent="0.35">
      <c r="A85" s="4">
        <v>45337</v>
      </c>
      <c r="B85" s="25" t="s">
        <v>148</v>
      </c>
      <c r="C85" s="25" t="s">
        <v>111</v>
      </c>
      <c r="D85" s="25" t="s">
        <v>112</v>
      </c>
      <c r="E85" s="25" t="s">
        <v>113</v>
      </c>
      <c r="F85" s="5" t="str">
        <f t="shared" si="83"/>
        <v>H4F01657 HIPER ANTENA, S.A.</v>
      </c>
      <c r="G85" s="17">
        <f t="shared" si="64"/>
        <v>98</v>
      </c>
      <c r="H85" s="18">
        <v>21</v>
      </c>
      <c r="I85" s="17">
        <f t="shared" si="65"/>
        <v>20.58</v>
      </c>
      <c r="J85" s="17">
        <f t="shared" si="66"/>
        <v>98</v>
      </c>
      <c r="K85" s="18">
        <v>0</v>
      </c>
      <c r="L85" s="17">
        <f t="shared" si="67"/>
        <v>0</v>
      </c>
      <c r="M85" s="19">
        <v>118.58</v>
      </c>
      <c r="N85" s="38"/>
    </row>
    <row r="86" spans="1:19" x14ac:dyDescent="0.35">
      <c r="A86" s="20">
        <v>45343</v>
      </c>
      <c r="B86" s="25" t="s">
        <v>179</v>
      </c>
      <c r="C86" s="25" t="s">
        <v>167</v>
      </c>
      <c r="D86" s="16" t="s">
        <v>168</v>
      </c>
      <c r="E86" s="16" t="s">
        <v>169</v>
      </c>
      <c r="F86" s="5" t="str">
        <f t="shared" si="83"/>
        <v>70124FE000000651 SANTIAGO Y LYDIA DIAZ, S.L.</v>
      </c>
      <c r="G86" s="17">
        <f>M86/(1-K86/100+H86/100)</f>
        <v>83.181818181818187</v>
      </c>
      <c r="H86" s="18">
        <v>21</v>
      </c>
      <c r="I86" s="17">
        <f>G86*H86/100</f>
        <v>17.468181818181819</v>
      </c>
      <c r="J86" s="17">
        <f>G86</f>
        <v>83.181818181818187</v>
      </c>
      <c r="K86" s="18">
        <v>0</v>
      </c>
      <c r="L86" s="17">
        <f>J86*K86/100</f>
        <v>0</v>
      </c>
      <c r="M86" s="19">
        <v>100.65</v>
      </c>
      <c r="N86" s="38"/>
    </row>
    <row r="87" spans="1:19" x14ac:dyDescent="0.35">
      <c r="A87" s="4">
        <v>45343</v>
      </c>
      <c r="B87" s="2" t="s">
        <v>251</v>
      </c>
      <c r="C87" s="25" t="s">
        <v>167</v>
      </c>
      <c r="D87" s="25" t="s">
        <v>206</v>
      </c>
      <c r="E87" s="16" t="s">
        <v>207</v>
      </c>
      <c r="F87" s="5" t="str">
        <f t="shared" si="83"/>
        <v>RC EOS ES2024/6329040 MAKSU ESPAÑA S.L.</v>
      </c>
      <c r="G87" s="5">
        <f t="shared" ref="G87:G89" si="101">M87/(1-K87/100+H87/100)</f>
        <v>1.1000000000000001</v>
      </c>
      <c r="H87" s="18">
        <v>0</v>
      </c>
      <c r="I87" s="17">
        <f t="shared" ref="I87" si="102">G87*H87/100</f>
        <v>0</v>
      </c>
      <c r="J87" s="17">
        <f t="shared" ref="J87" si="103">G87</f>
        <v>1.1000000000000001</v>
      </c>
      <c r="K87" s="18">
        <v>0</v>
      </c>
      <c r="L87" s="17">
        <f t="shared" ref="L87" si="104">J87*K87/100</f>
        <v>0</v>
      </c>
      <c r="M87" s="19">
        <v>1.1000000000000001</v>
      </c>
      <c r="N87" s="38"/>
    </row>
    <row r="88" spans="1:19" x14ac:dyDescent="0.35">
      <c r="A88" s="20">
        <v>45343</v>
      </c>
      <c r="B88" s="2" t="s">
        <v>252</v>
      </c>
      <c r="C88" s="25" t="s">
        <v>167</v>
      </c>
      <c r="D88" s="25" t="s">
        <v>206</v>
      </c>
      <c r="E88" s="16" t="s">
        <v>207</v>
      </c>
      <c r="F88" s="5" t="str">
        <f t="shared" si="83"/>
        <v>FT EOS ES2024/381659 MAKSU ESPAÑA S.L.</v>
      </c>
      <c r="G88" s="5">
        <f t="shared" si="101"/>
        <v>0.10743801652892562</v>
      </c>
      <c r="H88" s="18">
        <v>21</v>
      </c>
      <c r="I88" s="17">
        <f>G88*H88/100</f>
        <v>2.2561983471074382E-2</v>
      </c>
      <c r="J88" s="17">
        <f>G88</f>
        <v>0.10743801652892562</v>
      </c>
      <c r="K88" s="18">
        <v>0</v>
      </c>
      <c r="L88" s="17">
        <f>J88*K88/100</f>
        <v>0</v>
      </c>
      <c r="M88" s="19">
        <v>0.13</v>
      </c>
      <c r="N88" s="38"/>
    </row>
    <row r="89" spans="1:19" x14ac:dyDescent="0.35">
      <c r="A89" s="20">
        <v>45344</v>
      </c>
      <c r="B89" s="25" t="s">
        <v>303</v>
      </c>
      <c r="C89" s="25" t="s">
        <v>167</v>
      </c>
      <c r="D89" s="25" t="s">
        <v>297</v>
      </c>
      <c r="E89" s="25" t="s">
        <v>298</v>
      </c>
      <c r="F89" s="5" t="str">
        <f t="shared" si="83"/>
        <v>4462964 AENA S.M.E., S.A.</v>
      </c>
      <c r="G89" s="17">
        <f t="shared" si="101"/>
        <v>11.983471074380166</v>
      </c>
      <c r="H89" s="18">
        <v>21</v>
      </c>
      <c r="I89" s="17">
        <f t="shared" ref="I89" si="105">G89*H89/100</f>
        <v>2.5165289256198351</v>
      </c>
      <c r="J89" s="17">
        <f t="shared" ref="J89" si="106">G89</f>
        <v>11.983471074380166</v>
      </c>
      <c r="K89" s="18">
        <v>0</v>
      </c>
      <c r="L89" s="17">
        <f t="shared" ref="L89" si="107">J89*K89/100</f>
        <v>0</v>
      </c>
      <c r="M89" s="19">
        <v>14.5</v>
      </c>
      <c r="N89" s="38"/>
    </row>
    <row r="90" spans="1:19" x14ac:dyDescent="0.35">
      <c r="A90" s="4">
        <v>45345</v>
      </c>
      <c r="B90" s="2" t="s">
        <v>254</v>
      </c>
      <c r="C90" s="25" t="s">
        <v>167</v>
      </c>
      <c r="D90" s="25" t="s">
        <v>206</v>
      </c>
      <c r="E90" s="16" t="s">
        <v>207</v>
      </c>
      <c r="F90" s="5" t="str">
        <f t="shared" ref="F90:F91" si="108">CONCATENATE(S90,B90," ",E90)</f>
        <v>RC EOS ES2024/6606827 MAKSU ESPAÑA S.L.</v>
      </c>
      <c r="G90" s="5">
        <f t="shared" ref="G90:G91" si="109">M90/(1-K90/100+H90/100)</f>
        <v>3.3</v>
      </c>
      <c r="H90" s="18">
        <v>0</v>
      </c>
      <c r="I90" s="17">
        <f t="shared" ref="I90" si="110">G90*H90/100</f>
        <v>0</v>
      </c>
      <c r="J90" s="17">
        <f t="shared" ref="J90" si="111">G90</f>
        <v>3.3</v>
      </c>
      <c r="K90" s="18">
        <v>0</v>
      </c>
      <c r="L90" s="17">
        <f t="shared" ref="L90" si="112">J90*K90/100</f>
        <v>0</v>
      </c>
      <c r="M90" s="19">
        <v>3.3</v>
      </c>
      <c r="N90" s="38"/>
    </row>
    <row r="91" spans="1:19" x14ac:dyDescent="0.35">
      <c r="A91" s="20">
        <v>45345</v>
      </c>
      <c r="B91" s="2" t="s">
        <v>253</v>
      </c>
      <c r="C91" s="25" t="s">
        <v>167</v>
      </c>
      <c r="D91" s="25" t="s">
        <v>206</v>
      </c>
      <c r="E91" s="16" t="s">
        <v>207</v>
      </c>
      <c r="F91" s="5" t="str">
        <f t="shared" si="108"/>
        <v>FT EOS ES2024/397510 MAKSU ESPAÑA S.L.</v>
      </c>
      <c r="G91" s="5">
        <f t="shared" si="109"/>
        <v>0.33057851239669422</v>
      </c>
      <c r="H91" s="18">
        <v>21</v>
      </c>
      <c r="I91" s="17">
        <f>G91*H91/100</f>
        <v>6.9421487603305784E-2</v>
      </c>
      <c r="J91" s="17">
        <f>G91</f>
        <v>0.33057851239669422</v>
      </c>
      <c r="K91" s="18">
        <v>0</v>
      </c>
      <c r="L91" s="17">
        <f>J91*K91/100</f>
        <v>0</v>
      </c>
      <c r="M91" s="19">
        <v>0.4</v>
      </c>
      <c r="N91" s="38"/>
    </row>
    <row r="92" spans="1:19" x14ac:dyDescent="0.35">
      <c r="A92" s="4">
        <v>45348</v>
      </c>
      <c r="B92" s="2" t="s">
        <v>255</v>
      </c>
      <c r="C92" s="25" t="s">
        <v>167</v>
      </c>
      <c r="D92" s="25" t="s">
        <v>206</v>
      </c>
      <c r="E92" s="16" t="s">
        <v>207</v>
      </c>
      <c r="F92" s="5" t="str">
        <f t="shared" ref="F92:F93" si="113">CONCATENATE(S92,B92," ",E92)</f>
        <v>RC EOS ES2024/6860393 MAKSU ESPAÑA S.L.</v>
      </c>
      <c r="G92" s="5">
        <f t="shared" ref="G92:G93" si="114">M92/(1-K92/100+H92/100)</f>
        <v>0.7</v>
      </c>
      <c r="H92" s="18">
        <v>0</v>
      </c>
      <c r="I92" s="17">
        <f t="shared" ref="I92" si="115">G92*H92/100</f>
        <v>0</v>
      </c>
      <c r="J92" s="17">
        <f t="shared" ref="J92" si="116">G92</f>
        <v>0.7</v>
      </c>
      <c r="K92" s="18">
        <v>0</v>
      </c>
      <c r="L92" s="17">
        <f t="shared" ref="L92" si="117">J92*K92/100</f>
        <v>0</v>
      </c>
      <c r="M92" s="19">
        <v>0.7</v>
      </c>
      <c r="N92" s="38"/>
    </row>
    <row r="93" spans="1:19" x14ac:dyDescent="0.35">
      <c r="A93" s="20">
        <v>45348</v>
      </c>
      <c r="B93" s="2" t="s">
        <v>256</v>
      </c>
      <c r="C93" s="25" t="s">
        <v>167</v>
      </c>
      <c r="D93" s="25" t="s">
        <v>206</v>
      </c>
      <c r="E93" s="16" t="s">
        <v>207</v>
      </c>
      <c r="F93" s="5" t="str">
        <f t="shared" si="113"/>
        <v>FT EOS ES2024/412454 MAKSU ESPAÑA S.L.</v>
      </c>
      <c r="G93" s="5">
        <f t="shared" si="114"/>
        <v>6.6115702479338845E-2</v>
      </c>
      <c r="H93" s="18">
        <v>21</v>
      </c>
      <c r="I93" s="17">
        <f>G93*H93/100</f>
        <v>1.3884297520661157E-2</v>
      </c>
      <c r="J93" s="17">
        <f>G93</f>
        <v>6.6115702479338845E-2</v>
      </c>
      <c r="K93" s="18">
        <v>0</v>
      </c>
      <c r="L93" s="17">
        <f>J93*K93/100</f>
        <v>0</v>
      </c>
      <c r="M93" s="19">
        <v>0.08</v>
      </c>
      <c r="N93" s="38"/>
    </row>
    <row r="94" spans="1:19" x14ac:dyDescent="0.35">
      <c r="A94" s="4">
        <v>45348</v>
      </c>
      <c r="B94" s="25" t="s">
        <v>257</v>
      </c>
      <c r="C94" s="25" t="s">
        <v>111</v>
      </c>
      <c r="D94" s="25" t="s">
        <v>235</v>
      </c>
      <c r="E94" s="25" t="s">
        <v>236</v>
      </c>
      <c r="F94" s="5" t="str">
        <f>CONCATENATE(S94,B94," ",E94)</f>
        <v>B5010224-00009422 ORANGE ESPAÑA VIRTUAL, S.L.U.</v>
      </c>
      <c r="G94" s="5">
        <f>M94/(1-K94/100+H94/100)</f>
        <v>12.396694214876034</v>
      </c>
      <c r="H94" s="18">
        <v>21</v>
      </c>
      <c r="I94" s="17">
        <f>G94*H94/100</f>
        <v>2.6033057851239669</v>
      </c>
      <c r="J94" s="17">
        <f>G94</f>
        <v>12.396694214876034</v>
      </c>
      <c r="K94" s="18">
        <v>0</v>
      </c>
      <c r="L94" s="17">
        <f>J94*K94/100</f>
        <v>0</v>
      </c>
      <c r="M94" s="19">
        <v>15</v>
      </c>
      <c r="N94" s="35"/>
    </row>
    <row r="95" spans="1:19" x14ac:dyDescent="0.35">
      <c r="A95" s="20">
        <v>45348</v>
      </c>
      <c r="B95" s="2" t="s">
        <v>258</v>
      </c>
      <c r="C95" s="25" t="s">
        <v>167</v>
      </c>
      <c r="D95" s="25" t="s">
        <v>206</v>
      </c>
      <c r="E95" s="16" t="s">
        <v>207</v>
      </c>
      <c r="F95" s="5" t="str">
        <f t="shared" ref="F95:F97" si="118">CONCATENATE(S95,B95," ",E95)</f>
        <v>RC EOS ES2024/6856209 MAKSU ESPAÑA S.L.</v>
      </c>
      <c r="G95" s="5">
        <f t="shared" ref="G95:G97" si="119">M95/(1-K95/100+H95/100)</f>
        <v>1.35</v>
      </c>
      <c r="H95" s="18">
        <v>0</v>
      </c>
      <c r="I95" s="17">
        <f t="shared" ref="I95" si="120">G95*H95/100</f>
        <v>0</v>
      </c>
      <c r="J95" s="17">
        <f t="shared" ref="J95" si="121">G95</f>
        <v>1.35</v>
      </c>
      <c r="K95" s="18">
        <v>0</v>
      </c>
      <c r="L95" s="17">
        <f t="shared" ref="L95" si="122">J95*K95/100</f>
        <v>0</v>
      </c>
      <c r="M95" s="19">
        <v>1.35</v>
      </c>
      <c r="N95" s="38"/>
    </row>
    <row r="96" spans="1:19" x14ac:dyDescent="0.35">
      <c r="A96" s="20">
        <v>45348</v>
      </c>
      <c r="B96" s="2" t="s">
        <v>259</v>
      </c>
      <c r="C96" s="25" t="s">
        <v>167</v>
      </c>
      <c r="D96" s="25" t="s">
        <v>206</v>
      </c>
      <c r="E96" s="16" t="s">
        <v>207</v>
      </c>
      <c r="F96" s="5" t="str">
        <f t="shared" si="118"/>
        <v>FT EOS ES2024/412132 MAKSU ESPAÑA S.L.</v>
      </c>
      <c r="G96" s="5">
        <f t="shared" si="119"/>
        <v>0.13223140495867769</v>
      </c>
      <c r="H96" s="18">
        <v>21</v>
      </c>
      <c r="I96" s="17">
        <f>G96*H96/100</f>
        <v>2.7768595041322314E-2</v>
      </c>
      <c r="J96" s="17">
        <f>G96</f>
        <v>0.13223140495867769</v>
      </c>
      <c r="K96" s="18">
        <v>0</v>
      </c>
      <c r="L96" s="17">
        <f>J96*K96/100</f>
        <v>0</v>
      </c>
      <c r="M96" s="19">
        <v>0.16</v>
      </c>
      <c r="N96" s="38"/>
    </row>
    <row r="97" spans="1:19" x14ac:dyDescent="0.35">
      <c r="A97" s="20">
        <v>45349</v>
      </c>
      <c r="B97" s="2" t="s">
        <v>262</v>
      </c>
      <c r="C97" s="2" t="s">
        <v>111</v>
      </c>
      <c r="D97" s="2" t="s">
        <v>260</v>
      </c>
      <c r="E97" s="2" t="s">
        <v>261</v>
      </c>
      <c r="F97" s="5" t="str">
        <f t="shared" si="118"/>
        <v>240001474684 Canal de Isabel II, S.A.</v>
      </c>
      <c r="G97" s="5">
        <f t="shared" si="119"/>
        <v>21.481818181818181</v>
      </c>
      <c r="H97" s="18">
        <v>10</v>
      </c>
      <c r="I97" s="5">
        <f t="shared" ref="I97" si="123">G97*H97/100</f>
        <v>2.148181818181818</v>
      </c>
      <c r="J97" s="5">
        <f t="shared" ref="J97" si="124">G97</f>
        <v>21.481818181818181</v>
      </c>
      <c r="K97" s="18">
        <v>0</v>
      </c>
      <c r="L97" s="5">
        <f t="shared" ref="L97" si="125">J97*K97/100</f>
        <v>0</v>
      </c>
      <c r="M97" s="8">
        <v>23.63</v>
      </c>
      <c r="N97" s="2"/>
    </row>
    <row r="98" spans="1:19" x14ac:dyDescent="0.35">
      <c r="A98" s="4">
        <v>45350</v>
      </c>
      <c r="B98" s="25" t="s">
        <v>180</v>
      </c>
      <c r="C98" s="25" t="s">
        <v>167</v>
      </c>
      <c r="D98" s="16" t="s">
        <v>168</v>
      </c>
      <c r="E98" s="16" t="s">
        <v>169</v>
      </c>
      <c r="F98" s="5" t="str">
        <f t="shared" ref="F98:F101" si="126">CONCATENATE(S98,B98," ",E98)</f>
        <v>70124FE000000742 SANTIAGO Y LYDIA DIAZ, S.L.</v>
      </c>
      <c r="G98" s="17">
        <f>M98/(1-K98/100+H98/100)</f>
        <v>87.016528925619838</v>
      </c>
      <c r="H98" s="18">
        <v>21</v>
      </c>
      <c r="I98" s="17">
        <f>G98*H98/100</f>
        <v>18.273471074380165</v>
      </c>
      <c r="J98" s="17">
        <f>G98</f>
        <v>87.016528925619838</v>
      </c>
      <c r="K98" s="18">
        <v>0</v>
      </c>
      <c r="L98" s="17">
        <f>J98*K98/100</f>
        <v>0</v>
      </c>
      <c r="M98" s="19">
        <v>105.29</v>
      </c>
      <c r="N98" s="38"/>
    </row>
    <row r="99" spans="1:19" x14ac:dyDescent="0.35">
      <c r="A99" s="4">
        <v>45350</v>
      </c>
      <c r="B99" s="2" t="s">
        <v>263</v>
      </c>
      <c r="C99" s="25" t="s">
        <v>167</v>
      </c>
      <c r="D99" s="25" t="s">
        <v>206</v>
      </c>
      <c r="E99" s="16" t="s">
        <v>207</v>
      </c>
      <c r="F99" s="5" t="str">
        <f t="shared" si="126"/>
        <v>RC EOS ES2024/7176499 MAKSU ESPAÑA S.L.</v>
      </c>
      <c r="G99" s="5">
        <f t="shared" ref="G99:G101" si="127">M99/(1-K99/100+H99/100)</f>
        <v>2.4500000000000002</v>
      </c>
      <c r="H99" s="18">
        <v>0</v>
      </c>
      <c r="I99" s="17">
        <f t="shared" ref="I99" si="128">G99*H99/100</f>
        <v>0</v>
      </c>
      <c r="J99" s="17">
        <f t="shared" ref="J99" si="129">G99</f>
        <v>2.4500000000000002</v>
      </c>
      <c r="K99" s="18">
        <v>0</v>
      </c>
      <c r="L99" s="17">
        <f t="shared" ref="L99" si="130">J99*K99/100</f>
        <v>0</v>
      </c>
      <c r="M99" s="19">
        <v>2.4500000000000002</v>
      </c>
      <c r="N99" s="38"/>
    </row>
    <row r="100" spans="1:19" x14ac:dyDescent="0.35">
      <c r="A100" s="4">
        <v>45350</v>
      </c>
      <c r="B100" s="2" t="s">
        <v>264</v>
      </c>
      <c r="C100" s="25" t="s">
        <v>167</v>
      </c>
      <c r="D100" s="25" t="s">
        <v>206</v>
      </c>
      <c r="E100" s="16" t="s">
        <v>207</v>
      </c>
      <c r="F100" s="5" t="str">
        <f t="shared" si="126"/>
        <v>FT EOS ES2024/431652 MAKSU ESPAÑA S.L.</v>
      </c>
      <c r="G100" s="5">
        <f t="shared" si="127"/>
        <v>0.24793388429752067</v>
      </c>
      <c r="H100" s="18">
        <v>21</v>
      </c>
      <c r="I100" s="17">
        <f>G100*H100/100</f>
        <v>5.2066115702479342E-2</v>
      </c>
      <c r="J100" s="17">
        <f>G100</f>
        <v>0.24793388429752067</v>
      </c>
      <c r="K100" s="18">
        <v>0</v>
      </c>
      <c r="L100" s="17">
        <f>J100*K100/100</f>
        <v>0</v>
      </c>
      <c r="M100" s="19">
        <v>0.3</v>
      </c>
      <c r="N100" s="38"/>
    </row>
    <row r="101" spans="1:19" x14ac:dyDescent="0.35">
      <c r="A101" s="4">
        <v>45350</v>
      </c>
      <c r="B101" s="2" t="s">
        <v>290</v>
      </c>
      <c r="C101" s="25" t="s">
        <v>167</v>
      </c>
      <c r="D101" s="25" t="s">
        <v>287</v>
      </c>
      <c r="E101" s="16" t="s">
        <v>288</v>
      </c>
      <c r="F101" s="5" t="str">
        <f t="shared" si="126"/>
        <v>0196224 INMOBILIARIA PARIS, S.A.</v>
      </c>
      <c r="G101" s="5">
        <f t="shared" si="127"/>
        <v>0.37190082644628103</v>
      </c>
      <c r="H101" s="18">
        <v>21</v>
      </c>
      <c r="I101" s="17">
        <f>G101*H101/100</f>
        <v>7.8099173553719009E-2</v>
      </c>
      <c r="J101" s="17">
        <f>G101</f>
        <v>0.37190082644628103</v>
      </c>
      <c r="K101" s="18">
        <v>0</v>
      </c>
      <c r="L101" s="17">
        <f>J101*K101/100</f>
        <v>0</v>
      </c>
      <c r="M101" s="19">
        <v>0.45</v>
      </c>
      <c r="N101" s="38"/>
    </row>
    <row r="102" spans="1:19" x14ac:dyDescent="0.35">
      <c r="A102" s="4">
        <v>45351</v>
      </c>
      <c r="B102" s="2" t="s">
        <v>147</v>
      </c>
      <c r="C102" s="2" t="s">
        <v>111</v>
      </c>
      <c r="D102" s="2" t="s">
        <v>114</v>
      </c>
      <c r="E102" s="2" t="s">
        <v>115</v>
      </c>
      <c r="F102" s="5" t="str">
        <f t="shared" ref="F102:F103" si="131">CONCATENATE(S102,B102," ",E102)</f>
        <v>S/F FR357148 ELECTRO MERCANTIL LEGANES D.A.M.,S.L.U.</v>
      </c>
      <c r="G102" s="5">
        <f t="shared" ref="G102:G103" si="132">M102/(1-K102/100+H102/100)</f>
        <v>3536.5702479338843</v>
      </c>
      <c r="H102" s="18">
        <v>21</v>
      </c>
      <c r="I102" s="5">
        <f t="shared" ref="I102:I103" si="133">G102*H102/100</f>
        <v>742.67975206611573</v>
      </c>
      <c r="J102" s="5">
        <f t="shared" ref="J102:J103" si="134">G102</f>
        <v>3536.5702479338843</v>
      </c>
      <c r="K102" s="18">
        <v>0</v>
      </c>
      <c r="L102" s="5">
        <f t="shared" ref="L102:L103" si="135">J102*K102/100</f>
        <v>0</v>
      </c>
      <c r="M102" s="8">
        <v>4279.25</v>
      </c>
      <c r="N102" s="2"/>
      <c r="S102" t="s">
        <v>19</v>
      </c>
    </row>
    <row r="103" spans="1:19" x14ac:dyDescent="0.35">
      <c r="A103" s="4">
        <v>45351</v>
      </c>
      <c r="B103" s="25" t="s">
        <v>149</v>
      </c>
      <c r="C103" s="25" t="s">
        <v>111</v>
      </c>
      <c r="D103" s="25" t="s">
        <v>112</v>
      </c>
      <c r="E103" s="25" t="s">
        <v>113</v>
      </c>
      <c r="F103" s="5" t="str">
        <f t="shared" si="131"/>
        <v>H4F02437 HIPER ANTENA, S.A.</v>
      </c>
      <c r="G103" s="17">
        <f t="shared" si="132"/>
        <v>98.190082644628106</v>
      </c>
      <c r="H103" s="18">
        <v>21</v>
      </c>
      <c r="I103" s="17">
        <f t="shared" si="133"/>
        <v>20.619917355371904</v>
      </c>
      <c r="J103" s="17">
        <f t="shared" si="134"/>
        <v>98.190082644628106</v>
      </c>
      <c r="K103" s="18">
        <v>0</v>
      </c>
      <c r="L103" s="17">
        <f t="shared" si="135"/>
        <v>0</v>
      </c>
      <c r="M103" s="19">
        <v>118.81</v>
      </c>
      <c r="N103" s="38"/>
    </row>
    <row r="104" spans="1:19" x14ac:dyDescent="0.35">
      <c r="A104" s="4">
        <v>45351</v>
      </c>
      <c r="B104" s="25" t="s">
        <v>145</v>
      </c>
      <c r="C104" s="25" t="s">
        <v>111</v>
      </c>
      <c r="D104" s="25" t="s">
        <v>127</v>
      </c>
      <c r="E104" s="25" t="s">
        <v>128</v>
      </c>
      <c r="F104" s="5" t="str">
        <f t="shared" si="83"/>
        <v>F240509 CONTAMAR S.L.</v>
      </c>
      <c r="G104" s="5">
        <f t="shared" si="64"/>
        <v>254.79338842975207</v>
      </c>
      <c r="H104" s="18">
        <v>21</v>
      </c>
      <c r="I104" s="17">
        <f t="shared" si="65"/>
        <v>53.506611570247934</v>
      </c>
      <c r="J104" s="17">
        <f t="shared" si="66"/>
        <v>254.79338842975207</v>
      </c>
      <c r="K104" s="18">
        <v>0</v>
      </c>
      <c r="L104" s="17">
        <f t="shared" si="67"/>
        <v>0</v>
      </c>
      <c r="M104" s="19">
        <v>308.3</v>
      </c>
      <c r="N104" s="38"/>
    </row>
    <row r="105" spans="1:19" x14ac:dyDescent="0.35">
      <c r="A105" s="4">
        <v>45352</v>
      </c>
      <c r="B105" s="20" t="s">
        <v>157</v>
      </c>
      <c r="C105" s="25" t="s">
        <v>111</v>
      </c>
      <c r="D105" s="25" t="s">
        <v>116</v>
      </c>
      <c r="E105" s="25" t="s">
        <v>117</v>
      </c>
      <c r="F105" s="5" t="str">
        <f t="shared" si="83"/>
        <v>2403C00782306 SECURITAS DIRECT ESPAÑA S.A.U.</v>
      </c>
      <c r="G105" s="17">
        <f t="shared" ref="G105:G137" si="136">M105/(1-K105/100+H105/100)</f>
        <v>30.553719008264462</v>
      </c>
      <c r="H105" s="18">
        <v>21</v>
      </c>
      <c r="I105" s="17">
        <f t="shared" ref="I105:I137" si="137">G105*H105/100</f>
        <v>6.4162809917355368</v>
      </c>
      <c r="J105" s="17">
        <f t="shared" ref="J105:J137" si="138">G105</f>
        <v>30.553719008264462</v>
      </c>
      <c r="K105" s="18">
        <v>0</v>
      </c>
      <c r="L105" s="17">
        <f t="shared" ref="L105:L137" si="139">J105*K105/100</f>
        <v>0</v>
      </c>
      <c r="M105" s="19">
        <v>36.97</v>
      </c>
      <c r="N105" s="38" t="s">
        <v>27</v>
      </c>
    </row>
    <row r="106" spans="1:19" x14ac:dyDescent="0.35">
      <c r="A106" s="4">
        <v>45352</v>
      </c>
      <c r="B106" s="20" t="s">
        <v>158</v>
      </c>
      <c r="C106" s="25" t="s">
        <v>111</v>
      </c>
      <c r="D106" s="25" t="s">
        <v>116</v>
      </c>
      <c r="E106" s="25" t="s">
        <v>117</v>
      </c>
      <c r="F106" s="5" t="str">
        <f t="shared" si="83"/>
        <v>2403C00463313 SECURITAS DIRECT ESPAÑA S.A.U.</v>
      </c>
      <c r="G106" s="17">
        <f t="shared" si="136"/>
        <v>28.388429752066116</v>
      </c>
      <c r="H106" s="18">
        <v>21</v>
      </c>
      <c r="I106" s="17">
        <f t="shared" si="137"/>
        <v>5.961570247933885</v>
      </c>
      <c r="J106" s="17">
        <f t="shared" si="138"/>
        <v>28.388429752066116</v>
      </c>
      <c r="K106" s="18">
        <v>0</v>
      </c>
      <c r="L106" s="17">
        <f t="shared" si="139"/>
        <v>0</v>
      </c>
      <c r="M106" s="19">
        <v>34.35</v>
      </c>
      <c r="N106" s="38" t="s">
        <v>27</v>
      </c>
    </row>
    <row r="107" spans="1:19" x14ac:dyDescent="0.35">
      <c r="A107" s="4">
        <v>45352</v>
      </c>
      <c r="B107" s="20" t="s">
        <v>159</v>
      </c>
      <c r="C107" s="25" t="s">
        <v>111</v>
      </c>
      <c r="D107" s="25" t="s">
        <v>116</v>
      </c>
      <c r="E107" s="25" t="s">
        <v>117</v>
      </c>
      <c r="F107" s="5" t="str">
        <f t="shared" si="83"/>
        <v>2403C00413620 SECURITAS DIRECT ESPAÑA S.A.U.</v>
      </c>
      <c r="G107" s="17">
        <f t="shared" si="136"/>
        <v>28.330578512396695</v>
      </c>
      <c r="H107" s="18">
        <v>21</v>
      </c>
      <c r="I107" s="17">
        <f t="shared" si="137"/>
        <v>5.9494214876033062</v>
      </c>
      <c r="J107" s="17">
        <f t="shared" si="138"/>
        <v>28.330578512396695</v>
      </c>
      <c r="K107" s="18">
        <v>0</v>
      </c>
      <c r="L107" s="17">
        <f t="shared" si="139"/>
        <v>0</v>
      </c>
      <c r="M107" s="19">
        <v>34.28</v>
      </c>
      <c r="N107" s="38" t="s">
        <v>27</v>
      </c>
    </row>
    <row r="108" spans="1:19" x14ac:dyDescent="0.35">
      <c r="A108" s="4">
        <v>45352</v>
      </c>
      <c r="B108" s="2" t="s">
        <v>289</v>
      </c>
      <c r="C108" s="25" t="s">
        <v>167</v>
      </c>
      <c r="D108" s="25" t="s">
        <v>284</v>
      </c>
      <c r="E108" s="16" t="s">
        <v>285</v>
      </c>
      <c r="F108" s="5" t="str">
        <f t="shared" si="83"/>
        <v>3427 COMUNIDAD DE PROPIETARIOS ZOCO DE POZUELO</v>
      </c>
      <c r="G108" s="5">
        <f t="shared" si="136"/>
        <v>2.0247933884297522</v>
      </c>
      <c r="H108" s="18">
        <v>21</v>
      </c>
      <c r="I108" s="17">
        <f>G108*H108/100</f>
        <v>0.42520661157024797</v>
      </c>
      <c r="J108" s="17">
        <f>G108</f>
        <v>2.0247933884297522</v>
      </c>
      <c r="K108" s="18">
        <v>0</v>
      </c>
      <c r="L108" s="17">
        <f>J108*K108/100</f>
        <v>0</v>
      </c>
      <c r="M108" s="19">
        <v>2.4500000000000002</v>
      </c>
      <c r="N108" s="38"/>
    </row>
    <row r="109" spans="1:19" x14ac:dyDescent="0.35">
      <c r="A109" s="4">
        <v>45355</v>
      </c>
      <c r="B109" s="20" t="s">
        <v>265</v>
      </c>
      <c r="C109" s="25" t="s">
        <v>167</v>
      </c>
      <c r="D109" s="25" t="s">
        <v>266</v>
      </c>
      <c r="E109" s="25" t="s">
        <v>267</v>
      </c>
      <c r="F109" s="5" t="str">
        <f t="shared" si="83"/>
        <v>ES4NN6RAEUI Amazon EU S.a.r.l., Sucursal en España</v>
      </c>
      <c r="G109" s="17">
        <f t="shared" si="136"/>
        <v>27.950413223140497</v>
      </c>
      <c r="H109" s="18">
        <v>21</v>
      </c>
      <c r="I109" s="17">
        <f t="shared" si="137"/>
        <v>5.8695867768595038</v>
      </c>
      <c r="J109" s="17">
        <f t="shared" si="138"/>
        <v>27.950413223140497</v>
      </c>
      <c r="K109" s="18">
        <v>0</v>
      </c>
      <c r="L109" s="17">
        <f t="shared" si="139"/>
        <v>0</v>
      </c>
      <c r="M109" s="19">
        <v>33.82</v>
      </c>
      <c r="N109" s="38"/>
    </row>
    <row r="110" spans="1:19" x14ac:dyDescent="0.35">
      <c r="A110" s="4">
        <v>45355</v>
      </c>
      <c r="B110" s="25" t="s">
        <v>202</v>
      </c>
      <c r="C110" s="25" t="s">
        <v>167</v>
      </c>
      <c r="D110" s="25" t="s">
        <v>189</v>
      </c>
      <c r="E110" s="25" t="s">
        <v>190</v>
      </c>
      <c r="F110" s="5" t="str">
        <f t="shared" si="83"/>
        <v>018-0003-242314 BRICOLAJE BRICOMAN, S.L.U.</v>
      </c>
      <c r="G110" s="17">
        <f>M110/(1-K110/100+H110/100)</f>
        <v>50.206611570247937</v>
      </c>
      <c r="H110" s="18">
        <v>21</v>
      </c>
      <c r="I110" s="17">
        <f>G110*H110/100</f>
        <v>10.543388429752067</v>
      </c>
      <c r="J110" s="17">
        <f>G110</f>
        <v>50.206611570247937</v>
      </c>
      <c r="K110" s="18">
        <v>0</v>
      </c>
      <c r="L110" s="17">
        <f>J110*K110/100</f>
        <v>0</v>
      </c>
      <c r="M110" s="19">
        <v>60.75</v>
      </c>
      <c r="N110" s="38" t="s">
        <v>27</v>
      </c>
    </row>
    <row r="111" spans="1:19" x14ac:dyDescent="0.35">
      <c r="A111" s="4">
        <v>45356</v>
      </c>
      <c r="B111" s="25" t="s">
        <v>203</v>
      </c>
      <c r="C111" s="25" t="s">
        <v>167</v>
      </c>
      <c r="D111" s="25" t="s">
        <v>189</v>
      </c>
      <c r="E111" s="25" t="s">
        <v>190</v>
      </c>
      <c r="F111" s="5" t="str">
        <f t="shared" ref="F111" si="140">CONCATENATE(S111,B111," ",E111)</f>
        <v>018-0003-R300259 BRICOLAJE BRICOMAN, S.L.U.</v>
      </c>
      <c r="G111" s="17">
        <f>M111/(1-K111/100+H111/100)</f>
        <v>-46.289256198347104</v>
      </c>
      <c r="H111" s="18">
        <v>21</v>
      </c>
      <c r="I111" s="17">
        <f>G111*H111/100</f>
        <v>-9.7207438016528922</v>
      </c>
      <c r="J111" s="17">
        <f>G111</f>
        <v>-46.289256198347104</v>
      </c>
      <c r="K111" s="18">
        <v>0</v>
      </c>
      <c r="L111" s="17">
        <f>J111*K111/100</f>
        <v>0</v>
      </c>
      <c r="M111" s="19">
        <v>-56.01</v>
      </c>
      <c r="N111" s="38" t="s">
        <v>27</v>
      </c>
    </row>
    <row r="112" spans="1:19" x14ac:dyDescent="0.35">
      <c r="A112" s="4">
        <v>45357</v>
      </c>
      <c r="B112" s="25" t="s">
        <v>180</v>
      </c>
      <c r="C112" s="25" t="s">
        <v>167</v>
      </c>
      <c r="D112" s="16" t="s">
        <v>168</v>
      </c>
      <c r="E112" s="16" t="s">
        <v>169</v>
      </c>
      <c r="F112" s="5" t="str">
        <f t="shared" si="83"/>
        <v>70124FE000000742 SANTIAGO Y LYDIA DIAZ, S.L.</v>
      </c>
      <c r="G112" s="17">
        <f>M112/(1-K112/100+H112/100)</f>
        <v>79.330578512396698</v>
      </c>
      <c r="H112" s="18">
        <v>21</v>
      </c>
      <c r="I112" s="17">
        <f>G112*H112/100</f>
        <v>16.659421487603307</v>
      </c>
      <c r="J112" s="17">
        <f>G112</f>
        <v>79.330578512396698</v>
      </c>
      <c r="K112" s="18">
        <v>0</v>
      </c>
      <c r="L112" s="17">
        <f>J112*K112/100</f>
        <v>0</v>
      </c>
      <c r="M112" s="19">
        <v>95.99</v>
      </c>
      <c r="N112" s="38"/>
    </row>
    <row r="113" spans="1:19" x14ac:dyDescent="0.35">
      <c r="A113" s="4">
        <v>45357</v>
      </c>
      <c r="B113" s="25" t="s">
        <v>204</v>
      </c>
      <c r="C113" s="25" t="s">
        <v>167</v>
      </c>
      <c r="D113" s="25" t="s">
        <v>189</v>
      </c>
      <c r="E113" s="25" t="s">
        <v>190</v>
      </c>
      <c r="F113" s="5" t="str">
        <f t="shared" ref="F113" si="141">CONCATENATE(S113,B113," ",E113)</f>
        <v>018-0003-247225 BRICOLAJE BRICOMAN, S.L.U.</v>
      </c>
      <c r="G113" s="17">
        <f>M113/(1-K113/100+H113/100)</f>
        <v>14.066115702479339</v>
      </c>
      <c r="H113" s="18">
        <v>21</v>
      </c>
      <c r="I113" s="17">
        <f>G113*H113/100</f>
        <v>2.953884297520661</v>
      </c>
      <c r="J113" s="17">
        <f>G113</f>
        <v>14.066115702479339</v>
      </c>
      <c r="K113" s="18">
        <v>0</v>
      </c>
      <c r="L113" s="17">
        <f>J113*K113/100</f>
        <v>0</v>
      </c>
      <c r="M113" s="19">
        <v>17.02</v>
      </c>
      <c r="N113" s="38" t="s">
        <v>27</v>
      </c>
    </row>
    <row r="114" spans="1:19" x14ac:dyDescent="0.35">
      <c r="A114" s="4">
        <v>45357</v>
      </c>
      <c r="B114" s="25" t="s">
        <v>164</v>
      </c>
      <c r="C114" s="25" t="s">
        <v>137</v>
      </c>
      <c r="D114" s="25" t="s">
        <v>138</v>
      </c>
      <c r="E114" s="25" t="s">
        <v>139</v>
      </c>
      <c r="F114" s="5" t="str">
        <f t="shared" si="83"/>
        <v>163/24 TECNOLOGÍA DEL CONTROL ENERGÉTICO MADRID, S.L.</v>
      </c>
      <c r="G114" s="17">
        <f t="shared" si="136"/>
        <v>769.19008264462809</v>
      </c>
      <c r="H114" s="18">
        <v>21</v>
      </c>
      <c r="I114" s="17">
        <f t="shared" si="137"/>
        <v>161.52991735537191</v>
      </c>
      <c r="J114" s="17">
        <f t="shared" si="138"/>
        <v>769.19008264462809</v>
      </c>
      <c r="K114" s="18">
        <v>0</v>
      </c>
      <c r="L114" s="17">
        <f t="shared" si="139"/>
        <v>0</v>
      </c>
      <c r="M114" s="19">
        <v>930.72</v>
      </c>
      <c r="N114" s="35"/>
    </row>
    <row r="115" spans="1:19" x14ac:dyDescent="0.35">
      <c r="A115" s="4">
        <v>45357</v>
      </c>
      <c r="B115" s="2" t="s">
        <v>268</v>
      </c>
      <c r="C115" s="2" t="s">
        <v>111</v>
      </c>
      <c r="D115" s="2" t="s">
        <v>230</v>
      </c>
      <c r="E115" s="2" t="s">
        <v>231</v>
      </c>
      <c r="F115" s="5" t="str">
        <f t="shared" si="83"/>
        <v>S/F 09240306010025416 CURENERGÍA COMERCIALIZADOR DE ÚLTIMO RECURSO S.A.U.</v>
      </c>
      <c r="G115" s="5">
        <f t="shared" si="136"/>
        <v>20.536363636363635</v>
      </c>
      <c r="H115">
        <v>10</v>
      </c>
      <c r="I115" s="5">
        <f t="shared" si="137"/>
        <v>2.0536363636363633</v>
      </c>
      <c r="J115" s="5">
        <f t="shared" si="138"/>
        <v>20.536363636363635</v>
      </c>
      <c r="K115">
        <v>0</v>
      </c>
      <c r="L115" s="5">
        <f t="shared" si="139"/>
        <v>0</v>
      </c>
      <c r="M115" s="8">
        <v>22.59</v>
      </c>
      <c r="N115" s="2"/>
      <c r="S115" t="s">
        <v>19</v>
      </c>
    </row>
    <row r="116" spans="1:19" x14ac:dyDescent="0.35">
      <c r="A116" s="4">
        <v>45358</v>
      </c>
      <c r="B116" s="25" t="s">
        <v>308</v>
      </c>
      <c r="C116" s="25" t="s">
        <v>167</v>
      </c>
      <c r="D116" s="16" t="s">
        <v>309</v>
      </c>
      <c r="E116" s="16" t="s">
        <v>307</v>
      </c>
      <c r="F116" s="5" t="str">
        <f t="shared" si="83"/>
        <v>5478-2024-00240013 COSTCO WHOLESALE SPAIN, S.L.U.</v>
      </c>
      <c r="G116" s="17">
        <f>M116/(1-K116/100+H116/100)</f>
        <v>48.95867768595042</v>
      </c>
      <c r="H116" s="18">
        <v>21</v>
      </c>
      <c r="I116" s="17">
        <f>G116*H116/100</f>
        <v>10.281322314049589</v>
      </c>
      <c r="J116" s="17">
        <f>G116</f>
        <v>48.95867768595042</v>
      </c>
      <c r="K116" s="18">
        <v>0</v>
      </c>
      <c r="L116" s="17">
        <f>J116*K116/100</f>
        <v>0</v>
      </c>
      <c r="M116" s="19">
        <v>59.24</v>
      </c>
      <c r="N116" s="38"/>
    </row>
    <row r="117" spans="1:19" x14ac:dyDescent="0.35">
      <c r="A117" s="20">
        <v>45360</v>
      </c>
      <c r="B117" s="25" t="s">
        <v>160</v>
      </c>
      <c r="C117" s="25" t="s">
        <v>111</v>
      </c>
      <c r="D117" s="49" t="s">
        <v>124</v>
      </c>
      <c r="E117" s="16" t="s">
        <v>125</v>
      </c>
      <c r="F117" s="5" t="str">
        <f t="shared" ref="F117:F137" si="142">CONCATENATE(S117,B117," ",E117)</f>
        <v>151774127064 APPLE DISTRIBUTION INTERNATIONAL LTD.</v>
      </c>
      <c r="G117" s="17">
        <f t="shared" si="136"/>
        <v>2.4710743801652897</v>
      </c>
      <c r="H117" s="18">
        <v>21</v>
      </c>
      <c r="I117" s="17">
        <f t="shared" si="137"/>
        <v>0.51892561983471086</v>
      </c>
      <c r="J117" s="17">
        <f t="shared" si="138"/>
        <v>2.4710743801652897</v>
      </c>
      <c r="K117" s="18">
        <v>0</v>
      </c>
      <c r="L117" s="17">
        <f t="shared" si="139"/>
        <v>0</v>
      </c>
      <c r="M117" s="19">
        <v>2.99</v>
      </c>
      <c r="N117" s="35"/>
    </row>
    <row r="118" spans="1:19" x14ac:dyDescent="0.35">
      <c r="A118" s="4">
        <v>45363</v>
      </c>
      <c r="B118" s="25" t="s">
        <v>181</v>
      </c>
      <c r="C118" s="25" t="s">
        <v>167</v>
      </c>
      <c r="D118" s="16" t="s">
        <v>168</v>
      </c>
      <c r="E118" s="16" t="s">
        <v>169</v>
      </c>
      <c r="F118" s="5" t="str">
        <f t="shared" si="142"/>
        <v>70124FE000000927 SANTIAGO Y LYDIA DIAZ, S.L.</v>
      </c>
      <c r="G118" s="17">
        <f>M118/(1-K118/100+H118/100)</f>
        <v>74.669421487603302</v>
      </c>
      <c r="H118" s="18">
        <v>21</v>
      </c>
      <c r="I118" s="17">
        <f>G118*H118/100</f>
        <v>15.680578512396695</v>
      </c>
      <c r="J118" s="17">
        <f>G118</f>
        <v>74.669421487603302</v>
      </c>
      <c r="K118" s="18">
        <v>0</v>
      </c>
      <c r="L118" s="17">
        <f>J118*K118/100</f>
        <v>0</v>
      </c>
      <c r="M118" s="19">
        <v>90.35</v>
      </c>
      <c r="N118" s="38"/>
    </row>
    <row r="119" spans="1:19" x14ac:dyDescent="0.35">
      <c r="A119" s="20">
        <v>45363</v>
      </c>
      <c r="B119" s="2" t="s">
        <v>269</v>
      </c>
      <c r="C119" s="2" t="s">
        <v>111</v>
      </c>
      <c r="D119" s="2" t="s">
        <v>220</v>
      </c>
      <c r="E119" s="2" t="s">
        <v>221</v>
      </c>
      <c r="F119" s="5" t="str">
        <f t="shared" si="142"/>
        <v>S/F FE24137006039878 Comercializadora Regulada, Gas &amp; Power, S.A.</v>
      </c>
      <c r="G119" s="5">
        <f t="shared" ref="G119:G120" si="143">M119/(1-K119/100+H119/100)</f>
        <v>13.6</v>
      </c>
      <c r="H119" s="18">
        <v>10</v>
      </c>
      <c r="I119" s="5">
        <f t="shared" ref="I119:I120" si="144">G119*H119/100</f>
        <v>1.36</v>
      </c>
      <c r="J119" s="5">
        <f t="shared" ref="J119:J120" si="145">G119</f>
        <v>13.6</v>
      </c>
      <c r="K119" s="18">
        <v>0</v>
      </c>
      <c r="L119" s="5">
        <f t="shared" ref="L119:L120" si="146">J119*K119/100</f>
        <v>0</v>
      </c>
      <c r="M119" s="8">
        <v>14.96</v>
      </c>
      <c r="N119" s="2"/>
      <c r="S119" t="s">
        <v>19</v>
      </c>
    </row>
    <row r="120" spans="1:19" x14ac:dyDescent="0.35">
      <c r="A120" s="4">
        <v>45363</v>
      </c>
      <c r="B120" s="2" t="s">
        <v>270</v>
      </c>
      <c r="C120" s="2" t="s">
        <v>111</v>
      </c>
      <c r="D120" s="2" t="s">
        <v>215</v>
      </c>
      <c r="E120" s="2" t="s">
        <v>216</v>
      </c>
      <c r="F120" s="5" t="str">
        <f t="shared" si="142"/>
        <v>61044050561 Repsol Comercializadora de Electricidad y Gas, S.L.U.</v>
      </c>
      <c r="G120" s="5">
        <f t="shared" si="143"/>
        <v>22.636363636363633</v>
      </c>
      <c r="H120" s="18">
        <v>10</v>
      </c>
      <c r="I120" s="5">
        <f t="shared" si="144"/>
        <v>2.2636363636363632</v>
      </c>
      <c r="J120" s="5">
        <f t="shared" si="145"/>
        <v>22.636363636363633</v>
      </c>
      <c r="K120" s="18">
        <v>0</v>
      </c>
      <c r="L120" s="5">
        <f t="shared" si="146"/>
        <v>0</v>
      </c>
      <c r="M120" s="8">
        <v>24.9</v>
      </c>
      <c r="N120" s="2"/>
    </row>
    <row r="121" spans="1:19" x14ac:dyDescent="0.35">
      <c r="A121" s="4">
        <v>45364</v>
      </c>
      <c r="B121" s="25" t="s">
        <v>272</v>
      </c>
      <c r="C121" s="25" t="s">
        <v>111</v>
      </c>
      <c r="D121" s="16" t="s">
        <v>223</v>
      </c>
      <c r="E121" s="16" t="s">
        <v>224</v>
      </c>
      <c r="F121" s="5" t="str">
        <f t="shared" si="142"/>
        <v>FMDVACH0017062 TELEFONICA DE ESPAÑA S.A.U.</v>
      </c>
      <c r="G121" s="17">
        <f>M121/(1-K121/100+H121/100)</f>
        <v>17.685950413223139</v>
      </c>
      <c r="H121" s="18">
        <v>21</v>
      </c>
      <c r="I121" s="17">
        <f>G121*H121/100</f>
        <v>3.7140495867768597</v>
      </c>
      <c r="J121" s="17">
        <f>G121</f>
        <v>17.685950413223139</v>
      </c>
      <c r="K121" s="18">
        <v>0</v>
      </c>
      <c r="L121" s="17">
        <f>J121*K121/100</f>
        <v>0</v>
      </c>
      <c r="M121" s="19">
        <v>21.4</v>
      </c>
      <c r="N121" s="38"/>
    </row>
    <row r="122" spans="1:19" x14ac:dyDescent="0.35">
      <c r="A122" s="20">
        <v>45364</v>
      </c>
      <c r="B122" s="20" t="s">
        <v>271</v>
      </c>
      <c r="C122" s="25" t="s">
        <v>111</v>
      </c>
      <c r="D122" s="25" t="s">
        <v>225</v>
      </c>
      <c r="E122" s="25" t="s">
        <v>226</v>
      </c>
      <c r="F122" s="5" t="str">
        <f t="shared" si="142"/>
        <v>MMDVACH0005566 TELEFÓNICA MÓVILES ESPAÑA, S.A.</v>
      </c>
      <c r="G122" s="5">
        <f t="shared" ref="G122:G125" si="147">M122/(1-K122/100+H122/100)</f>
        <v>37.595041322314053</v>
      </c>
      <c r="H122" s="18">
        <v>21</v>
      </c>
      <c r="I122" s="17">
        <f t="shared" ref="I122:I124" si="148">G122*H122/100</f>
        <v>7.8949586776859508</v>
      </c>
      <c r="J122" s="17">
        <f t="shared" ref="J122:J124" si="149">G122</f>
        <v>37.595041322314053</v>
      </c>
      <c r="K122" s="18">
        <v>0</v>
      </c>
      <c r="L122" s="17">
        <f t="shared" ref="L122:L124" si="150">J122*K122/100</f>
        <v>0</v>
      </c>
      <c r="M122" s="19">
        <v>45.49</v>
      </c>
      <c r="N122" s="38"/>
    </row>
    <row r="123" spans="1:19" x14ac:dyDescent="0.35">
      <c r="A123" s="4">
        <v>45364</v>
      </c>
      <c r="B123" s="20" t="s">
        <v>273</v>
      </c>
      <c r="C123" s="25" t="s">
        <v>111</v>
      </c>
      <c r="D123" s="25" t="s">
        <v>225</v>
      </c>
      <c r="E123" s="25" t="s">
        <v>226</v>
      </c>
      <c r="F123" s="5" t="str">
        <f t="shared" si="142"/>
        <v>MMDVACH0005567 TELEFÓNICA MÓVILES ESPAÑA, S.A.</v>
      </c>
      <c r="G123" s="5">
        <f t="shared" si="147"/>
        <v>23.099173553719009</v>
      </c>
      <c r="H123" s="18">
        <v>21</v>
      </c>
      <c r="I123" s="17">
        <f t="shared" si="148"/>
        <v>4.8508264462809914</v>
      </c>
      <c r="J123" s="17">
        <f t="shared" si="149"/>
        <v>23.099173553719009</v>
      </c>
      <c r="K123" s="18">
        <v>0</v>
      </c>
      <c r="L123" s="17">
        <f t="shared" si="150"/>
        <v>0</v>
      </c>
      <c r="M123" s="19">
        <v>27.95</v>
      </c>
      <c r="N123" s="38"/>
    </row>
    <row r="124" spans="1:19" x14ac:dyDescent="0.35">
      <c r="A124" s="4">
        <v>45365</v>
      </c>
      <c r="B124" s="2" t="s">
        <v>274</v>
      </c>
      <c r="C124" s="25" t="s">
        <v>167</v>
      </c>
      <c r="D124" s="25" t="s">
        <v>206</v>
      </c>
      <c r="E124" s="16" t="s">
        <v>207</v>
      </c>
      <c r="F124" s="5" t="str">
        <f t="shared" si="142"/>
        <v>RC EOS ES2024/9083495 MAKSU ESPAÑA S.L.</v>
      </c>
      <c r="G124" s="5">
        <f t="shared" si="147"/>
        <v>1.35</v>
      </c>
      <c r="H124" s="18">
        <v>0</v>
      </c>
      <c r="I124" s="17">
        <f t="shared" si="148"/>
        <v>0</v>
      </c>
      <c r="J124" s="17">
        <f t="shared" si="149"/>
        <v>1.35</v>
      </c>
      <c r="K124" s="18">
        <v>0</v>
      </c>
      <c r="L124" s="17">
        <f t="shared" si="150"/>
        <v>0</v>
      </c>
      <c r="M124" s="19">
        <v>1.35</v>
      </c>
      <c r="N124" s="38"/>
    </row>
    <row r="125" spans="1:19" x14ac:dyDescent="0.35">
      <c r="A125" s="4">
        <v>45365</v>
      </c>
      <c r="B125" s="2" t="s">
        <v>275</v>
      </c>
      <c r="C125" s="25" t="s">
        <v>167</v>
      </c>
      <c r="D125" s="25" t="s">
        <v>206</v>
      </c>
      <c r="E125" s="16" t="s">
        <v>207</v>
      </c>
      <c r="F125" s="5" t="str">
        <f t="shared" si="142"/>
        <v>FT EOS ES2024/541643 MAKSU ESPAÑA S.L.</v>
      </c>
      <c r="G125" s="5">
        <f t="shared" si="147"/>
        <v>0.13223140495867769</v>
      </c>
      <c r="H125" s="18">
        <v>21</v>
      </c>
      <c r="I125" s="17">
        <f>G125*H125/100</f>
        <v>2.7768595041322314E-2</v>
      </c>
      <c r="J125" s="17">
        <f>G125</f>
        <v>0.13223140495867769</v>
      </c>
      <c r="K125" s="18">
        <v>0</v>
      </c>
      <c r="L125" s="17">
        <f>J125*K125/100</f>
        <v>0</v>
      </c>
      <c r="M125" s="19">
        <v>0.16</v>
      </c>
      <c r="N125" s="38"/>
    </row>
    <row r="126" spans="1:19" x14ac:dyDescent="0.35">
      <c r="A126" s="4">
        <v>45366</v>
      </c>
      <c r="B126" s="2" t="s">
        <v>162</v>
      </c>
      <c r="C126" s="2" t="s">
        <v>111</v>
      </c>
      <c r="D126" s="2" t="s">
        <v>114</v>
      </c>
      <c r="E126" s="2" t="s">
        <v>115</v>
      </c>
      <c r="F126" s="5" t="str">
        <f t="shared" si="142"/>
        <v>S/F FR357630 ELECTRO MERCANTIL LEGANES D.A.M.,S.L.U.</v>
      </c>
      <c r="G126" s="5">
        <f t="shared" si="136"/>
        <v>3228.9008264462809</v>
      </c>
      <c r="H126" s="18">
        <v>21</v>
      </c>
      <c r="I126" s="5">
        <f t="shared" si="137"/>
        <v>678.069173553719</v>
      </c>
      <c r="J126" s="5">
        <f t="shared" si="138"/>
        <v>3228.9008264462809</v>
      </c>
      <c r="K126" s="18">
        <v>0</v>
      </c>
      <c r="L126" s="5">
        <f t="shared" si="139"/>
        <v>0</v>
      </c>
      <c r="M126" s="8">
        <v>3906.97</v>
      </c>
      <c r="N126" s="2"/>
      <c r="S126" t="s">
        <v>19</v>
      </c>
    </row>
    <row r="127" spans="1:19" x14ac:dyDescent="0.35">
      <c r="A127" s="4">
        <v>45366</v>
      </c>
      <c r="B127" s="25" t="s">
        <v>163</v>
      </c>
      <c r="C127" s="25" t="s">
        <v>111</v>
      </c>
      <c r="D127" s="25" t="s">
        <v>112</v>
      </c>
      <c r="E127" s="25" t="s">
        <v>113</v>
      </c>
      <c r="F127" s="5" t="str">
        <f t="shared" si="142"/>
        <v>H4F02956 HIPER ANTENA, S.A.</v>
      </c>
      <c r="G127" s="17">
        <f t="shared" si="136"/>
        <v>337.75206611570252</v>
      </c>
      <c r="H127" s="18">
        <v>21</v>
      </c>
      <c r="I127" s="17">
        <f t="shared" si="137"/>
        <v>70.927933884297531</v>
      </c>
      <c r="J127" s="17">
        <f t="shared" si="138"/>
        <v>337.75206611570252</v>
      </c>
      <c r="K127" s="18">
        <v>0</v>
      </c>
      <c r="L127" s="17">
        <f t="shared" si="139"/>
        <v>0</v>
      </c>
      <c r="M127" s="19">
        <v>408.68</v>
      </c>
      <c r="N127" s="38"/>
    </row>
    <row r="128" spans="1:19" x14ac:dyDescent="0.35">
      <c r="A128" s="4">
        <v>45371</v>
      </c>
      <c r="B128" s="25" t="s">
        <v>165</v>
      </c>
      <c r="C128" s="25" t="s">
        <v>137</v>
      </c>
      <c r="D128" s="25" t="s">
        <v>138</v>
      </c>
      <c r="E128" s="25" t="s">
        <v>139</v>
      </c>
      <c r="F128" s="5" t="str">
        <f t="shared" si="142"/>
        <v>199/24 TECNOLOGÍA DEL CONTROL ENERGÉTICO MADRID, S.L.</v>
      </c>
      <c r="G128" s="17">
        <f t="shared" ref="G128:G136" si="151">M128/(1-K128/100+H128/100)</f>
        <v>765.62809917355366</v>
      </c>
      <c r="H128" s="18">
        <v>21</v>
      </c>
      <c r="I128" s="17">
        <f t="shared" ref="I128:I136" si="152">G128*H128/100</f>
        <v>160.78190082644628</v>
      </c>
      <c r="J128" s="17">
        <f t="shared" ref="J128:J136" si="153">G128</f>
        <v>765.62809917355366</v>
      </c>
      <c r="K128" s="18">
        <v>0</v>
      </c>
      <c r="L128" s="17">
        <f t="shared" ref="L128:L136" si="154">J128*K128/100</f>
        <v>0</v>
      </c>
      <c r="M128" s="19">
        <v>926.41</v>
      </c>
      <c r="N128" s="35"/>
    </row>
    <row r="129" spans="1:19" x14ac:dyDescent="0.35">
      <c r="A129" s="4">
        <v>45371</v>
      </c>
      <c r="B129" s="2" t="s">
        <v>276</v>
      </c>
      <c r="C129" s="25" t="s">
        <v>167</v>
      </c>
      <c r="D129" s="25" t="s">
        <v>206</v>
      </c>
      <c r="E129" s="16" t="s">
        <v>207</v>
      </c>
      <c r="F129" s="5" t="str">
        <f t="shared" ref="F129:F130" si="155">CONCATENATE(S129,B129," ",E129)</f>
        <v>RC EOS ES2024/9756186 MAKSU ESPAÑA S.L.</v>
      </c>
      <c r="G129" s="5">
        <f t="shared" si="151"/>
        <v>0.3</v>
      </c>
      <c r="H129" s="18">
        <v>0</v>
      </c>
      <c r="I129" s="17">
        <f t="shared" si="152"/>
        <v>0</v>
      </c>
      <c r="J129" s="17">
        <f t="shared" si="153"/>
        <v>0.3</v>
      </c>
      <c r="K129" s="18">
        <v>0</v>
      </c>
      <c r="L129" s="17">
        <f t="shared" si="154"/>
        <v>0</v>
      </c>
      <c r="M129" s="19">
        <v>0.3</v>
      </c>
      <c r="N129" s="38"/>
    </row>
    <row r="130" spans="1:19" x14ac:dyDescent="0.35">
      <c r="A130" s="4">
        <v>45371</v>
      </c>
      <c r="B130" s="2" t="s">
        <v>277</v>
      </c>
      <c r="C130" s="25" t="s">
        <v>167</v>
      </c>
      <c r="D130" s="25" t="s">
        <v>206</v>
      </c>
      <c r="E130" s="16" t="s">
        <v>207</v>
      </c>
      <c r="F130" s="5" t="str">
        <f t="shared" si="155"/>
        <v>FT EOS ES2024/578174 MAKSU ESPAÑA S.L.</v>
      </c>
      <c r="G130" s="5">
        <f t="shared" si="151"/>
        <v>3.3057851239669422E-2</v>
      </c>
      <c r="H130" s="18">
        <v>21</v>
      </c>
      <c r="I130" s="17">
        <f>G130*H130/100</f>
        <v>6.9421487603305784E-3</v>
      </c>
      <c r="J130" s="17">
        <f>G130</f>
        <v>3.3057851239669422E-2</v>
      </c>
      <c r="K130" s="18">
        <v>0</v>
      </c>
      <c r="L130" s="17">
        <f>J130*K130/100</f>
        <v>0</v>
      </c>
      <c r="M130" s="19">
        <v>0.04</v>
      </c>
      <c r="N130" s="38"/>
    </row>
    <row r="131" spans="1:19" x14ac:dyDescent="0.35">
      <c r="A131" s="4">
        <v>45371</v>
      </c>
      <c r="B131" s="25" t="s">
        <v>182</v>
      </c>
      <c r="C131" s="25" t="s">
        <v>167</v>
      </c>
      <c r="D131" s="16" t="s">
        <v>168</v>
      </c>
      <c r="E131" s="16" t="s">
        <v>169</v>
      </c>
      <c r="F131" s="5" t="str">
        <f t="shared" ref="F131:F132" si="156">CONCATENATE(S131,B131," ",E131)</f>
        <v>70124FE000001041 SANTIAGO Y LYDIA DIAZ, S.L.</v>
      </c>
      <c r="G131" s="17">
        <f>M131/(1-K131/100+H131/100)</f>
        <v>75.917355371900825</v>
      </c>
      <c r="H131" s="18">
        <v>21</v>
      </c>
      <c r="I131" s="17">
        <f>G131*H131/100</f>
        <v>15.942644628099174</v>
      </c>
      <c r="J131" s="17">
        <f>G131</f>
        <v>75.917355371900825</v>
      </c>
      <c r="K131" s="18">
        <v>0</v>
      </c>
      <c r="L131" s="17">
        <f>J131*K131/100</f>
        <v>0</v>
      </c>
      <c r="M131" s="19">
        <v>91.86</v>
      </c>
      <c r="N131" s="38"/>
    </row>
    <row r="132" spans="1:19" x14ac:dyDescent="0.35">
      <c r="A132" s="4">
        <v>45371</v>
      </c>
      <c r="B132" s="25" t="s">
        <v>205</v>
      </c>
      <c r="C132" s="25" t="s">
        <v>167</v>
      </c>
      <c r="D132" s="25" t="s">
        <v>189</v>
      </c>
      <c r="E132" s="25" t="s">
        <v>190</v>
      </c>
      <c r="F132" s="5" t="str">
        <f t="shared" si="156"/>
        <v>018-0003-272779 BRICOLAJE BRICOMAN, S.L.U.</v>
      </c>
      <c r="G132" s="17">
        <f>M132/(1-K132/100+H132/100)</f>
        <v>6.1983471074380168</v>
      </c>
      <c r="H132" s="18">
        <v>21</v>
      </c>
      <c r="I132" s="17">
        <f>G132*H132/100</f>
        <v>1.3016528925619835</v>
      </c>
      <c r="J132" s="17">
        <f>G132</f>
        <v>6.1983471074380168</v>
      </c>
      <c r="K132" s="18">
        <v>0</v>
      </c>
      <c r="L132" s="17">
        <f>J132*K132/100</f>
        <v>0</v>
      </c>
      <c r="M132" s="19">
        <v>7.5</v>
      </c>
      <c r="N132" s="38" t="s">
        <v>27</v>
      </c>
    </row>
    <row r="133" spans="1:19" x14ac:dyDescent="0.35">
      <c r="A133" s="4">
        <v>45376</v>
      </c>
      <c r="B133" s="25" t="s">
        <v>278</v>
      </c>
      <c r="C133" s="25" t="s">
        <v>111</v>
      </c>
      <c r="D133" s="25" t="s">
        <v>235</v>
      </c>
      <c r="E133" s="25" t="s">
        <v>236</v>
      </c>
      <c r="F133" s="5" t="str">
        <f>CONCATENATE(S133,B133," ",E133)</f>
        <v>B5010324-00006510 ORANGE ESPAÑA VIRTUAL, S.L.U.</v>
      </c>
      <c r="G133" s="5">
        <f>M133/(1-K133/100+H133/100)</f>
        <v>12.396694214876034</v>
      </c>
      <c r="H133" s="18">
        <v>21</v>
      </c>
      <c r="I133" s="17">
        <f>G133*H133/100</f>
        <v>2.6033057851239669</v>
      </c>
      <c r="J133" s="17">
        <f>G133</f>
        <v>12.396694214876034</v>
      </c>
      <c r="K133" s="18">
        <v>0</v>
      </c>
      <c r="L133" s="17">
        <f>J133*K133/100</f>
        <v>0</v>
      </c>
      <c r="M133" s="19">
        <v>15</v>
      </c>
      <c r="N133" s="35"/>
    </row>
    <row r="134" spans="1:19" x14ac:dyDescent="0.35">
      <c r="A134" s="4">
        <v>45377</v>
      </c>
      <c r="B134" s="2" t="s">
        <v>295</v>
      </c>
      <c r="C134" s="25" t="s">
        <v>167</v>
      </c>
      <c r="D134" s="25" t="s">
        <v>287</v>
      </c>
      <c r="E134" s="16" t="s">
        <v>288</v>
      </c>
      <c r="F134" s="5" t="str">
        <f t="shared" ref="F134" si="157">CONCATENATE(S134,B134," ",E134)</f>
        <v>0203044 INMOBILIARIA PARIS, S.A.</v>
      </c>
      <c r="G134" s="5">
        <f t="shared" ref="G134" si="158">M134/(1-K134/100+H134/100)</f>
        <v>0.41322314049586778</v>
      </c>
      <c r="H134" s="18">
        <v>21</v>
      </c>
      <c r="I134" s="17">
        <f>G134*H134/100</f>
        <v>8.6776859504132234E-2</v>
      </c>
      <c r="J134" s="17">
        <f>G134</f>
        <v>0.41322314049586778</v>
      </c>
      <c r="K134" s="18">
        <v>0</v>
      </c>
      <c r="L134" s="17">
        <f>J134*K134/100</f>
        <v>0</v>
      </c>
      <c r="M134" s="19">
        <v>0.5</v>
      </c>
      <c r="N134" s="38"/>
    </row>
    <row r="135" spans="1:19" x14ac:dyDescent="0.35">
      <c r="A135" s="4">
        <v>45382</v>
      </c>
      <c r="B135" s="25" t="s">
        <v>279</v>
      </c>
      <c r="C135" s="25" t="s">
        <v>111</v>
      </c>
      <c r="D135" s="25" t="s">
        <v>112</v>
      </c>
      <c r="E135" s="25" t="s">
        <v>113</v>
      </c>
      <c r="F135" s="5" t="str">
        <f t="shared" ref="F135" si="159">CONCATENATE(S135,B135," ",E135)</f>
        <v>H4F03576 HIPER ANTENA, S.A.</v>
      </c>
      <c r="G135" s="17">
        <f t="shared" ref="G135" si="160">M135/(1-K135/100+H135/100)</f>
        <v>248.17355371900828</v>
      </c>
      <c r="H135" s="18">
        <v>21</v>
      </c>
      <c r="I135" s="17">
        <f t="shared" ref="I135" si="161">G135*H135/100</f>
        <v>52.116446280991738</v>
      </c>
      <c r="J135" s="17">
        <f t="shared" ref="J135" si="162">G135</f>
        <v>248.17355371900828</v>
      </c>
      <c r="K135" s="18">
        <v>0</v>
      </c>
      <c r="L135" s="17">
        <f t="shared" ref="L135" si="163">J135*K135/100</f>
        <v>0</v>
      </c>
      <c r="M135" s="19">
        <v>300.29000000000002</v>
      </c>
      <c r="N135" s="38"/>
    </row>
    <row r="136" spans="1:19" x14ac:dyDescent="0.35">
      <c r="A136" s="4">
        <v>45382</v>
      </c>
      <c r="B136" s="2" t="s">
        <v>166</v>
      </c>
      <c r="C136" s="2" t="s">
        <v>111</v>
      </c>
      <c r="D136" s="2" t="s">
        <v>114</v>
      </c>
      <c r="E136" s="2" t="s">
        <v>115</v>
      </c>
      <c r="F136" s="5" t="str">
        <f t="shared" ref="F136" si="164">CONCATENATE(S136,B136," ",E136)</f>
        <v>S/F FR358107 ELECTRO MERCANTIL LEGANES D.A.M.,S.L.U.</v>
      </c>
      <c r="G136" s="5">
        <f t="shared" si="151"/>
        <v>1161.702479338843</v>
      </c>
      <c r="H136" s="18">
        <v>21</v>
      </c>
      <c r="I136" s="5">
        <f t="shared" si="152"/>
        <v>243.95752066115702</v>
      </c>
      <c r="J136" s="5">
        <f t="shared" si="153"/>
        <v>1161.702479338843</v>
      </c>
      <c r="K136" s="18">
        <v>0</v>
      </c>
      <c r="L136" s="5">
        <f t="shared" si="154"/>
        <v>0</v>
      </c>
      <c r="M136" s="8">
        <v>1405.66</v>
      </c>
      <c r="N136" s="2"/>
      <c r="S136" t="s">
        <v>19</v>
      </c>
    </row>
    <row r="137" spans="1:19" x14ac:dyDescent="0.35">
      <c r="A137" s="4">
        <v>45382</v>
      </c>
      <c r="B137" s="25" t="s">
        <v>161</v>
      </c>
      <c r="C137" s="25" t="s">
        <v>111</v>
      </c>
      <c r="D137" s="25" t="s">
        <v>127</v>
      </c>
      <c r="E137" s="25" t="s">
        <v>128</v>
      </c>
      <c r="F137" s="5" t="str">
        <f t="shared" si="142"/>
        <v>F240926 CONTAMAR S.L.</v>
      </c>
      <c r="G137" s="5">
        <f t="shared" si="136"/>
        <v>345.28099173553721</v>
      </c>
      <c r="H137" s="18">
        <v>21</v>
      </c>
      <c r="I137" s="17">
        <f t="shared" si="137"/>
        <v>72.509008264462821</v>
      </c>
      <c r="J137" s="17">
        <f t="shared" si="138"/>
        <v>345.28099173553721</v>
      </c>
      <c r="K137" s="18">
        <v>0</v>
      </c>
      <c r="L137" s="17">
        <f t="shared" si="139"/>
        <v>0</v>
      </c>
      <c r="M137" s="19">
        <v>417.79</v>
      </c>
      <c r="N137" s="38"/>
    </row>
    <row r="138" spans="1:19" x14ac:dyDescent="0.35">
      <c r="A138" s="4"/>
      <c r="G138" s="5">
        <f t="shared" ref="G138:G140" si="165">M138/(1-K138/100+H138/100)</f>
        <v>0</v>
      </c>
      <c r="H138" s="18">
        <v>21</v>
      </c>
      <c r="I138" s="17">
        <f t="shared" ref="I138:I139" si="166">G138*H138/100</f>
        <v>0</v>
      </c>
      <c r="J138" s="17">
        <f t="shared" ref="J138:J139" si="167">G138</f>
        <v>0</v>
      </c>
      <c r="K138" s="18">
        <v>0</v>
      </c>
      <c r="L138" s="17">
        <f t="shared" ref="L138:L139" si="168">J138*K138/100</f>
        <v>0</v>
      </c>
      <c r="M138" s="19"/>
      <c r="N138" s="38" t="s">
        <v>27</v>
      </c>
    </row>
    <row r="139" spans="1:19" x14ac:dyDescent="0.35">
      <c r="A139" s="4"/>
      <c r="G139" s="5">
        <f t="shared" si="165"/>
        <v>0</v>
      </c>
      <c r="H139" s="18">
        <v>21</v>
      </c>
      <c r="I139" s="17">
        <f t="shared" si="166"/>
        <v>0</v>
      </c>
      <c r="J139" s="17">
        <f t="shared" si="167"/>
        <v>0</v>
      </c>
      <c r="K139" s="18">
        <v>0</v>
      </c>
      <c r="L139" s="17">
        <f t="shared" si="168"/>
        <v>0</v>
      </c>
      <c r="M139" s="19"/>
      <c r="N139" s="38"/>
    </row>
    <row r="140" spans="1:19" x14ac:dyDescent="0.35">
      <c r="A140" s="4"/>
      <c r="D140" s="15"/>
      <c r="E140" s="16"/>
      <c r="G140" s="5">
        <f t="shared" si="165"/>
        <v>0</v>
      </c>
      <c r="H140" s="18">
        <v>21</v>
      </c>
      <c r="I140" s="5">
        <f t="shared" ref="I140" si="169">G140*H140/100</f>
        <v>0</v>
      </c>
      <c r="J140" s="5">
        <f t="shared" ref="J140" si="170">G140</f>
        <v>0</v>
      </c>
      <c r="K140">
        <v>0</v>
      </c>
      <c r="L140" s="5">
        <f t="shared" ref="L140" si="171">J140*K140/100</f>
        <v>0</v>
      </c>
      <c r="M140" s="19"/>
      <c r="N140" s="35"/>
      <c r="S140" t="s">
        <v>19</v>
      </c>
    </row>
    <row r="141" spans="1:19" x14ac:dyDescent="0.35">
      <c r="G141" s="17"/>
      <c r="H141" s="18"/>
      <c r="I141" s="17"/>
      <c r="J141" s="17"/>
      <c r="K141" s="18"/>
      <c r="L141" s="17"/>
      <c r="N141" s="38"/>
    </row>
    <row r="142" spans="1:19" ht="15" thickBot="1" x14ac:dyDescent="0.4">
      <c r="G142" s="17"/>
      <c r="H142" s="18"/>
      <c r="I142" s="17"/>
      <c r="J142" s="17"/>
      <c r="K142" s="18"/>
      <c r="L142" s="17"/>
      <c r="S142" t="s">
        <v>19</v>
      </c>
    </row>
    <row r="143" spans="1:19" ht="15" thickBot="1" x14ac:dyDescent="0.4">
      <c r="G143" s="26">
        <f>SUM(G2:G142)</f>
        <v>24951.653140495873</v>
      </c>
      <c r="H143" s="50"/>
      <c r="I143" s="26">
        <f>SUM(I2:I142)</f>
        <v>4803.1768595041331</v>
      </c>
      <c r="J143" s="26">
        <f>SUM(J2:J142)</f>
        <v>24951.653140495873</v>
      </c>
      <c r="K143" s="50"/>
      <c r="L143" s="50"/>
      <c r="M143" s="26">
        <f>SUM(M2:M142)</f>
        <v>29754.830000000013</v>
      </c>
    </row>
    <row r="144" spans="1:19" x14ac:dyDescent="0.35">
      <c r="G144" s="17"/>
      <c r="H144" s="18"/>
      <c r="I144" s="17"/>
      <c r="J144" s="17"/>
      <c r="K144" s="18"/>
      <c r="L144" s="17"/>
      <c r="S144" t="s">
        <v>19</v>
      </c>
    </row>
    <row r="145" spans="7:19" x14ac:dyDescent="0.35">
      <c r="G145" s="17"/>
      <c r="H145" s="18"/>
      <c r="I145" s="17"/>
      <c r="J145" s="17"/>
      <c r="K145" s="18"/>
      <c r="L145" s="17"/>
      <c r="S145" t="s">
        <v>19</v>
      </c>
    </row>
    <row r="146" spans="7:19" x14ac:dyDescent="0.35">
      <c r="G146" s="17"/>
      <c r="H146" s="18"/>
      <c r="I146" s="17"/>
      <c r="J146" s="17"/>
      <c r="K146" s="18"/>
      <c r="L146" s="17"/>
      <c r="S146" t="s">
        <v>19</v>
      </c>
    </row>
    <row r="147" spans="7:19" x14ac:dyDescent="0.35">
      <c r="G147" s="17"/>
      <c r="H147" s="18"/>
      <c r="I147" s="17"/>
      <c r="J147" s="17"/>
      <c r="K147" s="18"/>
      <c r="L147" s="17"/>
      <c r="S147" t="s">
        <v>19</v>
      </c>
    </row>
    <row r="148" spans="7:19" x14ac:dyDescent="0.35">
      <c r="G148" s="17"/>
      <c r="H148" s="18"/>
      <c r="I148" s="17"/>
      <c r="J148" s="17"/>
      <c r="K148" s="18"/>
      <c r="L148" s="17"/>
      <c r="S148" t="s">
        <v>19</v>
      </c>
    </row>
    <row r="149" spans="7:19" x14ac:dyDescent="0.35">
      <c r="G149" s="17"/>
      <c r="H149" s="18"/>
      <c r="I149" s="17"/>
      <c r="J149" s="17"/>
      <c r="K149" s="18"/>
      <c r="L149" s="17"/>
      <c r="S149" t="s">
        <v>19</v>
      </c>
    </row>
    <row r="150" spans="7:19" x14ac:dyDescent="0.35">
      <c r="G150" s="17"/>
      <c r="H150" s="18"/>
      <c r="I150" s="17"/>
      <c r="J150" s="17"/>
      <c r="K150" s="18"/>
      <c r="L150" s="17"/>
      <c r="S150" t="s">
        <v>19</v>
      </c>
    </row>
    <row r="151" spans="7:19" x14ac:dyDescent="0.35">
      <c r="G151" s="17"/>
      <c r="H151" s="18"/>
      <c r="I151" s="17"/>
      <c r="J151" s="17"/>
      <c r="K151" s="18"/>
      <c r="L151" s="17"/>
      <c r="S151" t="s">
        <v>19</v>
      </c>
    </row>
    <row r="152" spans="7:19" x14ac:dyDescent="0.35">
      <c r="G152" s="17"/>
      <c r="H152" s="18"/>
      <c r="I152" s="17"/>
      <c r="J152" s="17"/>
      <c r="K152" s="18"/>
      <c r="L152" s="17"/>
      <c r="S152" t="s">
        <v>19</v>
      </c>
    </row>
    <row r="153" spans="7:19" x14ac:dyDescent="0.35">
      <c r="G153" s="17"/>
      <c r="H153" s="18"/>
      <c r="I153" s="17"/>
      <c r="J153" s="17"/>
      <c r="K153" s="18"/>
      <c r="L153" s="17"/>
      <c r="S153" t="s">
        <v>19</v>
      </c>
    </row>
    <row r="154" spans="7:19" x14ac:dyDescent="0.35">
      <c r="G154" s="17"/>
      <c r="H154" s="18"/>
      <c r="I154" s="17"/>
      <c r="J154" s="17"/>
      <c r="K154" s="18"/>
      <c r="L154" s="17"/>
      <c r="S154" t="s">
        <v>19</v>
      </c>
    </row>
    <row r="155" spans="7:19" x14ac:dyDescent="0.35">
      <c r="G155" s="17"/>
      <c r="H155" s="18"/>
      <c r="I155" s="17"/>
      <c r="J155" s="17"/>
      <c r="K155" s="18"/>
      <c r="L155" s="17"/>
      <c r="S155" t="s">
        <v>19</v>
      </c>
    </row>
    <row r="156" spans="7:19" x14ac:dyDescent="0.35">
      <c r="G156" s="17"/>
      <c r="H156" s="18"/>
      <c r="I156" s="17"/>
      <c r="J156" s="17"/>
      <c r="K156" s="18"/>
      <c r="L156" s="17"/>
      <c r="S156" t="s">
        <v>19</v>
      </c>
    </row>
    <row r="157" spans="7:19" x14ac:dyDescent="0.35">
      <c r="G157" s="17"/>
      <c r="H157" s="18"/>
      <c r="I157" s="17"/>
      <c r="J157" s="17"/>
      <c r="K157" s="18"/>
      <c r="L157" s="17"/>
      <c r="S157" t="s">
        <v>19</v>
      </c>
    </row>
    <row r="158" spans="7:19" x14ac:dyDescent="0.35">
      <c r="G158" s="17"/>
      <c r="H158" s="18"/>
      <c r="I158" s="17"/>
      <c r="J158" s="17"/>
      <c r="K158" s="18"/>
      <c r="L158" s="17"/>
      <c r="S158" t="s">
        <v>19</v>
      </c>
    </row>
    <row r="159" spans="7:19" x14ac:dyDescent="0.35">
      <c r="G159" s="17"/>
      <c r="H159" s="18"/>
      <c r="I159" s="17"/>
      <c r="J159" s="17"/>
      <c r="K159" s="18"/>
      <c r="L159" s="17"/>
      <c r="S159" t="s">
        <v>19</v>
      </c>
    </row>
    <row r="160" spans="7:19" x14ac:dyDescent="0.35">
      <c r="G160" s="17"/>
      <c r="H160" s="18"/>
      <c r="I160" s="17"/>
      <c r="J160" s="17"/>
      <c r="K160" s="18"/>
      <c r="L160" s="17"/>
      <c r="S160" t="s">
        <v>19</v>
      </c>
    </row>
    <row r="161" spans="7:19" x14ac:dyDescent="0.35">
      <c r="G161" s="17"/>
      <c r="H161" s="18"/>
      <c r="I161" s="17"/>
      <c r="J161" s="17"/>
      <c r="K161" s="18"/>
      <c r="L161" s="17"/>
      <c r="S161" t="s">
        <v>19</v>
      </c>
    </row>
    <row r="162" spans="7:19" x14ac:dyDescent="0.35">
      <c r="G162" s="17"/>
      <c r="H162" s="18"/>
      <c r="I162" s="17"/>
      <c r="J162" s="17"/>
      <c r="K162" s="18"/>
      <c r="L162" s="17"/>
      <c r="S162" t="s">
        <v>19</v>
      </c>
    </row>
    <row r="163" spans="7:19" x14ac:dyDescent="0.35">
      <c r="G163" s="17"/>
      <c r="H163" s="18"/>
      <c r="I163" s="17"/>
      <c r="J163" s="17"/>
      <c r="K163" s="18"/>
      <c r="L163" s="17"/>
      <c r="S163" t="s">
        <v>19</v>
      </c>
    </row>
    <row r="164" spans="7:19" x14ac:dyDescent="0.35">
      <c r="G164" s="17"/>
      <c r="H164" s="18"/>
      <c r="I164" s="17"/>
      <c r="J164" s="17"/>
      <c r="K164" s="18"/>
      <c r="L164" s="17"/>
    </row>
    <row r="165" spans="7:19" x14ac:dyDescent="0.35">
      <c r="G165" s="17"/>
      <c r="H165" s="18"/>
      <c r="I165" s="17"/>
      <c r="J165" s="17"/>
      <c r="K165" s="18"/>
      <c r="L165" s="17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20"/>
  <sheetViews>
    <sheetView zoomScaleNormal="100" workbookViewId="0">
      <selection activeCell="A68" sqref="A68:XFD68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1.08984375" style="2" bestFit="1" customWidth="1"/>
    <col min="5" max="5" width="25.453125" style="2" customWidth="1"/>
    <col min="6" max="6" width="30.08984375" style="5" customWidth="1"/>
    <col min="7" max="7" width="10.54296875" style="10" customWidth="1"/>
    <col min="8" max="8" width="5.6328125" bestFit="1" customWidth="1"/>
    <col min="9" max="9" width="9.6328125" customWidth="1"/>
    <col min="10" max="10" width="11.6328125" customWidth="1"/>
    <col min="11" max="11" width="6.08984375" customWidth="1"/>
    <col min="12" max="12" width="8.54296875" customWidth="1"/>
    <col min="13" max="13" width="10.6328125" style="11" customWidth="1"/>
    <col min="14" max="14" width="14.90625" style="2" bestFit="1" customWidth="1"/>
    <col min="15" max="16" width="11.453125" style="3" customWidth="1"/>
    <col min="17" max="17" width="13.36328125" customWidth="1"/>
    <col min="18" max="18" width="14.08984375" customWidth="1"/>
  </cols>
  <sheetData>
    <row r="1" spans="1:19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9" hidden="1" x14ac:dyDescent="0.35">
      <c r="A2" s="4">
        <v>45383</v>
      </c>
      <c r="B2" s="25" t="s">
        <v>372</v>
      </c>
      <c r="C2" s="25" t="s">
        <v>137</v>
      </c>
      <c r="D2" s="25" t="s">
        <v>367</v>
      </c>
      <c r="E2" s="25" t="s">
        <v>368</v>
      </c>
      <c r="F2" s="5" t="str">
        <f t="shared" ref="F2:F7" si="0">CONCATENATE(S2,B2," ",E2)</f>
        <v>04/24 COMUNIDAD BIENES ANT. J.  SERRANO RUBIO</v>
      </c>
      <c r="G2" s="17">
        <f>M2/(1-K2/100+H2/100)</f>
        <v>825</v>
      </c>
      <c r="H2" s="18">
        <v>21</v>
      </c>
      <c r="I2" s="17">
        <f>G2*H2/100</f>
        <v>173.25</v>
      </c>
      <c r="J2" s="17">
        <f>G2</f>
        <v>825</v>
      </c>
      <c r="K2" s="18">
        <v>19</v>
      </c>
      <c r="L2" s="17">
        <f>J2*K2/100</f>
        <v>156.75</v>
      </c>
      <c r="M2" s="19">
        <v>841.5</v>
      </c>
      <c r="N2" s="35"/>
    </row>
    <row r="3" spans="1:19" hidden="1" x14ac:dyDescent="0.35">
      <c r="A3" s="4">
        <v>45383</v>
      </c>
      <c r="B3" s="2" t="s">
        <v>371</v>
      </c>
      <c r="C3" s="25" t="s">
        <v>137</v>
      </c>
      <c r="D3" s="25" t="s">
        <v>369</v>
      </c>
      <c r="E3" s="25" t="s">
        <v>370</v>
      </c>
      <c r="F3" s="5" t="str">
        <f t="shared" si="0"/>
        <v>A004/24 JAVIER SERRANO IZQUIERDO</v>
      </c>
      <c r="G3" s="17">
        <f t="shared" ref="G3:G21" si="1">M3/(1-K3/100+H3/100)</f>
        <v>550</v>
      </c>
      <c r="H3" s="18">
        <v>21</v>
      </c>
      <c r="I3" s="17">
        <f t="shared" ref="I3:I9" si="2">G3*H3/100</f>
        <v>115.5</v>
      </c>
      <c r="J3" s="17">
        <f t="shared" ref="J3:J29" si="3">G3</f>
        <v>550</v>
      </c>
      <c r="K3" s="18">
        <v>19</v>
      </c>
      <c r="L3" s="17">
        <f t="shared" ref="L3:L29" si="4">J3*K3/100</f>
        <v>104.5</v>
      </c>
      <c r="M3" s="19">
        <v>561</v>
      </c>
      <c r="N3" s="35"/>
    </row>
    <row r="4" spans="1:19" hidden="1" x14ac:dyDescent="0.35">
      <c r="A4" s="4">
        <v>45383</v>
      </c>
      <c r="B4" s="20" t="s">
        <v>391</v>
      </c>
      <c r="C4" s="25" t="s">
        <v>111</v>
      </c>
      <c r="D4" s="25" t="s">
        <v>116</v>
      </c>
      <c r="E4" s="25" t="s">
        <v>117</v>
      </c>
      <c r="F4" s="5" t="str">
        <f t="shared" si="0"/>
        <v>2404C00602450 SECURITAS DIRECT ESPAÑA S.A.U.</v>
      </c>
      <c r="G4" s="17">
        <f t="shared" si="1"/>
        <v>30.553719008264462</v>
      </c>
      <c r="H4" s="18">
        <v>21</v>
      </c>
      <c r="I4" s="17">
        <f t="shared" si="2"/>
        <v>6.4162809917355368</v>
      </c>
      <c r="J4" s="17">
        <f t="shared" si="3"/>
        <v>30.553719008264462</v>
      </c>
      <c r="K4" s="18">
        <v>0</v>
      </c>
      <c r="L4" s="17">
        <f t="shared" si="4"/>
        <v>0</v>
      </c>
      <c r="M4" s="19">
        <v>36.97</v>
      </c>
      <c r="N4" s="38" t="s">
        <v>27</v>
      </c>
    </row>
    <row r="5" spans="1:19" hidden="1" x14ac:dyDescent="0.35">
      <c r="A5" s="4">
        <v>45383</v>
      </c>
      <c r="B5" s="20" t="s">
        <v>392</v>
      </c>
      <c r="C5" s="25" t="s">
        <v>111</v>
      </c>
      <c r="D5" s="25" t="s">
        <v>116</v>
      </c>
      <c r="E5" s="25" t="s">
        <v>117</v>
      </c>
      <c r="F5" s="5" t="str">
        <f t="shared" si="0"/>
        <v>2404C00418443 SECURITAS DIRECT ESPAÑA S.A.U.</v>
      </c>
      <c r="G5" s="17">
        <f t="shared" si="1"/>
        <v>28.388429752066116</v>
      </c>
      <c r="H5" s="18">
        <v>21</v>
      </c>
      <c r="I5" s="17">
        <f t="shared" si="2"/>
        <v>5.961570247933885</v>
      </c>
      <c r="J5" s="17">
        <f t="shared" si="3"/>
        <v>28.388429752066116</v>
      </c>
      <c r="K5" s="18">
        <v>0</v>
      </c>
      <c r="L5" s="17">
        <f t="shared" si="4"/>
        <v>0</v>
      </c>
      <c r="M5" s="19">
        <v>34.35</v>
      </c>
      <c r="N5" s="38" t="s">
        <v>27</v>
      </c>
    </row>
    <row r="6" spans="1:19" hidden="1" x14ac:dyDescent="0.35">
      <c r="A6" s="4">
        <v>45383</v>
      </c>
      <c r="B6" s="20" t="s">
        <v>393</v>
      </c>
      <c r="C6" s="25" t="s">
        <v>111</v>
      </c>
      <c r="D6" s="25" t="s">
        <v>116</v>
      </c>
      <c r="E6" s="25" t="s">
        <v>117</v>
      </c>
      <c r="F6" s="5" t="str">
        <f t="shared" si="0"/>
        <v>2404C00384112 SECURITAS DIRECT ESPAÑA S.A.U.</v>
      </c>
      <c r="G6" s="17">
        <f t="shared" si="1"/>
        <v>28.330578512396695</v>
      </c>
      <c r="H6" s="18">
        <v>21</v>
      </c>
      <c r="I6" s="17">
        <f t="shared" si="2"/>
        <v>5.9494214876033062</v>
      </c>
      <c r="J6" s="17">
        <f t="shared" si="3"/>
        <v>28.330578512396695</v>
      </c>
      <c r="K6" s="18">
        <v>0</v>
      </c>
      <c r="L6" s="17">
        <f t="shared" si="4"/>
        <v>0</v>
      </c>
      <c r="M6" s="19">
        <v>34.28</v>
      </c>
      <c r="N6" s="38" t="s">
        <v>27</v>
      </c>
    </row>
    <row r="7" spans="1:19" hidden="1" x14ac:dyDescent="0.35">
      <c r="A7" s="4">
        <v>45384</v>
      </c>
      <c r="B7" s="25" t="s">
        <v>452</v>
      </c>
      <c r="C7" s="25" t="s">
        <v>167</v>
      </c>
      <c r="D7" s="16" t="s">
        <v>168</v>
      </c>
      <c r="E7" s="16" t="s">
        <v>169</v>
      </c>
      <c r="F7" s="5" t="str">
        <f t="shared" si="0"/>
        <v>70124FE000001192 SANTIAGO Y LYDIA DIAZ, S.L.</v>
      </c>
      <c r="G7" s="17">
        <f t="shared" si="1"/>
        <v>87.165289256198349</v>
      </c>
      <c r="H7" s="18">
        <v>21</v>
      </c>
      <c r="I7" s="17">
        <f t="shared" si="2"/>
        <v>18.304710743801653</v>
      </c>
      <c r="J7" s="17">
        <f t="shared" si="3"/>
        <v>87.165289256198349</v>
      </c>
      <c r="K7" s="18">
        <v>0</v>
      </c>
      <c r="L7" s="17">
        <f t="shared" si="4"/>
        <v>0</v>
      </c>
      <c r="M7" s="19">
        <v>105.47</v>
      </c>
      <c r="N7" s="38"/>
    </row>
    <row r="8" spans="1:19" hidden="1" x14ac:dyDescent="0.35">
      <c r="A8" s="4">
        <v>45384</v>
      </c>
      <c r="B8" s="25" t="s">
        <v>375</v>
      </c>
      <c r="C8" s="25" t="s">
        <v>111</v>
      </c>
      <c r="D8" s="16" t="s">
        <v>121</v>
      </c>
      <c r="E8" s="16" t="s">
        <v>122</v>
      </c>
      <c r="G8" s="17">
        <f t="shared" si="1"/>
        <v>96</v>
      </c>
      <c r="H8" s="18">
        <v>0</v>
      </c>
      <c r="I8" s="17">
        <f t="shared" si="2"/>
        <v>0</v>
      </c>
      <c r="J8" s="17">
        <f t="shared" si="3"/>
        <v>96</v>
      </c>
      <c r="K8" s="18">
        <v>0</v>
      </c>
      <c r="L8" s="17">
        <f t="shared" si="4"/>
        <v>0</v>
      </c>
      <c r="M8" s="19">
        <v>96</v>
      </c>
      <c r="N8" s="35"/>
    </row>
    <row r="9" spans="1:19" hidden="1" x14ac:dyDescent="0.35">
      <c r="A9" s="20">
        <v>45385</v>
      </c>
      <c r="B9" s="2" t="s">
        <v>401</v>
      </c>
      <c r="C9" s="25" t="s">
        <v>167</v>
      </c>
      <c r="D9" s="25" t="s">
        <v>206</v>
      </c>
      <c r="E9" s="16" t="s">
        <v>207</v>
      </c>
      <c r="F9" s="5" t="str">
        <f t="shared" ref="F9:F11" si="5">CONCATENATE(S9,B9," ",E9)</f>
        <v>RC EOS ES2024/11112690 MAKSU ESPAÑA S.L.</v>
      </c>
      <c r="G9" s="5">
        <f t="shared" ref="G9" si="6">M9/(1-K9/100+H9/100)</f>
        <v>1.8</v>
      </c>
      <c r="H9" s="18">
        <v>0</v>
      </c>
      <c r="I9" s="17">
        <f t="shared" si="2"/>
        <v>0</v>
      </c>
      <c r="J9" s="17">
        <f t="shared" ref="J9" si="7">G9</f>
        <v>1.8</v>
      </c>
      <c r="K9" s="18">
        <v>0</v>
      </c>
      <c r="L9" s="17">
        <f t="shared" ref="L9" si="8">J9*K9/100</f>
        <v>0</v>
      </c>
      <c r="M9" s="19">
        <v>1.8</v>
      </c>
      <c r="N9" s="38"/>
    </row>
    <row r="10" spans="1:19" hidden="1" x14ac:dyDescent="0.35">
      <c r="A10" s="20">
        <v>45385</v>
      </c>
      <c r="B10" s="25" t="s">
        <v>473</v>
      </c>
      <c r="C10" s="25" t="s">
        <v>167</v>
      </c>
      <c r="D10" s="25" t="s">
        <v>189</v>
      </c>
      <c r="E10" s="25" t="s">
        <v>190</v>
      </c>
      <c r="F10" s="5" t="str">
        <f t="shared" si="5"/>
        <v>018-0004-294801 BRICOLAJE BRICOMAN, S.L.U.</v>
      </c>
      <c r="G10" s="17">
        <f>M10/(1-K10/100+H10/100)</f>
        <v>14.322314049586776</v>
      </c>
      <c r="H10" s="18">
        <v>21</v>
      </c>
      <c r="I10" s="17">
        <f>G10*H10/100</f>
        <v>3.0076859504132227</v>
      </c>
      <c r="J10" s="17">
        <f>G10</f>
        <v>14.322314049586776</v>
      </c>
      <c r="K10" s="18">
        <v>0</v>
      </c>
      <c r="L10" s="17">
        <f>J10*K10/100</f>
        <v>0</v>
      </c>
      <c r="M10" s="19">
        <v>17.329999999999998</v>
      </c>
      <c r="N10" s="38" t="s">
        <v>27</v>
      </c>
    </row>
    <row r="11" spans="1:19" hidden="1" x14ac:dyDescent="0.35">
      <c r="A11" s="20">
        <v>45385</v>
      </c>
      <c r="B11" s="25" t="s">
        <v>478</v>
      </c>
      <c r="C11" s="25" t="s">
        <v>479</v>
      </c>
      <c r="D11" s="25"/>
      <c r="E11" s="25" t="s">
        <v>480</v>
      </c>
      <c r="F11" s="5" t="str">
        <f t="shared" si="5"/>
        <v>000162695026 AYUNTAMIENTO ALCOBENDAS</v>
      </c>
      <c r="G11" s="17">
        <f>M11/(1-K11/100+H11/100)</f>
        <v>94</v>
      </c>
      <c r="H11" s="18">
        <v>0</v>
      </c>
      <c r="I11" s="17">
        <f>G11*H11/100</f>
        <v>0</v>
      </c>
      <c r="J11" s="17">
        <f>G11</f>
        <v>94</v>
      </c>
      <c r="K11" s="18">
        <v>0</v>
      </c>
      <c r="L11" s="17">
        <f>J11*K11/100</f>
        <v>0</v>
      </c>
      <c r="M11" s="19">
        <v>94</v>
      </c>
      <c r="N11" s="38"/>
    </row>
    <row r="12" spans="1:19" hidden="1" x14ac:dyDescent="0.35">
      <c r="A12" s="20">
        <v>45386</v>
      </c>
      <c r="B12" s="2" t="s">
        <v>383</v>
      </c>
      <c r="C12" s="2" t="s">
        <v>111</v>
      </c>
      <c r="D12" s="2" t="s">
        <v>230</v>
      </c>
      <c r="E12" s="2" t="s">
        <v>231</v>
      </c>
      <c r="F12" s="5" t="str">
        <f t="shared" ref="F12:F14" si="9">CONCATENATE(S12,B12," ",E12)</f>
        <v>S/F 09240404010024430 CURENERGÍA COMERCIALIZADOR DE ÚLTIMO RECURSO S.A.U.</v>
      </c>
      <c r="G12" s="17">
        <f t="shared" si="1"/>
        <v>17.462809917355372</v>
      </c>
      <c r="H12">
        <v>21</v>
      </c>
      <c r="I12" s="5">
        <f t="shared" ref="I12:I21" si="10">G12*H12/100</f>
        <v>3.6671900826446278</v>
      </c>
      <c r="J12" s="17">
        <f t="shared" si="3"/>
        <v>17.462809917355372</v>
      </c>
      <c r="K12">
        <v>0</v>
      </c>
      <c r="L12" s="17">
        <f t="shared" si="4"/>
        <v>0</v>
      </c>
      <c r="M12" s="8">
        <v>21.13</v>
      </c>
      <c r="S12" t="s">
        <v>19</v>
      </c>
    </row>
    <row r="13" spans="1:19" hidden="1" x14ac:dyDescent="0.35">
      <c r="A13" s="20">
        <v>45386</v>
      </c>
      <c r="B13" s="2" t="s">
        <v>397</v>
      </c>
      <c r="C13" s="25" t="s">
        <v>167</v>
      </c>
      <c r="D13" s="25" t="s">
        <v>206</v>
      </c>
      <c r="E13" s="16" t="s">
        <v>207</v>
      </c>
      <c r="F13" s="5" t="str">
        <f t="shared" si="9"/>
        <v>RC EOS ES2024/11270359 MAKSU ESPAÑA S.L.</v>
      </c>
      <c r="G13" s="5">
        <f t="shared" si="1"/>
        <v>0.5</v>
      </c>
      <c r="H13" s="18">
        <v>0</v>
      </c>
      <c r="I13" s="17">
        <f t="shared" si="10"/>
        <v>0</v>
      </c>
      <c r="J13" s="17">
        <f t="shared" si="3"/>
        <v>0.5</v>
      </c>
      <c r="K13" s="18">
        <v>0</v>
      </c>
      <c r="L13" s="17">
        <f t="shared" si="4"/>
        <v>0</v>
      </c>
      <c r="M13" s="19">
        <v>0.5</v>
      </c>
      <c r="N13" s="38"/>
    </row>
    <row r="14" spans="1:19" hidden="1" x14ac:dyDescent="0.35">
      <c r="A14" s="20">
        <v>45386</v>
      </c>
      <c r="B14" s="2" t="s">
        <v>472</v>
      </c>
      <c r="C14" s="2" t="s">
        <v>167</v>
      </c>
      <c r="D14" s="2" t="s">
        <v>463</v>
      </c>
      <c r="E14" s="2" t="s">
        <v>464</v>
      </c>
      <c r="F14" s="5" t="str">
        <f t="shared" si="9"/>
        <v>00001-2024/A0601/00000622 ESTRATEGIAS BIGMAAT, S.L.U.</v>
      </c>
      <c r="G14" s="17">
        <f t="shared" si="1"/>
        <v>120</v>
      </c>
      <c r="H14" s="18">
        <v>21</v>
      </c>
      <c r="I14" s="5">
        <f t="shared" si="10"/>
        <v>25.2</v>
      </c>
      <c r="J14" s="17">
        <f t="shared" si="3"/>
        <v>120</v>
      </c>
      <c r="K14" s="18">
        <v>0</v>
      </c>
      <c r="L14" s="17">
        <f t="shared" si="4"/>
        <v>0</v>
      </c>
      <c r="M14" s="8">
        <v>145.19999999999999</v>
      </c>
    </row>
    <row r="15" spans="1:19" hidden="1" x14ac:dyDescent="0.35">
      <c r="A15" s="20">
        <v>45390</v>
      </c>
      <c r="B15" s="2" t="s">
        <v>400</v>
      </c>
      <c r="C15" s="25" t="s">
        <v>167</v>
      </c>
      <c r="D15" s="25" t="s">
        <v>206</v>
      </c>
      <c r="E15" s="16" t="s">
        <v>207</v>
      </c>
      <c r="F15" s="5" t="str">
        <f t="shared" ref="F15" si="11">CONCATENATE(S15,B15," ",E15)</f>
        <v>RC EOS ES2024/11668613 MAKSU ESPAÑA S.L.</v>
      </c>
      <c r="G15" s="5">
        <f t="shared" ref="G15" si="12">M15/(1-K15/100+H15/100)</f>
        <v>2.4500000000000002</v>
      </c>
      <c r="H15" s="18">
        <v>0</v>
      </c>
      <c r="I15" s="17">
        <f t="shared" ref="I15" si="13">G15*H15/100</f>
        <v>0</v>
      </c>
      <c r="J15" s="17">
        <f t="shared" ref="J15" si="14">G15</f>
        <v>2.4500000000000002</v>
      </c>
      <c r="K15" s="18">
        <v>0</v>
      </c>
      <c r="L15" s="17">
        <f t="shared" ref="L15" si="15">J15*K15/100</f>
        <v>0</v>
      </c>
      <c r="M15" s="19">
        <v>2.4500000000000002</v>
      </c>
      <c r="N15" s="38"/>
    </row>
    <row r="16" spans="1:19" hidden="1" x14ac:dyDescent="0.35">
      <c r="A16" s="20">
        <v>45391</v>
      </c>
      <c r="B16" s="25" t="s">
        <v>377</v>
      </c>
      <c r="C16" s="25" t="s">
        <v>111</v>
      </c>
      <c r="D16" s="49" t="s">
        <v>124</v>
      </c>
      <c r="E16" s="16" t="s">
        <v>125</v>
      </c>
      <c r="F16" s="5" t="str">
        <f t="shared" ref="F16:F31" si="16">CONCATENATE(S16,B16," ",E16)</f>
        <v>213785933140 APPLE DISTRIBUTION INTERNATIONAL LTD.</v>
      </c>
      <c r="G16" s="17">
        <f t="shared" si="1"/>
        <v>2.4710743801652897</v>
      </c>
      <c r="H16" s="18">
        <v>21</v>
      </c>
      <c r="I16" s="17">
        <f t="shared" si="10"/>
        <v>0.51892561983471086</v>
      </c>
      <c r="J16" s="17">
        <f t="shared" si="3"/>
        <v>2.4710743801652897</v>
      </c>
      <c r="K16" s="18">
        <v>0</v>
      </c>
      <c r="L16" s="17">
        <f t="shared" si="4"/>
        <v>0</v>
      </c>
      <c r="M16" s="19">
        <v>2.99</v>
      </c>
      <c r="N16" s="35"/>
    </row>
    <row r="17" spans="1:19" hidden="1" x14ac:dyDescent="0.35">
      <c r="A17" s="4">
        <v>45392</v>
      </c>
      <c r="B17" s="2" t="s">
        <v>497</v>
      </c>
      <c r="C17" s="2" t="s">
        <v>137</v>
      </c>
      <c r="D17" s="51" t="s">
        <v>314</v>
      </c>
      <c r="E17" s="52" t="s">
        <v>315</v>
      </c>
      <c r="F17" s="5" t="str">
        <f t="shared" si="16"/>
        <v>SEGURO ANUAL 4312KGK MAPFRE ESPAÑA S.A,</v>
      </c>
      <c r="G17" s="5">
        <f t="shared" si="1"/>
        <v>410.13</v>
      </c>
      <c r="H17" s="18">
        <v>0</v>
      </c>
      <c r="I17" s="5">
        <f t="shared" si="10"/>
        <v>0</v>
      </c>
      <c r="J17" s="5">
        <f t="shared" si="3"/>
        <v>410.13</v>
      </c>
      <c r="K17" s="18">
        <v>0</v>
      </c>
      <c r="L17" s="5">
        <f t="shared" si="4"/>
        <v>0</v>
      </c>
      <c r="M17" s="19">
        <v>410.13</v>
      </c>
      <c r="N17" s="35"/>
    </row>
    <row r="18" spans="1:19" hidden="1" x14ac:dyDescent="0.35">
      <c r="A18" s="20">
        <v>45392</v>
      </c>
      <c r="B18" s="2" t="s">
        <v>390</v>
      </c>
      <c r="C18" s="2" t="s">
        <v>111</v>
      </c>
      <c r="D18" s="2" t="s">
        <v>215</v>
      </c>
      <c r="E18" s="2" t="s">
        <v>216</v>
      </c>
      <c r="F18" s="5" t="str">
        <f t="shared" si="16"/>
        <v>61045198528 Repsol Comercializadora de Electricidad y Gas, S.L.U.</v>
      </c>
      <c r="G18" s="5">
        <f t="shared" si="1"/>
        <v>18.84297520661157</v>
      </c>
      <c r="H18" s="18">
        <v>21</v>
      </c>
      <c r="I18" s="5">
        <f t="shared" si="10"/>
        <v>3.9570247933884297</v>
      </c>
      <c r="J18" s="5">
        <f t="shared" si="3"/>
        <v>18.84297520661157</v>
      </c>
      <c r="K18" s="18">
        <v>0</v>
      </c>
      <c r="L18" s="5">
        <f t="shared" si="4"/>
        <v>0</v>
      </c>
      <c r="M18" s="8">
        <v>22.8</v>
      </c>
    </row>
    <row r="19" spans="1:19" hidden="1" x14ac:dyDescent="0.35">
      <c r="A19" s="4">
        <v>45392</v>
      </c>
      <c r="B19" s="25" t="s">
        <v>459</v>
      </c>
      <c r="C19" s="25" t="s">
        <v>167</v>
      </c>
      <c r="D19" s="16" t="s">
        <v>168</v>
      </c>
      <c r="E19" s="16" t="s">
        <v>169</v>
      </c>
      <c r="F19" s="5" t="str">
        <f t="shared" ref="F19" si="17">CONCATENATE(S19,B19," ",E19)</f>
        <v>70124FE000001308 SANTIAGO Y LYDIA DIAZ, S.L.</v>
      </c>
      <c r="G19" s="17">
        <f t="shared" si="1"/>
        <v>78.512396694214885</v>
      </c>
      <c r="H19" s="18">
        <v>21</v>
      </c>
      <c r="I19" s="17">
        <f t="shared" si="10"/>
        <v>16.487603305785125</v>
      </c>
      <c r="J19" s="17">
        <f t="shared" si="3"/>
        <v>78.512396694214885</v>
      </c>
      <c r="K19" s="18">
        <v>0</v>
      </c>
      <c r="L19" s="17">
        <f t="shared" si="4"/>
        <v>0</v>
      </c>
      <c r="M19" s="19">
        <v>95</v>
      </c>
      <c r="N19" s="38"/>
    </row>
    <row r="20" spans="1:19" hidden="1" x14ac:dyDescent="0.35">
      <c r="A20" s="4">
        <v>45393</v>
      </c>
      <c r="B20" s="2" t="s">
        <v>384</v>
      </c>
      <c r="C20" s="2" t="s">
        <v>167</v>
      </c>
      <c r="D20" s="2" t="s">
        <v>385</v>
      </c>
      <c r="E20" s="2" t="s">
        <v>386</v>
      </c>
      <c r="F20" s="5" t="str">
        <f t="shared" si="16"/>
        <v>FH2411399 DIGITAL AUDIMAGEN BQ SL</v>
      </c>
      <c r="G20" s="17">
        <f t="shared" si="1"/>
        <v>231.38842975206614</v>
      </c>
      <c r="H20" s="18">
        <v>21</v>
      </c>
      <c r="I20" s="17">
        <f t="shared" si="10"/>
        <v>48.591570247933888</v>
      </c>
      <c r="J20" s="17">
        <f t="shared" si="3"/>
        <v>231.38842975206614</v>
      </c>
      <c r="K20" s="18">
        <v>0</v>
      </c>
      <c r="L20" s="17">
        <f t="shared" si="4"/>
        <v>0</v>
      </c>
      <c r="M20" s="58">
        <v>279.98</v>
      </c>
      <c r="N20" s="35"/>
    </row>
    <row r="21" spans="1:19" hidden="1" x14ac:dyDescent="0.35">
      <c r="A21" s="4">
        <v>45393</v>
      </c>
      <c r="B21" s="2" t="s">
        <v>399</v>
      </c>
      <c r="C21" s="25" t="s">
        <v>167</v>
      </c>
      <c r="D21" s="25" t="s">
        <v>206</v>
      </c>
      <c r="E21" s="16" t="s">
        <v>207</v>
      </c>
      <c r="F21" s="5" t="str">
        <f t="shared" si="16"/>
        <v>RC EOS ES2024/12194242 MAKSU ESPAÑA S.L.</v>
      </c>
      <c r="G21" s="5">
        <f t="shared" si="1"/>
        <v>0.3</v>
      </c>
      <c r="H21" s="18">
        <v>0</v>
      </c>
      <c r="I21" s="17">
        <f t="shared" si="10"/>
        <v>0</v>
      </c>
      <c r="J21" s="17">
        <f t="shared" si="3"/>
        <v>0.3</v>
      </c>
      <c r="K21" s="18">
        <v>0</v>
      </c>
      <c r="L21" s="17">
        <f t="shared" si="4"/>
        <v>0</v>
      </c>
      <c r="M21" s="19">
        <v>0.3</v>
      </c>
      <c r="N21" s="38"/>
    </row>
    <row r="22" spans="1:19" hidden="1" x14ac:dyDescent="0.35">
      <c r="A22" s="4">
        <v>45393</v>
      </c>
      <c r="B22" s="25" t="s">
        <v>460</v>
      </c>
      <c r="C22" s="25" t="s">
        <v>167</v>
      </c>
      <c r="D22" s="25" t="s">
        <v>189</v>
      </c>
      <c r="E22" s="25" t="s">
        <v>190</v>
      </c>
      <c r="F22" s="5" t="str">
        <f t="shared" si="16"/>
        <v>018-0004-312254 BRICOLAJE BRICOMAN, S.L.U.</v>
      </c>
      <c r="G22" s="17">
        <f>M22/(1-K22/100+H22/100)</f>
        <v>2.7272727272727271</v>
      </c>
      <c r="H22" s="18">
        <v>21</v>
      </c>
      <c r="I22" s="17">
        <f>G22*H22/100</f>
        <v>0.57272727272727264</v>
      </c>
      <c r="J22" s="17">
        <f>G22</f>
        <v>2.7272727272727271</v>
      </c>
      <c r="K22" s="18">
        <v>0</v>
      </c>
      <c r="L22" s="17">
        <f>J22*K22/100</f>
        <v>0</v>
      </c>
      <c r="M22" s="19">
        <v>3.3</v>
      </c>
      <c r="N22" s="38" t="s">
        <v>27</v>
      </c>
    </row>
    <row r="23" spans="1:19" hidden="1" x14ac:dyDescent="0.35">
      <c r="A23" s="20">
        <v>45395</v>
      </c>
      <c r="B23" s="25" t="s">
        <v>387</v>
      </c>
      <c r="C23" s="25" t="s">
        <v>111</v>
      </c>
      <c r="D23" s="16" t="s">
        <v>223</v>
      </c>
      <c r="E23" s="16" t="s">
        <v>224</v>
      </c>
      <c r="F23" s="5" t="str">
        <f t="shared" si="16"/>
        <v>FMDVADH0024041 TELEFONICA DE ESPAÑA S.A.U.</v>
      </c>
      <c r="G23" s="17">
        <f>M23/(1-K23/100+H23/100)</f>
        <v>17.685950413223139</v>
      </c>
      <c r="H23" s="18">
        <v>21</v>
      </c>
      <c r="I23" s="17">
        <f>G23*H23/100</f>
        <v>3.7140495867768597</v>
      </c>
      <c r="J23" s="17">
        <f>G23</f>
        <v>17.685950413223139</v>
      </c>
      <c r="K23" s="18">
        <v>0</v>
      </c>
      <c r="L23" s="17">
        <f>J23*K23/100</f>
        <v>0</v>
      </c>
      <c r="M23" s="19">
        <v>21.4</v>
      </c>
      <c r="N23" s="38"/>
    </row>
    <row r="24" spans="1:19" hidden="1" x14ac:dyDescent="0.35">
      <c r="A24" s="20">
        <v>45395</v>
      </c>
      <c r="B24" s="20" t="s">
        <v>388</v>
      </c>
      <c r="C24" s="25" t="s">
        <v>111</v>
      </c>
      <c r="D24" s="25" t="s">
        <v>225</v>
      </c>
      <c r="E24" s="25" t="s">
        <v>226</v>
      </c>
      <c r="F24" s="5" t="str">
        <f t="shared" si="16"/>
        <v>MMDVADH0007990 TELEFÓNICA MÓVILES ESPAÑA, S.A.</v>
      </c>
      <c r="G24" s="5">
        <f t="shared" ref="G24:G40" si="18">M24/(1-K24/100+H24/100)</f>
        <v>37.595041322314053</v>
      </c>
      <c r="H24" s="18">
        <v>21</v>
      </c>
      <c r="I24" s="17">
        <f t="shared" ref="I24:I26" si="19">G24*H24/100</f>
        <v>7.8949586776859508</v>
      </c>
      <c r="J24" s="17">
        <f t="shared" ref="J24:J26" si="20">G24</f>
        <v>37.595041322314053</v>
      </c>
      <c r="K24" s="18">
        <v>0</v>
      </c>
      <c r="L24" s="17">
        <f t="shared" ref="L24:L26" si="21">J24*K24/100</f>
        <v>0</v>
      </c>
      <c r="M24" s="19">
        <v>45.49</v>
      </c>
      <c r="N24" s="38"/>
    </row>
    <row r="25" spans="1:19" hidden="1" x14ac:dyDescent="0.35">
      <c r="A25" s="20">
        <v>45395</v>
      </c>
      <c r="B25" s="20" t="s">
        <v>389</v>
      </c>
      <c r="C25" s="25" t="s">
        <v>111</v>
      </c>
      <c r="D25" s="25" t="s">
        <v>225</v>
      </c>
      <c r="E25" s="25" t="s">
        <v>226</v>
      </c>
      <c r="F25" s="5" t="str">
        <f t="shared" si="16"/>
        <v>MMDVADH0007991 TELEFÓNICA MÓVILES ESPAÑA, S.A.</v>
      </c>
      <c r="G25" s="5">
        <f t="shared" si="18"/>
        <v>23.099173553719009</v>
      </c>
      <c r="H25" s="18">
        <v>21</v>
      </c>
      <c r="I25" s="17">
        <f t="shared" si="19"/>
        <v>4.8508264462809914</v>
      </c>
      <c r="J25" s="17">
        <f t="shared" si="20"/>
        <v>23.099173553719009</v>
      </c>
      <c r="K25" s="18">
        <v>0</v>
      </c>
      <c r="L25" s="17">
        <f t="shared" si="21"/>
        <v>0</v>
      </c>
      <c r="M25" s="19">
        <v>27.95</v>
      </c>
      <c r="N25" s="38"/>
    </row>
    <row r="26" spans="1:19" hidden="1" x14ac:dyDescent="0.35">
      <c r="A26" s="20">
        <v>45397</v>
      </c>
      <c r="B26" s="2" t="s">
        <v>481</v>
      </c>
      <c r="C26" s="2" t="s">
        <v>167</v>
      </c>
      <c r="D26" s="2" t="s">
        <v>304</v>
      </c>
      <c r="E26" s="2" t="s">
        <v>305</v>
      </c>
      <c r="F26" s="5" t="str">
        <f t="shared" si="16"/>
        <v>S/F 096383/A/24/002685 Repsol Comercial de Productos Petrolíferos, S.A.</v>
      </c>
      <c r="G26" s="5">
        <f t="shared" si="18"/>
        <v>58.000000000000007</v>
      </c>
      <c r="H26" s="18">
        <v>21</v>
      </c>
      <c r="I26" s="5">
        <f t="shared" si="19"/>
        <v>12.180000000000001</v>
      </c>
      <c r="J26" s="5">
        <f t="shared" si="20"/>
        <v>58.000000000000007</v>
      </c>
      <c r="K26" s="18">
        <v>0</v>
      </c>
      <c r="L26" s="5">
        <f t="shared" si="21"/>
        <v>0</v>
      </c>
      <c r="M26" s="8">
        <v>70.180000000000007</v>
      </c>
      <c r="S26" t="s">
        <v>19</v>
      </c>
    </row>
    <row r="27" spans="1:19" hidden="1" x14ac:dyDescent="0.35">
      <c r="A27" s="4">
        <v>45397</v>
      </c>
      <c r="B27" s="2" t="s">
        <v>380</v>
      </c>
      <c r="C27" s="2" t="s">
        <v>111</v>
      </c>
      <c r="D27" s="2" t="s">
        <v>114</v>
      </c>
      <c r="E27" s="2" t="s">
        <v>115</v>
      </c>
      <c r="F27" s="5" t="str">
        <f t="shared" si="16"/>
        <v>S/F FR358600 ELECTRO MERCANTIL LEGANES D.A.M.,S.L.U.</v>
      </c>
      <c r="G27" s="5">
        <f t="shared" si="18"/>
        <v>2470.0413223140495</v>
      </c>
      <c r="H27" s="18">
        <v>21</v>
      </c>
      <c r="I27" s="5">
        <f t="shared" ref="I27:I29" si="22">G27*H27/100</f>
        <v>518.70867768595042</v>
      </c>
      <c r="J27" s="17">
        <f t="shared" si="3"/>
        <v>2470.0413223140495</v>
      </c>
      <c r="K27" s="18">
        <v>0</v>
      </c>
      <c r="L27" s="17">
        <f t="shared" si="4"/>
        <v>0</v>
      </c>
      <c r="M27" s="8">
        <v>2988.75</v>
      </c>
      <c r="S27" t="s">
        <v>19</v>
      </c>
    </row>
    <row r="28" spans="1:19" x14ac:dyDescent="0.35">
      <c r="A28" s="4">
        <v>45397</v>
      </c>
      <c r="C28" s="2" t="s">
        <v>111</v>
      </c>
      <c r="D28" s="2" t="s">
        <v>220</v>
      </c>
      <c r="E28" s="2" t="s">
        <v>221</v>
      </c>
      <c r="F28" s="5" t="str">
        <f t="shared" si="16"/>
        <v>S/F  Comercializadora Regulada, Gas &amp; Power, S.A.</v>
      </c>
      <c r="G28" s="5">
        <f t="shared" si="18"/>
        <v>13.890909090909089</v>
      </c>
      <c r="H28" s="18">
        <v>10</v>
      </c>
      <c r="I28" s="5">
        <f t="shared" si="22"/>
        <v>1.3890909090909087</v>
      </c>
      <c r="J28" s="5">
        <f t="shared" si="3"/>
        <v>13.890909090909089</v>
      </c>
      <c r="K28" s="18">
        <v>0</v>
      </c>
      <c r="L28" s="5">
        <f t="shared" si="4"/>
        <v>0</v>
      </c>
      <c r="M28" s="8">
        <v>15.28</v>
      </c>
      <c r="S28" t="s">
        <v>19</v>
      </c>
    </row>
    <row r="29" spans="1:19" hidden="1" x14ac:dyDescent="0.35">
      <c r="A29" s="4">
        <v>45398</v>
      </c>
      <c r="B29" s="25" t="s">
        <v>395</v>
      </c>
      <c r="C29" s="25" t="s">
        <v>137</v>
      </c>
      <c r="D29" s="25" t="s">
        <v>138</v>
      </c>
      <c r="E29" s="25" t="s">
        <v>139</v>
      </c>
      <c r="F29" s="5" t="str">
        <f t="shared" si="16"/>
        <v>242/24 TECNOLOGÍA DEL CONTROL ENERGÉTICO MADRID, S.L.</v>
      </c>
      <c r="G29" s="17">
        <f t="shared" si="18"/>
        <v>340.82644628099172</v>
      </c>
      <c r="H29" s="18">
        <v>21</v>
      </c>
      <c r="I29" s="17">
        <f t="shared" si="22"/>
        <v>71.57355371900826</v>
      </c>
      <c r="J29" s="17">
        <f t="shared" si="3"/>
        <v>340.82644628099172</v>
      </c>
      <c r="K29" s="18">
        <v>0</v>
      </c>
      <c r="L29" s="17">
        <f t="shared" si="4"/>
        <v>0</v>
      </c>
      <c r="M29" s="19">
        <v>412.4</v>
      </c>
      <c r="N29" s="35"/>
    </row>
    <row r="30" spans="1:19" hidden="1" x14ac:dyDescent="0.35">
      <c r="A30" s="4">
        <v>45399</v>
      </c>
      <c r="B30" s="2" t="s">
        <v>396</v>
      </c>
      <c r="C30" s="25" t="s">
        <v>137</v>
      </c>
      <c r="D30" s="25" t="s">
        <v>138</v>
      </c>
      <c r="E30" s="25" t="s">
        <v>139</v>
      </c>
      <c r="F30" s="5" t="str">
        <f t="shared" si="16"/>
        <v>248/24 TECNOLOGÍA DEL CONTROL ENERGÉTICO MADRID, S.L.</v>
      </c>
      <c r="G30" s="5">
        <f t="shared" si="18"/>
        <v>2076.1735537190084</v>
      </c>
      <c r="H30" s="18">
        <v>21</v>
      </c>
      <c r="I30" s="17">
        <f>G30*H30/100</f>
        <v>435.99644628099173</v>
      </c>
      <c r="J30" s="17">
        <f>G30</f>
        <v>2076.1735537190084</v>
      </c>
      <c r="K30" s="18">
        <v>0</v>
      </c>
      <c r="L30" s="17">
        <f>J30*K30/100</f>
        <v>0</v>
      </c>
      <c r="M30" s="58">
        <v>2512.17</v>
      </c>
      <c r="N30" s="35"/>
    </row>
    <row r="31" spans="1:19" hidden="1" x14ac:dyDescent="0.35">
      <c r="A31" s="4">
        <v>45400</v>
      </c>
      <c r="B31" s="25" t="s">
        <v>458</v>
      </c>
      <c r="C31" s="25" t="s">
        <v>167</v>
      </c>
      <c r="D31" s="16" t="s">
        <v>168</v>
      </c>
      <c r="E31" s="16" t="s">
        <v>169</v>
      </c>
      <c r="F31" s="5" t="str">
        <f t="shared" si="16"/>
        <v>70124FE000001415 SANTIAGO Y LYDIA DIAZ, S.L.</v>
      </c>
      <c r="G31" s="17">
        <f t="shared" ref="G31" si="23">M31/(1-K31/100+H31/100)</f>
        <v>86.553719008264466</v>
      </c>
      <c r="H31" s="18">
        <v>21</v>
      </c>
      <c r="I31" s="17">
        <f t="shared" ref="I31" si="24">G31*H31/100</f>
        <v>18.176280991735538</v>
      </c>
      <c r="J31" s="17">
        <f t="shared" ref="J31" si="25">G31</f>
        <v>86.553719008264466</v>
      </c>
      <c r="K31" s="18">
        <v>0</v>
      </c>
      <c r="L31" s="17">
        <f t="shared" ref="L31" si="26">J31*K31/100</f>
        <v>0</v>
      </c>
      <c r="M31" s="19">
        <v>104.73</v>
      </c>
      <c r="N31" s="38"/>
    </row>
    <row r="32" spans="1:19" hidden="1" x14ac:dyDescent="0.35">
      <c r="A32" s="4">
        <v>45400</v>
      </c>
      <c r="B32" s="2" t="s">
        <v>402</v>
      </c>
      <c r="C32" s="25" t="s">
        <v>167</v>
      </c>
      <c r="D32" s="25" t="s">
        <v>206</v>
      </c>
      <c r="E32" s="16" t="s">
        <v>207</v>
      </c>
      <c r="F32" s="5" t="str">
        <f t="shared" ref="F32:F33" si="27">CONCATENATE(S32,B32," ",E32)</f>
        <v>RC EOS ES2024/13020986 MAKSU ESPAÑA S.L.</v>
      </c>
      <c r="G32" s="5">
        <f t="shared" si="18"/>
        <v>1.1000000000000001</v>
      </c>
      <c r="H32" s="18">
        <v>0</v>
      </c>
      <c r="I32" s="17">
        <f t="shared" ref="I32" si="28">G32*H32/100</f>
        <v>0</v>
      </c>
      <c r="J32" s="17">
        <f t="shared" ref="J32" si="29">G32</f>
        <v>1.1000000000000001</v>
      </c>
      <c r="K32" s="18">
        <v>0</v>
      </c>
      <c r="L32" s="17">
        <f t="shared" ref="L32" si="30">J32*K32/100</f>
        <v>0</v>
      </c>
      <c r="M32" s="19">
        <v>1.1000000000000001</v>
      </c>
      <c r="N32" s="38"/>
    </row>
    <row r="33" spans="1:19" hidden="1" x14ac:dyDescent="0.35">
      <c r="A33" s="20">
        <v>45405</v>
      </c>
      <c r="B33" s="2" t="s">
        <v>484</v>
      </c>
      <c r="C33" s="25" t="s">
        <v>167</v>
      </c>
      <c r="D33" s="25" t="s">
        <v>287</v>
      </c>
      <c r="E33" s="16" t="s">
        <v>288</v>
      </c>
      <c r="F33" s="5" t="str">
        <f t="shared" si="27"/>
        <v>0210531 INMOBILIARIA PARIS, S.A.</v>
      </c>
      <c r="G33" s="5">
        <f t="shared" si="18"/>
        <v>0.49586776859504134</v>
      </c>
      <c r="H33" s="18">
        <v>21</v>
      </c>
      <c r="I33" s="17">
        <f>G33*H33/100</f>
        <v>0.10413223140495868</v>
      </c>
      <c r="J33" s="17">
        <f>G33</f>
        <v>0.49586776859504134</v>
      </c>
      <c r="K33" s="18">
        <v>0</v>
      </c>
      <c r="L33" s="17">
        <f>J33*K33/100</f>
        <v>0</v>
      </c>
      <c r="M33" s="19">
        <v>0.6</v>
      </c>
      <c r="N33" s="38"/>
    </row>
    <row r="34" spans="1:19" hidden="1" x14ac:dyDescent="0.35">
      <c r="A34" s="20">
        <v>45406</v>
      </c>
      <c r="B34" s="25" t="s">
        <v>394</v>
      </c>
      <c r="C34" s="25" t="s">
        <v>111</v>
      </c>
      <c r="D34" s="25" t="s">
        <v>235</v>
      </c>
      <c r="E34" s="25" t="s">
        <v>236</v>
      </c>
      <c r="F34" s="5" t="str">
        <f>CONCATENATE(S34,B34," ",E34)</f>
        <v>B5010424-00011843 ORANGE ESPAÑA VIRTUAL, S.L.U.</v>
      </c>
      <c r="G34" s="5">
        <f t="shared" si="18"/>
        <v>12.396694214876034</v>
      </c>
      <c r="H34" s="18">
        <v>21</v>
      </c>
      <c r="I34" s="17">
        <f>G34*H34/100</f>
        <v>2.6033057851239669</v>
      </c>
      <c r="J34" s="17">
        <f>G34</f>
        <v>12.396694214876034</v>
      </c>
      <c r="K34" s="18">
        <v>0</v>
      </c>
      <c r="L34" s="17">
        <f>J34*K34/100</f>
        <v>0</v>
      </c>
      <c r="M34" s="19">
        <v>15</v>
      </c>
      <c r="N34" s="35"/>
    </row>
    <row r="35" spans="1:19" hidden="1" x14ac:dyDescent="0.35">
      <c r="A35" s="20">
        <v>45406</v>
      </c>
      <c r="B35" s="25"/>
      <c r="C35" s="25" t="s">
        <v>167</v>
      </c>
      <c r="D35" s="25"/>
      <c r="E35" s="25" t="s">
        <v>480</v>
      </c>
      <c r="F35" s="5" t="str">
        <f>CONCATENATE(S35,B35," ",E35)</f>
        <v xml:space="preserve"> AYUNTAMIENTO ALCOBENDAS</v>
      </c>
      <c r="G35" s="5">
        <f t="shared" si="18"/>
        <v>1.1000000000000001</v>
      </c>
      <c r="H35" s="18">
        <v>0</v>
      </c>
      <c r="I35" s="17"/>
      <c r="J35" s="17"/>
      <c r="K35" s="18">
        <v>0</v>
      </c>
      <c r="L35" s="17"/>
      <c r="M35" s="19">
        <v>1.1000000000000001</v>
      </c>
      <c r="N35" s="35"/>
    </row>
    <row r="36" spans="1:19" hidden="1" x14ac:dyDescent="0.35">
      <c r="A36" s="20">
        <v>45407</v>
      </c>
      <c r="B36" s="2" t="s">
        <v>398</v>
      </c>
      <c r="C36" s="25" t="s">
        <v>167</v>
      </c>
      <c r="D36" s="25" t="s">
        <v>206</v>
      </c>
      <c r="E36" s="16" t="s">
        <v>207</v>
      </c>
      <c r="F36" s="5" t="str">
        <f t="shared" ref="F36" si="31">CONCATENATE(S36,B36," ",E36)</f>
        <v>RC EOS ES2024/13915768 MAKSU ESPAÑA S.L.</v>
      </c>
      <c r="G36" s="5">
        <f t="shared" si="18"/>
        <v>1.35</v>
      </c>
      <c r="H36" s="18">
        <v>0</v>
      </c>
      <c r="I36" s="17">
        <f t="shared" ref="I36" si="32">G36*H36/100</f>
        <v>0</v>
      </c>
      <c r="J36" s="17">
        <f t="shared" ref="J36" si="33">G36</f>
        <v>1.35</v>
      </c>
      <c r="K36" s="18">
        <v>0</v>
      </c>
      <c r="L36" s="17">
        <f t="shared" ref="L36" si="34">J36*K36/100</f>
        <v>0</v>
      </c>
      <c r="M36" s="19">
        <v>1.35</v>
      </c>
      <c r="N36" s="38"/>
    </row>
    <row r="37" spans="1:19" hidden="1" x14ac:dyDescent="0.35">
      <c r="A37" s="4">
        <v>45408</v>
      </c>
      <c r="B37" s="2" t="s">
        <v>378</v>
      </c>
      <c r="C37" s="2" t="s">
        <v>111</v>
      </c>
      <c r="D37" s="2" t="s">
        <v>260</v>
      </c>
      <c r="E37" s="2" t="s">
        <v>261</v>
      </c>
      <c r="F37" s="5" t="str">
        <f t="shared" ref="F37" si="35">CONCATENATE(S37,B37," ",E37)</f>
        <v>240003036122 Canal de Isabel II, S.A.</v>
      </c>
      <c r="G37" s="5">
        <f t="shared" si="18"/>
        <v>20.772727272727273</v>
      </c>
      <c r="H37" s="18">
        <v>10</v>
      </c>
      <c r="I37" s="5">
        <f t="shared" ref="I37:I117" si="36">G37*H37/100</f>
        <v>2.0772727272727276</v>
      </c>
      <c r="J37" s="5">
        <f t="shared" ref="J37:J117" si="37">G37</f>
        <v>20.772727272727273</v>
      </c>
      <c r="K37" s="18">
        <v>0</v>
      </c>
      <c r="L37" s="5">
        <f t="shared" ref="L37:L117" si="38">J37*K37/100</f>
        <v>0</v>
      </c>
      <c r="M37" s="8">
        <v>22.85</v>
      </c>
    </row>
    <row r="38" spans="1:19" hidden="1" x14ac:dyDescent="0.35">
      <c r="A38" s="4">
        <v>45408</v>
      </c>
      <c r="B38" s="25" t="s">
        <v>376</v>
      </c>
      <c r="C38" s="25" t="s">
        <v>111</v>
      </c>
      <c r="D38" s="16" t="s">
        <v>121</v>
      </c>
      <c r="E38" s="16" t="s">
        <v>122</v>
      </c>
      <c r="G38" s="5">
        <f t="shared" si="18"/>
        <v>363.60330578512395</v>
      </c>
      <c r="H38" s="18">
        <v>21</v>
      </c>
      <c r="I38" s="17">
        <f t="shared" ref="I38:I39" si="39">G38*H38/100</f>
        <v>76.356694214876029</v>
      </c>
      <c r="J38" s="17">
        <f t="shared" ref="J38:J39" si="40">G38</f>
        <v>363.60330578512395</v>
      </c>
      <c r="K38" s="18">
        <v>0</v>
      </c>
      <c r="L38" s="17">
        <f t="shared" ref="L38:L39" si="41">J38*K38/100</f>
        <v>0</v>
      </c>
      <c r="M38" s="19">
        <v>439.96</v>
      </c>
      <c r="N38" s="35"/>
    </row>
    <row r="39" spans="1:19" hidden="1" x14ac:dyDescent="0.35">
      <c r="A39" s="4">
        <v>45408</v>
      </c>
      <c r="B39" s="25" t="s">
        <v>457</v>
      </c>
      <c r="C39" s="25" t="s">
        <v>167</v>
      </c>
      <c r="D39" s="16" t="s">
        <v>168</v>
      </c>
      <c r="E39" s="16" t="s">
        <v>169</v>
      </c>
      <c r="F39" s="5" t="str">
        <f t="shared" ref="F39" si="42">CONCATENATE(S39,B39," ",E39)</f>
        <v>70124FE000001561 SANTIAGO Y LYDIA DIAZ, S.L.</v>
      </c>
      <c r="G39" s="17">
        <f t="shared" si="18"/>
        <v>77.644628099173559</v>
      </c>
      <c r="H39" s="18">
        <v>21</v>
      </c>
      <c r="I39" s="17">
        <f t="shared" si="39"/>
        <v>16.305371900826447</v>
      </c>
      <c r="J39" s="17">
        <f t="shared" si="40"/>
        <v>77.644628099173559</v>
      </c>
      <c r="K39" s="18">
        <v>0</v>
      </c>
      <c r="L39" s="17">
        <f t="shared" si="41"/>
        <v>0</v>
      </c>
      <c r="M39" s="19">
        <v>93.95</v>
      </c>
      <c r="N39" s="38"/>
    </row>
    <row r="40" spans="1:19" hidden="1" x14ac:dyDescent="0.35">
      <c r="A40" s="4">
        <v>45412</v>
      </c>
      <c r="B40" s="2" t="s">
        <v>495</v>
      </c>
      <c r="C40" s="2" t="s">
        <v>167</v>
      </c>
      <c r="D40" s="2" t="s">
        <v>491</v>
      </c>
      <c r="E40" s="2" t="s">
        <v>492</v>
      </c>
      <c r="F40" s="5" t="str">
        <f t="shared" ref="F40" si="43">CONCATENATE(S40,B40," ",E40)</f>
        <v>S/F 00260 A0000000041010 L.S.G.I. LA MORALEJA 2 S.L.U.</v>
      </c>
      <c r="G40" s="5">
        <f t="shared" si="18"/>
        <v>1.6528925619834711</v>
      </c>
      <c r="H40" s="18">
        <v>21</v>
      </c>
      <c r="I40" s="5">
        <f t="shared" si="36"/>
        <v>0.34710743801652894</v>
      </c>
      <c r="J40" s="5">
        <f t="shared" si="37"/>
        <v>1.6528925619834711</v>
      </c>
      <c r="K40" s="18">
        <v>0</v>
      </c>
      <c r="L40" s="5">
        <f t="shared" si="38"/>
        <v>0</v>
      </c>
      <c r="M40" s="8">
        <v>2</v>
      </c>
      <c r="S40" t="s">
        <v>19</v>
      </c>
    </row>
    <row r="41" spans="1:19" hidden="1" x14ac:dyDescent="0.35">
      <c r="A41" s="4">
        <v>45412</v>
      </c>
      <c r="B41" s="25" t="s">
        <v>382</v>
      </c>
      <c r="C41" s="25" t="s">
        <v>111</v>
      </c>
      <c r="D41" s="25" t="s">
        <v>112</v>
      </c>
      <c r="E41" s="25" t="s">
        <v>113</v>
      </c>
      <c r="F41" s="5" t="str">
        <f t="shared" ref="F41" si="44">CONCATENATE(S41,B41," ",E41)</f>
        <v>H4F04859 HIPER ANTENA, S.A.</v>
      </c>
      <c r="G41" s="17">
        <f t="shared" ref="G41" si="45">M41/(1-K41/100+H41/100)</f>
        <v>90.429752066115711</v>
      </c>
      <c r="H41" s="18">
        <v>21</v>
      </c>
      <c r="I41" s="17">
        <f t="shared" si="36"/>
        <v>18.990247933884302</v>
      </c>
      <c r="J41" s="17">
        <f t="shared" si="37"/>
        <v>90.429752066115711</v>
      </c>
      <c r="K41" s="18">
        <v>0</v>
      </c>
      <c r="L41" s="17">
        <f t="shared" si="38"/>
        <v>0</v>
      </c>
      <c r="M41" s="19">
        <v>109.42</v>
      </c>
      <c r="N41" s="38"/>
    </row>
    <row r="42" spans="1:19" hidden="1" x14ac:dyDescent="0.35">
      <c r="A42" s="4">
        <v>45412</v>
      </c>
      <c r="B42" s="2" t="s">
        <v>381</v>
      </c>
      <c r="C42" s="2" t="s">
        <v>111</v>
      </c>
      <c r="D42" s="2" t="s">
        <v>114</v>
      </c>
      <c r="E42" s="2" t="s">
        <v>115</v>
      </c>
      <c r="F42" s="5" t="str">
        <f t="shared" ref="F42" si="46">CONCATENATE(S42,B42," ",E42)</f>
        <v>S/F FR359137 ELECTRO MERCANTIL LEGANES D.A.M.,S.L.U.</v>
      </c>
      <c r="G42" s="5">
        <f t="shared" ref="G42" si="47">M42/(1-K42/100+H42/100)</f>
        <v>4397.7024793388437</v>
      </c>
      <c r="H42" s="18">
        <v>21</v>
      </c>
      <c r="I42" s="5">
        <f t="shared" si="36"/>
        <v>923.51752066115716</v>
      </c>
      <c r="J42" s="5">
        <f t="shared" si="37"/>
        <v>4397.7024793388437</v>
      </c>
      <c r="K42" s="18">
        <v>0</v>
      </c>
      <c r="L42" s="5">
        <f t="shared" si="38"/>
        <v>0</v>
      </c>
      <c r="M42" s="8">
        <v>5321.22</v>
      </c>
      <c r="S42" t="s">
        <v>19</v>
      </c>
    </row>
    <row r="43" spans="1:19" hidden="1" x14ac:dyDescent="0.35">
      <c r="A43" s="4">
        <v>45412</v>
      </c>
      <c r="B43" s="25" t="s">
        <v>379</v>
      </c>
      <c r="C43" s="25" t="s">
        <v>111</v>
      </c>
      <c r="D43" s="25" t="s">
        <v>127</v>
      </c>
      <c r="E43" s="25" t="s">
        <v>128</v>
      </c>
      <c r="F43" s="5" t="str">
        <f t="shared" ref="F43" si="48">CONCATENATE(S43,B43," ",E43)</f>
        <v>F241319 CONTAMAR S.L.</v>
      </c>
      <c r="G43" s="5">
        <f t="shared" ref="G43" si="49">M43/(1-K43/100+H43/100)</f>
        <v>254.79338842975207</v>
      </c>
      <c r="H43" s="18">
        <v>21</v>
      </c>
      <c r="I43" s="17">
        <f t="shared" ref="I43" si="50">G43*H43/100</f>
        <v>53.506611570247934</v>
      </c>
      <c r="J43" s="17">
        <f t="shared" ref="J43" si="51">G43</f>
        <v>254.79338842975207</v>
      </c>
      <c r="K43" s="18">
        <v>0</v>
      </c>
      <c r="L43" s="17">
        <f t="shared" ref="L43" si="52">J43*K43/100</f>
        <v>0</v>
      </c>
      <c r="M43" s="19">
        <v>308.3</v>
      </c>
      <c r="N43" s="38"/>
    </row>
    <row r="44" spans="1:19" hidden="1" x14ac:dyDescent="0.35">
      <c r="A44" s="4">
        <v>45413</v>
      </c>
      <c r="B44" s="25" t="s">
        <v>373</v>
      </c>
      <c r="C44" s="25" t="s">
        <v>137</v>
      </c>
      <c r="D44" s="25" t="s">
        <v>367</v>
      </c>
      <c r="E44" s="25" t="s">
        <v>368</v>
      </c>
      <c r="F44" s="5" t="str">
        <f t="shared" ref="F44:F49" si="53">CONCATENATE(S44,B44," ",E44)</f>
        <v>05/24 COMUNIDAD BIENES ANT. J.  SERRANO RUBIO</v>
      </c>
      <c r="G44" s="17">
        <f>M44/(1-K44/100+H44/100)</f>
        <v>825</v>
      </c>
      <c r="H44" s="18">
        <v>21</v>
      </c>
      <c r="I44" s="17">
        <f>G44*H44/100</f>
        <v>173.25</v>
      </c>
      <c r="J44" s="17">
        <f>G44</f>
        <v>825</v>
      </c>
      <c r="K44" s="18">
        <v>19</v>
      </c>
      <c r="L44" s="17">
        <f>J44*K44/100</f>
        <v>156.75</v>
      </c>
      <c r="M44" s="19">
        <v>841.5</v>
      </c>
      <c r="N44" s="35"/>
    </row>
    <row r="45" spans="1:19" hidden="1" x14ac:dyDescent="0.35">
      <c r="A45" s="4">
        <v>45413</v>
      </c>
      <c r="B45" s="2" t="s">
        <v>374</v>
      </c>
      <c r="C45" s="25" t="s">
        <v>137</v>
      </c>
      <c r="D45" s="25" t="s">
        <v>369</v>
      </c>
      <c r="E45" s="25" t="s">
        <v>370</v>
      </c>
      <c r="F45" s="5" t="str">
        <f t="shared" si="53"/>
        <v>A005/24 JAVIER SERRANO IZQUIERDO</v>
      </c>
      <c r="G45" s="17">
        <f t="shared" ref="G45:G117" si="54">M45/(1-K45/100+H45/100)</f>
        <v>550</v>
      </c>
      <c r="H45" s="18">
        <v>21</v>
      </c>
      <c r="I45" s="17">
        <f t="shared" ref="I45:I48" si="55">G45*H45/100</f>
        <v>115.5</v>
      </c>
      <c r="J45" s="17">
        <f t="shared" ref="J45:J48" si="56">G45</f>
        <v>550</v>
      </c>
      <c r="K45" s="18">
        <v>19</v>
      </c>
      <c r="L45" s="17">
        <f t="shared" ref="L45:L48" si="57">J45*K45/100</f>
        <v>104.5</v>
      </c>
      <c r="M45" s="19">
        <v>561</v>
      </c>
      <c r="N45" s="35"/>
    </row>
    <row r="46" spans="1:19" hidden="1" x14ac:dyDescent="0.35">
      <c r="A46" s="4">
        <v>45413</v>
      </c>
      <c r="B46" s="20" t="s">
        <v>414</v>
      </c>
      <c r="C46" s="25" t="s">
        <v>111</v>
      </c>
      <c r="D46" s="25" t="s">
        <v>116</v>
      </c>
      <c r="E46" s="25" t="s">
        <v>117</v>
      </c>
      <c r="F46" s="5" t="str">
        <f t="shared" si="53"/>
        <v>2405C00530610 SECURITAS DIRECT ESPAÑA S.A.U.</v>
      </c>
      <c r="G46" s="17">
        <f t="shared" si="54"/>
        <v>30.553719008264462</v>
      </c>
      <c r="H46" s="18">
        <v>21</v>
      </c>
      <c r="I46" s="17">
        <f t="shared" si="55"/>
        <v>6.4162809917355368</v>
      </c>
      <c r="J46" s="17">
        <f t="shared" si="56"/>
        <v>30.553719008264462</v>
      </c>
      <c r="K46" s="18">
        <v>0</v>
      </c>
      <c r="L46" s="17">
        <f t="shared" si="57"/>
        <v>0</v>
      </c>
      <c r="M46" s="19">
        <v>36.97</v>
      </c>
      <c r="N46" s="38" t="s">
        <v>27</v>
      </c>
    </row>
    <row r="47" spans="1:19" hidden="1" x14ac:dyDescent="0.35">
      <c r="A47" s="4">
        <v>45413</v>
      </c>
      <c r="B47" s="20" t="s">
        <v>416</v>
      </c>
      <c r="C47" s="25" t="s">
        <v>111</v>
      </c>
      <c r="D47" s="25" t="s">
        <v>116</v>
      </c>
      <c r="E47" s="25" t="s">
        <v>117</v>
      </c>
      <c r="F47" s="5" t="str">
        <f t="shared" si="53"/>
        <v>2405C00410371 SECURITAS DIRECT ESPAÑA S.A.U.</v>
      </c>
      <c r="G47" s="17">
        <f t="shared" si="54"/>
        <v>28.388429752066116</v>
      </c>
      <c r="H47" s="18">
        <v>21</v>
      </c>
      <c r="I47" s="17">
        <f t="shared" si="55"/>
        <v>5.961570247933885</v>
      </c>
      <c r="J47" s="17">
        <f t="shared" si="56"/>
        <v>28.388429752066116</v>
      </c>
      <c r="K47" s="18">
        <v>0</v>
      </c>
      <c r="L47" s="17">
        <f t="shared" si="57"/>
        <v>0</v>
      </c>
      <c r="M47" s="19">
        <v>34.35</v>
      </c>
      <c r="N47" s="38" t="s">
        <v>27</v>
      </c>
    </row>
    <row r="48" spans="1:19" hidden="1" x14ac:dyDescent="0.35">
      <c r="A48" s="4">
        <v>45413</v>
      </c>
      <c r="B48" s="20" t="s">
        <v>415</v>
      </c>
      <c r="C48" s="25" t="s">
        <v>111</v>
      </c>
      <c r="D48" s="25" t="s">
        <v>116</v>
      </c>
      <c r="E48" s="25" t="s">
        <v>117</v>
      </c>
      <c r="F48" s="5" t="str">
        <f t="shared" si="53"/>
        <v>2405C00412543 SECURITAS DIRECT ESPAÑA S.A.U.</v>
      </c>
      <c r="G48" s="17">
        <f t="shared" si="54"/>
        <v>28.330578512396695</v>
      </c>
      <c r="H48" s="18">
        <v>21</v>
      </c>
      <c r="I48" s="17">
        <f t="shared" si="55"/>
        <v>5.9494214876033062</v>
      </c>
      <c r="J48" s="17">
        <f t="shared" si="56"/>
        <v>28.330578512396695</v>
      </c>
      <c r="K48" s="18">
        <v>0</v>
      </c>
      <c r="L48" s="17">
        <f t="shared" si="57"/>
        <v>0</v>
      </c>
      <c r="M48" s="19">
        <v>34.28</v>
      </c>
      <c r="N48" s="38" t="s">
        <v>27</v>
      </c>
    </row>
    <row r="49" spans="1:19" hidden="1" x14ac:dyDescent="0.35">
      <c r="A49" s="4">
        <v>45414</v>
      </c>
      <c r="B49" s="25" t="s">
        <v>461</v>
      </c>
      <c r="C49" s="25" t="s">
        <v>167</v>
      </c>
      <c r="D49" s="25" t="s">
        <v>189</v>
      </c>
      <c r="E49" s="25" t="s">
        <v>190</v>
      </c>
      <c r="F49" s="5" t="str">
        <f t="shared" si="53"/>
        <v>018-0005-351001 BRICOLAJE BRICOMAN, S.L.U.</v>
      </c>
      <c r="G49" s="17">
        <f>M49/(1-K49/100+H49/100)</f>
        <v>23.371900826446282</v>
      </c>
      <c r="H49" s="18">
        <v>21</v>
      </c>
      <c r="I49" s="17">
        <f>G49*H49/100</f>
        <v>4.9080991735537189</v>
      </c>
      <c r="J49" s="17">
        <f>G49</f>
        <v>23.371900826446282</v>
      </c>
      <c r="K49" s="18">
        <v>0</v>
      </c>
      <c r="L49" s="17">
        <f>J49*K49/100</f>
        <v>0</v>
      </c>
      <c r="M49" s="19">
        <v>28.28</v>
      </c>
      <c r="N49" s="38" t="s">
        <v>27</v>
      </c>
    </row>
    <row r="50" spans="1:19" hidden="1" x14ac:dyDescent="0.35">
      <c r="A50" s="20">
        <v>45415</v>
      </c>
      <c r="B50" s="2" t="s">
        <v>418</v>
      </c>
      <c r="C50" s="25" t="s">
        <v>137</v>
      </c>
      <c r="D50" s="25" t="s">
        <v>138</v>
      </c>
      <c r="E50" s="25" t="s">
        <v>139</v>
      </c>
      <c r="F50" s="5" t="str">
        <f t="shared" ref="F50" si="58">CONCATENATE(S50,B50," ",E50)</f>
        <v>280/24 TECNOLOGÍA DEL CONTROL ENERGÉTICO MADRID, S.L.</v>
      </c>
      <c r="G50" s="5">
        <f t="shared" si="54"/>
        <v>340.38842975206614</v>
      </c>
      <c r="H50" s="18">
        <v>21</v>
      </c>
      <c r="I50" s="17">
        <f>G50*H50/100</f>
        <v>71.481570247933888</v>
      </c>
      <c r="J50" s="17">
        <f>G50</f>
        <v>340.38842975206614</v>
      </c>
      <c r="K50" s="18">
        <v>0</v>
      </c>
      <c r="L50" s="17">
        <f>J50*K50/100</f>
        <v>0</v>
      </c>
      <c r="M50" s="58">
        <v>411.87</v>
      </c>
      <c r="N50" s="35"/>
    </row>
    <row r="51" spans="1:19" hidden="1" x14ac:dyDescent="0.35">
      <c r="A51" s="20">
        <v>45419</v>
      </c>
      <c r="B51" s="2" t="s">
        <v>408</v>
      </c>
      <c r="C51" s="2" t="s">
        <v>111</v>
      </c>
      <c r="D51" s="2" t="s">
        <v>230</v>
      </c>
      <c r="E51" s="2" t="s">
        <v>231</v>
      </c>
      <c r="F51" s="5" t="str">
        <f t="shared" ref="F51:F55" si="59">CONCATENATE(S51,B51," ",E51)</f>
        <v>S/F 09240507010028142 CURENERGÍA COMERCIALIZADOR DE ÚLTIMO RECURSO S.A.U.</v>
      </c>
      <c r="G51" s="17">
        <f t="shared" si="54"/>
        <v>18.338842975206614</v>
      </c>
      <c r="H51">
        <v>21</v>
      </c>
      <c r="I51" s="5">
        <f t="shared" ref="I51:I55" si="60">G51*H51/100</f>
        <v>3.8511570247933888</v>
      </c>
      <c r="J51" s="17">
        <f t="shared" ref="J51:J55" si="61">G51</f>
        <v>18.338842975206614</v>
      </c>
      <c r="K51">
        <v>0</v>
      </c>
      <c r="L51" s="17">
        <f t="shared" ref="L51:L55" si="62">J51*K51/100</f>
        <v>0</v>
      </c>
      <c r="M51" s="8">
        <v>22.19</v>
      </c>
      <c r="S51" t="s">
        <v>19</v>
      </c>
    </row>
    <row r="52" spans="1:19" hidden="1" x14ac:dyDescent="0.35">
      <c r="A52" s="20">
        <v>45419</v>
      </c>
      <c r="B52" s="25" t="s">
        <v>456</v>
      </c>
      <c r="C52" s="25" t="s">
        <v>167</v>
      </c>
      <c r="D52" s="16" t="s">
        <v>168</v>
      </c>
      <c r="E52" s="16" t="s">
        <v>169</v>
      </c>
      <c r="F52" s="5" t="str">
        <f t="shared" si="59"/>
        <v>70124FE000001681 SANTIAGO Y LYDIA DIAZ, S.L.</v>
      </c>
      <c r="G52" s="17">
        <f t="shared" ref="G52:G53" si="63">M52/(1-K52/100+H52/100)</f>
        <v>84.63636363636364</v>
      </c>
      <c r="H52" s="18">
        <v>21</v>
      </c>
      <c r="I52" s="17">
        <f t="shared" si="60"/>
        <v>17.773636363636363</v>
      </c>
      <c r="J52" s="17">
        <f t="shared" si="61"/>
        <v>84.63636363636364</v>
      </c>
      <c r="K52" s="18">
        <v>0</v>
      </c>
      <c r="L52" s="17">
        <f t="shared" si="62"/>
        <v>0</v>
      </c>
      <c r="M52" s="19">
        <v>102.41</v>
      </c>
      <c r="N52" s="38"/>
    </row>
    <row r="53" spans="1:19" hidden="1" x14ac:dyDescent="0.35">
      <c r="A53" s="20">
        <v>45420</v>
      </c>
      <c r="B53" s="2" t="s">
        <v>494</v>
      </c>
      <c r="C53" s="2" t="s">
        <v>167</v>
      </c>
      <c r="D53" s="2" t="s">
        <v>491</v>
      </c>
      <c r="E53" s="2" t="s">
        <v>492</v>
      </c>
      <c r="F53" s="5" t="str">
        <f t="shared" si="59"/>
        <v>S/F 00010 A0000000041010 L.S.G.I. LA MORALEJA 2 S.L.U.</v>
      </c>
      <c r="G53" s="5">
        <f t="shared" si="63"/>
        <v>2.3140495867768593</v>
      </c>
      <c r="H53" s="18">
        <v>21</v>
      </c>
      <c r="I53" s="5">
        <f t="shared" si="60"/>
        <v>0.48595041322314048</v>
      </c>
      <c r="J53" s="5">
        <f t="shared" si="61"/>
        <v>2.3140495867768593</v>
      </c>
      <c r="K53" s="18">
        <v>0</v>
      </c>
      <c r="L53" s="5">
        <f t="shared" si="62"/>
        <v>0</v>
      </c>
      <c r="M53" s="8">
        <v>2.8</v>
      </c>
      <c r="S53" t="s">
        <v>19</v>
      </c>
    </row>
    <row r="54" spans="1:19" hidden="1" x14ac:dyDescent="0.35">
      <c r="A54" s="20">
        <v>45420</v>
      </c>
      <c r="B54" s="2" t="s">
        <v>496</v>
      </c>
      <c r="C54" s="2" t="s">
        <v>167</v>
      </c>
      <c r="D54" s="2" t="s">
        <v>491</v>
      </c>
      <c r="E54" s="2" t="s">
        <v>492</v>
      </c>
      <c r="F54" s="5" t="str">
        <f t="shared" ref="F54" si="64">CONCATENATE(S54,B54," ",E54)</f>
        <v>S/F 00009 A0000000041010 L.S.G.I. LA MORALEJA 2 S.L.U.</v>
      </c>
      <c r="G54" s="5">
        <f t="shared" ref="G54" si="65">M54/(1-K54/100+H54/100)</f>
        <v>8.0578512396694215</v>
      </c>
      <c r="H54" s="18">
        <v>21</v>
      </c>
      <c r="I54" s="5">
        <f t="shared" ref="I54" si="66">G54*H54/100</f>
        <v>1.6921487603305787</v>
      </c>
      <c r="J54" s="5">
        <f t="shared" ref="J54" si="67">G54</f>
        <v>8.0578512396694215</v>
      </c>
      <c r="K54" s="18">
        <v>0</v>
      </c>
      <c r="L54" s="5">
        <f t="shared" ref="L54" si="68">J54*K54/100</f>
        <v>0</v>
      </c>
      <c r="M54" s="8">
        <v>9.75</v>
      </c>
      <c r="S54" t="s">
        <v>19</v>
      </c>
    </row>
    <row r="55" spans="1:19" hidden="1" x14ac:dyDescent="0.35">
      <c r="A55" s="20">
        <v>45421</v>
      </c>
      <c r="B55" s="2" t="s">
        <v>423</v>
      </c>
      <c r="C55" s="25" t="s">
        <v>167</v>
      </c>
      <c r="D55" s="25" t="s">
        <v>206</v>
      </c>
      <c r="E55" s="16" t="s">
        <v>207</v>
      </c>
      <c r="F55" s="5" t="str">
        <f t="shared" si="59"/>
        <v>RC EOS ES2024/15466757 MAKSU ESPAÑA S.L.</v>
      </c>
      <c r="G55" s="5">
        <f t="shared" ref="G55" si="69">M55/(1-K55/100+H55/100)</f>
        <v>0.5</v>
      </c>
      <c r="H55" s="18">
        <v>0</v>
      </c>
      <c r="I55" s="17">
        <f t="shared" si="60"/>
        <v>0</v>
      </c>
      <c r="J55" s="17">
        <f t="shared" si="61"/>
        <v>0.5</v>
      </c>
      <c r="K55" s="18">
        <v>0</v>
      </c>
      <c r="L55" s="17">
        <f t="shared" si="62"/>
        <v>0</v>
      </c>
      <c r="M55" s="19">
        <v>0.5</v>
      </c>
      <c r="N55" s="38"/>
    </row>
    <row r="56" spans="1:19" hidden="1" x14ac:dyDescent="0.35">
      <c r="A56" s="20">
        <v>45421</v>
      </c>
      <c r="B56" s="25" t="s">
        <v>403</v>
      </c>
      <c r="C56" s="25" t="s">
        <v>111</v>
      </c>
      <c r="D56" s="49" t="s">
        <v>124</v>
      </c>
      <c r="E56" s="16" t="s">
        <v>125</v>
      </c>
      <c r="F56" s="5" t="str">
        <f t="shared" ref="F56:F57" si="70">CONCATENATE(S56,B56," ",E56)</f>
        <v>134798341450 APPLE DISTRIBUTION INTERNATIONAL LTD.</v>
      </c>
      <c r="G56" s="17">
        <f t="shared" si="54"/>
        <v>2.4710743801652897</v>
      </c>
      <c r="H56" s="18">
        <v>21</v>
      </c>
      <c r="I56" s="17">
        <f t="shared" ref="I56:I57" si="71">G56*H56/100</f>
        <v>0.51892561983471086</v>
      </c>
      <c r="J56" s="17">
        <f t="shared" ref="J56:J57" si="72">G56</f>
        <v>2.4710743801652897</v>
      </c>
      <c r="K56" s="18">
        <v>0</v>
      </c>
      <c r="L56" s="17">
        <f t="shared" ref="L56:L57" si="73">J56*K56/100</f>
        <v>0</v>
      </c>
      <c r="M56" s="19">
        <v>2.99</v>
      </c>
      <c r="N56" s="35"/>
    </row>
    <row r="57" spans="1:19" hidden="1" x14ac:dyDescent="0.35">
      <c r="A57" s="20">
        <v>45423</v>
      </c>
      <c r="B57" s="2" t="s">
        <v>413</v>
      </c>
      <c r="C57" s="2" t="s">
        <v>111</v>
      </c>
      <c r="D57" s="2" t="s">
        <v>215</v>
      </c>
      <c r="E57" s="2" t="s">
        <v>216</v>
      </c>
      <c r="F57" s="5" t="str">
        <f t="shared" si="70"/>
        <v>61046471384 Repsol Comercializadora de Electricidad y Gas, S.L.U.</v>
      </c>
      <c r="G57" s="5">
        <f t="shared" si="54"/>
        <v>20.892561983471076</v>
      </c>
      <c r="H57" s="18">
        <v>21</v>
      </c>
      <c r="I57" s="5">
        <f t="shared" si="71"/>
        <v>4.3874380165289262</v>
      </c>
      <c r="J57" s="5">
        <f t="shared" si="72"/>
        <v>20.892561983471076</v>
      </c>
      <c r="K57" s="18">
        <v>0</v>
      </c>
      <c r="L57" s="5">
        <f t="shared" si="73"/>
        <v>0</v>
      </c>
      <c r="M57" s="8">
        <v>25.28</v>
      </c>
    </row>
    <row r="58" spans="1:19" hidden="1" x14ac:dyDescent="0.35">
      <c r="A58" s="20">
        <v>45425</v>
      </c>
      <c r="B58" s="25" t="s">
        <v>410</v>
      </c>
      <c r="C58" s="25" t="s">
        <v>111</v>
      </c>
      <c r="D58" s="16" t="s">
        <v>223</v>
      </c>
      <c r="E58" s="16" t="s">
        <v>224</v>
      </c>
      <c r="F58" s="5" t="str">
        <f t="shared" ref="F58:F61" si="74">CONCATENATE(S58,B58," ",E58)</f>
        <v>FMDVAEH0027390 TELEFONICA DE ESPAÑA S.A.U.</v>
      </c>
      <c r="G58" s="17">
        <f>M58/(1-K58/100+H58/100)</f>
        <v>17.685950413223139</v>
      </c>
      <c r="H58" s="18">
        <v>21</v>
      </c>
      <c r="I58" s="17">
        <f>G58*H58/100</f>
        <v>3.7140495867768597</v>
      </c>
      <c r="J58" s="17">
        <f>G58</f>
        <v>17.685950413223139</v>
      </c>
      <c r="K58" s="18">
        <v>0</v>
      </c>
      <c r="L58" s="17">
        <f>J58*K58/100</f>
        <v>0</v>
      </c>
      <c r="M58" s="19">
        <v>21.4</v>
      </c>
      <c r="N58" s="38"/>
    </row>
    <row r="59" spans="1:19" hidden="1" x14ac:dyDescent="0.35">
      <c r="A59" s="20">
        <v>45425</v>
      </c>
      <c r="B59" s="20" t="s">
        <v>411</v>
      </c>
      <c r="C59" s="25" t="s">
        <v>111</v>
      </c>
      <c r="D59" s="25" t="s">
        <v>225</v>
      </c>
      <c r="E59" s="25" t="s">
        <v>226</v>
      </c>
      <c r="F59" s="5" t="str">
        <f t="shared" si="74"/>
        <v>MMDVAEH0007572 TELEFÓNICA MÓVILES ESPAÑA, S.A.</v>
      </c>
      <c r="G59" s="5">
        <f t="shared" ref="G59:G61" si="75">M59/(1-K59/100+H59/100)</f>
        <v>28.925619834710744</v>
      </c>
      <c r="H59" s="18">
        <v>21</v>
      </c>
      <c r="I59" s="17">
        <f t="shared" ref="I59:I61" si="76">G59*H59/100</f>
        <v>6.0743801652892557</v>
      </c>
      <c r="J59" s="17">
        <f t="shared" ref="J59:J61" si="77">G59</f>
        <v>28.925619834710744</v>
      </c>
      <c r="K59" s="18">
        <v>0</v>
      </c>
      <c r="L59" s="17">
        <f t="shared" ref="L59:L61" si="78">J59*K59/100</f>
        <v>0</v>
      </c>
      <c r="M59" s="19">
        <v>35</v>
      </c>
      <c r="N59" s="38"/>
    </row>
    <row r="60" spans="1:19" hidden="1" x14ac:dyDescent="0.35">
      <c r="A60" s="20">
        <v>45425</v>
      </c>
      <c r="B60" s="20" t="s">
        <v>412</v>
      </c>
      <c r="C60" s="25" t="s">
        <v>111</v>
      </c>
      <c r="D60" s="25" t="s">
        <v>225</v>
      </c>
      <c r="E60" s="25" t="s">
        <v>226</v>
      </c>
      <c r="F60" s="5" t="str">
        <f t="shared" si="74"/>
        <v>MMDVAEH0007573 TELEFÓNICA MÓVILES ESPAÑA, S.A.</v>
      </c>
      <c r="G60" s="5">
        <f t="shared" si="75"/>
        <v>23.099173553719009</v>
      </c>
      <c r="H60" s="18">
        <v>21</v>
      </c>
      <c r="I60" s="17">
        <f t="shared" si="76"/>
        <v>4.8508264462809914</v>
      </c>
      <c r="J60" s="17">
        <f t="shared" si="77"/>
        <v>23.099173553719009</v>
      </c>
      <c r="K60" s="18">
        <v>0</v>
      </c>
      <c r="L60" s="17">
        <f t="shared" si="78"/>
        <v>0</v>
      </c>
      <c r="M60" s="19">
        <v>27.95</v>
      </c>
      <c r="N60" s="38"/>
    </row>
    <row r="61" spans="1:19" hidden="1" x14ac:dyDescent="0.35">
      <c r="A61" s="20">
        <v>45425</v>
      </c>
      <c r="B61" s="2" t="s">
        <v>493</v>
      </c>
      <c r="C61" s="2" t="s">
        <v>167</v>
      </c>
      <c r="D61" s="2" t="s">
        <v>491</v>
      </c>
      <c r="E61" s="2" t="s">
        <v>492</v>
      </c>
      <c r="F61" s="5" t="str">
        <f t="shared" si="74"/>
        <v>S/F 00011 A0000000041010 L.S.G.I. LA MORALEJA 2 S.L.U.</v>
      </c>
      <c r="G61" s="5">
        <f t="shared" si="75"/>
        <v>2.3966942148760331</v>
      </c>
      <c r="H61" s="18">
        <v>21</v>
      </c>
      <c r="I61" s="5">
        <f t="shared" si="76"/>
        <v>0.50330578512396695</v>
      </c>
      <c r="J61" s="5">
        <f t="shared" si="77"/>
        <v>2.3966942148760331</v>
      </c>
      <c r="K61" s="18">
        <v>0</v>
      </c>
      <c r="L61" s="5">
        <f t="shared" si="78"/>
        <v>0</v>
      </c>
      <c r="M61" s="8">
        <v>2.9</v>
      </c>
      <c r="S61" t="s">
        <v>19</v>
      </c>
    </row>
    <row r="62" spans="1:19" hidden="1" x14ac:dyDescent="0.35">
      <c r="A62" s="4">
        <v>45427</v>
      </c>
      <c r="B62" s="2" t="s">
        <v>487</v>
      </c>
      <c r="C62" s="2" t="s">
        <v>167</v>
      </c>
      <c r="D62" s="2" t="s">
        <v>304</v>
      </c>
      <c r="E62" s="2" t="s">
        <v>305</v>
      </c>
      <c r="F62" s="5" t="str">
        <f t="shared" ref="F62" si="79">CONCATENATE(S62,B62," ",E62)</f>
        <v>S/F 096383/A/24/003388 Repsol Comercial de Productos Petrolíferos, S.A.</v>
      </c>
      <c r="G62" s="5">
        <f t="shared" si="54"/>
        <v>55.04132231404958</v>
      </c>
      <c r="H62" s="18">
        <v>21</v>
      </c>
      <c r="I62" s="5">
        <f t="shared" si="36"/>
        <v>11.558677685950411</v>
      </c>
      <c r="J62" s="5">
        <f t="shared" si="37"/>
        <v>55.04132231404958</v>
      </c>
      <c r="K62" s="18">
        <v>0</v>
      </c>
      <c r="L62" s="5">
        <f t="shared" si="38"/>
        <v>0</v>
      </c>
      <c r="M62" s="8">
        <v>66.599999999999994</v>
      </c>
      <c r="S62" t="s">
        <v>19</v>
      </c>
    </row>
    <row r="63" spans="1:19" hidden="1" x14ac:dyDescent="0.35">
      <c r="A63" s="4">
        <v>45427</v>
      </c>
      <c r="B63" s="25" t="s">
        <v>407</v>
      </c>
      <c r="C63" s="25" t="s">
        <v>111</v>
      </c>
      <c r="D63" s="25" t="s">
        <v>112</v>
      </c>
      <c r="E63" s="25" t="s">
        <v>113</v>
      </c>
      <c r="F63" s="5" t="str">
        <f t="shared" ref="F63" si="80">CONCATENATE(S63,B63," ",E63)</f>
        <v>H4F05329 HIPER ANTENA, S.A.</v>
      </c>
      <c r="G63" s="17">
        <f t="shared" si="54"/>
        <v>57</v>
      </c>
      <c r="H63" s="18">
        <v>21</v>
      </c>
      <c r="I63" s="17">
        <f t="shared" ref="I63" si="81">G63*H63/100</f>
        <v>11.97</v>
      </c>
      <c r="J63" s="17">
        <f t="shared" ref="J63" si="82">G63</f>
        <v>57</v>
      </c>
      <c r="K63" s="18">
        <v>0</v>
      </c>
      <c r="L63" s="17">
        <f t="shared" ref="L63" si="83">J63*K63/100</f>
        <v>0</v>
      </c>
      <c r="M63" s="19">
        <v>68.97</v>
      </c>
      <c r="N63" s="38"/>
    </row>
    <row r="64" spans="1:19" hidden="1" x14ac:dyDescent="0.35">
      <c r="A64" s="4">
        <v>45427</v>
      </c>
      <c r="B64" s="2" t="s">
        <v>405</v>
      </c>
      <c r="C64" s="2" t="s">
        <v>111</v>
      </c>
      <c r="D64" s="2" t="s">
        <v>114</v>
      </c>
      <c r="E64" s="2" t="s">
        <v>115</v>
      </c>
      <c r="F64" s="5" t="str">
        <f t="shared" ref="F64:F66" si="84">CONCATENATE(S64,B64," ",E64)</f>
        <v>S/F FR359658 ELECTRO MERCANTIL LEGANES D.A.M.,S.L.U.</v>
      </c>
      <c r="G64" s="5">
        <f t="shared" si="54"/>
        <v>646.75206611570252</v>
      </c>
      <c r="H64" s="18">
        <v>21</v>
      </c>
      <c r="I64" s="5">
        <f t="shared" ref="I64:I66" si="85">G64*H64/100</f>
        <v>135.81793388429753</v>
      </c>
      <c r="J64" s="17">
        <f t="shared" ref="J64:J66" si="86">G64</f>
        <v>646.75206611570252</v>
      </c>
      <c r="K64" s="18">
        <v>0</v>
      </c>
      <c r="L64" s="17">
        <f t="shared" ref="L64:L66" si="87">J64*K64/100</f>
        <v>0</v>
      </c>
      <c r="M64" s="8">
        <v>782.57</v>
      </c>
      <c r="S64" t="s">
        <v>19</v>
      </c>
    </row>
    <row r="65" spans="1:19" hidden="1" x14ac:dyDescent="0.35">
      <c r="A65" s="4">
        <v>45428</v>
      </c>
      <c r="B65" s="2" t="s">
        <v>409</v>
      </c>
      <c r="C65" s="2" t="s">
        <v>167</v>
      </c>
      <c r="D65" s="2" t="s">
        <v>385</v>
      </c>
      <c r="E65" s="2" t="s">
        <v>386</v>
      </c>
      <c r="F65" s="5" t="str">
        <f t="shared" si="84"/>
        <v>FH2414532 DIGITAL AUDIMAGEN BQ SL</v>
      </c>
      <c r="G65" s="17">
        <f t="shared" si="54"/>
        <v>1917.2231404958679</v>
      </c>
      <c r="H65" s="18">
        <v>21</v>
      </c>
      <c r="I65" s="17">
        <f t="shared" si="85"/>
        <v>402.61685950413232</v>
      </c>
      <c r="J65" s="17">
        <f t="shared" si="86"/>
        <v>1917.2231404958679</v>
      </c>
      <c r="K65" s="18">
        <v>0</v>
      </c>
      <c r="L65" s="17">
        <f t="shared" si="87"/>
        <v>0</v>
      </c>
      <c r="M65" s="59">
        <v>2319.84</v>
      </c>
      <c r="N65" s="35"/>
    </row>
    <row r="66" spans="1:19" hidden="1" x14ac:dyDescent="0.35">
      <c r="A66" s="4">
        <v>45429</v>
      </c>
      <c r="B66" s="2" t="s">
        <v>419</v>
      </c>
      <c r="C66" s="25" t="s">
        <v>167</v>
      </c>
      <c r="D66" s="25" t="s">
        <v>206</v>
      </c>
      <c r="E66" s="16" t="s">
        <v>207</v>
      </c>
      <c r="F66" s="5" t="str">
        <f t="shared" si="84"/>
        <v>RC EOS ES2024/16508183 MAKSU ESPAÑA S.L.</v>
      </c>
      <c r="G66" s="5">
        <f t="shared" si="54"/>
        <v>0.85</v>
      </c>
      <c r="H66" s="18">
        <v>0</v>
      </c>
      <c r="I66" s="17">
        <f t="shared" si="85"/>
        <v>0</v>
      </c>
      <c r="J66" s="17">
        <f t="shared" si="86"/>
        <v>0.85</v>
      </c>
      <c r="K66" s="18">
        <v>0</v>
      </c>
      <c r="L66" s="17">
        <f t="shared" si="87"/>
        <v>0</v>
      </c>
      <c r="M66" s="19">
        <v>0.85</v>
      </c>
      <c r="N66" s="38"/>
    </row>
    <row r="67" spans="1:19" hidden="1" x14ac:dyDescent="0.35">
      <c r="A67" s="4">
        <v>45429</v>
      </c>
      <c r="B67" s="2" t="s">
        <v>421</v>
      </c>
      <c r="C67" s="25" t="s">
        <v>167</v>
      </c>
      <c r="D67" s="25" t="s">
        <v>206</v>
      </c>
      <c r="E67" s="16" t="s">
        <v>207</v>
      </c>
      <c r="F67" s="5" t="str">
        <f t="shared" ref="F67:F68" si="88">CONCATENATE(S67,B67," ",E67)</f>
        <v>RC EOS ES2024/16569619 MAKSU ESPAÑA S.L.</v>
      </c>
      <c r="G67" s="5">
        <f t="shared" ref="G67:G68" si="89">M67/(1-K67/100+H67/100)</f>
        <v>1</v>
      </c>
      <c r="H67" s="18">
        <v>0</v>
      </c>
      <c r="I67" s="17">
        <f t="shared" ref="I67:I68" si="90">G67*H67/100</f>
        <v>0</v>
      </c>
      <c r="J67" s="17">
        <f t="shared" ref="J67:J68" si="91">G67</f>
        <v>1</v>
      </c>
      <c r="K67" s="18">
        <v>0</v>
      </c>
      <c r="L67" s="17">
        <f t="shared" ref="L67:L68" si="92">J67*K67/100</f>
        <v>0</v>
      </c>
      <c r="M67" s="19">
        <v>1</v>
      </c>
      <c r="N67" s="38"/>
    </row>
    <row r="68" spans="1:19" x14ac:dyDescent="0.35">
      <c r="A68" s="4">
        <v>45429</v>
      </c>
      <c r="C68" s="2" t="s">
        <v>111</v>
      </c>
      <c r="D68" s="2" t="s">
        <v>220</v>
      </c>
      <c r="E68" s="2" t="s">
        <v>221</v>
      </c>
      <c r="F68" s="5" t="str">
        <f t="shared" si="88"/>
        <v>S/F  Comercializadora Regulada, Gas &amp; Power, S.A.</v>
      </c>
      <c r="G68" s="5">
        <f t="shared" si="89"/>
        <v>14.263636363636362</v>
      </c>
      <c r="H68" s="18">
        <v>10</v>
      </c>
      <c r="I68" s="5">
        <f t="shared" si="90"/>
        <v>1.4263636363636363</v>
      </c>
      <c r="J68" s="5">
        <f t="shared" si="91"/>
        <v>14.263636363636362</v>
      </c>
      <c r="K68" s="18">
        <v>0</v>
      </c>
      <c r="L68" s="5">
        <f t="shared" si="92"/>
        <v>0</v>
      </c>
      <c r="M68" s="8">
        <v>15.69</v>
      </c>
      <c r="S68" t="s">
        <v>19</v>
      </c>
    </row>
    <row r="69" spans="1:19" hidden="1" x14ac:dyDescent="0.35">
      <c r="A69" s="4">
        <v>45432</v>
      </c>
      <c r="B69" s="2" t="s">
        <v>422</v>
      </c>
      <c r="C69" s="25" t="s">
        <v>167</v>
      </c>
      <c r="D69" s="25" t="s">
        <v>206</v>
      </c>
      <c r="E69" s="16" t="s">
        <v>207</v>
      </c>
      <c r="F69" s="5" t="str">
        <f t="shared" ref="F69:F73" si="93">CONCATENATE(S69,B69," ",E69)</f>
        <v>RC EOS ES2024/16805036 MAKSU ESPAÑA S.L.</v>
      </c>
      <c r="G69" s="5">
        <f t="shared" ref="G69" si="94">M69/(1-K69/100+H69/100)</f>
        <v>0.35</v>
      </c>
      <c r="H69" s="18">
        <v>0</v>
      </c>
      <c r="I69" s="17">
        <f t="shared" ref="I69" si="95">G69*H69/100</f>
        <v>0</v>
      </c>
      <c r="J69" s="17">
        <f t="shared" ref="J69" si="96">G69</f>
        <v>0.35</v>
      </c>
      <c r="K69" s="18">
        <v>0</v>
      </c>
      <c r="L69" s="17">
        <f t="shared" ref="L69" si="97">J69*K69/100</f>
        <v>0</v>
      </c>
      <c r="M69" s="19">
        <v>0.35</v>
      </c>
      <c r="N69" s="38"/>
    </row>
    <row r="70" spans="1:19" hidden="1" x14ac:dyDescent="0.35">
      <c r="A70" s="4">
        <v>45432</v>
      </c>
      <c r="B70" s="25" t="s">
        <v>485</v>
      </c>
      <c r="C70" s="25" t="s">
        <v>167</v>
      </c>
      <c r="D70" s="16" t="s">
        <v>309</v>
      </c>
      <c r="E70" s="16" t="s">
        <v>307</v>
      </c>
      <c r="F70" s="5" t="str">
        <f t="shared" si="93"/>
        <v>5478-2024-00036535 COSTCO WHOLESALE SPAIN, S.L.U.</v>
      </c>
      <c r="G70" s="17">
        <f>M70/(1-K70/100+H70/100)</f>
        <v>148.95867768595042</v>
      </c>
      <c r="H70" s="18">
        <v>21</v>
      </c>
      <c r="I70" s="17">
        <f>G70*H70/100</f>
        <v>31.281322314049589</v>
      </c>
      <c r="J70" s="17">
        <f>G70</f>
        <v>148.95867768595042</v>
      </c>
      <c r="K70" s="18">
        <v>0</v>
      </c>
      <c r="L70" s="17">
        <f>J70*K70/100</f>
        <v>0</v>
      </c>
      <c r="M70" s="19">
        <v>180.24</v>
      </c>
      <c r="N70" s="38"/>
    </row>
    <row r="71" spans="1:19" hidden="1" x14ac:dyDescent="0.35">
      <c r="A71" s="4">
        <v>45432</v>
      </c>
      <c r="B71" s="2" t="s">
        <v>490</v>
      </c>
      <c r="C71" s="25" t="s">
        <v>167</v>
      </c>
      <c r="D71" s="25" t="s">
        <v>287</v>
      </c>
      <c r="E71" s="16" t="s">
        <v>288</v>
      </c>
      <c r="F71" s="5" t="str">
        <f t="shared" si="93"/>
        <v>0218438 INMOBILIARIA PARIS, S.A.</v>
      </c>
      <c r="G71" s="5">
        <f t="shared" ref="G71" si="98">M71/(1-K71/100+H71/100)</f>
        <v>1.0330578512396695</v>
      </c>
      <c r="H71" s="18">
        <v>21</v>
      </c>
      <c r="I71" s="17">
        <f>G71*H71/100</f>
        <v>0.21694214876033061</v>
      </c>
      <c r="J71" s="17">
        <f>G71</f>
        <v>1.0330578512396695</v>
      </c>
      <c r="K71" s="18">
        <v>0</v>
      </c>
      <c r="L71" s="17">
        <f>J71*K71/100</f>
        <v>0</v>
      </c>
      <c r="M71" s="19">
        <v>1.25</v>
      </c>
      <c r="N71" s="38"/>
    </row>
    <row r="72" spans="1:19" hidden="1" x14ac:dyDescent="0.35">
      <c r="A72" s="4">
        <v>45433</v>
      </c>
      <c r="B72" s="2" t="s">
        <v>488</v>
      </c>
      <c r="C72" s="25" t="s">
        <v>167</v>
      </c>
      <c r="D72" s="25" t="s">
        <v>287</v>
      </c>
      <c r="E72" s="16" t="s">
        <v>288</v>
      </c>
      <c r="F72" s="5" t="str">
        <f t="shared" si="93"/>
        <v>062311 INMOBILIARIA PARIS, S.A.</v>
      </c>
      <c r="G72" s="5">
        <f t="shared" ref="G72" si="99">M72/(1-K72/100+H72/100)</f>
        <v>0.7024793388429752</v>
      </c>
      <c r="H72" s="18">
        <v>21</v>
      </c>
      <c r="I72" s="17">
        <f>G72*H72/100</f>
        <v>0.14752066115702481</v>
      </c>
      <c r="J72" s="17">
        <f>G72</f>
        <v>0.7024793388429752</v>
      </c>
      <c r="K72" s="18">
        <v>0</v>
      </c>
      <c r="L72" s="17">
        <f>J72*K72/100</f>
        <v>0</v>
      </c>
      <c r="M72" s="19">
        <v>0.85</v>
      </c>
      <c r="N72" s="38"/>
    </row>
    <row r="73" spans="1:19" hidden="1" x14ac:dyDescent="0.35">
      <c r="A73" s="4">
        <v>45436</v>
      </c>
      <c r="B73" s="2" t="s">
        <v>469</v>
      </c>
      <c r="C73" s="2" t="s">
        <v>137</v>
      </c>
      <c r="D73" s="2" t="s">
        <v>470</v>
      </c>
      <c r="E73" s="2" t="s">
        <v>471</v>
      </c>
      <c r="F73" s="5" t="str">
        <f t="shared" si="93"/>
        <v>2240277152 QUIRON PREVENCION, S.L.U.</v>
      </c>
      <c r="G73" s="17">
        <v>960.73</v>
      </c>
      <c r="H73" s="18">
        <v>21</v>
      </c>
      <c r="I73" s="17">
        <f t="shared" ref="I73:I74" si="100">G73*H73/100</f>
        <v>201.75330000000002</v>
      </c>
      <c r="J73" s="17">
        <f t="shared" ref="J73:J74" si="101">G73</f>
        <v>960.73</v>
      </c>
      <c r="K73" s="18">
        <v>0</v>
      </c>
      <c r="L73" s="17">
        <f t="shared" ref="L73:L74" si="102">J73*K73/100</f>
        <v>0</v>
      </c>
      <c r="M73" s="58">
        <v>1279.79</v>
      </c>
      <c r="N73" s="35"/>
    </row>
    <row r="74" spans="1:19" hidden="1" x14ac:dyDescent="0.35">
      <c r="A74" s="4">
        <v>45436</v>
      </c>
      <c r="B74" s="2" t="s">
        <v>420</v>
      </c>
      <c r="C74" s="25" t="s">
        <v>167</v>
      </c>
      <c r="D74" s="25" t="s">
        <v>206</v>
      </c>
      <c r="E74" s="16" t="s">
        <v>207</v>
      </c>
      <c r="F74" s="5" t="str">
        <f t="shared" ref="F74:F76" si="103">CONCATENATE(S74,B74," ",E74)</f>
        <v>RC EOS ES2024/17473893 MAKSU ESPAÑA S.L.</v>
      </c>
      <c r="G74" s="5">
        <f t="shared" ref="G74" si="104">M74/(1-K74/100+H74/100)</f>
        <v>1.95</v>
      </c>
      <c r="H74" s="18">
        <v>0</v>
      </c>
      <c r="I74" s="17">
        <f t="shared" si="100"/>
        <v>0</v>
      </c>
      <c r="J74" s="17">
        <f t="shared" si="101"/>
        <v>1.95</v>
      </c>
      <c r="K74" s="18">
        <v>0</v>
      </c>
      <c r="L74" s="17">
        <f t="shared" si="102"/>
        <v>0</v>
      </c>
      <c r="M74" s="19">
        <v>1.95</v>
      </c>
      <c r="N74" s="38"/>
    </row>
    <row r="75" spans="1:19" hidden="1" x14ac:dyDescent="0.35">
      <c r="A75" s="4">
        <v>45436</v>
      </c>
      <c r="B75" s="25" t="s">
        <v>474</v>
      </c>
      <c r="C75" s="25" t="s">
        <v>167</v>
      </c>
      <c r="D75" s="25" t="s">
        <v>189</v>
      </c>
      <c r="E75" s="25" t="s">
        <v>190</v>
      </c>
      <c r="F75" s="5" t="str">
        <f t="shared" si="103"/>
        <v>011-0005-904587 BRICOLAJE BRICOMAN, S.L.U.</v>
      </c>
      <c r="G75" s="17">
        <f>M75/(1-K75/100+H75/100)</f>
        <v>31.859504132231404</v>
      </c>
      <c r="H75" s="18">
        <v>21</v>
      </c>
      <c r="I75" s="17">
        <f>G75*H75/100</f>
        <v>6.6904958677685942</v>
      </c>
      <c r="J75" s="17">
        <f>G75</f>
        <v>31.859504132231404</v>
      </c>
      <c r="K75" s="18">
        <v>0</v>
      </c>
      <c r="L75" s="17">
        <f>J75*K75/100</f>
        <v>0</v>
      </c>
      <c r="M75" s="19">
        <v>38.549999999999997</v>
      </c>
      <c r="N75" s="38" t="s">
        <v>27</v>
      </c>
    </row>
    <row r="76" spans="1:19" hidden="1" x14ac:dyDescent="0.35">
      <c r="A76" s="20">
        <v>45438</v>
      </c>
      <c r="B76" s="2" t="s">
        <v>486</v>
      </c>
      <c r="C76" s="2" t="s">
        <v>167</v>
      </c>
      <c r="D76" s="2" t="s">
        <v>304</v>
      </c>
      <c r="E76" s="2" t="s">
        <v>305</v>
      </c>
      <c r="F76" s="5" t="str">
        <f t="shared" si="103"/>
        <v>S/F 096383/A/24/003643 Repsol Comercial de Productos Petrolíferos, S.A.</v>
      </c>
      <c r="G76" s="5">
        <f t="shared" ref="G76" si="105">M76/(1-K76/100+H76/100)</f>
        <v>52.33884297520661</v>
      </c>
      <c r="H76" s="18">
        <v>21</v>
      </c>
      <c r="I76" s="5">
        <f t="shared" ref="I76" si="106">G76*H76/100</f>
        <v>10.991157024793388</v>
      </c>
      <c r="J76" s="5">
        <f t="shared" ref="J76" si="107">G76</f>
        <v>52.33884297520661</v>
      </c>
      <c r="K76" s="18">
        <v>0</v>
      </c>
      <c r="L76" s="5">
        <f t="shared" ref="L76" si="108">J76*K76/100</f>
        <v>0</v>
      </c>
      <c r="M76" s="8">
        <v>63.33</v>
      </c>
      <c r="S76" t="s">
        <v>19</v>
      </c>
    </row>
    <row r="77" spans="1:19" hidden="1" x14ac:dyDescent="0.35">
      <c r="A77" s="20">
        <v>45439</v>
      </c>
      <c r="B77" s="25" t="s">
        <v>417</v>
      </c>
      <c r="C77" s="25" t="s">
        <v>111</v>
      </c>
      <c r="D77" s="25" t="s">
        <v>235</v>
      </c>
      <c r="E77" s="25" t="s">
        <v>236</v>
      </c>
      <c r="F77" s="5" t="str">
        <f>CONCATENATE(S77,B77," ",E77)</f>
        <v>B5010524-00006609 ORANGE ESPAÑA VIRTUAL, S.L.U.</v>
      </c>
      <c r="G77" s="5">
        <f t="shared" si="54"/>
        <v>12.396694214876034</v>
      </c>
      <c r="H77" s="18">
        <v>21</v>
      </c>
      <c r="I77" s="17">
        <f>G77*H77/100</f>
        <v>2.6033057851239669</v>
      </c>
      <c r="J77" s="17">
        <f>G77</f>
        <v>12.396694214876034</v>
      </c>
      <c r="K77" s="18">
        <v>0</v>
      </c>
      <c r="L77" s="17">
        <f>J77*K77/100</f>
        <v>0</v>
      </c>
      <c r="M77" s="19">
        <v>15</v>
      </c>
      <c r="N77" s="35"/>
    </row>
    <row r="78" spans="1:19" hidden="1" x14ac:dyDescent="0.35">
      <c r="A78" s="20">
        <v>45440</v>
      </c>
      <c r="B78" s="25" t="s">
        <v>477</v>
      </c>
      <c r="C78" s="25" t="s">
        <v>111</v>
      </c>
      <c r="D78" s="25" t="s">
        <v>475</v>
      </c>
      <c r="E78" s="25" t="s">
        <v>476</v>
      </c>
      <c r="F78" s="22"/>
      <c r="G78" s="17">
        <f t="shared" si="54"/>
        <v>87.173553719008268</v>
      </c>
      <c r="H78" s="18">
        <v>21</v>
      </c>
      <c r="I78" s="17">
        <f t="shared" ref="I78" si="109">G78*H78/100</f>
        <v>18.306446280991736</v>
      </c>
      <c r="J78" s="17">
        <f t="shared" ref="J78" si="110">G78</f>
        <v>87.173553719008268</v>
      </c>
      <c r="K78" s="18">
        <v>0</v>
      </c>
      <c r="L78" s="17">
        <f t="shared" ref="L78" si="111">J78*K78/100</f>
        <v>0</v>
      </c>
      <c r="M78" s="19">
        <v>105.48</v>
      </c>
      <c r="N78" s="38"/>
    </row>
    <row r="79" spans="1:19" hidden="1" x14ac:dyDescent="0.35">
      <c r="A79" s="4">
        <v>45442</v>
      </c>
      <c r="B79" s="25" t="s">
        <v>404</v>
      </c>
      <c r="C79" s="25" t="s">
        <v>111</v>
      </c>
      <c r="D79" s="25" t="s">
        <v>127</v>
      </c>
      <c r="E79" s="25" t="s">
        <v>128</v>
      </c>
      <c r="F79" s="5" t="str">
        <f t="shared" ref="F79:F111" si="112">CONCATENATE(S79,B79," ",E79)</f>
        <v>F241710 CONTAMAR S.L.</v>
      </c>
      <c r="G79" s="5">
        <f t="shared" si="54"/>
        <v>254.79338842975207</v>
      </c>
      <c r="H79" s="18">
        <v>21</v>
      </c>
      <c r="I79" s="17">
        <f t="shared" ref="I79:I80" si="113">G79*H79/100</f>
        <v>53.506611570247934</v>
      </c>
      <c r="J79" s="17">
        <f t="shared" ref="J79:J80" si="114">G79</f>
        <v>254.79338842975207</v>
      </c>
      <c r="K79" s="18">
        <v>0</v>
      </c>
      <c r="L79" s="17">
        <f t="shared" ref="L79:L80" si="115">J79*K79/100</f>
        <v>0</v>
      </c>
      <c r="M79" s="19">
        <v>308.3</v>
      </c>
      <c r="N79" s="38"/>
    </row>
    <row r="80" spans="1:19" hidden="1" x14ac:dyDescent="0.35">
      <c r="A80" s="4">
        <v>45443</v>
      </c>
      <c r="B80" s="2" t="s">
        <v>406</v>
      </c>
      <c r="C80" s="2" t="s">
        <v>111</v>
      </c>
      <c r="D80" s="2" t="s">
        <v>114</v>
      </c>
      <c r="E80" s="2" t="s">
        <v>115</v>
      </c>
      <c r="F80" s="5" t="str">
        <f t="shared" si="112"/>
        <v>S/F FR360184 ELECTRO MERCANTIL LEGANES D.A.M.,S.L.U.</v>
      </c>
      <c r="G80" s="5">
        <f t="shared" si="54"/>
        <v>328.22314049586777</v>
      </c>
      <c r="H80" s="18">
        <v>21</v>
      </c>
      <c r="I80" s="5">
        <f t="shared" si="113"/>
        <v>68.926859504132238</v>
      </c>
      <c r="J80" s="5">
        <f t="shared" si="114"/>
        <v>328.22314049586777</v>
      </c>
      <c r="K80" s="18">
        <v>0</v>
      </c>
      <c r="L80" s="5">
        <f t="shared" si="115"/>
        <v>0</v>
      </c>
      <c r="M80" s="8">
        <v>397.15</v>
      </c>
      <c r="S80" t="s">
        <v>19</v>
      </c>
    </row>
    <row r="81" spans="1:19" hidden="1" x14ac:dyDescent="0.35">
      <c r="A81" s="4">
        <v>45444</v>
      </c>
      <c r="B81" s="25" t="s">
        <v>424</v>
      </c>
      <c r="C81" s="25" t="s">
        <v>137</v>
      </c>
      <c r="D81" s="25" t="s">
        <v>367</v>
      </c>
      <c r="E81" s="25" t="s">
        <v>368</v>
      </c>
      <c r="F81" s="5" t="str">
        <f t="shared" si="112"/>
        <v>06/24 COMUNIDAD BIENES ANT. J.  SERRANO RUBIO</v>
      </c>
      <c r="G81" s="17">
        <f>M81/(1-K81/100+H81/100)</f>
        <v>825</v>
      </c>
      <c r="H81" s="18">
        <v>21</v>
      </c>
      <c r="I81" s="17">
        <f>G81*H81/100</f>
        <v>173.25</v>
      </c>
      <c r="J81" s="17">
        <f>G81</f>
        <v>825</v>
      </c>
      <c r="K81" s="18">
        <v>19</v>
      </c>
      <c r="L81" s="17">
        <f>J81*K81/100</f>
        <v>156.75</v>
      </c>
      <c r="M81" s="19">
        <v>841.5</v>
      </c>
      <c r="N81" s="35"/>
    </row>
    <row r="82" spans="1:19" hidden="1" x14ac:dyDescent="0.35">
      <c r="A82" s="4">
        <v>45444</v>
      </c>
      <c r="B82" s="2" t="s">
        <v>425</v>
      </c>
      <c r="C82" s="25" t="s">
        <v>137</v>
      </c>
      <c r="D82" s="25" t="s">
        <v>369</v>
      </c>
      <c r="E82" s="25" t="s">
        <v>370</v>
      </c>
      <c r="F82" s="5" t="str">
        <f t="shared" si="112"/>
        <v>A006/24 JAVIER SERRANO IZQUIERDO</v>
      </c>
      <c r="G82" s="17">
        <f t="shared" ref="G82:G86" si="116">M82/(1-K82/100+H82/100)</f>
        <v>550</v>
      </c>
      <c r="H82" s="18">
        <v>21</v>
      </c>
      <c r="I82" s="17">
        <f t="shared" ref="I82:I86" si="117">G82*H82/100</f>
        <v>115.5</v>
      </c>
      <c r="J82" s="17">
        <f t="shared" ref="J82:J86" si="118">G82</f>
        <v>550</v>
      </c>
      <c r="K82" s="18">
        <v>19</v>
      </c>
      <c r="L82" s="17">
        <f t="shared" ref="L82:L86" si="119">J82*K82/100</f>
        <v>104.5</v>
      </c>
      <c r="M82" s="19">
        <v>561</v>
      </c>
      <c r="N82" s="35"/>
    </row>
    <row r="83" spans="1:19" hidden="1" x14ac:dyDescent="0.35">
      <c r="A83" s="4">
        <v>45444</v>
      </c>
      <c r="B83" s="2" t="s">
        <v>449</v>
      </c>
      <c r="C83" s="25" t="s">
        <v>167</v>
      </c>
      <c r="D83" s="25" t="s">
        <v>206</v>
      </c>
      <c r="E83" s="16" t="s">
        <v>207</v>
      </c>
      <c r="F83" s="5" t="str">
        <f t="shared" ref="F83:F86" si="120">CONCATENATE(S83,B83," ",E83)</f>
        <v>RC EOS ES2024/18473525 MAKSU ESPAÑA S.L.</v>
      </c>
      <c r="G83" s="5">
        <f t="shared" si="116"/>
        <v>1.4</v>
      </c>
      <c r="H83" s="18">
        <v>0</v>
      </c>
      <c r="I83" s="17">
        <f t="shared" si="117"/>
        <v>0</v>
      </c>
      <c r="J83" s="17">
        <f t="shared" si="118"/>
        <v>1.4</v>
      </c>
      <c r="K83" s="18">
        <v>0</v>
      </c>
      <c r="L83" s="17">
        <f t="shared" si="119"/>
        <v>0</v>
      </c>
      <c r="M83" s="19">
        <v>1.4</v>
      </c>
      <c r="N83" s="38"/>
    </row>
    <row r="84" spans="1:19" hidden="1" x14ac:dyDescent="0.35">
      <c r="A84" s="4">
        <v>45383</v>
      </c>
      <c r="B84" s="20"/>
      <c r="C84" s="25" t="s">
        <v>111</v>
      </c>
      <c r="D84" s="25" t="s">
        <v>116</v>
      </c>
      <c r="E84" s="25" t="s">
        <v>117</v>
      </c>
      <c r="F84" s="5" t="str">
        <f t="shared" si="120"/>
        <v xml:space="preserve"> SECURITAS DIRECT ESPAÑA S.A.U.</v>
      </c>
      <c r="G84" s="17">
        <f t="shared" si="116"/>
        <v>30.553719008264462</v>
      </c>
      <c r="H84" s="18">
        <v>21</v>
      </c>
      <c r="I84" s="17">
        <f t="shared" si="117"/>
        <v>6.4162809917355368</v>
      </c>
      <c r="J84" s="17">
        <f t="shared" si="118"/>
        <v>30.553719008264462</v>
      </c>
      <c r="K84" s="18">
        <v>0</v>
      </c>
      <c r="L84" s="17">
        <f t="shared" si="119"/>
        <v>0</v>
      </c>
      <c r="M84" s="19">
        <v>36.97</v>
      </c>
      <c r="N84" s="38" t="s">
        <v>27</v>
      </c>
    </row>
    <row r="85" spans="1:19" hidden="1" x14ac:dyDescent="0.35">
      <c r="A85" s="4">
        <v>45383</v>
      </c>
      <c r="B85" s="20"/>
      <c r="C85" s="25" t="s">
        <v>111</v>
      </c>
      <c r="D85" s="25" t="s">
        <v>116</v>
      </c>
      <c r="E85" s="25" t="s">
        <v>117</v>
      </c>
      <c r="F85" s="5" t="str">
        <f t="shared" si="120"/>
        <v xml:space="preserve"> SECURITAS DIRECT ESPAÑA S.A.U.</v>
      </c>
      <c r="G85" s="17">
        <f t="shared" si="116"/>
        <v>28.388429752066116</v>
      </c>
      <c r="H85" s="18">
        <v>21</v>
      </c>
      <c r="I85" s="17">
        <f t="shared" si="117"/>
        <v>5.961570247933885</v>
      </c>
      <c r="J85" s="17">
        <f t="shared" si="118"/>
        <v>28.388429752066116</v>
      </c>
      <c r="K85" s="18">
        <v>0</v>
      </c>
      <c r="L85" s="17">
        <f t="shared" si="119"/>
        <v>0</v>
      </c>
      <c r="M85" s="19">
        <v>34.35</v>
      </c>
      <c r="N85" s="38" t="s">
        <v>27</v>
      </c>
    </row>
    <row r="86" spans="1:19" hidden="1" x14ac:dyDescent="0.35">
      <c r="A86" s="4">
        <v>45383</v>
      </c>
      <c r="B86" s="20"/>
      <c r="C86" s="25" t="s">
        <v>111</v>
      </c>
      <c r="D86" s="25" t="s">
        <v>116</v>
      </c>
      <c r="E86" s="25" t="s">
        <v>117</v>
      </c>
      <c r="F86" s="5" t="str">
        <f t="shared" si="120"/>
        <v xml:space="preserve"> SECURITAS DIRECT ESPAÑA S.A.U.</v>
      </c>
      <c r="G86" s="17">
        <f t="shared" si="116"/>
        <v>28.330578512396695</v>
      </c>
      <c r="H86" s="18">
        <v>21</v>
      </c>
      <c r="I86" s="17">
        <f t="shared" si="117"/>
        <v>5.9494214876033062</v>
      </c>
      <c r="J86" s="17">
        <f t="shared" si="118"/>
        <v>28.330578512396695</v>
      </c>
      <c r="K86" s="18">
        <v>0</v>
      </c>
      <c r="L86" s="17">
        <f t="shared" si="119"/>
        <v>0</v>
      </c>
      <c r="M86" s="19">
        <v>34.28</v>
      </c>
      <c r="N86" s="38" t="s">
        <v>27</v>
      </c>
    </row>
    <row r="87" spans="1:19" hidden="1" x14ac:dyDescent="0.35">
      <c r="A87" s="20">
        <v>45447</v>
      </c>
      <c r="B87" s="25" t="s">
        <v>455</v>
      </c>
      <c r="C87" s="25" t="s">
        <v>167</v>
      </c>
      <c r="D87" s="16" t="s">
        <v>168</v>
      </c>
      <c r="E87" s="16" t="s">
        <v>169</v>
      </c>
      <c r="F87" s="5" t="str">
        <f t="shared" ref="F87" si="121">CONCATENATE(S87,B87," ",E87)</f>
        <v>70124FE000002057 SANTIAGO Y LYDIA DIAZ, S.L.</v>
      </c>
      <c r="G87" s="17">
        <f t="shared" si="54"/>
        <v>73.462809917355372</v>
      </c>
      <c r="H87" s="18">
        <v>21</v>
      </c>
      <c r="I87" s="17">
        <f t="shared" ref="I87" si="122">G87*H87/100</f>
        <v>15.427190082644628</v>
      </c>
      <c r="J87" s="17">
        <f t="shared" ref="J87" si="123">G87</f>
        <v>73.462809917355372</v>
      </c>
      <c r="K87" s="18">
        <v>0</v>
      </c>
      <c r="L87" s="17">
        <f t="shared" ref="L87" si="124">J87*K87/100</f>
        <v>0</v>
      </c>
      <c r="M87" s="19">
        <v>88.89</v>
      </c>
      <c r="N87" s="38"/>
    </row>
    <row r="88" spans="1:19" hidden="1" x14ac:dyDescent="0.35">
      <c r="A88" s="20">
        <v>45449</v>
      </c>
      <c r="B88" s="2" t="s">
        <v>441</v>
      </c>
      <c r="C88" s="2" t="s">
        <v>111</v>
      </c>
      <c r="D88" s="2" t="s">
        <v>230</v>
      </c>
      <c r="E88" s="2" t="s">
        <v>231</v>
      </c>
      <c r="F88" s="5" t="str">
        <f t="shared" si="112"/>
        <v>S/F 09240606010026059 CURENERGÍA COMERCIALIZADOR DE ÚLTIMO RECURSO S.A.U.</v>
      </c>
      <c r="G88" s="17">
        <f t="shared" ref="G88:G92" si="125">M88/(1-K88/100+H88/100)</f>
        <v>19.388429752066116</v>
      </c>
      <c r="H88">
        <v>21</v>
      </c>
      <c r="I88" s="5">
        <f t="shared" ref="I88:I92" si="126">G88*H88/100</f>
        <v>4.0715702479338844</v>
      </c>
      <c r="J88" s="17">
        <f t="shared" ref="J88:J92" si="127">G88</f>
        <v>19.388429752066116</v>
      </c>
      <c r="K88">
        <v>0</v>
      </c>
      <c r="L88" s="17">
        <f t="shared" ref="L88:L92" si="128">J88*K88/100</f>
        <v>0</v>
      </c>
      <c r="M88" s="8">
        <v>23.46</v>
      </c>
      <c r="S88" t="s">
        <v>19</v>
      </c>
    </row>
    <row r="89" spans="1:19" hidden="1" x14ac:dyDescent="0.35">
      <c r="A89" s="20">
        <v>45449</v>
      </c>
      <c r="B89" s="2" t="s">
        <v>462</v>
      </c>
      <c r="C89" s="2" t="s">
        <v>167</v>
      </c>
      <c r="D89" s="2" t="s">
        <v>463</v>
      </c>
      <c r="E89" s="2" t="s">
        <v>464</v>
      </c>
      <c r="F89" s="5" t="str">
        <f t="shared" si="112"/>
        <v>00001-2024/A0601/00001241 ESTRATEGIAS BIGMAAT, S.L.U.</v>
      </c>
      <c r="G89" s="17">
        <f t="shared" si="125"/>
        <v>60</v>
      </c>
      <c r="H89" s="18">
        <v>21</v>
      </c>
      <c r="I89" s="5">
        <f t="shared" si="126"/>
        <v>12.6</v>
      </c>
      <c r="J89" s="17">
        <f t="shared" si="127"/>
        <v>60</v>
      </c>
      <c r="K89" s="18">
        <v>0</v>
      </c>
      <c r="L89" s="17">
        <f t="shared" si="128"/>
        <v>0</v>
      </c>
      <c r="M89" s="8">
        <v>72.599999999999994</v>
      </c>
    </row>
    <row r="90" spans="1:19" hidden="1" x14ac:dyDescent="0.35">
      <c r="A90" s="20">
        <v>45450</v>
      </c>
      <c r="B90" s="2" t="s">
        <v>447</v>
      </c>
      <c r="C90" s="25" t="s">
        <v>167</v>
      </c>
      <c r="D90" s="25" t="s">
        <v>206</v>
      </c>
      <c r="E90" s="16" t="s">
        <v>207</v>
      </c>
      <c r="F90" s="5" t="str">
        <f t="shared" si="112"/>
        <v>RC EOS ES2024/19209204 MAKSU ESPAÑA S.L.</v>
      </c>
      <c r="G90" s="5">
        <f t="shared" si="125"/>
        <v>3.55</v>
      </c>
      <c r="H90" s="18">
        <v>0</v>
      </c>
      <c r="I90" s="17">
        <f t="shared" si="126"/>
        <v>0</v>
      </c>
      <c r="J90" s="17">
        <f t="shared" si="127"/>
        <v>3.55</v>
      </c>
      <c r="K90" s="18">
        <v>0</v>
      </c>
      <c r="L90" s="17">
        <f t="shared" si="128"/>
        <v>0</v>
      </c>
      <c r="M90" s="19">
        <v>3.55</v>
      </c>
      <c r="N90" s="38"/>
    </row>
    <row r="91" spans="1:19" hidden="1" x14ac:dyDescent="0.35">
      <c r="A91" s="20">
        <v>45452</v>
      </c>
      <c r="B91" s="25"/>
      <c r="C91" s="25" t="s">
        <v>111</v>
      </c>
      <c r="D91" s="49" t="s">
        <v>124</v>
      </c>
      <c r="E91" s="16" t="s">
        <v>125</v>
      </c>
      <c r="F91" s="5" t="str">
        <f t="shared" si="112"/>
        <v xml:space="preserve"> APPLE DISTRIBUTION INTERNATIONAL LTD.</v>
      </c>
      <c r="G91" s="17">
        <f t="shared" si="125"/>
        <v>2.4710743801652897</v>
      </c>
      <c r="H91" s="18">
        <v>21</v>
      </c>
      <c r="I91" s="17">
        <f t="shared" si="126"/>
        <v>0.51892561983471086</v>
      </c>
      <c r="J91" s="17">
        <f t="shared" si="127"/>
        <v>2.4710743801652897</v>
      </c>
      <c r="K91" s="18">
        <v>0</v>
      </c>
      <c r="L91" s="17">
        <f t="shared" si="128"/>
        <v>0</v>
      </c>
      <c r="M91" s="19">
        <v>2.99</v>
      </c>
      <c r="N91" s="35"/>
    </row>
    <row r="92" spans="1:19" hidden="1" x14ac:dyDescent="0.35">
      <c r="A92" s="20">
        <v>45452</v>
      </c>
      <c r="B92" s="2" t="s">
        <v>489</v>
      </c>
      <c r="C92" s="2" t="s">
        <v>167</v>
      </c>
      <c r="D92" s="2" t="s">
        <v>304</v>
      </c>
      <c r="E92" s="2" t="s">
        <v>305</v>
      </c>
      <c r="F92" s="5" t="str">
        <f t="shared" si="112"/>
        <v>S/F 096383/A/24/003949 Repsol Comercial de Productos Petrolíferos, S.A.</v>
      </c>
      <c r="G92" s="5">
        <f t="shared" si="125"/>
        <v>54.280991735537199</v>
      </c>
      <c r="H92" s="18">
        <v>21</v>
      </c>
      <c r="I92" s="5">
        <f t="shared" si="126"/>
        <v>11.399008264462811</v>
      </c>
      <c r="J92" s="5">
        <f t="shared" si="127"/>
        <v>54.280991735537199</v>
      </c>
      <c r="K92" s="18">
        <v>0</v>
      </c>
      <c r="L92" s="5">
        <f t="shared" si="128"/>
        <v>0</v>
      </c>
      <c r="M92" s="8">
        <v>65.680000000000007</v>
      </c>
      <c r="S92" t="s">
        <v>19</v>
      </c>
    </row>
    <row r="93" spans="1:19" hidden="1" x14ac:dyDescent="0.35">
      <c r="A93" s="4">
        <v>45455</v>
      </c>
      <c r="B93" s="2" t="s">
        <v>445</v>
      </c>
      <c r="C93" s="2" t="s">
        <v>111</v>
      </c>
      <c r="D93" s="2" t="s">
        <v>215</v>
      </c>
      <c r="E93" s="2" t="s">
        <v>216</v>
      </c>
      <c r="F93" s="5" t="str">
        <f t="shared" si="112"/>
        <v>61047909055 Repsol Comercializadora de Electricidad y Gas, S.L.U.</v>
      </c>
      <c r="G93" s="5">
        <f t="shared" ref="G93" si="129">M93/(1-K93/100+H93/100)</f>
        <v>21.256198347107439</v>
      </c>
      <c r="H93" s="18">
        <v>21</v>
      </c>
      <c r="I93" s="5">
        <f t="shared" ref="I93" si="130">G93*H93/100</f>
        <v>4.4638016528925624</v>
      </c>
      <c r="J93" s="5">
        <f t="shared" ref="J93" si="131">G93</f>
        <v>21.256198347107439</v>
      </c>
      <c r="K93" s="18">
        <v>0</v>
      </c>
      <c r="L93" s="5">
        <f t="shared" ref="L93" si="132">J93*K93/100</f>
        <v>0</v>
      </c>
      <c r="M93" s="8">
        <v>25.72</v>
      </c>
    </row>
    <row r="94" spans="1:19" hidden="1" x14ac:dyDescent="0.35">
      <c r="A94" s="4">
        <v>45456</v>
      </c>
      <c r="B94" s="2" t="s">
        <v>429</v>
      </c>
      <c r="C94" s="2" t="s">
        <v>167</v>
      </c>
      <c r="D94" s="2" t="s">
        <v>430</v>
      </c>
      <c r="E94" s="2" t="s">
        <v>431</v>
      </c>
      <c r="F94" s="5" t="str">
        <f t="shared" si="112"/>
        <v>INV-ES-758694435-2024-627 ningboshizeyiwenhuachuanmeiyouxiangongsi</v>
      </c>
      <c r="G94" s="17">
        <f t="shared" si="54"/>
        <v>18.59</v>
      </c>
      <c r="H94" s="18">
        <v>0</v>
      </c>
      <c r="I94" s="17">
        <f t="shared" ref="I94" si="133">G94*H94/100</f>
        <v>0</v>
      </c>
      <c r="J94" s="17">
        <f t="shared" ref="J94" si="134">G94</f>
        <v>18.59</v>
      </c>
      <c r="K94" s="18">
        <v>0</v>
      </c>
      <c r="L94" s="17">
        <f t="shared" ref="L94" si="135">J94*K94/100</f>
        <v>0</v>
      </c>
      <c r="M94" s="58">
        <v>18.59</v>
      </c>
      <c r="N94" s="35"/>
    </row>
    <row r="95" spans="1:19" hidden="1" x14ac:dyDescent="0.35">
      <c r="A95" s="20">
        <v>45456</v>
      </c>
      <c r="B95" s="25" t="s">
        <v>442</v>
      </c>
      <c r="C95" s="25" t="s">
        <v>111</v>
      </c>
      <c r="D95" s="16" t="s">
        <v>223</v>
      </c>
      <c r="E95" s="16" t="s">
        <v>224</v>
      </c>
      <c r="F95" s="5" t="str">
        <f t="shared" si="112"/>
        <v>FMDVAFH0009366 TELEFONICA DE ESPAÑA S.A.U.</v>
      </c>
      <c r="G95" s="17">
        <f>M95/(1-K95/100+H95/100)</f>
        <v>17.685950413223139</v>
      </c>
      <c r="H95" s="18">
        <v>21</v>
      </c>
      <c r="I95" s="17">
        <f>G95*H95/100</f>
        <v>3.7140495867768597</v>
      </c>
      <c r="J95" s="17">
        <f>G95</f>
        <v>17.685950413223139</v>
      </c>
      <c r="K95" s="18">
        <v>0</v>
      </c>
      <c r="L95" s="17">
        <f>J95*K95/100</f>
        <v>0</v>
      </c>
      <c r="M95" s="19">
        <v>21.4</v>
      </c>
      <c r="N95" s="38"/>
    </row>
    <row r="96" spans="1:19" hidden="1" x14ac:dyDescent="0.35">
      <c r="A96" s="4">
        <v>45456</v>
      </c>
      <c r="B96" s="20" t="s">
        <v>444</v>
      </c>
      <c r="C96" s="25" t="s">
        <v>111</v>
      </c>
      <c r="D96" s="25" t="s">
        <v>225</v>
      </c>
      <c r="E96" s="25" t="s">
        <v>226</v>
      </c>
      <c r="F96" s="5" t="str">
        <f t="shared" si="112"/>
        <v>MMDVAFH0006543 TELEFÓNICA MÓVILES ESPAÑA, S.A.</v>
      </c>
      <c r="G96" s="5">
        <f t="shared" ref="G96:G99" si="136">M96/(1-K96/100+H96/100)</f>
        <v>26.033057851239668</v>
      </c>
      <c r="H96" s="18">
        <v>21</v>
      </c>
      <c r="I96" s="17">
        <f t="shared" ref="I96:I99" si="137">G96*H96/100</f>
        <v>5.4669421487603298</v>
      </c>
      <c r="J96" s="17">
        <f t="shared" ref="J96:J99" si="138">G96</f>
        <v>26.033057851239668</v>
      </c>
      <c r="K96" s="18">
        <v>0</v>
      </c>
      <c r="L96" s="17">
        <f t="shared" ref="L96:L99" si="139">J96*K96/100</f>
        <v>0</v>
      </c>
      <c r="M96" s="19">
        <v>31.5</v>
      </c>
      <c r="N96" s="38"/>
    </row>
    <row r="97" spans="1:19" hidden="1" x14ac:dyDescent="0.35">
      <c r="A97" s="20">
        <v>45456</v>
      </c>
      <c r="B97" s="20" t="s">
        <v>443</v>
      </c>
      <c r="C97" s="25" t="s">
        <v>111</v>
      </c>
      <c r="D97" s="25" t="s">
        <v>225</v>
      </c>
      <c r="E97" s="25" t="s">
        <v>226</v>
      </c>
      <c r="F97" s="5" t="str">
        <f t="shared" si="112"/>
        <v>MMDVAFH0017178 TELEFÓNICA MÓVILES ESPAÑA, S.A.</v>
      </c>
      <c r="G97" s="5">
        <f t="shared" si="136"/>
        <v>23.099173553719009</v>
      </c>
      <c r="H97" s="18">
        <v>21</v>
      </c>
      <c r="I97" s="17">
        <f t="shared" si="137"/>
        <v>4.8508264462809914</v>
      </c>
      <c r="J97" s="17">
        <f t="shared" si="138"/>
        <v>23.099173553719009</v>
      </c>
      <c r="K97" s="18">
        <v>0</v>
      </c>
      <c r="L97" s="17">
        <f t="shared" si="139"/>
        <v>0</v>
      </c>
      <c r="M97" s="19">
        <v>27.95</v>
      </c>
      <c r="N97" s="38"/>
    </row>
    <row r="98" spans="1:19" hidden="1" x14ac:dyDescent="0.35">
      <c r="A98" s="20">
        <v>45456</v>
      </c>
      <c r="B98" s="20" t="s">
        <v>465</v>
      </c>
      <c r="C98" s="25" t="s">
        <v>167</v>
      </c>
      <c r="D98" s="25" t="s">
        <v>466</v>
      </c>
      <c r="E98" s="25" t="s">
        <v>467</v>
      </c>
      <c r="F98" s="5" t="str">
        <f t="shared" si="112"/>
        <v>E232-61196149 E232 MEDIA MARKT SATURN S.A.</v>
      </c>
      <c r="G98" s="5">
        <f t="shared" si="136"/>
        <v>412.39669421487605</v>
      </c>
      <c r="H98" s="18">
        <v>21</v>
      </c>
      <c r="I98" s="17">
        <f t="shared" si="137"/>
        <v>86.603305785123979</v>
      </c>
      <c r="J98" s="17">
        <f t="shared" si="138"/>
        <v>412.39669421487605</v>
      </c>
      <c r="K98" s="18">
        <v>0</v>
      </c>
      <c r="L98" s="17">
        <f t="shared" si="139"/>
        <v>0</v>
      </c>
      <c r="M98" s="19">
        <v>499</v>
      </c>
      <c r="N98" s="38"/>
    </row>
    <row r="99" spans="1:19" hidden="1" x14ac:dyDescent="0.35">
      <c r="A99" s="20">
        <v>45457</v>
      </c>
      <c r="B99" s="25" t="s">
        <v>454</v>
      </c>
      <c r="C99" s="25" t="s">
        <v>167</v>
      </c>
      <c r="D99" s="16" t="s">
        <v>168</v>
      </c>
      <c r="E99" s="16" t="s">
        <v>169</v>
      </c>
      <c r="F99" s="5" t="str">
        <f t="shared" si="112"/>
        <v>70124FE000002201 SANTIAGO Y LYDIA DIAZ, S.L.</v>
      </c>
      <c r="G99" s="17">
        <f t="shared" si="136"/>
        <v>72.471074380165291</v>
      </c>
      <c r="H99" s="18">
        <v>21</v>
      </c>
      <c r="I99" s="17">
        <f t="shared" si="137"/>
        <v>15.21892561983471</v>
      </c>
      <c r="J99" s="17">
        <f t="shared" si="138"/>
        <v>72.471074380165291</v>
      </c>
      <c r="K99" s="18">
        <v>0</v>
      </c>
      <c r="L99" s="17">
        <f t="shared" si="139"/>
        <v>0</v>
      </c>
      <c r="M99" s="19">
        <v>87.69</v>
      </c>
      <c r="N99" s="38"/>
    </row>
    <row r="100" spans="1:19" hidden="1" x14ac:dyDescent="0.35">
      <c r="A100" s="4">
        <v>45458</v>
      </c>
      <c r="B100" s="25" t="s">
        <v>439</v>
      </c>
      <c r="C100" s="25" t="s">
        <v>111</v>
      </c>
      <c r="D100" s="25" t="s">
        <v>112</v>
      </c>
      <c r="E100" s="25" t="s">
        <v>113</v>
      </c>
      <c r="F100" s="5" t="str">
        <f t="shared" si="112"/>
        <v>H4F06489 HIPER ANTENA, S.A.</v>
      </c>
      <c r="G100" s="17">
        <f t="shared" ref="G100" si="140">M100/(1-K100/100+H100/100)</f>
        <v>336.70247933884303</v>
      </c>
      <c r="H100" s="18">
        <v>21</v>
      </c>
      <c r="I100" s="17">
        <f t="shared" ref="I100" si="141">G100*H100/100</f>
        <v>70.707520661157048</v>
      </c>
      <c r="J100" s="17">
        <f t="shared" ref="J100" si="142">G100</f>
        <v>336.70247933884303</v>
      </c>
      <c r="K100" s="18">
        <v>0</v>
      </c>
      <c r="L100" s="17">
        <f t="shared" ref="L100" si="143">J100*K100/100</f>
        <v>0</v>
      </c>
      <c r="M100" s="19">
        <v>407.41</v>
      </c>
      <c r="N100" s="38"/>
    </row>
    <row r="101" spans="1:19" hidden="1" x14ac:dyDescent="0.35">
      <c r="A101" s="4">
        <v>45458</v>
      </c>
      <c r="B101" s="2" t="s">
        <v>437</v>
      </c>
      <c r="C101" s="2" t="s">
        <v>111</v>
      </c>
      <c r="D101" s="2" t="s">
        <v>114</v>
      </c>
      <c r="E101" s="2" t="s">
        <v>115</v>
      </c>
      <c r="F101" s="5" t="str">
        <f t="shared" si="112"/>
        <v>S/F FR360694 ELECTRO MERCANTIL LEGANES D.A.M.,S.L.U.</v>
      </c>
      <c r="G101" s="5">
        <f t="shared" ref="G101:G102" si="144">M101/(1-K101/100+H101/100)</f>
        <v>1465.388429752066</v>
      </c>
      <c r="H101" s="18">
        <v>21</v>
      </c>
      <c r="I101" s="5">
        <f t="shared" ref="I101:I102" si="145">G101*H101/100</f>
        <v>307.73157024793386</v>
      </c>
      <c r="J101" s="17">
        <f t="shared" ref="J101:J102" si="146">G101</f>
        <v>1465.388429752066</v>
      </c>
      <c r="K101" s="18">
        <v>0</v>
      </c>
      <c r="L101" s="17">
        <f t="shared" ref="L101:L102" si="147">J101*K101/100</f>
        <v>0</v>
      </c>
      <c r="M101" s="8">
        <v>1773.12</v>
      </c>
      <c r="S101" t="s">
        <v>19</v>
      </c>
    </row>
    <row r="102" spans="1:19" hidden="1" x14ac:dyDescent="0.35">
      <c r="A102" s="4">
        <v>45460</v>
      </c>
      <c r="B102" s="25" t="s">
        <v>483</v>
      </c>
      <c r="C102" s="25" t="s">
        <v>167</v>
      </c>
      <c r="D102" s="25" t="s">
        <v>297</v>
      </c>
      <c r="E102" s="25" t="s">
        <v>298</v>
      </c>
      <c r="F102" s="5" t="str">
        <f t="shared" si="112"/>
        <v>5556885 AENA S.M.E., S.A.</v>
      </c>
      <c r="G102" s="17">
        <f t="shared" si="144"/>
        <v>8.0991735537190088</v>
      </c>
      <c r="H102" s="18">
        <v>21</v>
      </c>
      <c r="I102" s="17">
        <f t="shared" si="145"/>
        <v>1.7008264462809919</v>
      </c>
      <c r="J102" s="17">
        <f t="shared" si="146"/>
        <v>8.0991735537190088</v>
      </c>
      <c r="K102" s="18">
        <v>0</v>
      </c>
      <c r="L102" s="17">
        <f t="shared" si="147"/>
        <v>0</v>
      </c>
      <c r="M102" s="19">
        <v>9.8000000000000007</v>
      </c>
      <c r="N102" s="38"/>
    </row>
    <row r="103" spans="1:19" hidden="1" x14ac:dyDescent="0.35">
      <c r="A103" s="4">
        <v>45462</v>
      </c>
      <c r="B103" s="2" t="s">
        <v>426</v>
      </c>
      <c r="C103" s="2" t="s">
        <v>167</v>
      </c>
      <c r="D103" s="2" t="s">
        <v>427</v>
      </c>
      <c r="E103" s="2" t="s">
        <v>428</v>
      </c>
      <c r="F103" s="5" t="str">
        <f t="shared" si="112"/>
        <v>INV-ES-889828445-2024-339 SHENZHEN SHI WANSHENGYU DIANZI KEJI YOUXIAN GONGSI</v>
      </c>
      <c r="G103" s="17">
        <f t="shared" si="54"/>
        <v>7.43</v>
      </c>
      <c r="H103" s="18">
        <v>0</v>
      </c>
      <c r="I103" s="17">
        <f t="shared" ref="I103:I104" si="148">G103*H103/100</f>
        <v>0</v>
      </c>
      <c r="J103" s="17">
        <f t="shared" ref="J103:J104" si="149">G103</f>
        <v>7.43</v>
      </c>
      <c r="K103" s="18">
        <v>0</v>
      </c>
      <c r="L103" s="17">
        <f t="shared" ref="L103:L104" si="150">J103*K103/100</f>
        <v>0</v>
      </c>
      <c r="M103" s="58">
        <v>7.43</v>
      </c>
      <c r="N103" s="38"/>
    </row>
    <row r="104" spans="1:19" x14ac:dyDescent="0.35">
      <c r="A104" s="4">
        <v>45462</v>
      </c>
      <c r="C104" s="2" t="s">
        <v>111</v>
      </c>
      <c r="D104" s="2" t="s">
        <v>220</v>
      </c>
      <c r="E104" s="2" t="s">
        <v>221</v>
      </c>
      <c r="F104" s="5" t="str">
        <f t="shared" si="112"/>
        <v>S/F  Comercializadora Regulada, Gas &amp; Power, S.A.</v>
      </c>
      <c r="G104" s="5">
        <f t="shared" si="54"/>
        <v>14.09090909090909</v>
      </c>
      <c r="H104" s="18">
        <v>10</v>
      </c>
      <c r="I104" s="5">
        <f t="shared" si="148"/>
        <v>1.4090909090909092</v>
      </c>
      <c r="J104" s="5">
        <f t="shared" si="149"/>
        <v>14.09090909090909</v>
      </c>
      <c r="K104" s="18">
        <v>0</v>
      </c>
      <c r="L104" s="5">
        <f t="shared" si="150"/>
        <v>0</v>
      </c>
      <c r="M104" s="8">
        <v>15.5</v>
      </c>
      <c r="S104" t="s">
        <v>19</v>
      </c>
    </row>
    <row r="105" spans="1:19" hidden="1" x14ac:dyDescent="0.35">
      <c r="A105" s="4">
        <v>45463</v>
      </c>
      <c r="B105" s="25" t="s">
        <v>468</v>
      </c>
      <c r="C105" s="25" t="s">
        <v>167</v>
      </c>
      <c r="D105" s="25" t="s">
        <v>189</v>
      </c>
      <c r="E105" s="25" t="s">
        <v>190</v>
      </c>
      <c r="F105" s="5" t="str">
        <f t="shared" si="112"/>
        <v>011-0006-953295 BRICOLAJE BRICOMAN, S.L.U.</v>
      </c>
      <c r="G105" s="17">
        <f>M105/(1-K105/100+H105/100)</f>
        <v>5.785123966942149</v>
      </c>
      <c r="H105" s="18">
        <v>21</v>
      </c>
      <c r="I105" s="17">
        <f>G105*H105/100</f>
        <v>1.2148760330578512</v>
      </c>
      <c r="J105" s="17">
        <f>G105</f>
        <v>5.785123966942149</v>
      </c>
      <c r="K105" s="18">
        <v>0</v>
      </c>
      <c r="L105" s="17">
        <f>J105*K105/100</f>
        <v>0</v>
      </c>
      <c r="M105" s="19">
        <v>7</v>
      </c>
      <c r="N105" s="38" t="s">
        <v>27</v>
      </c>
    </row>
    <row r="106" spans="1:19" hidden="1" x14ac:dyDescent="0.35">
      <c r="A106" s="4">
        <v>45463</v>
      </c>
      <c r="B106" s="25" t="s">
        <v>435</v>
      </c>
      <c r="C106" s="25" t="s">
        <v>111</v>
      </c>
      <c r="D106" s="25" t="s">
        <v>127</v>
      </c>
      <c r="E106" s="25" t="s">
        <v>128</v>
      </c>
      <c r="F106" s="5" t="str">
        <f>CONCATENATE(S106,B106," ",E106)</f>
        <v>F242041 CONTAMAR S.L.</v>
      </c>
      <c r="G106" s="5">
        <f>M106/(1-K106/100+H106/100)</f>
        <v>184.07438016528926</v>
      </c>
      <c r="H106" s="18">
        <v>21</v>
      </c>
      <c r="I106" s="17">
        <f>G106*H106/100</f>
        <v>38.655619834710741</v>
      </c>
      <c r="J106" s="17">
        <f>G106</f>
        <v>184.07438016528926</v>
      </c>
      <c r="K106" s="18">
        <v>0</v>
      </c>
      <c r="L106" s="17">
        <f>J106*K106/100</f>
        <v>0</v>
      </c>
      <c r="M106" s="19">
        <v>222.73</v>
      </c>
      <c r="N106" s="38"/>
    </row>
    <row r="107" spans="1:19" hidden="1" x14ac:dyDescent="0.35">
      <c r="A107" s="4">
        <v>45464</v>
      </c>
      <c r="B107" s="2" t="s">
        <v>482</v>
      </c>
      <c r="C107" s="25" t="s">
        <v>167</v>
      </c>
      <c r="D107" s="25" t="s">
        <v>287</v>
      </c>
      <c r="E107" s="16" t="s">
        <v>288</v>
      </c>
      <c r="F107" s="5" t="str">
        <f t="shared" ref="F107" si="151">CONCATENATE(S107,B107," ",E107)</f>
        <v>073662 INMOBILIARIA PARIS, S.A.</v>
      </c>
      <c r="G107" s="5">
        <f t="shared" ref="G107" si="152">M107/(1-K107/100+H107/100)</f>
        <v>0.41322314049586778</v>
      </c>
      <c r="H107" s="18">
        <v>21</v>
      </c>
      <c r="I107" s="17">
        <f>G107*H107/100</f>
        <v>8.6776859504132234E-2</v>
      </c>
      <c r="J107" s="17">
        <f>G107</f>
        <v>0.41322314049586778</v>
      </c>
      <c r="K107" s="18">
        <v>0</v>
      </c>
      <c r="L107" s="17">
        <f>J107*K107/100</f>
        <v>0</v>
      </c>
      <c r="M107" s="19">
        <v>0.5</v>
      </c>
      <c r="N107" s="38"/>
    </row>
    <row r="108" spans="1:19" hidden="1" x14ac:dyDescent="0.35">
      <c r="A108" s="4">
        <v>45464</v>
      </c>
      <c r="B108" s="25" t="s">
        <v>453</v>
      </c>
      <c r="C108" s="25" t="s">
        <v>167</v>
      </c>
      <c r="D108" s="16" t="s">
        <v>168</v>
      </c>
      <c r="E108" s="16" t="s">
        <v>169</v>
      </c>
      <c r="F108" s="5" t="str">
        <f t="shared" ref="F108" si="153">CONCATENATE(S108,B108," ",E108)</f>
        <v>70124FE000002277 SANTIAGO Y LYDIA DIAZ, S.L.</v>
      </c>
      <c r="G108" s="17">
        <f t="shared" ref="G108" si="154">M108/(1-K108/100+H108/100)</f>
        <v>70.909090909090907</v>
      </c>
      <c r="H108" s="18">
        <v>21</v>
      </c>
      <c r="I108" s="17">
        <f t="shared" ref="I108" si="155">G108*H108/100</f>
        <v>14.890909090909091</v>
      </c>
      <c r="J108" s="17">
        <f t="shared" ref="J108" si="156">G108</f>
        <v>70.909090909090907</v>
      </c>
      <c r="K108" s="18">
        <v>0</v>
      </c>
      <c r="L108" s="17">
        <f t="shared" ref="L108" si="157">J108*K108/100</f>
        <v>0</v>
      </c>
      <c r="M108" s="19">
        <v>85.8</v>
      </c>
      <c r="N108" s="38"/>
    </row>
    <row r="109" spans="1:19" hidden="1" x14ac:dyDescent="0.35">
      <c r="A109" s="4">
        <v>45467</v>
      </c>
      <c r="B109" s="25" t="s">
        <v>446</v>
      </c>
      <c r="C109" s="25" t="s">
        <v>111</v>
      </c>
      <c r="D109" s="25" t="s">
        <v>235</v>
      </c>
      <c r="E109" s="25" t="s">
        <v>236</v>
      </c>
      <c r="F109" s="5" t="str">
        <f>CONCATENATE(S109,B109," ",E109)</f>
        <v>B5010624-00006626 ORANGE ESPAÑA VIRTUAL, S.L.U.</v>
      </c>
      <c r="G109" s="5">
        <f t="shared" ref="G109" si="158">M109/(1-K109/100+H109/100)</f>
        <v>12.396694214876034</v>
      </c>
      <c r="H109" s="18">
        <v>21</v>
      </c>
      <c r="I109" s="17">
        <f>G109*H109/100</f>
        <v>2.6033057851239669</v>
      </c>
      <c r="J109" s="17">
        <f>G109</f>
        <v>12.396694214876034</v>
      </c>
      <c r="K109" s="18">
        <v>0</v>
      </c>
      <c r="L109" s="17">
        <f>J109*K109/100</f>
        <v>0</v>
      </c>
      <c r="M109" s="19">
        <v>15</v>
      </c>
      <c r="N109" s="35"/>
    </row>
    <row r="110" spans="1:19" hidden="1" x14ac:dyDescent="0.35">
      <c r="A110" s="4">
        <v>45469</v>
      </c>
      <c r="B110" s="2" t="s">
        <v>432</v>
      </c>
      <c r="C110" s="2" t="s">
        <v>167</v>
      </c>
      <c r="D110" s="2" t="s">
        <v>266</v>
      </c>
      <c r="E110" s="2" t="s">
        <v>433</v>
      </c>
      <c r="F110" s="5" t="str">
        <f t="shared" si="112"/>
        <v>ES41TEZXAEUI Amazon EU S.à r.l., Sucursal en España</v>
      </c>
      <c r="G110" s="17">
        <f t="shared" si="54"/>
        <v>4.0909090909090908</v>
      </c>
      <c r="H110" s="18">
        <v>21</v>
      </c>
      <c r="I110" s="17">
        <f>G110*H110/100</f>
        <v>0.85909090909090902</v>
      </c>
      <c r="J110" s="17">
        <f>G110</f>
        <v>4.0909090909090908</v>
      </c>
      <c r="K110" s="18">
        <v>0</v>
      </c>
      <c r="L110" s="17">
        <f>J110*K110/100</f>
        <v>0</v>
      </c>
      <c r="M110" s="58">
        <v>4.95</v>
      </c>
      <c r="N110" s="38" t="s">
        <v>27</v>
      </c>
    </row>
    <row r="111" spans="1:19" hidden="1" x14ac:dyDescent="0.35">
      <c r="A111" s="4">
        <v>45470</v>
      </c>
      <c r="B111" s="2" t="s">
        <v>434</v>
      </c>
      <c r="C111" s="2" t="s">
        <v>111</v>
      </c>
      <c r="D111" s="2" t="s">
        <v>260</v>
      </c>
      <c r="E111" s="2" t="s">
        <v>261</v>
      </c>
      <c r="F111" s="5" t="str">
        <f t="shared" si="112"/>
        <v>240004589877 Canal de Isabel II, S.A.</v>
      </c>
      <c r="G111" s="5">
        <f t="shared" si="54"/>
        <v>21.827272727272728</v>
      </c>
      <c r="H111" s="18">
        <v>10</v>
      </c>
      <c r="I111" s="5">
        <f t="shared" ref="I111:I112" si="159">G111*H111/100</f>
        <v>2.1827272727272726</v>
      </c>
      <c r="J111" s="5">
        <f t="shared" ref="J111:J112" si="160">G111</f>
        <v>21.827272727272728</v>
      </c>
      <c r="K111" s="18">
        <v>0</v>
      </c>
      <c r="L111" s="5">
        <f t="shared" ref="L111:L112" si="161">J111*K111/100</f>
        <v>0</v>
      </c>
      <c r="M111" s="8">
        <v>24.01</v>
      </c>
    </row>
    <row r="112" spans="1:19" hidden="1" x14ac:dyDescent="0.35">
      <c r="A112" s="4">
        <v>45470</v>
      </c>
      <c r="B112" s="2" t="s">
        <v>448</v>
      </c>
      <c r="C112" s="25" t="s">
        <v>167</v>
      </c>
      <c r="D112" s="25" t="s">
        <v>206</v>
      </c>
      <c r="E112" s="16" t="s">
        <v>207</v>
      </c>
      <c r="F112" s="5" t="str">
        <f t="shared" ref="F112" si="162">CONCATENATE(S112,B112," ",E112)</f>
        <v>RC EOS ES2024/21683320 MAKSU ESPAÑA S.L.</v>
      </c>
      <c r="G112" s="5">
        <f t="shared" si="54"/>
        <v>1.1000000000000001</v>
      </c>
      <c r="H112" s="18">
        <v>0</v>
      </c>
      <c r="I112" s="17">
        <f t="shared" si="159"/>
        <v>0</v>
      </c>
      <c r="J112" s="17">
        <f t="shared" si="160"/>
        <v>1.1000000000000001</v>
      </c>
      <c r="K112" s="18">
        <v>0</v>
      </c>
      <c r="L112" s="17">
        <f t="shared" si="161"/>
        <v>0</v>
      </c>
      <c r="M112" s="19">
        <v>1.1000000000000001</v>
      </c>
      <c r="N112" s="38"/>
    </row>
    <row r="113" spans="1:19" hidden="1" x14ac:dyDescent="0.35">
      <c r="A113" s="4">
        <v>45470</v>
      </c>
      <c r="B113" s="2" t="s">
        <v>450</v>
      </c>
      <c r="C113" s="25" t="s">
        <v>167</v>
      </c>
      <c r="D113" s="25" t="s">
        <v>206</v>
      </c>
      <c r="E113" s="16" t="s">
        <v>207</v>
      </c>
      <c r="F113" s="5" t="str">
        <f t="shared" ref="F113" si="163">CONCATENATE(S113,B113," ",E113)</f>
        <v>RC EOS ES2024/21689723 MAKSU ESPAÑA S.L.</v>
      </c>
      <c r="G113" s="5">
        <f t="shared" ref="G113" si="164">M113/(1-K113/100+H113/100)</f>
        <v>0.9</v>
      </c>
      <c r="H113" s="18">
        <v>0</v>
      </c>
      <c r="I113" s="17">
        <f t="shared" ref="I113" si="165">G113*H113/100</f>
        <v>0</v>
      </c>
      <c r="J113" s="17">
        <f t="shared" ref="J113" si="166">G113</f>
        <v>0.9</v>
      </c>
      <c r="K113" s="18">
        <v>0</v>
      </c>
      <c r="L113" s="17">
        <f t="shared" ref="L113" si="167">J113*K113/100</f>
        <v>0</v>
      </c>
      <c r="M113" s="19">
        <v>0.9</v>
      </c>
      <c r="N113" s="38"/>
    </row>
    <row r="114" spans="1:19" hidden="1" x14ac:dyDescent="0.35">
      <c r="A114" s="4">
        <v>45471</v>
      </c>
      <c r="B114" s="2" t="s">
        <v>451</v>
      </c>
      <c r="C114" s="25" t="s">
        <v>167</v>
      </c>
      <c r="D114" s="25" t="s">
        <v>206</v>
      </c>
      <c r="E114" s="16" t="s">
        <v>207</v>
      </c>
      <c r="F114" s="5" t="str">
        <f t="shared" ref="F114" si="168">CONCATENATE(S114,B114," ",E114)</f>
        <v>RC EOS ES2024/21887116 MAKSU ESPAÑA S.L.</v>
      </c>
      <c r="G114" s="5">
        <f t="shared" ref="G114" si="169">M114/(1-K114/100+H114/100)</f>
        <v>3.3</v>
      </c>
      <c r="H114" s="18">
        <v>0</v>
      </c>
      <c r="I114" s="17">
        <f t="shared" ref="I114" si="170">G114*H114/100</f>
        <v>0</v>
      </c>
      <c r="J114" s="17">
        <f t="shared" ref="J114" si="171">G114</f>
        <v>3.3</v>
      </c>
      <c r="K114" s="18">
        <v>0</v>
      </c>
      <c r="L114" s="17">
        <f t="shared" ref="L114" si="172">J114*K114/100</f>
        <v>0</v>
      </c>
      <c r="M114" s="19">
        <v>3.3</v>
      </c>
      <c r="N114" s="38"/>
    </row>
    <row r="115" spans="1:19" hidden="1" x14ac:dyDescent="0.35">
      <c r="A115" s="4">
        <v>45471</v>
      </c>
      <c r="B115" s="25" t="s">
        <v>436</v>
      </c>
      <c r="C115" s="25" t="s">
        <v>111</v>
      </c>
      <c r="D115" s="25" t="s">
        <v>127</v>
      </c>
      <c r="E115" s="25" t="s">
        <v>128</v>
      </c>
      <c r="F115" s="5" t="str">
        <f>CONCATENATE(S115,B115," ",E115)</f>
        <v>F242340 CONTAMAR S.L.</v>
      </c>
      <c r="G115" s="5">
        <f>M115/(1-K115/100+H115/100)</f>
        <v>254.79338842975207</v>
      </c>
      <c r="H115" s="18">
        <v>21</v>
      </c>
      <c r="I115" s="17">
        <f>G115*H115/100</f>
        <v>53.506611570247934</v>
      </c>
      <c r="J115" s="17">
        <f>G115</f>
        <v>254.79338842975207</v>
      </c>
      <c r="K115" s="18">
        <v>0</v>
      </c>
      <c r="L115" s="17">
        <f>J115*K115/100</f>
        <v>0</v>
      </c>
      <c r="M115" s="19">
        <v>308.3</v>
      </c>
      <c r="N115" s="38"/>
    </row>
    <row r="116" spans="1:19" hidden="1" x14ac:dyDescent="0.35">
      <c r="A116" s="4">
        <v>45473</v>
      </c>
      <c r="B116" s="2" t="s">
        <v>438</v>
      </c>
      <c r="C116" s="2" t="s">
        <v>111</v>
      </c>
      <c r="D116" s="2" t="s">
        <v>114</v>
      </c>
      <c r="E116" s="2" t="s">
        <v>115</v>
      </c>
      <c r="F116" s="5" t="str">
        <f t="shared" ref="F116:F117" si="173">CONCATENATE(S116,B116," ",E116)</f>
        <v>S/F FR361213 ELECTRO MERCANTIL LEGANES D.A.M.,S.L.U.</v>
      </c>
      <c r="G116" s="5">
        <f t="shared" si="54"/>
        <v>342.23140495867773</v>
      </c>
      <c r="H116" s="18">
        <v>21</v>
      </c>
      <c r="I116" s="5">
        <f t="shared" si="36"/>
        <v>71.868595041322322</v>
      </c>
      <c r="J116" s="17">
        <f t="shared" si="37"/>
        <v>342.23140495867773</v>
      </c>
      <c r="K116" s="18">
        <v>0</v>
      </c>
      <c r="L116" s="17">
        <f t="shared" si="38"/>
        <v>0</v>
      </c>
      <c r="M116" s="8">
        <v>414.1</v>
      </c>
      <c r="S116" t="s">
        <v>19</v>
      </c>
    </row>
    <row r="117" spans="1:19" hidden="1" x14ac:dyDescent="0.35">
      <c r="A117" s="4">
        <v>45473</v>
      </c>
      <c r="B117" s="25" t="s">
        <v>440</v>
      </c>
      <c r="C117" s="25" t="s">
        <v>111</v>
      </c>
      <c r="D117" s="25" t="s">
        <v>112</v>
      </c>
      <c r="E117" s="25" t="s">
        <v>113</v>
      </c>
      <c r="F117" s="5" t="str">
        <f t="shared" si="173"/>
        <v>H4F07089 HIPER ANTENA, S.A.</v>
      </c>
      <c r="G117" s="17">
        <f t="shared" si="54"/>
        <v>593.48760330578511</v>
      </c>
      <c r="H117" s="18">
        <v>21</v>
      </c>
      <c r="I117" s="17">
        <f t="shared" si="36"/>
        <v>124.63239669421488</v>
      </c>
      <c r="J117" s="17">
        <f t="shared" si="37"/>
        <v>593.48760330578511</v>
      </c>
      <c r="K117" s="18">
        <v>0</v>
      </c>
      <c r="L117" s="17">
        <f t="shared" si="38"/>
        <v>0</v>
      </c>
      <c r="M117" s="19">
        <v>718.12</v>
      </c>
      <c r="N117" s="38"/>
    </row>
    <row r="119" spans="1:19" ht="15" thickBot="1" x14ac:dyDescent="0.4"/>
    <row r="120" spans="1:19" ht="15" thickBot="1" x14ac:dyDescent="0.4">
      <c r="G120" s="26">
        <f>SUM(G8:G117)</f>
        <v>23641.184132231414</v>
      </c>
      <c r="I120" s="26">
        <f>SUM(I8:I117)</f>
        <v>4818.8891677685924</v>
      </c>
      <c r="L120" s="26">
        <f>SUM(L8:L117)</f>
        <v>522.5</v>
      </c>
      <c r="N120" s="36"/>
    </row>
  </sheetData>
  <autoFilter ref="A1:S117" xr:uid="{00000000-0001-0000-0100-000000000000}">
    <filterColumn colId="4">
      <filters>
        <filter val="Comercializadora Regulada, Gas &amp; Power, S.A."/>
      </filters>
    </filterColumn>
  </autoFilter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8"/>
  <sheetViews>
    <sheetView topLeftCell="A16" zoomScaleNormal="100" workbookViewId="0">
      <selection activeCell="A38" sqref="A38:XFD38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1.08984375" style="2" bestFit="1" customWidth="1"/>
    <col min="5" max="5" width="25.453125" style="2" customWidth="1"/>
    <col min="6" max="6" width="30.08984375" style="5" customWidth="1"/>
    <col min="7" max="7" width="10.54296875" style="10" customWidth="1"/>
    <col min="8" max="8" width="5.6328125" bestFit="1" customWidth="1"/>
    <col min="9" max="9" width="9.6328125" customWidth="1"/>
    <col min="10" max="10" width="11.6328125" customWidth="1"/>
    <col min="11" max="11" width="6.08984375" customWidth="1"/>
    <col min="12" max="12" width="9.26953125" bestFit="1" customWidth="1"/>
    <col min="13" max="13" width="10.6328125" style="11" customWidth="1"/>
    <col min="14" max="14" width="14.90625" style="2" bestFit="1" customWidth="1"/>
    <col min="15" max="16" width="11.453125" style="3" customWidth="1"/>
    <col min="17" max="17" width="13.36328125" customWidth="1"/>
    <col min="18" max="18" width="14.08984375" customWidth="1"/>
  </cols>
  <sheetData>
    <row r="1" spans="1:18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8" x14ac:dyDescent="0.35">
      <c r="A2" s="4">
        <v>45474</v>
      </c>
      <c r="B2" s="25" t="s">
        <v>536</v>
      </c>
      <c r="C2" s="25" t="s">
        <v>137</v>
      </c>
      <c r="D2" s="25" t="s">
        <v>367</v>
      </c>
      <c r="E2" s="25" t="s">
        <v>368</v>
      </c>
      <c r="F2" s="5" t="str">
        <f t="shared" ref="F2:F16" si="0">CONCATENATE(S2,B2," ",E2)</f>
        <v>07/24 COMUNIDAD BIENES ANT. J.  SERRANO RUBIO</v>
      </c>
      <c r="G2" s="17">
        <f>M2/(1-K2/100+H2/100)</f>
        <v>825</v>
      </c>
      <c r="H2" s="18">
        <v>21</v>
      </c>
      <c r="I2" s="17">
        <f>G2*H2/100</f>
        <v>173.25</v>
      </c>
      <c r="J2" s="17">
        <f>G2</f>
        <v>825</v>
      </c>
      <c r="K2" s="18">
        <v>19</v>
      </c>
      <c r="L2" s="17">
        <f>J2*K2/100</f>
        <v>156.75</v>
      </c>
      <c r="M2" s="19">
        <v>841.5</v>
      </c>
      <c r="N2" s="35"/>
    </row>
    <row r="3" spans="1:18" x14ac:dyDescent="0.35">
      <c r="A3" s="4">
        <v>45474</v>
      </c>
      <c r="B3" s="2" t="s">
        <v>537</v>
      </c>
      <c r="C3" s="25" t="s">
        <v>137</v>
      </c>
      <c r="D3" s="25" t="s">
        <v>369</v>
      </c>
      <c r="E3" s="25" t="s">
        <v>370</v>
      </c>
      <c r="F3" s="5" t="str">
        <f t="shared" si="0"/>
        <v>A007/24 JAVIER SERRANO IZQUIERDO</v>
      </c>
      <c r="G3" s="17">
        <f t="shared" ref="G3:G236" si="1">M3/(1-K3/100+H3/100)</f>
        <v>550</v>
      </c>
      <c r="H3" s="18">
        <v>21</v>
      </c>
      <c r="I3" s="17">
        <f t="shared" ref="I3:I17" si="2">G3*H3/100</f>
        <v>115.5</v>
      </c>
      <c r="J3" s="17">
        <f t="shared" ref="J3:J17" si="3">G3</f>
        <v>550</v>
      </c>
      <c r="K3" s="18">
        <v>19</v>
      </c>
      <c r="L3" s="17">
        <f t="shared" ref="L3:L17" si="4">J3*K3/100</f>
        <v>104.5</v>
      </c>
      <c r="M3" s="19">
        <v>561</v>
      </c>
      <c r="N3" s="35"/>
    </row>
    <row r="4" spans="1:18" x14ac:dyDescent="0.35">
      <c r="A4" s="4">
        <v>45474</v>
      </c>
      <c r="B4" s="20" t="s">
        <v>546</v>
      </c>
      <c r="C4" s="25" t="s">
        <v>111</v>
      </c>
      <c r="D4" s="25" t="s">
        <v>116</v>
      </c>
      <c r="E4" s="25" t="s">
        <v>117</v>
      </c>
      <c r="F4" s="5" t="str">
        <f t="shared" si="0"/>
        <v>2407C00799221 SECURITAS DIRECT ESPAÑA S.A.U.</v>
      </c>
      <c r="G4" s="17">
        <f t="shared" si="1"/>
        <v>30.553719008264462</v>
      </c>
      <c r="H4" s="18">
        <v>21</v>
      </c>
      <c r="I4" s="17">
        <f t="shared" si="2"/>
        <v>6.4162809917355368</v>
      </c>
      <c r="J4" s="17">
        <f t="shared" si="3"/>
        <v>30.553719008264462</v>
      </c>
      <c r="K4" s="18">
        <v>0</v>
      </c>
      <c r="L4" s="17">
        <f t="shared" si="4"/>
        <v>0</v>
      </c>
      <c r="M4" s="19">
        <v>36.97</v>
      </c>
      <c r="N4" s="38" t="s">
        <v>27</v>
      </c>
    </row>
    <row r="5" spans="1:18" x14ac:dyDescent="0.35">
      <c r="A5" s="4">
        <v>45474</v>
      </c>
      <c r="B5" s="20" t="s">
        <v>547</v>
      </c>
      <c r="C5" s="25" t="s">
        <v>111</v>
      </c>
      <c r="D5" s="25" t="s">
        <v>116</v>
      </c>
      <c r="E5" s="25" t="s">
        <v>117</v>
      </c>
      <c r="F5" s="5" t="str">
        <f t="shared" si="0"/>
        <v>2407C00437392 SECURITAS DIRECT ESPAÑA S.A.U.</v>
      </c>
      <c r="G5" s="17">
        <f t="shared" si="1"/>
        <v>28.388429752066116</v>
      </c>
      <c r="H5" s="18">
        <v>21</v>
      </c>
      <c r="I5" s="17">
        <f t="shared" si="2"/>
        <v>5.961570247933885</v>
      </c>
      <c r="J5" s="17">
        <f t="shared" si="3"/>
        <v>28.388429752066116</v>
      </c>
      <c r="K5" s="18">
        <v>0</v>
      </c>
      <c r="L5" s="17">
        <f t="shared" si="4"/>
        <v>0</v>
      </c>
      <c r="M5" s="19">
        <v>34.35</v>
      </c>
      <c r="N5" s="38" t="s">
        <v>27</v>
      </c>
    </row>
    <row r="6" spans="1:18" x14ac:dyDescent="0.35">
      <c r="A6" s="4">
        <v>45474</v>
      </c>
      <c r="B6" s="20" t="s">
        <v>548</v>
      </c>
      <c r="C6" s="25" t="s">
        <v>111</v>
      </c>
      <c r="D6" s="25" t="s">
        <v>116</v>
      </c>
      <c r="E6" s="25" t="s">
        <v>117</v>
      </c>
      <c r="F6" s="5" t="str">
        <f t="shared" si="0"/>
        <v>2407C00415775 SECURITAS DIRECT ESPAÑA S.A.U.</v>
      </c>
      <c r="G6" s="17">
        <f t="shared" si="1"/>
        <v>28.330578512396695</v>
      </c>
      <c r="H6" s="18">
        <v>21</v>
      </c>
      <c r="I6" s="17">
        <f t="shared" si="2"/>
        <v>5.9494214876033062</v>
      </c>
      <c r="J6" s="17">
        <f t="shared" si="3"/>
        <v>28.330578512396695</v>
      </c>
      <c r="K6" s="18">
        <v>0</v>
      </c>
      <c r="L6" s="17">
        <f t="shared" si="4"/>
        <v>0</v>
      </c>
      <c r="M6" s="19">
        <v>34.28</v>
      </c>
      <c r="N6" s="38" t="s">
        <v>27</v>
      </c>
    </row>
    <row r="7" spans="1:18" x14ac:dyDescent="0.35">
      <c r="A7" s="4">
        <v>45474</v>
      </c>
      <c r="B7" s="2" t="s">
        <v>589</v>
      </c>
      <c r="C7" s="25" t="s">
        <v>167</v>
      </c>
      <c r="D7" s="25" t="s">
        <v>206</v>
      </c>
      <c r="E7" s="16" t="s">
        <v>207</v>
      </c>
      <c r="F7" s="5" t="str">
        <f t="shared" si="0"/>
        <v>RC EOS ES2024/22168208 MAKSU ESPAÑA S.L.</v>
      </c>
      <c r="G7" s="5">
        <f t="shared" si="1"/>
        <v>6.25</v>
      </c>
      <c r="H7" s="18">
        <v>0</v>
      </c>
      <c r="I7" s="17">
        <f t="shared" si="2"/>
        <v>0</v>
      </c>
      <c r="J7" s="17">
        <f t="shared" si="3"/>
        <v>6.25</v>
      </c>
      <c r="K7" s="18">
        <v>0</v>
      </c>
      <c r="L7" s="17">
        <f t="shared" si="4"/>
        <v>0</v>
      </c>
      <c r="M7" s="19">
        <v>6.25</v>
      </c>
      <c r="N7" s="38"/>
    </row>
    <row r="8" spans="1:18" x14ac:dyDescent="0.35">
      <c r="A8" s="4">
        <v>45474</v>
      </c>
      <c r="B8" s="2" t="s">
        <v>590</v>
      </c>
      <c r="C8" s="25" t="s">
        <v>167</v>
      </c>
      <c r="D8" s="25" t="s">
        <v>206</v>
      </c>
      <c r="E8" s="16" t="s">
        <v>207</v>
      </c>
      <c r="F8" s="5" t="str">
        <f t="shared" si="0"/>
        <v>FT EOS ES2024/1308332 MAKSU ESPAÑA S.L.</v>
      </c>
      <c r="G8" s="5">
        <f t="shared" si="1"/>
        <v>0.62809917355371903</v>
      </c>
      <c r="H8" s="18">
        <v>21</v>
      </c>
      <c r="I8" s="17">
        <f>G8*H8/100</f>
        <v>0.13190082644628098</v>
      </c>
      <c r="J8" s="17">
        <f>G8</f>
        <v>0.62809917355371903</v>
      </c>
      <c r="K8" s="18">
        <v>0</v>
      </c>
      <c r="L8" s="17">
        <f>J8*K8/100</f>
        <v>0</v>
      </c>
      <c r="M8" s="19">
        <v>0.76</v>
      </c>
      <c r="N8" s="38"/>
    </row>
    <row r="9" spans="1:18" x14ac:dyDescent="0.35">
      <c r="A9" s="4">
        <v>45474</v>
      </c>
      <c r="B9" s="25" t="s">
        <v>761</v>
      </c>
      <c r="C9" s="25" t="s">
        <v>167</v>
      </c>
      <c r="D9" s="16" t="s">
        <v>168</v>
      </c>
      <c r="E9" s="16" t="s">
        <v>169</v>
      </c>
      <c r="F9" s="5" t="str">
        <f t="shared" si="0"/>
        <v>70124FE000002403 SANTIAGO Y LYDIA DIAZ, S.L.</v>
      </c>
      <c r="G9" s="17">
        <f t="shared" si="1"/>
        <v>76.95867768595042</v>
      </c>
      <c r="H9" s="18">
        <v>21</v>
      </c>
      <c r="I9" s="17">
        <f t="shared" ref="I9" si="5">G9*H9/100</f>
        <v>16.161322314049588</v>
      </c>
      <c r="J9" s="17">
        <f t="shared" ref="J9" si="6">G9</f>
        <v>76.95867768595042</v>
      </c>
      <c r="K9" s="18">
        <v>0</v>
      </c>
      <c r="L9" s="17">
        <f t="shared" ref="L9" si="7">J9*K9/100</f>
        <v>0</v>
      </c>
      <c r="M9" s="19">
        <v>93.12</v>
      </c>
      <c r="N9" s="38"/>
    </row>
    <row r="10" spans="1:18" x14ac:dyDescent="0.35">
      <c r="A10" s="4">
        <v>45475</v>
      </c>
      <c r="B10" s="2" t="s">
        <v>595</v>
      </c>
      <c r="C10" s="25" t="s">
        <v>167</v>
      </c>
      <c r="D10" s="25" t="s">
        <v>206</v>
      </c>
      <c r="E10" s="16" t="s">
        <v>207</v>
      </c>
      <c r="F10" s="5" t="str">
        <f t="shared" ref="F10:F11" si="8">CONCATENATE(S10,B10," ",E10)</f>
        <v>RC EOS ES2024/22270118 MAKSU ESPAÑA S.L.</v>
      </c>
      <c r="G10" s="5">
        <f t="shared" ref="G10:G11" si="9">M10/(1-K10/100+H10/100)</f>
        <v>2.4500000000000002</v>
      </c>
      <c r="H10" s="18">
        <v>0</v>
      </c>
      <c r="I10" s="17">
        <f t="shared" ref="I10" si="10">G10*H10/100</f>
        <v>0</v>
      </c>
      <c r="J10" s="17">
        <f t="shared" ref="J10" si="11">G10</f>
        <v>2.4500000000000002</v>
      </c>
      <c r="K10" s="18">
        <v>0</v>
      </c>
      <c r="L10" s="17">
        <f t="shared" ref="L10" si="12">J10*K10/100</f>
        <v>0</v>
      </c>
      <c r="M10" s="19">
        <v>2.4500000000000002</v>
      </c>
      <c r="N10" s="38"/>
    </row>
    <row r="11" spans="1:18" x14ac:dyDescent="0.35">
      <c r="A11" s="4">
        <v>45475</v>
      </c>
      <c r="B11" s="2" t="s">
        <v>596</v>
      </c>
      <c r="C11" s="25" t="s">
        <v>167</v>
      </c>
      <c r="D11" s="25" t="s">
        <v>206</v>
      </c>
      <c r="E11" s="16" t="s">
        <v>207</v>
      </c>
      <c r="F11" s="5" t="str">
        <f t="shared" si="8"/>
        <v>FT EOS ES2024/1314663 MAKSU ESPAÑA S.L.</v>
      </c>
      <c r="G11" s="5">
        <f t="shared" si="9"/>
        <v>0.24793388429752067</v>
      </c>
      <c r="H11" s="18">
        <v>21</v>
      </c>
      <c r="I11" s="17">
        <f>G11*H11/100</f>
        <v>5.2066115702479342E-2</v>
      </c>
      <c r="J11" s="17">
        <f>G11</f>
        <v>0.24793388429752067</v>
      </c>
      <c r="K11" s="18">
        <v>0</v>
      </c>
      <c r="L11" s="17">
        <f>J11*K11/100</f>
        <v>0</v>
      </c>
      <c r="M11" s="19">
        <v>0.3</v>
      </c>
      <c r="N11" s="38"/>
    </row>
    <row r="12" spans="1:18" x14ac:dyDescent="0.35">
      <c r="A12" s="4">
        <v>45475</v>
      </c>
      <c r="B12" s="2" t="s">
        <v>601</v>
      </c>
      <c r="C12" s="25" t="s">
        <v>167</v>
      </c>
      <c r="D12" s="25" t="s">
        <v>206</v>
      </c>
      <c r="E12" s="16" t="s">
        <v>207</v>
      </c>
      <c r="F12" s="5" t="str">
        <f t="shared" ref="F12:F13" si="13">CONCATENATE(S12,B12," ",E12)</f>
        <v>RC EOS ES2024/22246275 MAKSU ESPAÑA S.L.</v>
      </c>
      <c r="G12" s="5">
        <f t="shared" ref="G12:G13" si="14">M12/(1-K12/100+H12/100)</f>
        <v>2.4500000000000002</v>
      </c>
      <c r="H12" s="18">
        <v>0</v>
      </c>
      <c r="I12" s="17">
        <f t="shared" ref="I12" si="15">G12*H12/100</f>
        <v>0</v>
      </c>
      <c r="J12" s="17">
        <f t="shared" ref="J12" si="16">G12</f>
        <v>2.4500000000000002</v>
      </c>
      <c r="K12" s="18">
        <v>0</v>
      </c>
      <c r="L12" s="17">
        <f t="shared" ref="L12" si="17">J12*K12/100</f>
        <v>0</v>
      </c>
      <c r="M12" s="19">
        <v>2.4500000000000002</v>
      </c>
      <c r="N12" s="38"/>
    </row>
    <row r="13" spans="1:18" x14ac:dyDescent="0.35">
      <c r="A13" s="4">
        <v>45475</v>
      </c>
      <c r="B13" s="2" t="s">
        <v>602</v>
      </c>
      <c r="C13" s="25" t="s">
        <v>167</v>
      </c>
      <c r="D13" s="25" t="s">
        <v>206</v>
      </c>
      <c r="E13" s="16" t="s">
        <v>207</v>
      </c>
      <c r="F13" s="5" t="str">
        <f t="shared" si="13"/>
        <v>FT EOS ES2024/1312946 MAKSU ESPAÑA S.L.</v>
      </c>
      <c r="G13" s="5">
        <f t="shared" si="14"/>
        <v>0.24793388429752067</v>
      </c>
      <c r="H13" s="18">
        <v>21</v>
      </c>
      <c r="I13" s="17">
        <f>G13*H13/100</f>
        <v>5.2066115702479342E-2</v>
      </c>
      <c r="J13" s="17">
        <f>G13</f>
        <v>0.24793388429752067</v>
      </c>
      <c r="K13" s="18">
        <v>0</v>
      </c>
      <c r="L13" s="17">
        <f>J13*K13/100</f>
        <v>0</v>
      </c>
      <c r="M13" s="19">
        <v>0.3</v>
      </c>
      <c r="N13" s="38"/>
    </row>
    <row r="14" spans="1:18" x14ac:dyDescent="0.35">
      <c r="A14" s="4">
        <v>45475</v>
      </c>
      <c r="B14" s="25" t="s">
        <v>549</v>
      </c>
      <c r="C14" s="25" t="s">
        <v>137</v>
      </c>
      <c r="D14" s="25" t="s">
        <v>138</v>
      </c>
      <c r="E14" s="25" t="s">
        <v>139</v>
      </c>
      <c r="F14" s="5" t="str">
        <f t="shared" si="0"/>
        <v>404/24 TECNOLOGÍA DEL CONTROL ENERGÉTICO MADRID, S.L.</v>
      </c>
      <c r="G14" s="17">
        <f t="shared" si="1"/>
        <v>256.6611570247934</v>
      </c>
      <c r="H14" s="18">
        <v>21</v>
      </c>
      <c r="I14" s="17">
        <f t="shared" si="2"/>
        <v>53.89884297520662</v>
      </c>
      <c r="J14" s="17">
        <f t="shared" si="3"/>
        <v>256.6611570247934</v>
      </c>
      <c r="K14" s="18">
        <v>0</v>
      </c>
      <c r="L14" s="17">
        <f t="shared" si="4"/>
        <v>0</v>
      </c>
      <c r="M14" s="19">
        <v>310.56</v>
      </c>
      <c r="N14" s="35"/>
    </row>
    <row r="15" spans="1:18" x14ac:dyDescent="0.35">
      <c r="A15" s="4">
        <v>45475</v>
      </c>
      <c r="B15" s="2" t="s">
        <v>605</v>
      </c>
      <c r="C15" s="25" t="s">
        <v>167</v>
      </c>
      <c r="D15" s="25" t="s">
        <v>206</v>
      </c>
      <c r="E15" s="16" t="s">
        <v>207</v>
      </c>
      <c r="F15" s="5" t="str">
        <f t="shared" si="0"/>
        <v>RC EOS ES2024/22203352 MAKSU ESPAÑA S.L.</v>
      </c>
      <c r="G15" s="5">
        <f t="shared" si="1"/>
        <v>0.5</v>
      </c>
      <c r="H15" s="18">
        <v>0</v>
      </c>
      <c r="I15" s="17">
        <f t="shared" si="2"/>
        <v>0</v>
      </c>
      <c r="J15" s="17">
        <f t="shared" si="3"/>
        <v>0.5</v>
      </c>
      <c r="K15" s="18">
        <v>0</v>
      </c>
      <c r="L15" s="17">
        <f t="shared" si="4"/>
        <v>0</v>
      </c>
      <c r="M15" s="19">
        <v>0.5</v>
      </c>
      <c r="N15" s="38"/>
    </row>
    <row r="16" spans="1:18" x14ac:dyDescent="0.35">
      <c r="A16" s="4">
        <v>45475</v>
      </c>
      <c r="B16" s="2" t="s">
        <v>606</v>
      </c>
      <c r="C16" s="25" t="s">
        <v>167</v>
      </c>
      <c r="D16" s="25" t="s">
        <v>206</v>
      </c>
      <c r="E16" s="16" t="s">
        <v>207</v>
      </c>
      <c r="F16" s="5" t="str">
        <f t="shared" si="0"/>
        <v>FT EOS ES2024/1310232 MAKSU ESPAÑA S.L.</v>
      </c>
      <c r="G16" s="5">
        <f t="shared" si="1"/>
        <v>4.9586776859504134E-2</v>
      </c>
      <c r="H16" s="18">
        <v>21</v>
      </c>
      <c r="I16" s="17">
        <f>G16*H16/100</f>
        <v>1.0413223140495869E-2</v>
      </c>
      <c r="J16" s="17">
        <f>G16</f>
        <v>4.9586776859504134E-2</v>
      </c>
      <c r="K16" s="18">
        <v>0</v>
      </c>
      <c r="L16" s="17">
        <f>J16*K16/100</f>
        <v>0</v>
      </c>
      <c r="M16" s="19">
        <v>0.06</v>
      </c>
      <c r="N16" s="38"/>
    </row>
    <row r="17" spans="1:19" x14ac:dyDescent="0.35">
      <c r="A17" s="4">
        <v>45476</v>
      </c>
      <c r="B17" s="25" t="s">
        <v>538</v>
      </c>
      <c r="C17" s="25" t="s">
        <v>111</v>
      </c>
      <c r="D17" s="16" t="s">
        <v>121</v>
      </c>
      <c r="E17" s="16" t="s">
        <v>122</v>
      </c>
      <c r="G17" s="17">
        <f t="shared" si="1"/>
        <v>96</v>
      </c>
      <c r="H17" s="18">
        <v>0</v>
      </c>
      <c r="I17" s="17">
        <f t="shared" si="2"/>
        <v>0</v>
      </c>
      <c r="J17" s="17">
        <f t="shared" si="3"/>
        <v>96</v>
      </c>
      <c r="K17" s="18">
        <v>0</v>
      </c>
      <c r="L17" s="17">
        <f t="shared" si="4"/>
        <v>0</v>
      </c>
      <c r="M17" s="19">
        <v>96</v>
      </c>
      <c r="N17" s="35"/>
    </row>
    <row r="18" spans="1:19" x14ac:dyDescent="0.35">
      <c r="A18" s="4">
        <v>45477</v>
      </c>
      <c r="B18" s="2" t="s">
        <v>591</v>
      </c>
      <c r="C18" s="25" t="s">
        <v>167</v>
      </c>
      <c r="D18" s="25" t="s">
        <v>206</v>
      </c>
      <c r="E18" s="16" t="s">
        <v>207</v>
      </c>
      <c r="F18" s="5" t="str">
        <f t="shared" ref="F18:F19" si="18">CONCATENATE(S18,B18," ",E18)</f>
        <v>RC EOS ES2024/22585109 MAKSU ESPAÑA S.L.</v>
      </c>
      <c r="G18" s="5">
        <f t="shared" ref="G18:G19" si="19">M18/(1-K18/100+H18/100)</f>
        <v>1.55</v>
      </c>
      <c r="H18" s="18">
        <v>0</v>
      </c>
      <c r="I18" s="17">
        <f t="shared" ref="I18" si="20">G18*H18/100</f>
        <v>0</v>
      </c>
      <c r="J18" s="17">
        <f t="shared" ref="J18" si="21">G18</f>
        <v>1.55</v>
      </c>
      <c r="K18" s="18">
        <v>0</v>
      </c>
      <c r="L18" s="17">
        <f t="shared" ref="L18" si="22">J18*K18/100</f>
        <v>0</v>
      </c>
      <c r="M18" s="19">
        <v>1.55</v>
      </c>
      <c r="N18" s="38"/>
    </row>
    <row r="19" spans="1:19" x14ac:dyDescent="0.35">
      <c r="A19" s="4">
        <v>45477</v>
      </c>
      <c r="B19" s="2" t="s">
        <v>592</v>
      </c>
      <c r="C19" s="25" t="s">
        <v>167</v>
      </c>
      <c r="D19" s="25" t="s">
        <v>206</v>
      </c>
      <c r="E19" s="16" t="s">
        <v>207</v>
      </c>
      <c r="F19" s="5" t="str">
        <f t="shared" si="18"/>
        <v>FT EOS ES2024/1334270 MAKSU ESPAÑA S.L.</v>
      </c>
      <c r="G19" s="5">
        <f t="shared" si="19"/>
        <v>0.15702479338842976</v>
      </c>
      <c r="H19" s="18">
        <v>21</v>
      </c>
      <c r="I19" s="17">
        <f>G19*H19/100</f>
        <v>3.2975206611570246E-2</v>
      </c>
      <c r="J19" s="17">
        <f>G19</f>
        <v>0.15702479338842976</v>
      </c>
      <c r="K19" s="18">
        <v>0</v>
      </c>
      <c r="L19" s="17">
        <f>J19*K19/100</f>
        <v>0</v>
      </c>
      <c r="M19" s="19">
        <v>0.19</v>
      </c>
      <c r="N19" s="38"/>
    </row>
    <row r="20" spans="1:19" x14ac:dyDescent="0.35">
      <c r="A20" s="4">
        <v>45481</v>
      </c>
      <c r="B20" s="25" t="s">
        <v>751</v>
      </c>
      <c r="C20" s="25" t="s">
        <v>167</v>
      </c>
      <c r="D20" s="25" t="s">
        <v>741</v>
      </c>
      <c r="E20" s="25" t="s">
        <v>742</v>
      </c>
      <c r="F20" s="5" t="str">
        <f t="shared" ref="F20" si="23">CONCATENATE(S20,B20," ",E20)</f>
        <v>1/351/9/176913 WERKHAUS,S.L,S.C.S.</v>
      </c>
      <c r="G20" s="17">
        <f t="shared" ref="G20" si="24">M20/(1-K20/100+H20/100)</f>
        <v>14.867768595041321</v>
      </c>
      <c r="H20" s="18">
        <v>21</v>
      </c>
      <c r="I20" s="17">
        <f t="shared" ref="I20" si="25">G20*H20/100</f>
        <v>3.1222314049586775</v>
      </c>
      <c r="J20" s="17">
        <f t="shared" ref="J20" si="26">G20</f>
        <v>14.867768595041321</v>
      </c>
      <c r="K20" s="18">
        <v>0</v>
      </c>
      <c r="L20" s="17">
        <f t="shared" ref="L20" si="27">J20*K20/100</f>
        <v>0</v>
      </c>
      <c r="M20" s="19">
        <v>17.989999999999998</v>
      </c>
      <c r="N20" s="38"/>
    </row>
    <row r="21" spans="1:19" x14ac:dyDescent="0.35">
      <c r="A21" s="20">
        <v>45481</v>
      </c>
      <c r="B21" s="25" t="s">
        <v>750</v>
      </c>
      <c r="C21" s="25" t="s">
        <v>167</v>
      </c>
      <c r="D21" s="25" t="s">
        <v>189</v>
      </c>
      <c r="E21" s="25" t="s">
        <v>190</v>
      </c>
      <c r="F21" s="5" t="str">
        <f t="shared" ref="F21" si="28">CONCATENATE(S21,B21," ",E21)</f>
        <v>018-0007-483082 BRICOLAJE BRICOMAN, S.L.U.</v>
      </c>
      <c r="G21" s="17">
        <f>M21/(1-K21/100+H21/100)</f>
        <v>3.5950413223140494</v>
      </c>
      <c r="H21" s="18">
        <v>21</v>
      </c>
      <c r="I21" s="17">
        <f>G21*H21/100</f>
        <v>0.75495867768595037</v>
      </c>
      <c r="J21" s="17">
        <f>G21</f>
        <v>3.5950413223140494</v>
      </c>
      <c r="K21" s="18">
        <v>0</v>
      </c>
      <c r="L21" s="17">
        <f>J21*K21/100</f>
        <v>0</v>
      </c>
      <c r="M21" s="19">
        <v>4.3499999999999996</v>
      </c>
      <c r="N21" s="38" t="s">
        <v>27</v>
      </c>
    </row>
    <row r="22" spans="1:19" x14ac:dyDescent="0.35">
      <c r="A22" s="20">
        <v>45482</v>
      </c>
      <c r="B22" s="25" t="s">
        <v>539</v>
      </c>
      <c r="C22" s="25" t="s">
        <v>111</v>
      </c>
      <c r="D22" s="49" t="s">
        <v>124</v>
      </c>
      <c r="E22" s="16" t="s">
        <v>125</v>
      </c>
      <c r="F22" s="5" t="str">
        <f t="shared" ref="F22:F35" si="29">CONCATENATE(S22,B22," ",E22)</f>
        <v>125822449730 APPLE DISTRIBUTION INTERNATIONAL LTD.</v>
      </c>
      <c r="G22" s="17">
        <f t="shared" si="1"/>
        <v>2.4710743801652897</v>
      </c>
      <c r="H22" s="18">
        <v>21</v>
      </c>
      <c r="I22" s="17">
        <f t="shared" ref="I22:I235" si="30">G22*H22/100</f>
        <v>0.51892561983471086</v>
      </c>
      <c r="J22" s="17">
        <f t="shared" ref="J22:J235" si="31">G22</f>
        <v>2.4710743801652897</v>
      </c>
      <c r="K22" s="18">
        <v>0</v>
      </c>
      <c r="L22" s="17">
        <f t="shared" ref="L22:L235" si="32">J22*K22/100</f>
        <v>0</v>
      </c>
      <c r="M22" s="19">
        <v>2.99</v>
      </c>
      <c r="N22" s="35"/>
    </row>
    <row r="23" spans="1:19" x14ac:dyDescent="0.35">
      <c r="A23" s="20">
        <v>45483</v>
      </c>
      <c r="B23" s="2" t="s">
        <v>599</v>
      </c>
      <c r="C23" s="25" t="s">
        <v>167</v>
      </c>
      <c r="D23" s="25" t="s">
        <v>206</v>
      </c>
      <c r="E23" s="16" t="s">
        <v>207</v>
      </c>
      <c r="F23" s="5" t="str">
        <f t="shared" si="29"/>
        <v>RC EOS ES2024/23268345 MAKSU ESPAÑA S.L.</v>
      </c>
      <c r="G23" s="5">
        <f t="shared" ref="G23:G24" si="33">M23/(1-K23/100+H23/100)</f>
        <v>0.3</v>
      </c>
      <c r="H23" s="18">
        <v>0</v>
      </c>
      <c r="I23" s="17">
        <f t="shared" si="30"/>
        <v>0</v>
      </c>
      <c r="J23" s="17">
        <f t="shared" si="31"/>
        <v>0.3</v>
      </c>
      <c r="K23" s="18">
        <v>0</v>
      </c>
      <c r="L23" s="17">
        <f t="shared" si="32"/>
        <v>0</v>
      </c>
      <c r="M23" s="19">
        <v>0.3</v>
      </c>
      <c r="N23" s="38"/>
    </row>
    <row r="24" spans="1:19" x14ac:dyDescent="0.35">
      <c r="A24" s="4">
        <v>45483</v>
      </c>
      <c r="B24" s="2" t="s">
        <v>600</v>
      </c>
      <c r="C24" s="25" t="s">
        <v>167</v>
      </c>
      <c r="D24" s="25" t="s">
        <v>206</v>
      </c>
      <c r="E24" s="16" t="s">
        <v>207</v>
      </c>
      <c r="F24" s="5" t="str">
        <f t="shared" si="29"/>
        <v>FT EOS ES2024/1375245 MAKSU ESPAÑA S.L.</v>
      </c>
      <c r="G24" s="5">
        <f t="shared" si="33"/>
        <v>3.3057851239669422E-2</v>
      </c>
      <c r="H24" s="18">
        <v>21</v>
      </c>
      <c r="I24" s="17">
        <f>G24*H24/100</f>
        <v>6.9421487603305784E-3</v>
      </c>
      <c r="J24" s="17">
        <f>G24</f>
        <v>3.3057851239669422E-2</v>
      </c>
      <c r="K24" s="18">
        <v>0</v>
      </c>
      <c r="L24" s="17">
        <f>J24*K24/100</f>
        <v>0</v>
      </c>
      <c r="M24" s="19">
        <v>0.04</v>
      </c>
      <c r="N24" s="38"/>
    </row>
    <row r="25" spans="1:19" x14ac:dyDescent="0.35">
      <c r="A25" s="20">
        <v>45483</v>
      </c>
      <c r="B25" s="25" t="s">
        <v>550</v>
      </c>
      <c r="C25" s="25" t="s">
        <v>137</v>
      </c>
      <c r="D25" s="25" t="s">
        <v>138</v>
      </c>
      <c r="E25" s="25" t="s">
        <v>139</v>
      </c>
      <c r="F25" s="5" t="str">
        <f t="shared" si="29"/>
        <v>428/24 TECNOLOGÍA DEL CONTROL ENERGÉTICO MADRID, S.L.</v>
      </c>
      <c r="G25" s="17">
        <f t="shared" ref="G25:G28" si="34">M25/(1-K25/100+H25/100)</f>
        <v>1868.7024793388432</v>
      </c>
      <c r="H25" s="18">
        <v>21</v>
      </c>
      <c r="I25" s="17">
        <f t="shared" si="30"/>
        <v>392.42752066115713</v>
      </c>
      <c r="J25" s="17">
        <f t="shared" si="31"/>
        <v>1868.7024793388432</v>
      </c>
      <c r="K25" s="18">
        <v>0</v>
      </c>
      <c r="L25" s="17">
        <f t="shared" si="32"/>
        <v>0</v>
      </c>
      <c r="M25" s="19">
        <v>2261.13</v>
      </c>
      <c r="N25" s="35"/>
    </row>
    <row r="26" spans="1:19" x14ac:dyDescent="0.35">
      <c r="A26" s="20">
        <v>45484</v>
      </c>
      <c r="B26" s="25" t="s">
        <v>752</v>
      </c>
      <c r="C26" s="25" t="s">
        <v>167</v>
      </c>
      <c r="D26" s="25" t="s">
        <v>189</v>
      </c>
      <c r="E26" s="25" t="s">
        <v>190</v>
      </c>
      <c r="F26" s="5" t="str">
        <f t="shared" si="29"/>
        <v>024-0007-268835 BRICOLAJE BRICOMAN, S.L.U.</v>
      </c>
      <c r="G26" s="17">
        <f>M26/(1-K26/100+H26/100)</f>
        <v>58.561983471074385</v>
      </c>
      <c r="H26" s="18">
        <v>21</v>
      </c>
      <c r="I26" s="17">
        <f>G26*H26/100</f>
        <v>12.29801652892562</v>
      </c>
      <c r="J26" s="17">
        <f>G26</f>
        <v>58.561983471074385</v>
      </c>
      <c r="K26" s="18">
        <v>0</v>
      </c>
      <c r="L26" s="17">
        <f>J26*K26/100</f>
        <v>0</v>
      </c>
      <c r="M26" s="19">
        <v>70.86</v>
      </c>
      <c r="N26" s="38" t="s">
        <v>27</v>
      </c>
    </row>
    <row r="27" spans="1:19" x14ac:dyDescent="0.35">
      <c r="A27" s="20">
        <v>45484</v>
      </c>
      <c r="B27" s="2" t="s">
        <v>640</v>
      </c>
      <c r="C27" s="2" t="s">
        <v>111</v>
      </c>
      <c r="D27" s="2" t="s">
        <v>215</v>
      </c>
      <c r="E27" s="2" t="s">
        <v>216</v>
      </c>
      <c r="F27" s="5" t="str">
        <f t="shared" si="29"/>
        <v>61049084772 Repsol Comercializadora de Electricidad y Gas, S.L.U.</v>
      </c>
      <c r="G27" s="5">
        <f t="shared" si="34"/>
        <v>17.214876033057852</v>
      </c>
      <c r="H27" s="18">
        <v>21</v>
      </c>
      <c r="I27" s="5">
        <f t="shared" si="30"/>
        <v>3.6151239669421487</v>
      </c>
      <c r="J27" s="5">
        <f t="shared" si="31"/>
        <v>17.214876033057852</v>
      </c>
      <c r="K27" s="18">
        <v>0</v>
      </c>
      <c r="L27" s="5">
        <f t="shared" si="32"/>
        <v>0</v>
      </c>
      <c r="M27" s="8">
        <v>20.83</v>
      </c>
    </row>
    <row r="28" spans="1:19" x14ac:dyDescent="0.35">
      <c r="A28" s="20">
        <v>45484</v>
      </c>
      <c r="B28" s="25" t="s">
        <v>763</v>
      </c>
      <c r="C28" s="25" t="s">
        <v>167</v>
      </c>
      <c r="D28" s="16" t="s">
        <v>168</v>
      </c>
      <c r="E28" s="16" t="s">
        <v>169</v>
      </c>
      <c r="F28" s="5" t="str">
        <f t="shared" si="29"/>
        <v>70124FE000002546 SANTIAGO Y LYDIA DIAZ, S.L.</v>
      </c>
      <c r="G28" s="17">
        <f t="shared" si="34"/>
        <v>78.586776859504141</v>
      </c>
      <c r="H28" s="18">
        <v>21</v>
      </c>
      <c r="I28" s="17">
        <f t="shared" si="30"/>
        <v>16.503223140495869</v>
      </c>
      <c r="J28" s="17">
        <f t="shared" si="31"/>
        <v>78.586776859504141</v>
      </c>
      <c r="K28" s="18">
        <v>0</v>
      </c>
      <c r="L28" s="17">
        <f t="shared" si="32"/>
        <v>0</v>
      </c>
      <c r="M28" s="19">
        <v>95.09</v>
      </c>
      <c r="N28" s="38"/>
    </row>
    <row r="29" spans="1:19" x14ac:dyDescent="0.35">
      <c r="A29" s="20">
        <v>45485</v>
      </c>
      <c r="B29" s="25" t="s">
        <v>753</v>
      </c>
      <c r="C29" s="25" t="s">
        <v>167</v>
      </c>
      <c r="D29" s="25" t="s">
        <v>189</v>
      </c>
      <c r="E29" s="25" t="s">
        <v>190</v>
      </c>
      <c r="F29" s="5" t="str">
        <f t="shared" ref="F29" si="35">CONCATENATE(S29,B29," ",E29)</f>
        <v>018-0007-491772 BRICOLAJE BRICOMAN, S.L.U.</v>
      </c>
      <c r="G29" s="17">
        <f>M29/(1-K29/100+H29/100)</f>
        <v>55.264462809917362</v>
      </c>
      <c r="H29" s="18">
        <v>21</v>
      </c>
      <c r="I29" s="17">
        <f>G29*H29/100</f>
        <v>11.605537190082647</v>
      </c>
      <c r="J29" s="17">
        <f>G29</f>
        <v>55.264462809917362</v>
      </c>
      <c r="K29" s="18">
        <v>0</v>
      </c>
      <c r="L29" s="17">
        <f>J29*K29/100</f>
        <v>0</v>
      </c>
      <c r="M29" s="19">
        <v>66.87</v>
      </c>
      <c r="N29" s="38" t="s">
        <v>27</v>
      </c>
    </row>
    <row r="30" spans="1:19" x14ac:dyDescent="0.35">
      <c r="A30" s="20">
        <v>45485</v>
      </c>
      <c r="B30" s="25" t="s">
        <v>754</v>
      </c>
      <c r="C30" s="25" t="s">
        <v>167</v>
      </c>
      <c r="D30" s="25" t="s">
        <v>189</v>
      </c>
      <c r="E30" s="25" t="s">
        <v>190</v>
      </c>
      <c r="F30" s="5" t="str">
        <f t="shared" ref="F30:F31" si="36">CONCATENATE(S30,B30," ",E30)</f>
        <v>024-0007-271837 BRICOLAJE BRICOMAN, S.L.U.</v>
      </c>
      <c r="G30" s="17">
        <f>M30/(1-K30/100+H30/100)</f>
        <v>8.2975206611570247</v>
      </c>
      <c r="H30" s="18">
        <v>21</v>
      </c>
      <c r="I30" s="17">
        <f>G30*H30/100</f>
        <v>1.7424793388429751</v>
      </c>
      <c r="J30" s="17">
        <f>G30</f>
        <v>8.2975206611570247</v>
      </c>
      <c r="K30" s="18">
        <v>0</v>
      </c>
      <c r="L30" s="17">
        <f>J30*K30/100</f>
        <v>0</v>
      </c>
      <c r="M30" s="19">
        <v>10.039999999999999</v>
      </c>
      <c r="N30" s="38" t="s">
        <v>27</v>
      </c>
    </row>
    <row r="31" spans="1:19" x14ac:dyDescent="0.35">
      <c r="A31" s="20">
        <v>45485</v>
      </c>
      <c r="B31" s="2" t="s">
        <v>786</v>
      </c>
      <c r="C31" s="2" t="s">
        <v>167</v>
      </c>
      <c r="D31" s="2" t="s">
        <v>491</v>
      </c>
      <c r="E31" s="2" t="s">
        <v>492</v>
      </c>
      <c r="F31" s="5" t="str">
        <f t="shared" si="36"/>
        <v>S/F 00281 A0000000041010 L.S.G.I. LA MORALEJA 2 S.L.U.</v>
      </c>
      <c r="G31" s="5">
        <f t="shared" ref="G31" si="37">M31/(1-K31/100+H31/100)</f>
        <v>0.7024793388429752</v>
      </c>
      <c r="H31" s="18">
        <v>21</v>
      </c>
      <c r="I31" s="5">
        <f t="shared" ref="I31" si="38">G31*H31/100</f>
        <v>0.14752066115702481</v>
      </c>
      <c r="J31" s="5">
        <f t="shared" ref="J31" si="39">G31</f>
        <v>0.7024793388429752</v>
      </c>
      <c r="K31" s="18">
        <v>0</v>
      </c>
      <c r="L31" s="5">
        <f t="shared" ref="L31" si="40">J31*K31/100</f>
        <v>0</v>
      </c>
      <c r="M31" s="8">
        <v>0.85</v>
      </c>
      <c r="S31" t="s">
        <v>19</v>
      </c>
    </row>
    <row r="32" spans="1:19" x14ac:dyDescent="0.35">
      <c r="A32" s="20">
        <v>45486</v>
      </c>
      <c r="B32" s="25" t="s">
        <v>637</v>
      </c>
      <c r="C32" s="25" t="s">
        <v>111</v>
      </c>
      <c r="D32" s="16" t="s">
        <v>223</v>
      </c>
      <c r="E32" s="16" t="s">
        <v>224</v>
      </c>
      <c r="F32" s="5" t="str">
        <f t="shared" si="29"/>
        <v>FMDVAGH0089972 TELEFONICA DE ESPAÑA S.A.U.</v>
      </c>
      <c r="G32" s="17">
        <f>M32/(1-K32/100+H32/100)</f>
        <v>17.685950413223139</v>
      </c>
      <c r="H32" s="18">
        <v>21</v>
      </c>
      <c r="I32" s="17">
        <f>G32*H32/100</f>
        <v>3.7140495867768597</v>
      </c>
      <c r="J32" s="17">
        <f>G32</f>
        <v>17.685950413223139</v>
      </c>
      <c r="K32" s="18">
        <v>0</v>
      </c>
      <c r="L32" s="17">
        <f>J32*K32/100</f>
        <v>0</v>
      </c>
      <c r="M32" s="19">
        <v>21.4</v>
      </c>
      <c r="N32" s="38"/>
    </row>
    <row r="33" spans="1:19" x14ac:dyDescent="0.35">
      <c r="A33" s="20">
        <v>45486</v>
      </c>
      <c r="B33" s="20" t="s">
        <v>639</v>
      </c>
      <c r="C33" s="25" t="s">
        <v>111</v>
      </c>
      <c r="D33" s="25" t="s">
        <v>225</v>
      </c>
      <c r="E33" s="25" t="s">
        <v>226</v>
      </c>
      <c r="F33" s="5" t="str">
        <f t="shared" si="29"/>
        <v>MMDVAGH0026709 TELEFÓNICA MÓVILES ESPAÑA, S.A.</v>
      </c>
      <c r="G33" s="5">
        <f t="shared" ref="G33:G35" si="41">M33/(1-K33/100+H33/100)</f>
        <v>26.033057851239668</v>
      </c>
      <c r="H33" s="18">
        <v>21</v>
      </c>
      <c r="I33" s="17">
        <f t="shared" ref="I33:I35" si="42">G33*H33/100</f>
        <v>5.4669421487603298</v>
      </c>
      <c r="J33" s="17">
        <f t="shared" ref="J33:J35" si="43">G33</f>
        <v>26.033057851239668</v>
      </c>
      <c r="K33" s="18">
        <v>0</v>
      </c>
      <c r="L33" s="17">
        <f t="shared" ref="L33:L35" si="44">J33*K33/100</f>
        <v>0</v>
      </c>
      <c r="M33" s="19">
        <v>31.5</v>
      </c>
      <c r="N33" s="38"/>
    </row>
    <row r="34" spans="1:19" x14ac:dyDescent="0.35">
      <c r="A34" s="20">
        <v>45486</v>
      </c>
      <c r="B34" s="20" t="s">
        <v>638</v>
      </c>
      <c r="C34" s="25" t="s">
        <v>111</v>
      </c>
      <c r="D34" s="25" t="s">
        <v>225</v>
      </c>
      <c r="E34" s="25" t="s">
        <v>226</v>
      </c>
      <c r="F34" s="5" t="str">
        <f t="shared" si="29"/>
        <v>MMDVAGH0013148 TELEFÓNICA MÓVILES ESPAÑA, S.A.</v>
      </c>
      <c r="G34" s="5">
        <f t="shared" si="41"/>
        <v>23.099173553719009</v>
      </c>
      <c r="H34" s="18">
        <v>21</v>
      </c>
      <c r="I34" s="17">
        <f t="shared" si="42"/>
        <v>4.8508264462809914</v>
      </c>
      <c r="J34" s="17">
        <f t="shared" si="43"/>
        <v>23.099173553719009</v>
      </c>
      <c r="K34" s="18">
        <v>0</v>
      </c>
      <c r="L34" s="17">
        <f t="shared" si="44"/>
        <v>0</v>
      </c>
      <c r="M34" s="19">
        <v>27.95</v>
      </c>
      <c r="N34" s="38"/>
    </row>
    <row r="35" spans="1:19" x14ac:dyDescent="0.35">
      <c r="A35" s="20">
        <v>45487</v>
      </c>
      <c r="B35" s="2" t="s">
        <v>793</v>
      </c>
      <c r="C35" s="2" t="s">
        <v>111</v>
      </c>
      <c r="D35" s="2" t="s">
        <v>220</v>
      </c>
      <c r="E35" s="2" t="s">
        <v>221</v>
      </c>
      <c r="F35" s="5" t="str">
        <f t="shared" si="29"/>
        <v>S/F FE24137016221522 Comercializadora Regulada, Gas &amp; Power, S.A.</v>
      </c>
      <c r="G35" s="5">
        <f t="shared" si="41"/>
        <v>13.254545454545454</v>
      </c>
      <c r="H35" s="18">
        <v>10</v>
      </c>
      <c r="I35" s="5">
        <f t="shared" si="42"/>
        <v>1.3254545454545452</v>
      </c>
      <c r="J35" s="5">
        <f t="shared" si="43"/>
        <v>13.254545454545454</v>
      </c>
      <c r="K35" s="18">
        <v>0</v>
      </c>
      <c r="L35" s="5">
        <f t="shared" si="44"/>
        <v>0</v>
      </c>
      <c r="M35" s="8">
        <v>14.58</v>
      </c>
      <c r="S35" t="s">
        <v>19</v>
      </c>
    </row>
    <row r="36" spans="1:19" x14ac:dyDescent="0.35">
      <c r="A36" s="4">
        <v>45488</v>
      </c>
      <c r="B36" s="2" t="s">
        <v>541</v>
      </c>
      <c r="C36" s="2" t="s">
        <v>111</v>
      </c>
      <c r="D36" s="2" t="s">
        <v>114</v>
      </c>
      <c r="E36" s="2" t="s">
        <v>115</v>
      </c>
      <c r="F36" s="5" t="str">
        <f t="shared" ref="F36:F39" si="45">CONCATENATE(S36,B36," ",E36)</f>
        <v>S/F FR361736 ELECTRO MERCANTIL LEGANES D.A.M.,S.L.U.</v>
      </c>
      <c r="G36" s="17">
        <f t="shared" si="1"/>
        <v>439.57851239669424</v>
      </c>
      <c r="H36" s="18">
        <v>21</v>
      </c>
      <c r="I36" s="5">
        <f t="shared" ref="I36" si="46">G36*H36/100</f>
        <v>92.311487603305793</v>
      </c>
      <c r="J36" s="17">
        <f t="shared" ref="J36" si="47">G36</f>
        <v>439.57851239669424</v>
      </c>
      <c r="K36" s="18">
        <v>0</v>
      </c>
      <c r="L36" s="17">
        <f t="shared" ref="L36" si="48">J36*K36/100</f>
        <v>0</v>
      </c>
      <c r="M36" s="8">
        <v>531.89</v>
      </c>
      <c r="S36" t="s">
        <v>19</v>
      </c>
    </row>
    <row r="37" spans="1:19" x14ac:dyDescent="0.35">
      <c r="A37" s="20">
        <v>45491</v>
      </c>
      <c r="B37" s="25" t="s">
        <v>755</v>
      </c>
      <c r="C37" s="25" t="s">
        <v>167</v>
      </c>
      <c r="D37" s="25" t="s">
        <v>189</v>
      </c>
      <c r="E37" s="25" t="s">
        <v>190</v>
      </c>
      <c r="F37" s="5" t="str">
        <f t="shared" si="45"/>
        <v>011-0007-004439 BRICOLAJE BRICOMAN, S.L.U.</v>
      </c>
      <c r="G37" s="17">
        <f>M37/(1-K37/100+H37/100)</f>
        <v>10.041322314049587</v>
      </c>
      <c r="H37" s="18">
        <v>21</v>
      </c>
      <c r="I37" s="17">
        <f>G37*H37/100</f>
        <v>2.108677685950413</v>
      </c>
      <c r="J37" s="17">
        <f>G37</f>
        <v>10.041322314049587</v>
      </c>
      <c r="K37" s="18">
        <v>0</v>
      </c>
      <c r="L37" s="17">
        <f>J37*K37/100</f>
        <v>0</v>
      </c>
      <c r="M37" s="19">
        <v>12.15</v>
      </c>
      <c r="N37" s="38" t="s">
        <v>27</v>
      </c>
    </row>
    <row r="38" spans="1:19" x14ac:dyDescent="0.35">
      <c r="A38" s="20">
        <v>45491</v>
      </c>
      <c r="B38" s="2" t="s">
        <v>760</v>
      </c>
      <c r="C38" s="2" t="s">
        <v>167</v>
      </c>
      <c r="D38" s="2" t="s">
        <v>304</v>
      </c>
      <c r="E38" s="2" t="s">
        <v>305</v>
      </c>
      <c r="F38" s="5" t="str">
        <f t="shared" si="45"/>
        <v>S/F 096383/A/24/004874 Repsol Comercial de Productos Petrolíferos, S.A.</v>
      </c>
      <c r="G38" s="5">
        <f t="shared" ref="G38:G39" si="49">M38/(1-K38/100+H38/100)</f>
        <v>51.305785123966942</v>
      </c>
      <c r="H38" s="18">
        <v>21</v>
      </c>
      <c r="I38" s="5">
        <f t="shared" ref="I38:I39" si="50">G38*H38/100</f>
        <v>10.774214876033058</v>
      </c>
      <c r="J38" s="5">
        <f t="shared" ref="J38:J39" si="51">G38</f>
        <v>51.305785123966942</v>
      </c>
      <c r="K38" s="18">
        <v>0</v>
      </c>
      <c r="L38" s="5">
        <f t="shared" ref="L38:L39" si="52">J38*K38/100</f>
        <v>0</v>
      </c>
      <c r="M38" s="8">
        <v>62.08</v>
      </c>
      <c r="S38" t="s">
        <v>19</v>
      </c>
    </row>
    <row r="39" spans="1:19" x14ac:dyDescent="0.35">
      <c r="A39" s="20">
        <v>45491</v>
      </c>
      <c r="B39" s="25" t="s">
        <v>767</v>
      </c>
      <c r="C39" s="25" t="s">
        <v>167</v>
      </c>
      <c r="D39" s="16" t="s">
        <v>168</v>
      </c>
      <c r="E39" s="16" t="s">
        <v>169</v>
      </c>
      <c r="F39" s="5" t="str">
        <f t="shared" si="45"/>
        <v>70124FE000002644 SANTIAGO Y LYDIA DIAZ, S.L.</v>
      </c>
      <c r="G39" s="17">
        <f t="shared" si="49"/>
        <v>76.818181818181827</v>
      </c>
      <c r="H39" s="18">
        <v>21</v>
      </c>
      <c r="I39" s="17">
        <f t="shared" si="50"/>
        <v>16.131818181818186</v>
      </c>
      <c r="J39" s="17">
        <f t="shared" si="51"/>
        <v>76.818181818181827</v>
      </c>
      <c r="K39" s="18">
        <v>0</v>
      </c>
      <c r="L39" s="17">
        <f t="shared" si="52"/>
        <v>0</v>
      </c>
      <c r="M39" s="19">
        <v>92.95</v>
      </c>
      <c r="N39" s="38"/>
    </row>
    <row r="40" spans="1:19" x14ac:dyDescent="0.35">
      <c r="A40" s="20">
        <v>45492</v>
      </c>
      <c r="B40" s="2" t="s">
        <v>603</v>
      </c>
      <c r="C40" s="25" t="s">
        <v>167</v>
      </c>
      <c r="D40" s="25" t="s">
        <v>206</v>
      </c>
      <c r="E40" s="16" t="s">
        <v>207</v>
      </c>
      <c r="F40" s="5" t="str">
        <f t="shared" ref="F40:F43" si="53">CONCATENATE(S40,B40," ",E40)</f>
        <v>RC EOS ES2024/24319666 MAKSU ESPAÑA S.L.</v>
      </c>
      <c r="G40" s="5">
        <f t="shared" si="1"/>
        <v>0.4</v>
      </c>
      <c r="H40" s="18">
        <v>0</v>
      </c>
      <c r="I40" s="17">
        <f t="shared" ref="I40" si="54">G40*H40/100</f>
        <v>0</v>
      </c>
      <c r="J40" s="17">
        <f t="shared" ref="J40" si="55">G40</f>
        <v>0.4</v>
      </c>
      <c r="K40" s="18">
        <v>0</v>
      </c>
      <c r="L40" s="17">
        <f t="shared" ref="L40" si="56">J40*K40/100</f>
        <v>0</v>
      </c>
      <c r="M40" s="19">
        <v>0.4</v>
      </c>
      <c r="N40" s="38"/>
    </row>
    <row r="41" spans="1:19" x14ac:dyDescent="0.35">
      <c r="A41" s="4">
        <v>45492</v>
      </c>
      <c r="B41" s="2" t="s">
        <v>604</v>
      </c>
      <c r="C41" s="25" t="s">
        <v>167</v>
      </c>
      <c r="D41" s="25" t="s">
        <v>206</v>
      </c>
      <c r="E41" s="16" t="s">
        <v>207</v>
      </c>
      <c r="F41" s="5" t="str">
        <f t="shared" si="53"/>
        <v>FT EOS ES2024/1435898 MAKSU ESPAÑA S.L.</v>
      </c>
      <c r="G41" s="5">
        <f t="shared" si="1"/>
        <v>4.1322314049586778E-2</v>
      </c>
      <c r="H41" s="18">
        <v>21</v>
      </c>
      <c r="I41" s="17">
        <f>G41*H41/100</f>
        <v>8.677685950413223E-3</v>
      </c>
      <c r="J41" s="17">
        <f>G41</f>
        <v>4.1322314049586778E-2</v>
      </c>
      <c r="K41" s="18">
        <v>0</v>
      </c>
      <c r="L41" s="17">
        <f>J41*K41/100</f>
        <v>0</v>
      </c>
      <c r="M41" s="19">
        <v>0.05</v>
      </c>
      <c r="N41" s="38"/>
    </row>
    <row r="42" spans="1:19" x14ac:dyDescent="0.35">
      <c r="A42" s="4">
        <v>45495</v>
      </c>
      <c r="B42" s="2" t="s">
        <v>635</v>
      </c>
      <c r="C42" s="2" t="s">
        <v>111</v>
      </c>
      <c r="D42" s="2" t="s">
        <v>230</v>
      </c>
      <c r="E42" s="2" t="s">
        <v>231</v>
      </c>
      <c r="F42" s="5" t="str">
        <f t="shared" si="53"/>
        <v>S/F 09240722010049968 CURENERGÍA COMERCIALIZADOR DE ÚLTIMO RECURSO S.A.U.</v>
      </c>
      <c r="G42" s="17">
        <f t="shared" si="1"/>
        <v>16.107438016528924</v>
      </c>
      <c r="H42">
        <v>21</v>
      </c>
      <c r="I42" s="5">
        <f t="shared" ref="I42" si="57">G42*H42/100</f>
        <v>3.3825619834710738</v>
      </c>
      <c r="J42" s="17">
        <f t="shared" ref="J42" si="58">G42</f>
        <v>16.107438016528924</v>
      </c>
      <c r="K42">
        <v>0</v>
      </c>
      <c r="L42" s="17">
        <f t="shared" ref="L42" si="59">J42*K42/100</f>
        <v>0</v>
      </c>
      <c r="M42" s="8">
        <v>19.489999999999998</v>
      </c>
      <c r="S42" t="s">
        <v>19</v>
      </c>
    </row>
    <row r="43" spans="1:19" x14ac:dyDescent="0.35">
      <c r="A43" s="4">
        <v>45495</v>
      </c>
      <c r="B43" s="2" t="s">
        <v>777</v>
      </c>
      <c r="C43" s="25" t="s">
        <v>167</v>
      </c>
      <c r="D43" s="25" t="s">
        <v>287</v>
      </c>
      <c r="E43" s="16" t="s">
        <v>288</v>
      </c>
      <c r="F43" s="5" t="str">
        <f t="shared" si="53"/>
        <v>0237657 INMOBILIARIA PARIS, S.A.</v>
      </c>
      <c r="G43" s="5">
        <f t="shared" si="1"/>
        <v>0.49586776859504134</v>
      </c>
      <c r="H43" s="18">
        <v>21</v>
      </c>
      <c r="I43" s="17">
        <f>G43*H43/100</f>
        <v>0.10413223140495868</v>
      </c>
      <c r="J43" s="17">
        <f>G43</f>
        <v>0.49586776859504134</v>
      </c>
      <c r="K43" s="18">
        <v>0</v>
      </c>
      <c r="L43" s="17">
        <f>J43*K43/100</f>
        <v>0</v>
      </c>
      <c r="M43" s="19">
        <v>0.6</v>
      </c>
      <c r="N43" s="38"/>
    </row>
    <row r="44" spans="1:19" x14ac:dyDescent="0.35">
      <c r="A44" s="4">
        <v>45496</v>
      </c>
      <c r="B44" s="2" t="s">
        <v>593</v>
      </c>
      <c r="C44" s="25" t="s">
        <v>167</v>
      </c>
      <c r="D44" s="25" t="s">
        <v>206</v>
      </c>
      <c r="E44" s="16" t="s">
        <v>207</v>
      </c>
      <c r="F44" s="5" t="str">
        <f t="shared" ref="F44:F49" si="60">CONCATENATE(S44,B44," ",E44)</f>
        <v>RC EOS ES2024/24679919 MAKSU ESPAÑA S.L.</v>
      </c>
      <c r="G44" s="5">
        <f t="shared" si="1"/>
        <v>3.3</v>
      </c>
      <c r="H44" s="18">
        <v>0</v>
      </c>
      <c r="I44" s="17">
        <f t="shared" si="30"/>
        <v>0</v>
      </c>
      <c r="J44" s="17">
        <f t="shared" si="31"/>
        <v>3.3</v>
      </c>
      <c r="K44" s="18">
        <v>0</v>
      </c>
      <c r="L44" s="17">
        <f t="shared" si="32"/>
        <v>0</v>
      </c>
      <c r="M44" s="19">
        <v>3.3</v>
      </c>
      <c r="N44" s="38"/>
    </row>
    <row r="45" spans="1:19" x14ac:dyDescent="0.35">
      <c r="A45" s="20">
        <v>45496</v>
      </c>
      <c r="B45" s="2" t="s">
        <v>594</v>
      </c>
      <c r="C45" s="25" t="s">
        <v>167</v>
      </c>
      <c r="D45" s="25" t="s">
        <v>206</v>
      </c>
      <c r="E45" s="16" t="s">
        <v>207</v>
      </c>
      <c r="F45" s="5" t="str">
        <f t="shared" si="60"/>
        <v>FT EOS ES2024/1456072 MAKSU ESPAÑA S.L.</v>
      </c>
      <c r="G45" s="5">
        <f t="shared" si="1"/>
        <v>0.33057851239669422</v>
      </c>
      <c r="H45" s="18">
        <v>21</v>
      </c>
      <c r="I45" s="17">
        <f>G45*H45/100</f>
        <v>6.9421487603305784E-2</v>
      </c>
      <c r="J45" s="17">
        <f>G45</f>
        <v>0.33057851239669422</v>
      </c>
      <c r="K45" s="18">
        <v>0</v>
      </c>
      <c r="L45" s="17">
        <f>J45*K45/100</f>
        <v>0</v>
      </c>
      <c r="M45" s="19">
        <v>0.4</v>
      </c>
      <c r="N45" s="38"/>
    </row>
    <row r="46" spans="1:19" x14ac:dyDescent="0.35">
      <c r="A46" s="20">
        <v>45497</v>
      </c>
      <c r="B46" s="2" t="s">
        <v>756</v>
      </c>
      <c r="C46" s="25" t="s">
        <v>167</v>
      </c>
      <c r="D46" s="25" t="s">
        <v>757</v>
      </c>
      <c r="E46" s="16" t="s">
        <v>758</v>
      </c>
      <c r="F46" s="5" t="str">
        <f t="shared" si="60"/>
        <v>24/27730 MUSICAL BARQUILLO, S.L.</v>
      </c>
      <c r="G46" s="5">
        <f t="shared" si="1"/>
        <v>138.01652892561984</v>
      </c>
      <c r="H46" s="18">
        <v>21</v>
      </c>
      <c r="I46" s="17">
        <f>G46*H46/100</f>
        <v>28.983471074380169</v>
      </c>
      <c r="J46" s="17">
        <f>G46</f>
        <v>138.01652892561984</v>
      </c>
      <c r="K46" s="18">
        <v>0</v>
      </c>
      <c r="L46" s="17">
        <f>J46*K46/100</f>
        <v>0</v>
      </c>
      <c r="M46" s="19">
        <v>167</v>
      </c>
      <c r="N46" s="38"/>
    </row>
    <row r="47" spans="1:19" x14ac:dyDescent="0.35">
      <c r="A47" s="20">
        <v>45497</v>
      </c>
      <c r="B47" s="2" t="s">
        <v>636</v>
      </c>
      <c r="C47" s="2" t="s">
        <v>111</v>
      </c>
      <c r="D47" s="2" t="s">
        <v>230</v>
      </c>
      <c r="E47" s="2" t="s">
        <v>231</v>
      </c>
      <c r="F47" s="5" t="str">
        <f t="shared" si="60"/>
        <v>S/F 09240724010047223 CURENERGÍA COMERCIALIZADOR DE ÚLTIMO RECURSO S.A.U.</v>
      </c>
      <c r="G47" s="17">
        <f t="shared" ref="G47" si="61">M47/(1-K47/100+H47/100)</f>
        <v>1.2975206611570249</v>
      </c>
      <c r="H47">
        <v>21</v>
      </c>
      <c r="I47" s="5">
        <f t="shared" ref="I47" si="62">G47*H47/100</f>
        <v>0.27247933884297526</v>
      </c>
      <c r="J47" s="17">
        <f t="shared" ref="J47" si="63">G47</f>
        <v>1.2975206611570249</v>
      </c>
      <c r="K47">
        <v>0</v>
      </c>
      <c r="L47" s="17">
        <f t="shared" ref="L47" si="64">J47*K47/100</f>
        <v>0</v>
      </c>
      <c r="M47" s="8">
        <v>1.57</v>
      </c>
      <c r="S47" t="s">
        <v>19</v>
      </c>
    </row>
    <row r="48" spans="1:19" x14ac:dyDescent="0.35">
      <c r="A48" s="20">
        <v>45497</v>
      </c>
      <c r="B48" s="2" t="s">
        <v>597</v>
      </c>
      <c r="C48" s="25" t="s">
        <v>167</v>
      </c>
      <c r="D48" s="25" t="s">
        <v>206</v>
      </c>
      <c r="E48" s="16" t="s">
        <v>207</v>
      </c>
      <c r="F48" s="5" t="str">
        <f t="shared" si="60"/>
        <v>RC EOS ES2024/24753556 MAKSU ESPAÑA S.L.</v>
      </c>
      <c r="G48" s="5">
        <f t="shared" si="1"/>
        <v>0.3</v>
      </c>
      <c r="H48" s="18">
        <v>0</v>
      </c>
      <c r="I48" s="17">
        <f t="shared" ref="I48" si="65">G48*H48/100</f>
        <v>0</v>
      </c>
      <c r="J48" s="17">
        <f t="shared" ref="J48" si="66">G48</f>
        <v>0.3</v>
      </c>
      <c r="K48" s="18">
        <v>0</v>
      </c>
      <c r="L48" s="17">
        <f t="shared" ref="L48" si="67">J48*K48/100</f>
        <v>0</v>
      </c>
      <c r="M48" s="19">
        <v>0.3</v>
      </c>
      <c r="N48" s="38"/>
    </row>
    <row r="49" spans="1:19" x14ac:dyDescent="0.35">
      <c r="A49" s="4">
        <v>45497</v>
      </c>
      <c r="B49" s="2" t="s">
        <v>598</v>
      </c>
      <c r="C49" s="25" t="s">
        <v>167</v>
      </c>
      <c r="D49" s="25" t="s">
        <v>206</v>
      </c>
      <c r="E49" s="16" t="s">
        <v>207</v>
      </c>
      <c r="F49" s="5" t="str">
        <f t="shared" si="60"/>
        <v>FT EOS ES2024/1460145 MAKSU ESPAÑA S.L.</v>
      </c>
      <c r="G49" s="5">
        <f t="shared" si="1"/>
        <v>3.3057851239669422E-2</v>
      </c>
      <c r="H49" s="18">
        <v>21</v>
      </c>
      <c r="I49" s="17">
        <f>G49*H49/100</f>
        <v>6.9421487603305784E-3</v>
      </c>
      <c r="J49" s="17">
        <f>G49</f>
        <v>3.3057851239669422E-2</v>
      </c>
      <c r="K49" s="18">
        <v>0</v>
      </c>
      <c r="L49" s="17">
        <f>J49*K49/100</f>
        <v>0</v>
      </c>
      <c r="M49" s="19">
        <v>0.04</v>
      </c>
      <c r="N49" s="38"/>
    </row>
    <row r="50" spans="1:19" x14ac:dyDescent="0.35">
      <c r="A50" s="20">
        <v>45497</v>
      </c>
      <c r="B50" s="25" t="s">
        <v>551</v>
      </c>
      <c r="C50" s="25" t="s">
        <v>137</v>
      </c>
      <c r="D50" s="25" t="s">
        <v>138</v>
      </c>
      <c r="E50" s="25" t="s">
        <v>139</v>
      </c>
      <c r="F50" s="5" t="str">
        <f t="shared" ref="F50:F51" si="68">CONCATENATE(S50,B50," ",E50)</f>
        <v>453/24 TECNOLOGÍA DEL CONTROL ENERGÉTICO MADRID, S.L.</v>
      </c>
      <c r="G50" s="17">
        <f t="shared" si="1"/>
        <v>662.12396694214874</v>
      </c>
      <c r="H50" s="18">
        <v>21</v>
      </c>
      <c r="I50" s="17">
        <f t="shared" ref="I50:I51" si="69">G50*H50/100</f>
        <v>139.04603305785125</v>
      </c>
      <c r="J50" s="17">
        <f t="shared" ref="J50:J51" si="70">G50</f>
        <v>662.12396694214874</v>
      </c>
      <c r="K50" s="18">
        <v>0</v>
      </c>
      <c r="L50" s="17">
        <f t="shared" ref="L50:L51" si="71">J50*K50/100</f>
        <v>0</v>
      </c>
      <c r="M50" s="19">
        <v>801.17</v>
      </c>
      <c r="N50" s="35"/>
    </row>
    <row r="51" spans="1:19" x14ac:dyDescent="0.35">
      <c r="A51" s="4">
        <v>45497</v>
      </c>
      <c r="B51" s="25" t="s">
        <v>780</v>
      </c>
      <c r="C51" s="25" t="s">
        <v>167</v>
      </c>
      <c r="D51" s="25" t="s">
        <v>781</v>
      </c>
      <c r="E51" s="25" t="s">
        <v>782</v>
      </c>
      <c r="F51" s="5" t="str">
        <f t="shared" si="68"/>
        <v>73337 CREDESA</v>
      </c>
      <c r="G51" s="17">
        <f t="shared" si="1"/>
        <v>1.4462809917355373</v>
      </c>
      <c r="H51" s="18">
        <v>21</v>
      </c>
      <c r="I51" s="17">
        <f t="shared" si="69"/>
        <v>0.3037190082644628</v>
      </c>
      <c r="J51" s="17">
        <f t="shared" si="70"/>
        <v>1.4462809917355373</v>
      </c>
      <c r="K51" s="18">
        <v>0</v>
      </c>
      <c r="L51" s="17">
        <f t="shared" si="71"/>
        <v>0</v>
      </c>
      <c r="M51" s="19">
        <v>1.75</v>
      </c>
      <c r="N51" s="35"/>
    </row>
    <row r="52" spans="1:19" x14ac:dyDescent="0.35">
      <c r="A52" s="20">
        <v>45499</v>
      </c>
      <c r="B52" s="25" t="s">
        <v>641</v>
      </c>
      <c r="C52" s="25" t="s">
        <v>111</v>
      </c>
      <c r="D52" s="25" t="s">
        <v>235</v>
      </c>
      <c r="E52" s="25" t="s">
        <v>236</v>
      </c>
      <c r="F52" s="5" t="str">
        <f>CONCATENATE(S52,B52," ",E52)</f>
        <v>B5010724-00006804 ORANGE ESPAÑA VIRTUAL, S.L.U.</v>
      </c>
      <c r="G52" s="5">
        <f t="shared" si="1"/>
        <v>12.396694214876034</v>
      </c>
      <c r="H52" s="18">
        <v>21</v>
      </c>
      <c r="I52" s="17">
        <f>G52*H52/100</f>
        <v>2.6033057851239669</v>
      </c>
      <c r="J52" s="17">
        <f>G52</f>
        <v>12.396694214876034</v>
      </c>
      <c r="K52" s="18">
        <v>0</v>
      </c>
      <c r="L52" s="17">
        <f>J52*K52/100</f>
        <v>0</v>
      </c>
      <c r="M52" s="19">
        <v>15</v>
      </c>
      <c r="N52" s="35"/>
    </row>
    <row r="53" spans="1:19" x14ac:dyDescent="0.35">
      <c r="A53" s="4">
        <v>45499</v>
      </c>
      <c r="B53" s="25" t="s">
        <v>762</v>
      </c>
      <c r="C53" s="25" t="s">
        <v>167</v>
      </c>
      <c r="D53" s="16" t="s">
        <v>168</v>
      </c>
      <c r="E53" s="16" t="s">
        <v>169</v>
      </c>
      <c r="F53" s="5" t="str">
        <f t="shared" ref="F53:F54" si="72">CONCATENATE(S53,B53," ",E53)</f>
        <v>70124FE000002741 SANTIAGO Y LYDIA DIAZ, S.L.</v>
      </c>
      <c r="G53" s="17">
        <f t="shared" ref="G53:G54" si="73">M53/(1-K53/100+H53/100)</f>
        <v>76.429752066115711</v>
      </c>
      <c r="H53" s="18">
        <v>21</v>
      </c>
      <c r="I53" s="17">
        <f t="shared" ref="I53" si="74">G53*H53/100</f>
        <v>16.0502479338843</v>
      </c>
      <c r="J53" s="17">
        <f t="shared" ref="J53" si="75">G53</f>
        <v>76.429752066115711</v>
      </c>
      <c r="K53" s="18">
        <v>0</v>
      </c>
      <c r="L53" s="17">
        <f t="shared" ref="L53" si="76">J53*K53/100</f>
        <v>0</v>
      </c>
      <c r="M53" s="19">
        <v>92.48</v>
      </c>
      <c r="N53" s="38"/>
    </row>
    <row r="54" spans="1:19" x14ac:dyDescent="0.35">
      <c r="A54" s="20">
        <v>45499</v>
      </c>
      <c r="B54" s="2" t="s">
        <v>778</v>
      </c>
      <c r="C54" s="25" t="s">
        <v>167</v>
      </c>
      <c r="D54" s="25" t="s">
        <v>287</v>
      </c>
      <c r="E54" s="16" t="s">
        <v>288</v>
      </c>
      <c r="F54" s="5" t="str">
        <f t="shared" si="72"/>
        <v>0238573 INMOBILIARIA PARIS, S.A.</v>
      </c>
      <c r="G54" s="5">
        <f t="shared" si="73"/>
        <v>0.33057851239669422</v>
      </c>
      <c r="H54" s="18">
        <v>21</v>
      </c>
      <c r="I54" s="17">
        <f>G54*H54/100</f>
        <v>6.9421487603305784E-2</v>
      </c>
      <c r="J54" s="17">
        <f>G54</f>
        <v>0.33057851239669422</v>
      </c>
      <c r="K54" s="18">
        <v>0</v>
      </c>
      <c r="L54" s="17">
        <f>J54*K54/100</f>
        <v>0</v>
      </c>
      <c r="M54" s="19">
        <v>0.4</v>
      </c>
      <c r="N54" s="38"/>
    </row>
    <row r="55" spans="1:19" x14ac:dyDescent="0.35">
      <c r="A55" s="4">
        <v>45502</v>
      </c>
      <c r="B55" s="2" t="s">
        <v>607</v>
      </c>
      <c r="C55" s="25" t="s">
        <v>167</v>
      </c>
      <c r="D55" s="25" t="s">
        <v>206</v>
      </c>
      <c r="E55" s="16" t="s">
        <v>207</v>
      </c>
      <c r="F55" s="5" t="str">
        <f t="shared" ref="F55:F56" si="77">CONCATENATE(S55,B55," ",E55)</f>
        <v>RC EOS ES2024/25244409 MAKSU ESPAÑA S.L.</v>
      </c>
      <c r="G55" s="5">
        <f t="shared" ref="G55:G56" si="78">M55/(1-K55/100+H55/100)</f>
        <v>1.35</v>
      </c>
      <c r="H55" s="18">
        <v>0</v>
      </c>
      <c r="I55" s="17">
        <f t="shared" ref="I55" si="79">G55*H55/100</f>
        <v>0</v>
      </c>
      <c r="J55" s="17">
        <f t="shared" ref="J55" si="80">G55</f>
        <v>1.35</v>
      </c>
      <c r="K55" s="18">
        <v>0</v>
      </c>
      <c r="L55" s="17">
        <f t="shared" ref="L55" si="81">J55*K55/100</f>
        <v>0</v>
      </c>
      <c r="M55" s="19">
        <v>1.35</v>
      </c>
      <c r="N55" s="38"/>
    </row>
    <row r="56" spans="1:19" x14ac:dyDescent="0.35">
      <c r="A56" s="20">
        <v>45502</v>
      </c>
      <c r="B56" s="2" t="s">
        <v>608</v>
      </c>
      <c r="C56" s="25" t="s">
        <v>167</v>
      </c>
      <c r="D56" s="25" t="s">
        <v>206</v>
      </c>
      <c r="E56" s="16" t="s">
        <v>207</v>
      </c>
      <c r="F56" s="5" t="str">
        <f t="shared" si="77"/>
        <v>FT EOS ES2024/1485246 MAKSU ESPAÑA S.L.</v>
      </c>
      <c r="G56" s="5">
        <f t="shared" si="78"/>
        <v>0.13223140495867769</v>
      </c>
      <c r="H56" s="18">
        <v>21</v>
      </c>
      <c r="I56" s="17">
        <f>G56*H56/100</f>
        <v>2.7768595041322314E-2</v>
      </c>
      <c r="J56" s="17">
        <f>G56</f>
        <v>0.13223140495867769</v>
      </c>
      <c r="K56" s="18">
        <v>0</v>
      </c>
      <c r="L56" s="17">
        <f>J56*K56/100</f>
        <v>0</v>
      </c>
      <c r="M56" s="19">
        <v>0.16</v>
      </c>
      <c r="N56" s="38"/>
    </row>
    <row r="57" spans="1:19" x14ac:dyDescent="0.35">
      <c r="A57" s="4">
        <v>45502</v>
      </c>
      <c r="B57" s="2" t="s">
        <v>552</v>
      </c>
      <c r="C57" s="2" t="s">
        <v>111</v>
      </c>
      <c r="D57" s="2" t="s">
        <v>153</v>
      </c>
      <c r="E57" s="2" t="s">
        <v>154</v>
      </c>
      <c r="F57" s="5" t="str">
        <f t="shared" ref="F57" si="82">CONCATENATE(S57,B57," ",E57)</f>
        <v>S/F 4052665771 WÜRTH ESPAÑA, S.A.</v>
      </c>
      <c r="G57" s="5">
        <f t="shared" si="1"/>
        <v>206.01652892561984</v>
      </c>
      <c r="H57" s="18">
        <v>21</v>
      </c>
      <c r="I57" s="5">
        <f t="shared" ref="I57" si="83">G57*H57/100</f>
        <v>43.26347107438017</v>
      </c>
      <c r="J57" s="5">
        <f t="shared" ref="J57" si="84">G57</f>
        <v>206.01652892561984</v>
      </c>
      <c r="K57">
        <v>0</v>
      </c>
      <c r="L57" s="5">
        <f t="shared" ref="L57" si="85">J57*K57/100</f>
        <v>0</v>
      </c>
      <c r="M57" s="19">
        <v>249.28</v>
      </c>
      <c r="N57" s="35"/>
      <c r="S57" t="s">
        <v>19</v>
      </c>
    </row>
    <row r="58" spans="1:19" x14ac:dyDescent="0.35">
      <c r="A58" s="4">
        <v>45503</v>
      </c>
      <c r="B58" s="25" t="s">
        <v>540</v>
      </c>
      <c r="C58" s="25" t="s">
        <v>111</v>
      </c>
      <c r="D58" s="25" t="s">
        <v>127</v>
      </c>
      <c r="E58" s="25" t="s">
        <v>128</v>
      </c>
      <c r="F58" s="5" t="str">
        <f t="shared" ref="F58:F69" si="86">CONCATENATE(S58,B58," ",E58)</f>
        <v>F242761 CONTAMAR S.L.</v>
      </c>
      <c r="G58" s="17">
        <f t="shared" si="1"/>
        <v>254.79338842975207</v>
      </c>
      <c r="H58" s="18">
        <v>21</v>
      </c>
      <c r="I58" s="17">
        <f t="shared" ref="I58:I62" si="87">G58*H58/100</f>
        <v>53.506611570247934</v>
      </c>
      <c r="J58" s="17">
        <f t="shared" ref="J58:J62" si="88">G58</f>
        <v>254.79338842975207</v>
      </c>
      <c r="K58" s="18">
        <v>0</v>
      </c>
      <c r="L58" s="17">
        <f t="shared" ref="L58:L62" si="89">J58*K58/100</f>
        <v>0</v>
      </c>
      <c r="M58" s="19">
        <v>308.3</v>
      </c>
      <c r="N58" s="38"/>
    </row>
    <row r="59" spans="1:19" x14ac:dyDescent="0.35">
      <c r="A59" s="4">
        <v>45503</v>
      </c>
      <c r="B59" s="25" t="s">
        <v>740</v>
      </c>
      <c r="C59" s="25" t="s">
        <v>167</v>
      </c>
      <c r="D59" s="25" t="s">
        <v>741</v>
      </c>
      <c r="E59" s="25" t="s">
        <v>742</v>
      </c>
      <c r="F59" s="5" t="str">
        <f t="shared" si="86"/>
        <v>1/351/41/339235 WERKHAUS,S.L,S.C.S.</v>
      </c>
      <c r="G59" s="17">
        <f t="shared" si="1"/>
        <v>82.603305785123965</v>
      </c>
      <c r="H59" s="18">
        <v>21</v>
      </c>
      <c r="I59" s="17">
        <f t="shared" si="87"/>
        <v>17.346694214876035</v>
      </c>
      <c r="J59" s="17">
        <f t="shared" si="88"/>
        <v>82.603305785123965</v>
      </c>
      <c r="K59" s="18">
        <v>0</v>
      </c>
      <c r="L59" s="17">
        <f t="shared" si="89"/>
        <v>0</v>
      </c>
      <c r="M59" s="19">
        <v>99.95</v>
      </c>
      <c r="N59" s="38"/>
    </row>
    <row r="60" spans="1:19" x14ac:dyDescent="0.35">
      <c r="A60" s="4">
        <v>45503</v>
      </c>
      <c r="B60" s="25" t="s">
        <v>743</v>
      </c>
      <c r="C60" s="25" t="s">
        <v>167</v>
      </c>
      <c r="D60" s="25" t="s">
        <v>744</v>
      </c>
      <c r="E60" s="25" t="s">
        <v>745</v>
      </c>
      <c r="F60" s="5" t="str">
        <f t="shared" si="86"/>
        <v>442100283 ESSAN S.L.</v>
      </c>
      <c r="G60" s="17">
        <f t="shared" si="1"/>
        <v>43.685950413223139</v>
      </c>
      <c r="H60" s="18">
        <v>21</v>
      </c>
      <c r="I60" s="17">
        <f t="shared" si="87"/>
        <v>9.1740495867768601</v>
      </c>
      <c r="J60" s="17">
        <f t="shared" si="88"/>
        <v>43.685950413223139</v>
      </c>
      <c r="K60" s="18">
        <v>0</v>
      </c>
      <c r="L60" s="17">
        <f t="shared" si="89"/>
        <v>0</v>
      </c>
      <c r="M60" s="19">
        <v>52.86</v>
      </c>
      <c r="N60" s="38"/>
    </row>
    <row r="61" spans="1:19" x14ac:dyDescent="0.35">
      <c r="A61" s="4">
        <v>45504</v>
      </c>
      <c r="B61" s="2" t="s">
        <v>542</v>
      </c>
      <c r="C61" s="2" t="s">
        <v>111</v>
      </c>
      <c r="D61" s="2" t="s">
        <v>114</v>
      </c>
      <c r="E61" s="2" t="s">
        <v>115</v>
      </c>
      <c r="F61" s="5" t="str">
        <f t="shared" ref="F61" si="90">CONCATENATE(S61,B61," ",E61)</f>
        <v>S/F FR362267 ELECTRO MERCANTIL LEGANES D.A.M.,S.L.U.</v>
      </c>
      <c r="G61" s="17">
        <f t="shared" si="1"/>
        <v>1080.8099173553719</v>
      </c>
      <c r="H61" s="18">
        <v>21</v>
      </c>
      <c r="I61" s="5">
        <f>G61*H61/100</f>
        <v>226.97008264462809</v>
      </c>
      <c r="J61" s="5">
        <f>G61</f>
        <v>1080.8099173553719</v>
      </c>
      <c r="K61" s="18">
        <v>0</v>
      </c>
      <c r="L61" s="5">
        <f>J61*K61/100</f>
        <v>0</v>
      </c>
      <c r="M61" s="8">
        <v>1307.78</v>
      </c>
      <c r="S61" t="s">
        <v>19</v>
      </c>
    </row>
    <row r="62" spans="1:19" x14ac:dyDescent="0.35">
      <c r="A62" s="4">
        <v>45504</v>
      </c>
      <c r="B62" s="25" t="s">
        <v>543</v>
      </c>
      <c r="C62" s="25" t="s">
        <v>111</v>
      </c>
      <c r="D62" s="25" t="s">
        <v>112</v>
      </c>
      <c r="E62" s="25" t="s">
        <v>113</v>
      </c>
      <c r="F62" s="5" t="str">
        <f t="shared" si="86"/>
        <v>H4F08185 HIPER ANTENA, S.A.</v>
      </c>
      <c r="G62" s="17">
        <f t="shared" si="1"/>
        <v>365.80991735537191</v>
      </c>
      <c r="H62" s="18">
        <v>21</v>
      </c>
      <c r="I62" s="17">
        <f t="shared" si="87"/>
        <v>76.820082644628101</v>
      </c>
      <c r="J62" s="17">
        <f t="shared" si="88"/>
        <v>365.80991735537191</v>
      </c>
      <c r="K62" s="18">
        <v>0</v>
      </c>
      <c r="L62" s="17">
        <f t="shared" si="89"/>
        <v>0</v>
      </c>
      <c r="M62" s="19">
        <v>442.63</v>
      </c>
      <c r="N62" s="38"/>
    </row>
    <row r="63" spans="1:19" x14ac:dyDescent="0.35">
      <c r="A63" s="4">
        <v>45505</v>
      </c>
      <c r="B63" s="25" t="s">
        <v>544</v>
      </c>
      <c r="C63" s="25" t="s">
        <v>137</v>
      </c>
      <c r="D63" s="25" t="s">
        <v>367</v>
      </c>
      <c r="E63" s="25" t="s">
        <v>368</v>
      </c>
      <c r="F63" s="5" t="str">
        <f t="shared" si="86"/>
        <v>08/24 COMUNIDAD BIENES ANT. J.  SERRANO RUBIO</v>
      </c>
      <c r="G63" s="17">
        <f t="shared" si="1"/>
        <v>825</v>
      </c>
      <c r="H63" s="18">
        <v>21</v>
      </c>
      <c r="I63" s="17">
        <f>G63*H63/100</f>
        <v>173.25</v>
      </c>
      <c r="J63" s="17">
        <f>G63</f>
        <v>825</v>
      </c>
      <c r="K63" s="18">
        <v>19</v>
      </c>
      <c r="L63" s="17">
        <f>J63*K63/100</f>
        <v>156.75</v>
      </c>
      <c r="M63" s="19">
        <v>841.5</v>
      </c>
      <c r="N63" s="35"/>
    </row>
    <row r="64" spans="1:19" x14ac:dyDescent="0.35">
      <c r="A64" s="4">
        <v>45505</v>
      </c>
      <c r="B64" s="2" t="s">
        <v>545</v>
      </c>
      <c r="C64" s="25" t="s">
        <v>137</v>
      </c>
      <c r="D64" s="25" t="s">
        <v>369</v>
      </c>
      <c r="E64" s="25" t="s">
        <v>370</v>
      </c>
      <c r="F64" s="5" t="str">
        <f t="shared" si="86"/>
        <v>A008/24 JAVIER SERRANO IZQUIERDO</v>
      </c>
      <c r="G64" s="17">
        <f t="shared" si="1"/>
        <v>550</v>
      </c>
      <c r="H64" s="18">
        <v>21</v>
      </c>
      <c r="I64" s="17">
        <f t="shared" ref="I64:I69" si="91">G64*H64/100</f>
        <v>115.5</v>
      </c>
      <c r="J64" s="17">
        <f t="shared" ref="J64:J69" si="92">G64</f>
        <v>550</v>
      </c>
      <c r="K64" s="18">
        <v>19</v>
      </c>
      <c r="L64" s="17">
        <f t="shared" ref="L64:L69" si="93">J64*K64/100</f>
        <v>104.5</v>
      </c>
      <c r="M64" s="19">
        <v>561</v>
      </c>
      <c r="N64" s="35"/>
    </row>
    <row r="65" spans="1:19" x14ac:dyDescent="0.35">
      <c r="A65" s="4">
        <v>45505</v>
      </c>
      <c r="B65" s="20" t="s">
        <v>562</v>
      </c>
      <c r="C65" s="25" t="s">
        <v>111</v>
      </c>
      <c r="D65" s="25" t="s">
        <v>116</v>
      </c>
      <c r="E65" s="25" t="s">
        <v>117</v>
      </c>
      <c r="F65" s="5" t="str">
        <f t="shared" si="86"/>
        <v>2408C00617755 SECURITAS DIRECT ESPAÑA S.A.U.</v>
      </c>
      <c r="G65" s="17">
        <f t="shared" ref="G65:G69" si="94">M65/(1-K65/100+H65/100)</f>
        <v>30.553719008264462</v>
      </c>
      <c r="H65" s="18">
        <v>21</v>
      </c>
      <c r="I65" s="17">
        <f t="shared" si="91"/>
        <v>6.4162809917355368</v>
      </c>
      <c r="J65" s="17">
        <f t="shared" si="92"/>
        <v>30.553719008264462</v>
      </c>
      <c r="K65" s="18">
        <v>0</v>
      </c>
      <c r="L65" s="17">
        <f t="shared" si="93"/>
        <v>0</v>
      </c>
      <c r="M65" s="19">
        <v>36.97</v>
      </c>
      <c r="N65" s="38" t="s">
        <v>27</v>
      </c>
    </row>
    <row r="66" spans="1:19" x14ac:dyDescent="0.35">
      <c r="A66" s="4">
        <v>45505</v>
      </c>
      <c r="B66" s="20" t="s">
        <v>563</v>
      </c>
      <c r="C66" s="25" t="s">
        <v>111</v>
      </c>
      <c r="D66" s="25" t="s">
        <v>116</v>
      </c>
      <c r="E66" s="25" t="s">
        <v>117</v>
      </c>
      <c r="F66" s="5" t="str">
        <f t="shared" si="86"/>
        <v>2408C00399443 SECURITAS DIRECT ESPAÑA S.A.U.</v>
      </c>
      <c r="G66" s="17">
        <f t="shared" si="94"/>
        <v>28.388429752066116</v>
      </c>
      <c r="H66" s="18">
        <v>21</v>
      </c>
      <c r="I66" s="17">
        <f t="shared" si="91"/>
        <v>5.961570247933885</v>
      </c>
      <c r="J66" s="17">
        <f t="shared" si="92"/>
        <v>28.388429752066116</v>
      </c>
      <c r="K66" s="18">
        <v>0</v>
      </c>
      <c r="L66" s="17">
        <f t="shared" si="93"/>
        <v>0</v>
      </c>
      <c r="M66" s="19">
        <v>34.35</v>
      </c>
      <c r="N66" s="38" t="s">
        <v>27</v>
      </c>
    </row>
    <row r="67" spans="1:19" x14ac:dyDescent="0.35">
      <c r="A67" s="4">
        <v>45505</v>
      </c>
      <c r="B67" s="20" t="s">
        <v>564</v>
      </c>
      <c r="C67" s="25" t="s">
        <v>111</v>
      </c>
      <c r="D67" s="25" t="s">
        <v>116</v>
      </c>
      <c r="E67" s="25" t="s">
        <v>117</v>
      </c>
      <c r="F67" s="5" t="str">
        <f t="shared" si="86"/>
        <v>2408C00397754 SECURITAS DIRECT ESPAÑA S.A.U.</v>
      </c>
      <c r="G67" s="17">
        <f t="shared" si="94"/>
        <v>28.330578512396695</v>
      </c>
      <c r="H67" s="18">
        <v>21</v>
      </c>
      <c r="I67" s="17">
        <f t="shared" si="91"/>
        <v>5.9494214876033062</v>
      </c>
      <c r="J67" s="17">
        <f t="shared" si="92"/>
        <v>28.330578512396695</v>
      </c>
      <c r="K67" s="18">
        <v>0</v>
      </c>
      <c r="L67" s="17">
        <f t="shared" si="93"/>
        <v>0</v>
      </c>
      <c r="M67" s="19">
        <v>34.28</v>
      </c>
      <c r="N67" s="38" t="s">
        <v>27</v>
      </c>
    </row>
    <row r="68" spans="1:19" x14ac:dyDescent="0.35">
      <c r="A68" s="4">
        <v>45505</v>
      </c>
      <c r="B68" s="20" t="s">
        <v>787</v>
      </c>
      <c r="C68" s="25" t="s">
        <v>167</v>
      </c>
      <c r="D68" s="25" t="s">
        <v>788</v>
      </c>
      <c r="E68" s="25" t="s">
        <v>789</v>
      </c>
      <c r="F68" s="5" t="str">
        <f t="shared" si="86"/>
        <v>7093/0601/00601 C.C.ZIELO SHOPPING</v>
      </c>
      <c r="G68" s="17">
        <f t="shared" si="94"/>
        <v>1.4876033057851241</v>
      </c>
      <c r="H68" s="18">
        <v>21</v>
      </c>
      <c r="I68" s="17">
        <f t="shared" si="91"/>
        <v>0.31239669421487604</v>
      </c>
      <c r="J68" s="17">
        <f t="shared" si="92"/>
        <v>1.4876033057851241</v>
      </c>
      <c r="K68" s="18">
        <v>0</v>
      </c>
      <c r="L68" s="17">
        <f t="shared" si="93"/>
        <v>0</v>
      </c>
      <c r="M68" s="19">
        <v>1.8</v>
      </c>
      <c r="N68" s="38"/>
    </row>
    <row r="69" spans="1:19" x14ac:dyDescent="0.35">
      <c r="A69" s="4">
        <v>45506</v>
      </c>
      <c r="B69" s="25" t="s">
        <v>764</v>
      </c>
      <c r="C69" s="25" t="s">
        <v>167</v>
      </c>
      <c r="D69" s="16" t="s">
        <v>168</v>
      </c>
      <c r="E69" s="16" t="s">
        <v>169</v>
      </c>
      <c r="F69" s="5" t="str">
        <f t="shared" si="86"/>
        <v>70124FE000002813 SANTIAGO Y LYDIA DIAZ, S.L.</v>
      </c>
      <c r="G69" s="17">
        <f t="shared" si="94"/>
        <v>75.421487603305792</v>
      </c>
      <c r="H69" s="18">
        <v>21</v>
      </c>
      <c r="I69" s="17">
        <f t="shared" si="91"/>
        <v>15.838512396694217</v>
      </c>
      <c r="J69" s="17">
        <f t="shared" si="92"/>
        <v>75.421487603305792</v>
      </c>
      <c r="K69" s="18">
        <v>0</v>
      </c>
      <c r="L69" s="17">
        <f t="shared" si="93"/>
        <v>0</v>
      </c>
      <c r="M69" s="19">
        <v>91.26</v>
      </c>
      <c r="N69" s="38"/>
    </row>
    <row r="70" spans="1:19" x14ac:dyDescent="0.35">
      <c r="A70" s="4">
        <v>45510</v>
      </c>
      <c r="B70" s="2" t="s">
        <v>651</v>
      </c>
      <c r="C70" s="2" t="s">
        <v>111</v>
      </c>
      <c r="D70" s="2" t="s">
        <v>230</v>
      </c>
      <c r="E70" s="2" t="s">
        <v>231</v>
      </c>
      <c r="F70" s="5" t="str">
        <f t="shared" ref="F70" si="95">CONCATENATE(S70,B70," ",E70)</f>
        <v>S/F 09240806010029668 CURENERGÍA COMERCIALIZADOR DE ÚLTIMO RECURSO S.A.U.</v>
      </c>
      <c r="G70" s="17">
        <f t="shared" ref="G70" si="96">M70/(1-K70/100+H70/100)</f>
        <v>21.438016528925623</v>
      </c>
      <c r="H70">
        <v>21</v>
      </c>
      <c r="I70" s="5">
        <f t="shared" si="30"/>
        <v>4.5019834710743805</v>
      </c>
      <c r="J70" s="17">
        <f t="shared" si="31"/>
        <v>21.438016528925623</v>
      </c>
      <c r="K70">
        <v>0</v>
      </c>
      <c r="L70" s="17">
        <f t="shared" si="32"/>
        <v>0</v>
      </c>
      <c r="M70" s="8">
        <v>25.94</v>
      </c>
      <c r="S70" t="s">
        <v>19</v>
      </c>
    </row>
    <row r="71" spans="1:19" x14ac:dyDescent="0.35">
      <c r="A71" s="4">
        <v>45511</v>
      </c>
      <c r="B71" s="2" t="s">
        <v>613</v>
      </c>
      <c r="C71" s="25" t="s">
        <v>167</v>
      </c>
      <c r="D71" s="25" t="s">
        <v>206</v>
      </c>
      <c r="E71" s="16" t="s">
        <v>207</v>
      </c>
      <c r="F71" s="5" t="str">
        <f t="shared" ref="F71:F72" si="97">CONCATENATE(S71,B71," ",E71)</f>
        <v>RC EOS ES2024/26216213 MAKSU ESPAÑA S.L.</v>
      </c>
      <c r="G71" s="5">
        <f t="shared" ref="G71:G72" si="98">M71/(1-K71/100+H71/100)</f>
        <v>0.4</v>
      </c>
      <c r="H71" s="18">
        <v>0</v>
      </c>
      <c r="I71" s="17">
        <f t="shared" si="30"/>
        <v>0</v>
      </c>
      <c r="J71" s="17">
        <f t="shared" si="31"/>
        <v>0.4</v>
      </c>
      <c r="K71" s="18">
        <v>0</v>
      </c>
      <c r="L71" s="17">
        <f t="shared" si="32"/>
        <v>0</v>
      </c>
      <c r="M71" s="19">
        <v>0.4</v>
      </c>
      <c r="N71" s="38"/>
    </row>
    <row r="72" spans="1:19" x14ac:dyDescent="0.35">
      <c r="A72" s="20">
        <v>45511</v>
      </c>
      <c r="B72" s="2" t="s">
        <v>614</v>
      </c>
      <c r="C72" s="25" t="s">
        <v>167</v>
      </c>
      <c r="D72" s="25" t="s">
        <v>206</v>
      </c>
      <c r="E72" s="16" t="s">
        <v>207</v>
      </c>
      <c r="F72" s="5" t="str">
        <f t="shared" si="97"/>
        <v>FT EOS ES2024/1531088 MAKSU ESPAÑA S.L.</v>
      </c>
      <c r="G72" s="5">
        <f t="shared" si="98"/>
        <v>4.1322314049586778E-2</v>
      </c>
      <c r="H72" s="18">
        <v>21</v>
      </c>
      <c r="I72" s="17">
        <f>G72*H72/100</f>
        <v>8.677685950413223E-3</v>
      </c>
      <c r="J72" s="17">
        <f>G72</f>
        <v>4.1322314049586778E-2</v>
      </c>
      <c r="K72" s="18">
        <v>0</v>
      </c>
      <c r="L72" s="17">
        <f>J72*K72/100</f>
        <v>0</v>
      </c>
      <c r="M72" s="19">
        <v>0.05</v>
      </c>
      <c r="N72" s="38"/>
    </row>
    <row r="73" spans="1:19" x14ac:dyDescent="0.35">
      <c r="A73" s="4">
        <v>45511</v>
      </c>
      <c r="B73" s="2" t="s">
        <v>629</v>
      </c>
      <c r="C73" s="25" t="s">
        <v>167</v>
      </c>
      <c r="D73" s="25" t="s">
        <v>206</v>
      </c>
      <c r="E73" s="16" t="s">
        <v>207</v>
      </c>
      <c r="F73" s="5" t="str">
        <f t="shared" ref="F73:F75" si="99">CONCATENATE(S73,B73," ",E73)</f>
        <v>RC EOS ES2024/26148244 MAKSU ESPAÑA S.L.</v>
      </c>
      <c r="G73" s="5">
        <f t="shared" ref="G73:G75" si="100">M73/(1-K73/100+H73/100)</f>
        <v>1.35</v>
      </c>
      <c r="H73" s="18">
        <v>0</v>
      </c>
      <c r="I73" s="17">
        <f t="shared" ref="I73" si="101">G73*H73/100</f>
        <v>0</v>
      </c>
      <c r="J73" s="17">
        <f t="shared" ref="J73" si="102">G73</f>
        <v>1.35</v>
      </c>
      <c r="K73" s="18">
        <v>0</v>
      </c>
      <c r="L73" s="17">
        <f t="shared" ref="L73" si="103">J73*K73/100</f>
        <v>0</v>
      </c>
      <c r="M73" s="19">
        <v>1.35</v>
      </c>
      <c r="N73" s="38"/>
    </row>
    <row r="74" spans="1:19" x14ac:dyDescent="0.35">
      <c r="A74" s="20">
        <v>45511</v>
      </c>
      <c r="B74" s="2" t="s">
        <v>630</v>
      </c>
      <c r="C74" s="25" t="s">
        <v>167</v>
      </c>
      <c r="D74" s="25" t="s">
        <v>206</v>
      </c>
      <c r="E74" s="16" t="s">
        <v>207</v>
      </c>
      <c r="F74" s="5" t="str">
        <f t="shared" si="99"/>
        <v>FT EOS ES2024/1527678 MAKSU ESPAÑA S.L.</v>
      </c>
      <c r="G74" s="5">
        <f t="shared" si="100"/>
        <v>0.13223140495867769</v>
      </c>
      <c r="H74" s="18">
        <v>21</v>
      </c>
      <c r="I74" s="17">
        <f>G74*H74/100</f>
        <v>2.7768595041322314E-2</v>
      </c>
      <c r="J74" s="17">
        <f>G74</f>
        <v>0.13223140495867769</v>
      </c>
      <c r="K74" s="18">
        <v>0</v>
      </c>
      <c r="L74" s="17">
        <f>J74*K74/100</f>
        <v>0</v>
      </c>
      <c r="M74" s="19">
        <v>0.16</v>
      </c>
      <c r="N74" s="38"/>
    </row>
    <row r="75" spans="1:19" x14ac:dyDescent="0.35">
      <c r="A75" s="20">
        <v>45512</v>
      </c>
      <c r="B75" s="2" t="s">
        <v>794</v>
      </c>
      <c r="C75" s="2" t="s">
        <v>111</v>
      </c>
      <c r="D75" s="2" t="s">
        <v>220</v>
      </c>
      <c r="E75" s="2" t="s">
        <v>221</v>
      </c>
      <c r="F75" s="5" t="str">
        <f t="shared" si="99"/>
        <v>S/F FE24137018264183 Comercializadora Regulada, Gas &amp; Power, S.A.</v>
      </c>
      <c r="G75" s="5">
        <f t="shared" si="100"/>
        <v>14.563636363636363</v>
      </c>
      <c r="H75" s="18">
        <v>10</v>
      </c>
      <c r="I75" s="5">
        <f t="shared" ref="I75" si="104">G75*H75/100</f>
        <v>1.4563636363636363</v>
      </c>
      <c r="J75" s="5">
        <f t="shared" ref="J75" si="105">G75</f>
        <v>14.563636363636363</v>
      </c>
      <c r="K75" s="18">
        <v>0</v>
      </c>
      <c r="L75" s="5">
        <f t="shared" ref="L75" si="106">J75*K75/100</f>
        <v>0</v>
      </c>
      <c r="M75" s="8">
        <v>16.02</v>
      </c>
      <c r="S75" t="s">
        <v>19</v>
      </c>
    </row>
    <row r="76" spans="1:19" x14ac:dyDescent="0.35">
      <c r="A76" s="20">
        <v>45512</v>
      </c>
      <c r="B76" s="2" t="s">
        <v>554</v>
      </c>
      <c r="C76" s="2" t="s">
        <v>137</v>
      </c>
      <c r="D76" s="2" t="s">
        <v>555</v>
      </c>
      <c r="E76" s="2" t="s">
        <v>556</v>
      </c>
      <c r="F76" s="5" t="str">
        <f t="shared" ref="F76:F77" si="107">CONCATENATE(S76,B76," ",E76)</f>
        <v>242053 Climersum s.l.</v>
      </c>
      <c r="G76" s="17">
        <f t="shared" si="1"/>
        <v>968.55371900826458</v>
      </c>
      <c r="H76" s="18">
        <v>21</v>
      </c>
      <c r="I76" s="17">
        <f t="shared" si="30"/>
        <v>203.39628099173555</v>
      </c>
      <c r="J76" s="17">
        <f t="shared" si="31"/>
        <v>968.55371900826458</v>
      </c>
      <c r="K76" s="18">
        <v>0</v>
      </c>
      <c r="L76" s="17">
        <f t="shared" si="32"/>
        <v>0</v>
      </c>
      <c r="M76" s="59">
        <v>1171.95</v>
      </c>
      <c r="N76" s="35"/>
    </row>
    <row r="77" spans="1:19" x14ac:dyDescent="0.35">
      <c r="A77" s="20">
        <v>45513</v>
      </c>
      <c r="B77" s="25" t="s">
        <v>553</v>
      </c>
      <c r="C77" s="25" t="s">
        <v>111</v>
      </c>
      <c r="D77" s="49" t="s">
        <v>124</v>
      </c>
      <c r="E77" s="16" t="s">
        <v>125</v>
      </c>
      <c r="F77" s="5" t="str">
        <f t="shared" si="107"/>
        <v>144835288054 APPLE DISTRIBUTION INTERNATIONAL LTD.</v>
      </c>
      <c r="G77" s="17">
        <f t="shared" ref="G77" si="108">M77/(1-K77/100+H77/100)</f>
        <v>2.4710743801652897</v>
      </c>
      <c r="H77" s="18">
        <v>21</v>
      </c>
      <c r="I77" s="17">
        <f t="shared" ref="I77" si="109">G77*H77/100</f>
        <v>0.51892561983471086</v>
      </c>
      <c r="J77" s="17">
        <f t="shared" ref="J77" si="110">G77</f>
        <v>2.4710743801652897</v>
      </c>
      <c r="K77" s="18">
        <v>0</v>
      </c>
      <c r="L77" s="17">
        <f t="shared" ref="L77" si="111">J77*K77/100</f>
        <v>0</v>
      </c>
      <c r="M77" s="19">
        <v>2.99</v>
      </c>
      <c r="N77" s="35"/>
    </row>
    <row r="78" spans="1:19" x14ac:dyDescent="0.35">
      <c r="A78" s="4">
        <v>45516</v>
      </c>
      <c r="B78" s="2" t="s">
        <v>625</v>
      </c>
      <c r="C78" s="25" t="s">
        <v>167</v>
      </c>
      <c r="D78" s="25" t="s">
        <v>206</v>
      </c>
      <c r="E78" s="16" t="s">
        <v>207</v>
      </c>
      <c r="F78" s="5" t="str">
        <f t="shared" ref="F78:F85" si="112">CONCATENATE(S78,B78," ",E78)</f>
        <v>RC EOS ES2024/26618442 MAKSU ESPAÑA S.L.</v>
      </c>
      <c r="G78" s="5">
        <f t="shared" si="1"/>
        <v>2.4500000000000002</v>
      </c>
      <c r="H78" s="18">
        <v>0</v>
      </c>
      <c r="I78" s="17">
        <f t="shared" ref="I78" si="113">G78*H78/100</f>
        <v>0</v>
      </c>
      <c r="J78" s="17">
        <f t="shared" ref="J78" si="114">G78</f>
        <v>2.4500000000000002</v>
      </c>
      <c r="K78" s="18">
        <v>0</v>
      </c>
      <c r="L78" s="17">
        <f t="shared" ref="L78" si="115">J78*K78/100</f>
        <v>0</v>
      </c>
      <c r="M78" s="19">
        <v>2.4500000000000002</v>
      </c>
      <c r="N78" s="38"/>
    </row>
    <row r="79" spans="1:19" x14ac:dyDescent="0.35">
      <c r="A79" s="20">
        <v>45516</v>
      </c>
      <c r="B79" s="2" t="s">
        <v>626</v>
      </c>
      <c r="C79" s="25" t="s">
        <v>167</v>
      </c>
      <c r="D79" s="25" t="s">
        <v>206</v>
      </c>
      <c r="E79" s="16" t="s">
        <v>207</v>
      </c>
      <c r="F79" s="5" t="str">
        <f t="shared" si="112"/>
        <v>FT EOS ES2024/1545666 MAKSU ESPAÑA S.L.</v>
      </c>
      <c r="G79" s="5">
        <f t="shared" si="1"/>
        <v>0.24793388429752067</v>
      </c>
      <c r="H79" s="18">
        <v>21</v>
      </c>
      <c r="I79" s="17">
        <f>G79*H79/100</f>
        <v>5.2066115702479342E-2</v>
      </c>
      <c r="J79" s="17">
        <f>G79</f>
        <v>0.24793388429752067</v>
      </c>
      <c r="K79" s="18">
        <v>0</v>
      </c>
      <c r="L79" s="17">
        <f>J79*K79/100</f>
        <v>0</v>
      </c>
      <c r="M79" s="19">
        <v>0.3</v>
      </c>
      <c r="N79" s="38"/>
    </row>
    <row r="80" spans="1:19" x14ac:dyDescent="0.35">
      <c r="A80" s="4">
        <v>45516</v>
      </c>
      <c r="B80" s="2" t="s">
        <v>655</v>
      </c>
      <c r="C80" s="2" t="s">
        <v>111</v>
      </c>
      <c r="D80" s="2" t="s">
        <v>215</v>
      </c>
      <c r="E80" s="2" t="s">
        <v>216</v>
      </c>
      <c r="F80" s="5" t="str">
        <f t="shared" si="112"/>
        <v>61050454418 Repsol Comercializadora de Electricidad y Gas, S.L.U.</v>
      </c>
      <c r="G80" s="5">
        <f t="shared" si="1"/>
        <v>19.181818181818183</v>
      </c>
      <c r="H80" s="18">
        <v>21</v>
      </c>
      <c r="I80" s="5">
        <f t="shared" ref="I80:I81" si="116">G80*H80/100</f>
        <v>4.0281818181818183</v>
      </c>
      <c r="J80" s="5">
        <f t="shared" ref="J80:J81" si="117">G80</f>
        <v>19.181818181818183</v>
      </c>
      <c r="K80" s="18">
        <v>0</v>
      </c>
      <c r="L80" s="5">
        <f t="shared" ref="L80:L81" si="118">J80*K80/100</f>
        <v>0</v>
      </c>
      <c r="M80" s="8">
        <v>23.21</v>
      </c>
    </row>
    <row r="81" spans="1:19" x14ac:dyDescent="0.35">
      <c r="A81" s="20">
        <v>45516</v>
      </c>
      <c r="B81" s="25" t="s">
        <v>766</v>
      </c>
      <c r="C81" s="25" t="s">
        <v>167</v>
      </c>
      <c r="D81" s="16" t="s">
        <v>168</v>
      </c>
      <c r="E81" s="16" t="s">
        <v>169</v>
      </c>
      <c r="F81" s="5" t="str">
        <f t="shared" si="112"/>
        <v>70124FE000002910 SANTIAGO Y LYDIA DIAZ, S.L.</v>
      </c>
      <c r="G81" s="17">
        <f t="shared" si="1"/>
        <v>74.371900826446279</v>
      </c>
      <c r="H81" s="18">
        <v>21</v>
      </c>
      <c r="I81" s="17">
        <f t="shared" si="116"/>
        <v>15.61809917355372</v>
      </c>
      <c r="J81" s="17">
        <f t="shared" si="117"/>
        <v>74.371900826446279</v>
      </c>
      <c r="K81" s="18">
        <v>0</v>
      </c>
      <c r="L81" s="17">
        <f t="shared" si="118"/>
        <v>0</v>
      </c>
      <c r="M81" s="19">
        <v>89.99</v>
      </c>
      <c r="N81" s="38"/>
    </row>
    <row r="82" spans="1:19" x14ac:dyDescent="0.35">
      <c r="A82" s="20">
        <v>45517</v>
      </c>
      <c r="B82" s="2" t="s">
        <v>642</v>
      </c>
      <c r="C82" s="2" t="s">
        <v>167</v>
      </c>
      <c r="D82" s="2" t="s">
        <v>643</v>
      </c>
      <c r="E82" s="2" t="s">
        <v>644</v>
      </c>
      <c r="F82" s="5" t="str">
        <f t="shared" si="112"/>
        <v>INV-ES-1476619335-2024-7237 AUTOZOCO SL</v>
      </c>
      <c r="G82" s="17">
        <f t="shared" si="1"/>
        <v>4.5454545454545459</v>
      </c>
      <c r="H82" s="18">
        <v>21</v>
      </c>
      <c r="I82" s="17">
        <f>G82*H82/100</f>
        <v>0.9545454545454547</v>
      </c>
      <c r="J82" s="17">
        <f>G82</f>
        <v>4.5454545454545459</v>
      </c>
      <c r="K82" s="18">
        <v>0</v>
      </c>
      <c r="L82" s="17">
        <f>J82*K82/100</f>
        <v>0</v>
      </c>
      <c r="M82" s="60">
        <v>5.5</v>
      </c>
      <c r="N82" s="38"/>
    </row>
    <row r="83" spans="1:19" x14ac:dyDescent="0.35">
      <c r="A83" s="20">
        <v>45517</v>
      </c>
      <c r="B83" s="25" t="s">
        <v>652</v>
      </c>
      <c r="C83" s="25" t="s">
        <v>111</v>
      </c>
      <c r="D83" s="16" t="s">
        <v>223</v>
      </c>
      <c r="E83" s="16" t="s">
        <v>224</v>
      </c>
      <c r="F83" s="5" t="str">
        <f t="shared" si="112"/>
        <v>FMDVAHH0086031 TELEFONICA DE ESPAÑA S.A.U.</v>
      </c>
      <c r="G83" s="17">
        <f>M83/(1-K83/100+H83/100)</f>
        <v>17.685950413223139</v>
      </c>
      <c r="H83" s="18">
        <v>21</v>
      </c>
      <c r="I83" s="17">
        <f>G83*H83/100</f>
        <v>3.7140495867768597</v>
      </c>
      <c r="J83" s="17">
        <f>G83</f>
        <v>17.685950413223139</v>
      </c>
      <c r="K83" s="18">
        <v>0</v>
      </c>
      <c r="L83" s="17">
        <f>J83*K83/100</f>
        <v>0</v>
      </c>
      <c r="M83" s="19">
        <v>21.4</v>
      </c>
      <c r="N83" s="38"/>
    </row>
    <row r="84" spans="1:19" x14ac:dyDescent="0.35">
      <c r="A84" s="20">
        <v>45517</v>
      </c>
      <c r="B84" s="20" t="s">
        <v>653</v>
      </c>
      <c r="C84" s="25" t="s">
        <v>111</v>
      </c>
      <c r="D84" s="25" t="s">
        <v>225</v>
      </c>
      <c r="E84" s="25" t="s">
        <v>226</v>
      </c>
      <c r="F84" s="5" t="str">
        <f t="shared" si="112"/>
        <v>MMDVAHH0018985 TELEFÓNICA MÓVILES ESPAÑA, S.A.</v>
      </c>
      <c r="G84" s="5">
        <f t="shared" ref="G84:G85" si="119">M84/(1-K84/100+H84/100)</f>
        <v>26.033057851239668</v>
      </c>
      <c r="H84" s="18">
        <v>21</v>
      </c>
      <c r="I84" s="17">
        <f t="shared" ref="I84:I85" si="120">G84*H84/100</f>
        <v>5.4669421487603298</v>
      </c>
      <c r="J84" s="17">
        <f t="shared" ref="J84:J85" si="121">G84</f>
        <v>26.033057851239668</v>
      </c>
      <c r="K84" s="18">
        <v>0</v>
      </c>
      <c r="L84" s="17">
        <f t="shared" ref="L84:L85" si="122">J84*K84/100</f>
        <v>0</v>
      </c>
      <c r="M84" s="19">
        <v>31.5</v>
      </c>
      <c r="N84" s="38"/>
    </row>
    <row r="85" spans="1:19" x14ac:dyDescent="0.35">
      <c r="A85" s="20">
        <v>45517</v>
      </c>
      <c r="B85" s="20" t="s">
        <v>654</v>
      </c>
      <c r="C85" s="25" t="s">
        <v>111</v>
      </c>
      <c r="D85" s="25" t="s">
        <v>225</v>
      </c>
      <c r="E85" s="25" t="s">
        <v>226</v>
      </c>
      <c r="F85" s="5" t="str">
        <f t="shared" si="112"/>
        <v>MMDVAHH0003289 TELEFÓNICA MÓVILES ESPAÑA, S.A.</v>
      </c>
      <c r="G85" s="5">
        <f t="shared" si="119"/>
        <v>23.099173553719009</v>
      </c>
      <c r="H85" s="18">
        <v>21</v>
      </c>
      <c r="I85" s="17">
        <f t="shared" si="120"/>
        <v>4.8508264462809914</v>
      </c>
      <c r="J85" s="17">
        <f t="shared" si="121"/>
        <v>23.099173553719009</v>
      </c>
      <c r="K85" s="18">
        <v>0</v>
      </c>
      <c r="L85" s="17">
        <f t="shared" si="122"/>
        <v>0</v>
      </c>
      <c r="M85" s="19">
        <v>27.95</v>
      </c>
      <c r="N85" s="38"/>
    </row>
    <row r="86" spans="1:19" x14ac:dyDescent="0.35">
      <c r="A86" s="4">
        <v>45519</v>
      </c>
      <c r="B86" s="2" t="s">
        <v>558</v>
      </c>
      <c r="C86" s="2" t="s">
        <v>111</v>
      </c>
      <c r="D86" s="2" t="s">
        <v>114</v>
      </c>
      <c r="E86" s="2" t="s">
        <v>115</v>
      </c>
      <c r="F86" s="5" t="str">
        <f t="shared" ref="F86:F94" si="123">CONCATENATE(S86,B86," ",E86)</f>
        <v>S/F FR362695 ELECTRO MERCANTIL LEGANES D.A.M.,S.L.U.</v>
      </c>
      <c r="G86" s="17">
        <f t="shared" ref="G86:G93" si="124">M86/(1-K86/100+H86/100)</f>
        <v>1000.3884297520661</v>
      </c>
      <c r="H86" s="18">
        <v>21</v>
      </c>
      <c r="I86" s="5">
        <f t="shared" ref="I86:I91" si="125">G86*H86/100</f>
        <v>210.08157024793388</v>
      </c>
      <c r="J86" s="17">
        <f t="shared" ref="J86:J91" si="126">G86</f>
        <v>1000.3884297520661</v>
      </c>
      <c r="K86" s="18">
        <v>0</v>
      </c>
      <c r="L86" s="17">
        <f t="shared" ref="L86:L91" si="127">J86*K86/100</f>
        <v>0</v>
      </c>
      <c r="M86" s="8">
        <v>1210.47</v>
      </c>
      <c r="S86" t="s">
        <v>19</v>
      </c>
    </row>
    <row r="87" spans="1:19" x14ac:dyDescent="0.35">
      <c r="A87" s="4">
        <v>45519</v>
      </c>
      <c r="B87" s="25" t="s">
        <v>560</v>
      </c>
      <c r="C87" s="25" t="s">
        <v>111</v>
      </c>
      <c r="D87" s="25" t="s">
        <v>112</v>
      </c>
      <c r="E87" s="25" t="s">
        <v>113</v>
      </c>
      <c r="F87" s="5" t="str">
        <f t="shared" si="123"/>
        <v>H4F08664 HIPER ANTENA, S.A.</v>
      </c>
      <c r="G87" s="17">
        <f t="shared" si="124"/>
        <v>272.19834710743805</v>
      </c>
      <c r="H87" s="18">
        <v>21</v>
      </c>
      <c r="I87" s="17">
        <f t="shared" si="125"/>
        <v>57.161652892561989</v>
      </c>
      <c r="J87" s="17">
        <f t="shared" si="126"/>
        <v>272.19834710743805</v>
      </c>
      <c r="K87" s="18">
        <v>0</v>
      </c>
      <c r="L87" s="17">
        <f t="shared" si="127"/>
        <v>0</v>
      </c>
      <c r="M87" s="19">
        <v>329.36</v>
      </c>
      <c r="N87" s="38"/>
    </row>
    <row r="88" spans="1:19" x14ac:dyDescent="0.35">
      <c r="A88" s="4">
        <v>45523</v>
      </c>
      <c r="B88" s="25" t="s">
        <v>738</v>
      </c>
      <c r="C88" s="25" t="s">
        <v>167</v>
      </c>
      <c r="D88" s="25" t="s">
        <v>189</v>
      </c>
      <c r="E88" s="25" t="s">
        <v>190</v>
      </c>
      <c r="F88" s="5" t="str">
        <f t="shared" si="123"/>
        <v>024-0008-358028 BRICOLAJE BRICOMAN, S.L.U.</v>
      </c>
      <c r="G88" s="17">
        <f>M88/(1-K88/100+H88/100)</f>
        <v>47.619834710743802</v>
      </c>
      <c r="H88" s="18">
        <v>21</v>
      </c>
      <c r="I88" s="17">
        <f>G88*H88/100</f>
        <v>10.000165289256199</v>
      </c>
      <c r="J88" s="17">
        <f>G88</f>
        <v>47.619834710743802</v>
      </c>
      <c r="K88" s="18">
        <v>0</v>
      </c>
      <c r="L88" s="17">
        <f>J88*K88/100</f>
        <v>0</v>
      </c>
      <c r="M88" s="19">
        <v>57.62</v>
      </c>
      <c r="N88" s="38" t="s">
        <v>27</v>
      </c>
    </row>
    <row r="89" spans="1:19" x14ac:dyDescent="0.35">
      <c r="A89" s="20">
        <v>45523</v>
      </c>
      <c r="B89" s="25" t="s">
        <v>765</v>
      </c>
      <c r="C89" s="25" t="s">
        <v>167</v>
      </c>
      <c r="D89" s="16" t="s">
        <v>168</v>
      </c>
      <c r="E89" s="16" t="s">
        <v>169</v>
      </c>
      <c r="F89" s="5" t="str">
        <f t="shared" si="123"/>
        <v>70124FE000002961 SANTIAGO Y LYDIA DIAZ, S.L.</v>
      </c>
      <c r="G89" s="17">
        <f t="shared" ref="G89" si="128">M89/(1-K89/100+H89/100)</f>
        <v>77.619834710743802</v>
      </c>
      <c r="H89" s="18">
        <v>21</v>
      </c>
      <c r="I89" s="17">
        <f t="shared" ref="I89" si="129">G89*H89/100</f>
        <v>16.300165289256199</v>
      </c>
      <c r="J89" s="17">
        <f t="shared" ref="J89" si="130">G89</f>
        <v>77.619834710743802</v>
      </c>
      <c r="K89" s="18">
        <v>0</v>
      </c>
      <c r="L89" s="17">
        <f t="shared" ref="L89" si="131">J89*K89/100</f>
        <v>0</v>
      </c>
      <c r="M89" s="19">
        <v>93.92</v>
      </c>
      <c r="N89" s="38"/>
    </row>
    <row r="90" spans="1:19" x14ac:dyDescent="0.35">
      <c r="A90" s="20">
        <v>45524</v>
      </c>
      <c r="B90" s="25" t="s">
        <v>739</v>
      </c>
      <c r="C90" s="25" t="s">
        <v>167</v>
      </c>
      <c r="D90" s="25" t="s">
        <v>189</v>
      </c>
      <c r="E90" s="25" t="s">
        <v>190</v>
      </c>
      <c r="F90" s="5" t="str">
        <f t="shared" ref="F90" si="132">CONCATENATE(S90,B90," ",E90)</f>
        <v>018-0008-560478 BRICOLAJE BRICOMAN, S.L.U.</v>
      </c>
      <c r="G90" s="17">
        <f>M90/(1-K90/100+H90/100)</f>
        <v>35.578512396694215</v>
      </c>
      <c r="H90" s="18">
        <v>21</v>
      </c>
      <c r="I90" s="17">
        <f>G90*H90/100</f>
        <v>7.4714876033057855</v>
      </c>
      <c r="J90" s="17">
        <f>G90</f>
        <v>35.578512396694215</v>
      </c>
      <c r="K90" s="18">
        <v>0</v>
      </c>
      <c r="L90" s="17">
        <f>J90*K90/100</f>
        <v>0</v>
      </c>
      <c r="M90" s="19">
        <v>43.05</v>
      </c>
      <c r="N90" s="38" t="s">
        <v>27</v>
      </c>
    </row>
    <row r="91" spans="1:19" x14ac:dyDescent="0.35">
      <c r="A91" s="4">
        <v>45524</v>
      </c>
      <c r="B91" s="2" t="s">
        <v>615</v>
      </c>
      <c r="C91" s="25" t="s">
        <v>167</v>
      </c>
      <c r="D91" s="25" t="s">
        <v>206</v>
      </c>
      <c r="E91" s="16" t="s">
        <v>207</v>
      </c>
      <c r="F91" s="5" t="str">
        <f t="shared" si="123"/>
        <v>RC EOS ES2024/27259062 MAKSU ESPAÑA S.L.</v>
      </c>
      <c r="G91" s="5">
        <f t="shared" si="124"/>
        <v>0.7</v>
      </c>
      <c r="H91" s="18">
        <v>0</v>
      </c>
      <c r="I91" s="17">
        <f t="shared" si="125"/>
        <v>0</v>
      </c>
      <c r="J91" s="17">
        <f t="shared" si="126"/>
        <v>0.7</v>
      </c>
      <c r="K91" s="18">
        <v>0</v>
      </c>
      <c r="L91" s="17">
        <f t="shared" si="127"/>
        <v>0</v>
      </c>
      <c r="M91" s="19">
        <v>0.7</v>
      </c>
      <c r="N91" s="38"/>
    </row>
    <row r="92" spans="1:19" x14ac:dyDescent="0.35">
      <c r="A92" s="20">
        <v>45524</v>
      </c>
      <c r="B92" s="2" t="s">
        <v>616</v>
      </c>
      <c r="C92" s="25" t="s">
        <v>167</v>
      </c>
      <c r="D92" s="25" t="s">
        <v>206</v>
      </c>
      <c r="E92" s="16" t="s">
        <v>207</v>
      </c>
      <c r="F92" s="5" t="str">
        <f t="shared" si="123"/>
        <v>FT EOS ES2024/1568169 MAKSU ESPAÑA S.L.</v>
      </c>
      <c r="G92" s="5">
        <f t="shared" si="124"/>
        <v>6.6115702479338845E-2</v>
      </c>
      <c r="H92" s="18">
        <v>21</v>
      </c>
      <c r="I92" s="17">
        <f>G92*H92/100</f>
        <v>1.3884297520661157E-2</v>
      </c>
      <c r="J92" s="17">
        <f>G92</f>
        <v>6.6115702479338845E-2</v>
      </c>
      <c r="K92" s="18">
        <v>0</v>
      </c>
      <c r="L92" s="17">
        <f>J92*K92/100</f>
        <v>0</v>
      </c>
      <c r="M92" s="19">
        <v>0.08</v>
      </c>
      <c r="N92" s="38"/>
    </row>
    <row r="93" spans="1:19" x14ac:dyDescent="0.35">
      <c r="A93" s="20">
        <v>45527</v>
      </c>
      <c r="B93" s="2" t="s">
        <v>769</v>
      </c>
      <c r="C93" s="2" t="s">
        <v>167</v>
      </c>
      <c r="D93" s="2" t="s">
        <v>304</v>
      </c>
      <c r="E93" s="2" t="s">
        <v>305</v>
      </c>
      <c r="F93" s="5" t="str">
        <f t="shared" si="123"/>
        <v>S/F 096383/A/24/005459 Repsol Comercial de Productos Petrolíferos, S.A.</v>
      </c>
      <c r="G93" s="5">
        <f t="shared" si="124"/>
        <v>55.396694214876035</v>
      </c>
      <c r="H93" s="18">
        <v>21</v>
      </c>
      <c r="I93" s="5">
        <f t="shared" ref="I93" si="133">G93*H93/100</f>
        <v>11.633305785123966</v>
      </c>
      <c r="J93" s="5">
        <f t="shared" ref="J93" si="134">G93</f>
        <v>55.396694214876035</v>
      </c>
      <c r="K93" s="18">
        <v>0</v>
      </c>
      <c r="L93" s="5">
        <f t="shared" ref="L93" si="135">J93*K93/100</f>
        <v>0</v>
      </c>
      <c r="M93" s="8">
        <v>67.03</v>
      </c>
      <c r="S93" t="s">
        <v>19</v>
      </c>
    </row>
    <row r="94" spans="1:19" x14ac:dyDescent="0.35">
      <c r="A94" s="20">
        <v>45528</v>
      </c>
      <c r="B94" s="2" t="s">
        <v>645</v>
      </c>
      <c r="C94" s="2" t="s">
        <v>167</v>
      </c>
      <c r="D94" s="2" t="s">
        <v>646</v>
      </c>
      <c r="E94" s="2" t="s">
        <v>647</v>
      </c>
      <c r="F94" s="5" t="str">
        <f t="shared" si="123"/>
        <v>INV-ES-120939451-2024-18389 CT Global (UK) LTD</v>
      </c>
      <c r="G94" s="17">
        <f t="shared" si="1"/>
        <v>18.34</v>
      </c>
      <c r="H94" s="18">
        <v>0</v>
      </c>
      <c r="I94" s="17">
        <f t="shared" ref="I94:I97" si="136">G94*H94/100</f>
        <v>0</v>
      </c>
      <c r="J94" s="17">
        <f t="shared" ref="J94:J97" si="137">G94</f>
        <v>18.34</v>
      </c>
      <c r="K94" s="18">
        <v>0</v>
      </c>
      <c r="L94" s="17">
        <f t="shared" ref="L94:L97" si="138">J94*K94/100</f>
        <v>0</v>
      </c>
      <c r="M94" s="58">
        <v>18.34</v>
      </c>
      <c r="N94" s="38"/>
    </row>
    <row r="95" spans="1:19" x14ac:dyDescent="0.35">
      <c r="A95" s="20">
        <v>45528</v>
      </c>
      <c r="B95" s="2" t="s">
        <v>648</v>
      </c>
      <c r="C95" s="2" t="s">
        <v>167</v>
      </c>
      <c r="D95" s="2" t="s">
        <v>649</v>
      </c>
      <c r="E95" s="2" t="s">
        <v>650</v>
      </c>
      <c r="F95" s="5" t="str">
        <f t="shared" ref="F95" si="139">CONCATENATE(S95,B95," ",E95)</f>
        <v>INV-ES-916987855-2024-490 ningboyunxingkejiyouxiangongsi</v>
      </c>
      <c r="G95" s="17">
        <f t="shared" ref="G95" si="140">M95/(1-K95/100+H95/100)</f>
        <v>65.28</v>
      </c>
      <c r="H95" s="18">
        <v>0</v>
      </c>
      <c r="I95" s="17">
        <f t="shared" ref="I95" si="141">G95*H95/100</f>
        <v>0</v>
      </c>
      <c r="J95" s="17">
        <f t="shared" ref="J95" si="142">G95</f>
        <v>65.28</v>
      </c>
      <c r="K95" s="18">
        <v>0</v>
      </c>
      <c r="L95" s="17">
        <f t="shared" ref="L95" si="143">J95*K95/100</f>
        <v>0</v>
      </c>
      <c r="M95" s="58">
        <v>65.28</v>
      </c>
      <c r="N95" s="38"/>
    </row>
    <row r="96" spans="1:19" x14ac:dyDescent="0.35">
      <c r="A96" s="20">
        <v>45530</v>
      </c>
      <c r="B96" s="25" t="s">
        <v>565</v>
      </c>
      <c r="C96" s="25" t="s">
        <v>137</v>
      </c>
      <c r="D96" s="25" t="s">
        <v>138</v>
      </c>
      <c r="E96" s="25" t="s">
        <v>139</v>
      </c>
      <c r="F96" s="5" t="str">
        <f t="shared" ref="F96:F98" si="144">CONCATENATE(S96,B96," ",E96)</f>
        <v>504/24 TECNOLOGÍA DEL CONTROL ENERGÉTICO MADRID, S.L.</v>
      </c>
      <c r="G96" s="17">
        <f t="shared" ref="G96:G101" si="145">M96/(1-K96/100+H96/100)</f>
        <v>80</v>
      </c>
      <c r="H96" s="18">
        <v>21</v>
      </c>
      <c r="I96" s="17">
        <f t="shared" si="136"/>
        <v>16.8</v>
      </c>
      <c r="J96" s="17">
        <f t="shared" si="137"/>
        <v>80</v>
      </c>
      <c r="K96" s="18">
        <v>0</v>
      </c>
      <c r="L96" s="17">
        <f t="shared" si="138"/>
        <v>0</v>
      </c>
      <c r="M96" s="19">
        <v>96.8</v>
      </c>
      <c r="N96" s="35"/>
    </row>
    <row r="97" spans="1:14" x14ac:dyDescent="0.35">
      <c r="A97" s="20">
        <v>45531</v>
      </c>
      <c r="B97" s="2" t="s">
        <v>619</v>
      </c>
      <c r="C97" s="25" t="s">
        <v>167</v>
      </c>
      <c r="D97" s="25" t="s">
        <v>206</v>
      </c>
      <c r="E97" s="16" t="s">
        <v>207</v>
      </c>
      <c r="F97" s="5" t="str">
        <f t="shared" si="144"/>
        <v>RC EOS ES2024/27882557 MAKSU ESPAÑA S.L.</v>
      </c>
      <c r="G97" s="5">
        <f t="shared" si="145"/>
        <v>0.85</v>
      </c>
      <c r="H97" s="18">
        <v>0</v>
      </c>
      <c r="I97" s="17">
        <f t="shared" si="136"/>
        <v>0</v>
      </c>
      <c r="J97" s="17">
        <f t="shared" si="137"/>
        <v>0.85</v>
      </c>
      <c r="K97" s="18">
        <v>0</v>
      </c>
      <c r="L97" s="17">
        <f t="shared" si="138"/>
        <v>0</v>
      </c>
      <c r="M97" s="19">
        <v>0.85</v>
      </c>
      <c r="N97" s="38"/>
    </row>
    <row r="98" spans="1:14" x14ac:dyDescent="0.35">
      <c r="A98" s="4">
        <v>45531</v>
      </c>
      <c r="B98" s="2" t="s">
        <v>620</v>
      </c>
      <c r="C98" s="25" t="s">
        <v>167</v>
      </c>
      <c r="D98" s="25" t="s">
        <v>206</v>
      </c>
      <c r="E98" s="16" t="s">
        <v>207</v>
      </c>
      <c r="F98" s="5" t="str">
        <f t="shared" si="144"/>
        <v>FT EOS ES2024/1590924 MAKSU ESPAÑA S.L.</v>
      </c>
      <c r="G98" s="5">
        <f t="shared" si="145"/>
        <v>8.2644628099173556E-2</v>
      </c>
      <c r="H98" s="18">
        <v>21</v>
      </c>
      <c r="I98" s="17">
        <f>G98*H98/100</f>
        <v>1.7355371900826446E-2</v>
      </c>
      <c r="J98" s="17">
        <f>G98</f>
        <v>8.2644628099173556E-2</v>
      </c>
      <c r="K98" s="18">
        <v>0</v>
      </c>
      <c r="L98" s="17">
        <f>J98*K98/100</f>
        <v>0</v>
      </c>
      <c r="M98" s="19">
        <v>0.1</v>
      </c>
      <c r="N98" s="38"/>
    </row>
    <row r="99" spans="1:14" x14ac:dyDescent="0.35">
      <c r="A99" s="20">
        <v>45531</v>
      </c>
      <c r="B99" s="25" t="s">
        <v>656</v>
      </c>
      <c r="C99" s="25" t="s">
        <v>111</v>
      </c>
      <c r="D99" s="25" t="s">
        <v>235</v>
      </c>
      <c r="E99" s="25" t="s">
        <v>236</v>
      </c>
      <c r="F99" s="5" t="str">
        <f>CONCATENATE(S99,B99," ",E99)</f>
        <v>B5010824-00010707 ORANGE ESPAÑA VIRTUAL, S.L.U.</v>
      </c>
      <c r="G99" s="5">
        <f t="shared" si="145"/>
        <v>12.396694214876034</v>
      </c>
      <c r="H99" s="18">
        <v>21</v>
      </c>
      <c r="I99" s="17">
        <f>G99*H99/100</f>
        <v>2.6033057851239669</v>
      </c>
      <c r="J99" s="17">
        <f>G99</f>
        <v>12.396694214876034</v>
      </c>
      <c r="K99" s="18">
        <v>0</v>
      </c>
      <c r="L99" s="17">
        <f>J99*K99/100</f>
        <v>0</v>
      </c>
      <c r="M99" s="19">
        <v>15</v>
      </c>
      <c r="N99" s="35"/>
    </row>
    <row r="100" spans="1:14" x14ac:dyDescent="0.35">
      <c r="A100" s="20">
        <v>45531</v>
      </c>
      <c r="B100" s="25" t="s">
        <v>775</v>
      </c>
      <c r="C100" s="25" t="s">
        <v>167</v>
      </c>
      <c r="D100" s="16" t="s">
        <v>168</v>
      </c>
      <c r="E100" s="16" t="s">
        <v>169</v>
      </c>
      <c r="F100" s="5" t="str">
        <f t="shared" ref="F100" si="146">CONCATENATE(S100,B100," ",E100)</f>
        <v>70124FE000003028 SANTIAGO Y LYDIA DIAZ, S.L.</v>
      </c>
      <c r="G100" s="17">
        <f t="shared" si="145"/>
        <v>81.84297520661157</v>
      </c>
      <c r="H100" s="18">
        <v>21</v>
      </c>
      <c r="I100" s="17">
        <f t="shared" ref="I100" si="147">G100*H100/100</f>
        <v>17.187024793388431</v>
      </c>
      <c r="J100" s="17">
        <f t="shared" ref="J100" si="148">G100</f>
        <v>81.84297520661157</v>
      </c>
      <c r="K100" s="18">
        <v>0</v>
      </c>
      <c r="L100" s="17">
        <f t="shared" ref="L100" si="149">J100*K100/100</f>
        <v>0</v>
      </c>
      <c r="M100" s="19">
        <v>99.03</v>
      </c>
      <c r="N100" s="38"/>
    </row>
    <row r="101" spans="1:14" x14ac:dyDescent="0.35">
      <c r="A101" s="20">
        <v>45532</v>
      </c>
      <c r="B101" s="25" t="s">
        <v>770</v>
      </c>
      <c r="C101" s="25" t="s">
        <v>167</v>
      </c>
      <c r="D101" s="16" t="s">
        <v>168</v>
      </c>
      <c r="E101" s="16" t="s">
        <v>169</v>
      </c>
      <c r="F101" s="5" t="str">
        <f t="shared" ref="F101" si="150">CONCATENATE(S101,B101," ",E101)</f>
        <v>70124FE000003041 SANTIAGO Y LYDIA DIAZ, S.L.</v>
      </c>
      <c r="G101" s="17">
        <f t="shared" si="145"/>
        <v>49.611570247933884</v>
      </c>
      <c r="H101" s="18">
        <v>21</v>
      </c>
      <c r="I101" s="17">
        <f t="shared" ref="I101" si="151">G101*H101/100</f>
        <v>10.418429752066116</v>
      </c>
      <c r="J101" s="17">
        <f t="shared" ref="J101" si="152">G101</f>
        <v>49.611570247933884</v>
      </c>
      <c r="K101" s="18">
        <v>0</v>
      </c>
      <c r="L101" s="17">
        <f t="shared" ref="L101" si="153">J101*K101/100</f>
        <v>0</v>
      </c>
      <c r="M101" s="19">
        <v>60.03</v>
      </c>
      <c r="N101" s="38"/>
    </row>
    <row r="102" spans="1:14" x14ac:dyDescent="0.35">
      <c r="A102" s="4">
        <v>45533</v>
      </c>
      <c r="B102" s="2" t="s">
        <v>631</v>
      </c>
      <c r="C102" s="25" t="s">
        <v>167</v>
      </c>
      <c r="D102" s="25" t="s">
        <v>206</v>
      </c>
      <c r="E102" s="16" t="s">
        <v>207</v>
      </c>
      <c r="F102" s="5" t="str">
        <f t="shared" ref="F102:F103" si="154">CONCATENATE(S102,B102," ",E102)</f>
        <v>RC EOS ES2024/28113020 MAKSU ESPAÑA S.L.</v>
      </c>
      <c r="G102" s="5">
        <f t="shared" ref="G102:G103" si="155">M102/(1-K102/100+H102/100)</f>
        <v>4</v>
      </c>
      <c r="H102" s="18">
        <v>0</v>
      </c>
      <c r="I102" s="17">
        <f t="shared" ref="I102" si="156">G102*H102/100</f>
        <v>0</v>
      </c>
      <c r="J102" s="17">
        <f t="shared" ref="J102" si="157">G102</f>
        <v>4</v>
      </c>
      <c r="K102" s="18">
        <v>0</v>
      </c>
      <c r="L102" s="17">
        <f t="shared" ref="L102" si="158">J102*K102/100</f>
        <v>0</v>
      </c>
      <c r="M102" s="19">
        <v>4</v>
      </c>
      <c r="N102" s="38"/>
    </row>
    <row r="103" spans="1:14" x14ac:dyDescent="0.35">
      <c r="A103" s="4">
        <v>45533</v>
      </c>
      <c r="B103" s="2" t="s">
        <v>632</v>
      </c>
      <c r="C103" s="25" t="s">
        <v>167</v>
      </c>
      <c r="D103" s="25" t="s">
        <v>206</v>
      </c>
      <c r="E103" s="16" t="s">
        <v>207</v>
      </c>
      <c r="F103" s="5" t="str">
        <f t="shared" si="154"/>
        <v>FT EOS ES2024/1600293 MAKSU ESPAÑA S.L.</v>
      </c>
      <c r="G103" s="5">
        <f t="shared" si="155"/>
        <v>0.39669421487603307</v>
      </c>
      <c r="H103" s="18">
        <v>21</v>
      </c>
      <c r="I103" s="17">
        <f>G103*H103/100</f>
        <v>8.3305785123966955E-2</v>
      </c>
      <c r="J103" s="17">
        <f>G103</f>
        <v>0.39669421487603307</v>
      </c>
      <c r="K103" s="18">
        <v>0</v>
      </c>
      <c r="L103" s="17">
        <f>J103*K103/100</f>
        <v>0</v>
      </c>
      <c r="M103" s="19">
        <v>0.48</v>
      </c>
      <c r="N103" s="38"/>
    </row>
    <row r="104" spans="1:14" x14ac:dyDescent="0.35">
      <c r="A104" s="4">
        <v>45533</v>
      </c>
      <c r="B104" s="2" t="s">
        <v>623</v>
      </c>
      <c r="C104" s="25" t="s">
        <v>167</v>
      </c>
      <c r="D104" s="25" t="s">
        <v>206</v>
      </c>
      <c r="E104" s="16" t="s">
        <v>207</v>
      </c>
      <c r="F104" s="5" t="str">
        <f t="shared" ref="F104:F105" si="159">CONCATENATE(S104,B104," ",E104)</f>
        <v>RC EOS ES2024/28106072 MAKSU ESPAÑA S.L.</v>
      </c>
      <c r="G104" s="5">
        <f t="shared" si="1"/>
        <v>2.25</v>
      </c>
      <c r="H104" s="18">
        <v>0</v>
      </c>
      <c r="I104" s="17">
        <f t="shared" ref="I104" si="160">G104*H104/100</f>
        <v>0</v>
      </c>
      <c r="J104" s="17">
        <f t="shared" ref="J104" si="161">G104</f>
        <v>2.25</v>
      </c>
      <c r="K104" s="18">
        <v>0</v>
      </c>
      <c r="L104" s="17">
        <f t="shared" ref="L104" si="162">J104*K104/100</f>
        <v>0</v>
      </c>
      <c r="M104" s="19">
        <v>2.25</v>
      </c>
      <c r="N104" s="38"/>
    </row>
    <row r="105" spans="1:14" x14ac:dyDescent="0.35">
      <c r="A105" s="4">
        <v>45533</v>
      </c>
      <c r="B105" s="2" t="s">
        <v>624</v>
      </c>
      <c r="C105" s="25" t="s">
        <v>167</v>
      </c>
      <c r="D105" s="25" t="s">
        <v>206</v>
      </c>
      <c r="E105" s="16" t="s">
        <v>207</v>
      </c>
      <c r="F105" s="5" t="str">
        <f t="shared" si="159"/>
        <v>FT EOS ES2024/1599947 MAKSU ESPAÑA S.L.</v>
      </c>
      <c r="G105" s="5">
        <f t="shared" si="1"/>
        <v>0.22314049586776863</v>
      </c>
      <c r="H105" s="18">
        <v>21</v>
      </c>
      <c r="I105" s="17">
        <f>G105*H105/100</f>
        <v>4.685950413223141E-2</v>
      </c>
      <c r="J105" s="17">
        <f>G105</f>
        <v>0.22314049586776863</v>
      </c>
      <c r="K105" s="18">
        <v>0</v>
      </c>
      <c r="L105" s="17">
        <f>J105*K105/100</f>
        <v>0</v>
      </c>
      <c r="M105" s="19">
        <v>0.27</v>
      </c>
      <c r="N105" s="38"/>
    </row>
    <row r="106" spans="1:14" x14ac:dyDescent="0.35">
      <c r="A106" s="4">
        <v>45533</v>
      </c>
      <c r="B106" s="2" t="s">
        <v>621</v>
      </c>
      <c r="C106" s="25" t="s">
        <v>167</v>
      </c>
      <c r="D106" s="25" t="s">
        <v>206</v>
      </c>
      <c r="E106" s="16" t="s">
        <v>207</v>
      </c>
      <c r="F106" s="5" t="str">
        <f t="shared" ref="F106:F107" si="163">CONCATENATE(S106,B106," ",E106)</f>
        <v>RC EOS ES2024/28084299 MAKSU ESPAÑA S.L.</v>
      </c>
      <c r="G106" s="5">
        <f t="shared" ref="G106:G107" si="164">M106/(1-K106/100+H106/100)</f>
        <v>1.5</v>
      </c>
      <c r="H106" s="18">
        <v>0</v>
      </c>
      <c r="I106" s="17">
        <f t="shared" ref="I106" si="165">G106*H106/100</f>
        <v>0</v>
      </c>
      <c r="J106" s="17">
        <f t="shared" ref="J106" si="166">G106</f>
        <v>1.5</v>
      </c>
      <c r="K106" s="18">
        <v>0</v>
      </c>
      <c r="L106" s="17">
        <f t="shared" ref="L106" si="167">J106*K106/100</f>
        <v>0</v>
      </c>
      <c r="M106" s="19">
        <v>1.5</v>
      </c>
      <c r="N106" s="38"/>
    </row>
    <row r="107" spans="1:14" x14ac:dyDescent="0.35">
      <c r="A107" s="4">
        <v>45533</v>
      </c>
      <c r="B107" s="2" t="s">
        <v>622</v>
      </c>
      <c r="C107" s="25" t="s">
        <v>167</v>
      </c>
      <c r="D107" s="25" t="s">
        <v>206</v>
      </c>
      <c r="E107" s="16" t="s">
        <v>207</v>
      </c>
      <c r="F107" s="5" t="str">
        <f t="shared" si="163"/>
        <v>FT EOS ES2024/1598902 MAKSU ESPAÑA S.L.</v>
      </c>
      <c r="G107" s="5">
        <f t="shared" si="164"/>
        <v>0.1487603305785124</v>
      </c>
      <c r="H107" s="18">
        <v>21</v>
      </c>
      <c r="I107" s="17">
        <f>G107*H107/100</f>
        <v>3.1239669421487606E-2</v>
      </c>
      <c r="J107" s="17">
        <f>G107</f>
        <v>0.1487603305785124</v>
      </c>
      <c r="K107" s="18">
        <v>0</v>
      </c>
      <c r="L107" s="17">
        <f>J107*K107/100</f>
        <v>0</v>
      </c>
      <c r="M107" s="19">
        <v>0.18</v>
      </c>
      <c r="N107" s="38"/>
    </row>
    <row r="108" spans="1:14" x14ac:dyDescent="0.35">
      <c r="A108" s="4">
        <v>45533</v>
      </c>
      <c r="B108" s="2" t="s">
        <v>609</v>
      </c>
      <c r="C108" s="25" t="s">
        <v>167</v>
      </c>
      <c r="D108" s="25" t="s">
        <v>206</v>
      </c>
      <c r="E108" s="16" t="s">
        <v>207</v>
      </c>
      <c r="F108" s="5" t="str">
        <f t="shared" ref="F108:F109" si="168">CONCATENATE(S108,B108," ",E108)</f>
        <v>RC EOS ES2024/28115500 MAKSU ESPAÑA S.L.</v>
      </c>
      <c r="G108" s="5">
        <f t="shared" si="1"/>
        <v>1.75</v>
      </c>
      <c r="H108" s="18">
        <v>0</v>
      </c>
      <c r="I108" s="17">
        <f t="shared" ref="I108" si="169">G108*H108/100</f>
        <v>0</v>
      </c>
      <c r="J108" s="17">
        <f t="shared" ref="J108" si="170">G108</f>
        <v>1.75</v>
      </c>
      <c r="K108" s="18">
        <v>0</v>
      </c>
      <c r="L108" s="17">
        <f t="shared" ref="L108" si="171">J108*K108/100</f>
        <v>0</v>
      </c>
      <c r="M108" s="19">
        <v>1.75</v>
      </c>
      <c r="N108" s="38"/>
    </row>
    <row r="109" spans="1:14" x14ac:dyDescent="0.35">
      <c r="A109" s="4">
        <v>45533</v>
      </c>
      <c r="B109" s="2" t="s">
        <v>610</v>
      </c>
      <c r="C109" s="25" t="s">
        <v>167</v>
      </c>
      <c r="D109" s="25" t="s">
        <v>206</v>
      </c>
      <c r="E109" s="16" t="s">
        <v>207</v>
      </c>
      <c r="F109" s="5" t="str">
        <f t="shared" si="168"/>
        <v>FT EOS ES2024/1600440 MAKSU ESPAÑA S.L.</v>
      </c>
      <c r="G109" s="5">
        <f t="shared" si="1"/>
        <v>0.17355371900826447</v>
      </c>
      <c r="H109" s="18">
        <v>21</v>
      </c>
      <c r="I109" s="17">
        <f>G109*H109/100</f>
        <v>3.6446280991735538E-2</v>
      </c>
      <c r="J109" s="17">
        <f>G109</f>
        <v>0.17355371900826447</v>
      </c>
      <c r="K109" s="18">
        <v>0</v>
      </c>
      <c r="L109" s="17">
        <f>J109*K109/100</f>
        <v>0</v>
      </c>
      <c r="M109" s="19">
        <v>0.21</v>
      </c>
      <c r="N109" s="38"/>
    </row>
    <row r="110" spans="1:14" x14ac:dyDescent="0.35">
      <c r="A110" s="4">
        <v>45533</v>
      </c>
      <c r="B110" s="2" t="s">
        <v>617</v>
      </c>
      <c r="C110" s="25" t="s">
        <v>167</v>
      </c>
      <c r="D110" s="25" t="s">
        <v>206</v>
      </c>
      <c r="E110" s="16" t="s">
        <v>207</v>
      </c>
      <c r="F110" s="5" t="str">
        <f t="shared" ref="F110:F116" si="172">CONCATENATE(S110,B110," ",E110)</f>
        <v>RC EOS ES2024/28072247 MAKSU ESPAÑA S.L.</v>
      </c>
      <c r="G110" s="5">
        <f t="shared" ref="G110:G116" si="173">M110/(1-K110/100+H110/100)</f>
        <v>1</v>
      </c>
      <c r="H110" s="18">
        <v>0</v>
      </c>
      <c r="I110" s="17">
        <f t="shared" ref="I110" si="174">G110*H110/100</f>
        <v>0</v>
      </c>
      <c r="J110" s="17">
        <f t="shared" ref="J110" si="175">G110</f>
        <v>1</v>
      </c>
      <c r="K110" s="18">
        <v>0</v>
      </c>
      <c r="L110" s="17">
        <f t="shared" ref="L110" si="176">J110*K110/100</f>
        <v>0</v>
      </c>
      <c r="M110" s="19">
        <v>1</v>
      </c>
      <c r="N110" s="38"/>
    </row>
    <row r="111" spans="1:14" x14ac:dyDescent="0.35">
      <c r="A111" s="4">
        <v>45533</v>
      </c>
      <c r="B111" s="2" t="s">
        <v>618</v>
      </c>
      <c r="C111" s="25" t="s">
        <v>167</v>
      </c>
      <c r="D111" s="25" t="s">
        <v>206</v>
      </c>
      <c r="E111" s="16" t="s">
        <v>207</v>
      </c>
      <c r="F111" s="5" t="str">
        <f t="shared" si="172"/>
        <v>FT EOS ES2024/1598276 MAKSU ESPAÑA S.L.</v>
      </c>
      <c r="G111" s="5">
        <f t="shared" si="173"/>
        <v>9.9173553719008267E-2</v>
      </c>
      <c r="H111" s="18">
        <v>21</v>
      </c>
      <c r="I111" s="17">
        <f>G111*H111/100</f>
        <v>2.0826446280991739E-2</v>
      </c>
      <c r="J111" s="17">
        <f>G111</f>
        <v>9.9173553719008267E-2</v>
      </c>
      <c r="K111" s="18">
        <v>0</v>
      </c>
      <c r="L111" s="17">
        <f>J111*K111/100</f>
        <v>0</v>
      </c>
      <c r="M111" s="19">
        <v>0.12</v>
      </c>
      <c r="N111" s="38"/>
    </row>
    <row r="112" spans="1:14" x14ac:dyDescent="0.35">
      <c r="A112" s="4">
        <v>45533</v>
      </c>
      <c r="B112" s="2" t="s">
        <v>657</v>
      </c>
      <c r="C112" s="2" t="s">
        <v>111</v>
      </c>
      <c r="D112" s="2" t="s">
        <v>260</v>
      </c>
      <c r="E112" s="2" t="s">
        <v>261</v>
      </c>
      <c r="F112" s="5" t="str">
        <f t="shared" si="172"/>
        <v>240006147813 Canal de Isabel II, S.A.</v>
      </c>
      <c r="G112" s="5">
        <f t="shared" si="173"/>
        <v>22.18181818181818</v>
      </c>
      <c r="H112" s="18">
        <v>10</v>
      </c>
      <c r="I112" s="5">
        <f t="shared" ref="I112" si="177">G112*H112/100</f>
        <v>2.2181818181818183</v>
      </c>
      <c r="J112" s="5">
        <f t="shared" ref="J112" si="178">G112</f>
        <v>22.18181818181818</v>
      </c>
      <c r="K112" s="18">
        <v>0</v>
      </c>
      <c r="L112" s="5">
        <f t="shared" ref="L112" si="179">J112*K112/100</f>
        <v>0</v>
      </c>
      <c r="M112" s="8">
        <v>24.4</v>
      </c>
    </row>
    <row r="113" spans="1:19" x14ac:dyDescent="0.35">
      <c r="A113" s="4">
        <v>45534</v>
      </c>
      <c r="B113" s="2" t="s">
        <v>633</v>
      </c>
      <c r="C113" s="25" t="s">
        <v>167</v>
      </c>
      <c r="D113" s="25" t="s">
        <v>206</v>
      </c>
      <c r="E113" s="16" t="s">
        <v>207</v>
      </c>
      <c r="F113" s="5" t="str">
        <f t="shared" ref="F113:F114" si="180">CONCATENATE(S113,B113," ",E113)</f>
        <v>RC EOS ES2024/28219364 MAKSU ESPAÑA S.L.</v>
      </c>
      <c r="G113" s="5">
        <f t="shared" ref="G113:G114" si="181">M113/(1-K113/100+H113/100)</f>
        <v>1.6</v>
      </c>
      <c r="H113" s="18">
        <v>0</v>
      </c>
      <c r="I113" s="17">
        <f t="shared" ref="I113" si="182">G113*H113/100</f>
        <v>0</v>
      </c>
      <c r="J113" s="17">
        <f t="shared" ref="J113" si="183">G113</f>
        <v>1.6</v>
      </c>
      <c r="K113" s="18">
        <v>0</v>
      </c>
      <c r="L113" s="17">
        <f t="shared" ref="L113" si="184">J113*K113/100</f>
        <v>0</v>
      </c>
      <c r="M113" s="19">
        <v>1.6</v>
      </c>
      <c r="N113" s="38"/>
    </row>
    <row r="114" spans="1:19" x14ac:dyDescent="0.35">
      <c r="A114" s="4">
        <v>45534</v>
      </c>
      <c r="B114" s="2" t="s">
        <v>634</v>
      </c>
      <c r="C114" s="25" t="s">
        <v>167</v>
      </c>
      <c r="D114" s="25" t="s">
        <v>206</v>
      </c>
      <c r="E114" s="16" t="s">
        <v>207</v>
      </c>
      <c r="F114" s="5" t="str">
        <f t="shared" si="180"/>
        <v>FT EOS ES2024/1604452 MAKSU ESPAÑA S.L.</v>
      </c>
      <c r="G114" s="5">
        <f t="shared" si="181"/>
        <v>0.15702479338842976</v>
      </c>
      <c r="H114" s="18">
        <v>21</v>
      </c>
      <c r="I114" s="17">
        <f>G114*H114/100</f>
        <v>3.2975206611570246E-2</v>
      </c>
      <c r="J114" s="17">
        <f>G114</f>
        <v>0.15702479338842976</v>
      </c>
      <c r="K114" s="18">
        <v>0</v>
      </c>
      <c r="L114" s="17">
        <f>J114*K114/100</f>
        <v>0</v>
      </c>
      <c r="M114" s="19">
        <v>0.19</v>
      </c>
      <c r="N114" s="38"/>
    </row>
    <row r="115" spans="1:19" x14ac:dyDescent="0.35">
      <c r="A115" s="4">
        <v>45534</v>
      </c>
      <c r="B115" s="2" t="s">
        <v>627</v>
      </c>
      <c r="C115" s="25" t="s">
        <v>167</v>
      </c>
      <c r="D115" s="25" t="s">
        <v>206</v>
      </c>
      <c r="E115" s="16" t="s">
        <v>207</v>
      </c>
      <c r="F115" s="5" t="str">
        <f t="shared" si="172"/>
        <v>RC EOS ES2024/28236021 MAKSU ESPAÑA S.L.</v>
      </c>
      <c r="G115" s="5">
        <f t="shared" si="173"/>
        <v>2.25</v>
      </c>
      <c r="H115" s="18">
        <v>0</v>
      </c>
      <c r="I115" s="17">
        <f t="shared" ref="I115" si="185">G115*H115/100</f>
        <v>0</v>
      </c>
      <c r="J115" s="17">
        <f t="shared" ref="J115" si="186">G115</f>
        <v>2.25</v>
      </c>
      <c r="K115" s="18">
        <v>0</v>
      </c>
      <c r="L115" s="17">
        <f t="shared" ref="L115" si="187">J115*K115/100</f>
        <v>0</v>
      </c>
      <c r="M115" s="19">
        <v>2.25</v>
      </c>
      <c r="N115" s="38"/>
    </row>
    <row r="116" spans="1:19" x14ac:dyDescent="0.35">
      <c r="A116" s="4">
        <v>45534</v>
      </c>
      <c r="B116" s="2" t="s">
        <v>628</v>
      </c>
      <c r="C116" s="25" t="s">
        <v>167</v>
      </c>
      <c r="D116" s="25" t="s">
        <v>206</v>
      </c>
      <c r="E116" s="16" t="s">
        <v>207</v>
      </c>
      <c r="F116" s="5" t="str">
        <f t="shared" si="172"/>
        <v>FT EOS ES2024/1605181 MAKSU ESPAÑA S.L.</v>
      </c>
      <c r="G116" s="5">
        <f t="shared" si="173"/>
        <v>0.22314049586776863</v>
      </c>
      <c r="H116" s="18">
        <v>21</v>
      </c>
      <c r="I116" s="17">
        <f>G116*H116/100</f>
        <v>4.685950413223141E-2</v>
      </c>
      <c r="J116" s="17">
        <f>G116</f>
        <v>0.22314049586776863</v>
      </c>
      <c r="K116" s="18">
        <v>0</v>
      </c>
      <c r="L116" s="17">
        <f>J116*K116/100</f>
        <v>0</v>
      </c>
      <c r="M116" s="19">
        <v>0.27</v>
      </c>
      <c r="N116" s="38"/>
    </row>
    <row r="117" spans="1:19" x14ac:dyDescent="0.35">
      <c r="A117" s="4">
        <v>45534</v>
      </c>
      <c r="B117" s="2" t="s">
        <v>611</v>
      </c>
      <c r="C117" s="25" t="s">
        <v>167</v>
      </c>
      <c r="D117" s="25" t="s">
        <v>206</v>
      </c>
      <c r="E117" s="16" t="s">
        <v>207</v>
      </c>
      <c r="F117" s="5" t="str">
        <f t="shared" ref="F117:F118" si="188">CONCATENATE(S117,B117," ",E117)</f>
        <v>RC EOS ES2024/28199526 MAKSU ESPAÑA S.L.</v>
      </c>
      <c r="G117" s="5">
        <f t="shared" ref="G117:G118" si="189">M117/(1-K117/100+H117/100)</f>
        <v>1</v>
      </c>
      <c r="H117" s="18">
        <v>0</v>
      </c>
      <c r="I117" s="17">
        <f t="shared" ref="I117" si="190">G117*H117/100</f>
        <v>0</v>
      </c>
      <c r="J117" s="17">
        <f t="shared" ref="J117" si="191">G117</f>
        <v>1</v>
      </c>
      <c r="K117" s="18">
        <v>0</v>
      </c>
      <c r="L117" s="17">
        <f t="shared" ref="L117" si="192">J117*K117/100</f>
        <v>0</v>
      </c>
      <c r="M117" s="19">
        <v>1</v>
      </c>
      <c r="N117" s="38"/>
    </row>
    <row r="118" spans="1:19" x14ac:dyDescent="0.35">
      <c r="A118" s="4">
        <v>45534</v>
      </c>
      <c r="B118" s="2" t="s">
        <v>612</v>
      </c>
      <c r="C118" s="25" t="s">
        <v>167</v>
      </c>
      <c r="D118" s="25" t="s">
        <v>206</v>
      </c>
      <c r="E118" s="16" t="s">
        <v>207</v>
      </c>
      <c r="F118" s="5" t="str">
        <f t="shared" si="188"/>
        <v>FT EOS ES2024/1603476 MAKSU ESPAÑA S.L.</v>
      </c>
      <c r="G118" s="5">
        <f t="shared" si="189"/>
        <v>9.9173553719008267E-2</v>
      </c>
      <c r="H118" s="18">
        <v>21</v>
      </c>
      <c r="I118" s="17">
        <f>G118*H118/100</f>
        <v>2.0826446280991739E-2</v>
      </c>
      <c r="J118" s="17">
        <f>G118</f>
        <v>9.9173553719008267E-2</v>
      </c>
      <c r="K118" s="18">
        <v>0</v>
      </c>
      <c r="L118" s="17">
        <f>J118*K118/100</f>
        <v>0</v>
      </c>
      <c r="M118" s="19">
        <v>0.12</v>
      </c>
      <c r="N118" s="38"/>
    </row>
    <row r="119" spans="1:19" x14ac:dyDescent="0.35">
      <c r="A119" s="4">
        <v>45534</v>
      </c>
      <c r="B119" s="25" t="s">
        <v>557</v>
      </c>
      <c r="C119" s="25" t="s">
        <v>111</v>
      </c>
      <c r="D119" s="25" t="s">
        <v>127</v>
      </c>
      <c r="E119" s="25" t="s">
        <v>128</v>
      </c>
      <c r="F119" s="5" t="str">
        <f t="shared" ref="F119:F218" si="193">CONCATENATE(S119,B119," ",E119)</f>
        <v>F243146 CONTAMAR S.L.</v>
      </c>
      <c r="G119" s="17">
        <f t="shared" ref="G119:G143" si="194">M119/(1-K119/100+H119/100)</f>
        <v>254.79338842975207</v>
      </c>
      <c r="H119" s="18">
        <v>21</v>
      </c>
      <c r="I119" s="17">
        <f t="shared" ref="I119:I120" si="195">G119*H119/100</f>
        <v>53.506611570247934</v>
      </c>
      <c r="J119" s="17">
        <f t="shared" ref="J119:J120" si="196">G119</f>
        <v>254.79338842975207</v>
      </c>
      <c r="K119" s="18">
        <v>0</v>
      </c>
      <c r="L119" s="17">
        <f t="shared" ref="L119:L120" si="197">J119*K119/100</f>
        <v>0</v>
      </c>
      <c r="M119" s="19">
        <v>308.3</v>
      </c>
      <c r="N119" s="38"/>
    </row>
    <row r="120" spans="1:19" x14ac:dyDescent="0.35">
      <c r="A120" s="4">
        <v>45535</v>
      </c>
      <c r="B120" s="25" t="s">
        <v>561</v>
      </c>
      <c r="C120" s="25" t="s">
        <v>111</v>
      </c>
      <c r="D120" s="25" t="s">
        <v>112</v>
      </c>
      <c r="E120" s="25" t="s">
        <v>113</v>
      </c>
      <c r="F120" s="5" t="str">
        <f t="shared" si="193"/>
        <v>H4F09169 HIPER ANTENA, S.A.</v>
      </c>
      <c r="G120" s="17">
        <f t="shared" si="194"/>
        <v>264.82644628099172</v>
      </c>
      <c r="H120" s="18">
        <v>21</v>
      </c>
      <c r="I120" s="17">
        <f t="shared" si="195"/>
        <v>55.613553719008259</v>
      </c>
      <c r="J120" s="17">
        <f t="shared" si="196"/>
        <v>264.82644628099172</v>
      </c>
      <c r="K120" s="18">
        <v>0</v>
      </c>
      <c r="L120" s="17">
        <f t="shared" si="197"/>
        <v>0</v>
      </c>
      <c r="M120" s="19">
        <v>320.44</v>
      </c>
      <c r="N120" s="38"/>
    </row>
    <row r="121" spans="1:19" x14ac:dyDescent="0.35">
      <c r="A121" s="4">
        <v>45535</v>
      </c>
      <c r="B121" s="2" t="s">
        <v>559</v>
      </c>
      <c r="C121" s="2" t="s">
        <v>111</v>
      </c>
      <c r="D121" s="2" t="s">
        <v>114</v>
      </c>
      <c r="E121" s="2" t="s">
        <v>115</v>
      </c>
      <c r="F121" s="5" t="str">
        <f t="shared" si="193"/>
        <v>S/F FR363094 ELECTRO MERCANTIL LEGANES D.A.M.,S.L.U.</v>
      </c>
      <c r="G121" s="17">
        <f t="shared" si="194"/>
        <v>715.00826446280996</v>
      </c>
      <c r="H121" s="18">
        <v>21</v>
      </c>
      <c r="I121" s="5">
        <f>G121*H121/100</f>
        <v>150.15173553719009</v>
      </c>
      <c r="J121" s="5">
        <f>G121</f>
        <v>715.00826446280996</v>
      </c>
      <c r="K121" s="18">
        <v>0</v>
      </c>
      <c r="L121" s="5">
        <f>J121*K121/100</f>
        <v>0</v>
      </c>
      <c r="M121" s="8">
        <v>865.16</v>
      </c>
      <c r="S121" t="s">
        <v>19</v>
      </c>
    </row>
    <row r="122" spans="1:19" x14ac:dyDescent="0.35">
      <c r="A122" s="4">
        <v>45536</v>
      </c>
      <c r="B122" s="25" t="s">
        <v>566</v>
      </c>
      <c r="C122" s="25" t="s">
        <v>137</v>
      </c>
      <c r="D122" s="25" t="s">
        <v>367</v>
      </c>
      <c r="E122" s="25" t="s">
        <v>368</v>
      </c>
      <c r="F122" s="5" t="str">
        <f t="shared" si="193"/>
        <v>09/24 COMUNIDAD BIENES ANT. J.  SERRANO RUBIO</v>
      </c>
      <c r="G122" s="17">
        <f t="shared" si="194"/>
        <v>825</v>
      </c>
      <c r="H122" s="18">
        <v>21</v>
      </c>
      <c r="I122" s="17">
        <f>G122*H122/100</f>
        <v>173.25</v>
      </c>
      <c r="J122" s="17">
        <f>G122</f>
        <v>825</v>
      </c>
      <c r="K122" s="18">
        <v>19</v>
      </c>
      <c r="L122" s="17">
        <f>J122*K122/100</f>
        <v>156.75</v>
      </c>
      <c r="M122" s="19">
        <v>841.5</v>
      </c>
      <c r="N122" s="35"/>
    </row>
    <row r="123" spans="1:19" x14ac:dyDescent="0.35">
      <c r="A123" s="4">
        <v>45536</v>
      </c>
      <c r="B123" s="2" t="s">
        <v>567</v>
      </c>
      <c r="C123" s="25" t="s">
        <v>137</v>
      </c>
      <c r="D123" s="25" t="s">
        <v>369</v>
      </c>
      <c r="E123" s="25" t="s">
        <v>370</v>
      </c>
      <c r="F123" s="5" t="str">
        <f t="shared" si="193"/>
        <v>A009/24 JAVIER SERRANO IZQUIERDO</v>
      </c>
      <c r="G123" s="17">
        <f t="shared" si="194"/>
        <v>550</v>
      </c>
      <c r="H123" s="18">
        <v>21</v>
      </c>
      <c r="I123" s="17">
        <f t="shared" ref="I123:I152" si="198">G123*H123/100</f>
        <v>115.5</v>
      </c>
      <c r="J123" s="17">
        <f t="shared" ref="J123:J152" si="199">G123</f>
        <v>550</v>
      </c>
      <c r="K123" s="18">
        <v>19</v>
      </c>
      <c r="L123" s="17">
        <f t="shared" ref="L123:L142" si="200">J123*K123/100</f>
        <v>104.5</v>
      </c>
      <c r="M123" s="19">
        <v>561</v>
      </c>
      <c r="N123" s="35"/>
    </row>
    <row r="124" spans="1:19" x14ac:dyDescent="0.35">
      <c r="A124" s="4">
        <v>45536</v>
      </c>
      <c r="B124" s="20" t="s">
        <v>583</v>
      </c>
      <c r="C124" s="25" t="s">
        <v>111</v>
      </c>
      <c r="D124" s="25" t="s">
        <v>116</v>
      </c>
      <c r="E124" s="25" t="s">
        <v>117</v>
      </c>
      <c r="F124" s="5" t="str">
        <f t="shared" si="193"/>
        <v>2409C00756920 SECURITAS DIRECT ESPAÑA S.A.U.</v>
      </c>
      <c r="G124" s="17">
        <f t="shared" si="194"/>
        <v>30.553719008264462</v>
      </c>
      <c r="H124" s="18">
        <v>21</v>
      </c>
      <c r="I124" s="17">
        <f t="shared" si="198"/>
        <v>6.4162809917355368</v>
      </c>
      <c r="J124" s="17">
        <f t="shared" si="199"/>
        <v>30.553719008264462</v>
      </c>
      <c r="K124" s="18">
        <v>0</v>
      </c>
      <c r="L124" s="17">
        <f t="shared" si="200"/>
        <v>0</v>
      </c>
      <c r="M124" s="19">
        <v>36.97</v>
      </c>
      <c r="N124" s="38" t="s">
        <v>27</v>
      </c>
    </row>
    <row r="125" spans="1:19" x14ac:dyDescent="0.35">
      <c r="A125" s="4">
        <v>45536</v>
      </c>
      <c r="B125" s="20" t="s">
        <v>584</v>
      </c>
      <c r="C125" s="25" t="s">
        <v>111</v>
      </c>
      <c r="D125" s="25" t="s">
        <v>116</v>
      </c>
      <c r="E125" s="25" t="s">
        <v>117</v>
      </c>
      <c r="F125" s="5" t="str">
        <f t="shared" si="193"/>
        <v>2409C00406660 SECURITAS DIRECT ESPAÑA S.A.U.</v>
      </c>
      <c r="G125" s="17">
        <f t="shared" si="194"/>
        <v>28.388429752066116</v>
      </c>
      <c r="H125" s="18">
        <v>21</v>
      </c>
      <c r="I125" s="17">
        <f t="shared" si="198"/>
        <v>5.961570247933885</v>
      </c>
      <c r="J125" s="17">
        <f t="shared" si="199"/>
        <v>28.388429752066116</v>
      </c>
      <c r="K125" s="18">
        <v>0</v>
      </c>
      <c r="L125" s="17">
        <f t="shared" si="200"/>
        <v>0</v>
      </c>
      <c r="M125" s="19">
        <v>34.35</v>
      </c>
      <c r="N125" s="38" t="s">
        <v>27</v>
      </c>
    </row>
    <row r="126" spans="1:19" x14ac:dyDescent="0.35">
      <c r="A126" s="4">
        <v>45536</v>
      </c>
      <c r="B126" s="20" t="s">
        <v>585</v>
      </c>
      <c r="C126" s="25" t="s">
        <v>111</v>
      </c>
      <c r="D126" s="25" t="s">
        <v>116</v>
      </c>
      <c r="E126" s="25" t="s">
        <v>117</v>
      </c>
      <c r="F126" s="5" t="str">
        <f t="shared" si="193"/>
        <v>2409C00394699 SECURITAS DIRECT ESPAÑA S.A.U.</v>
      </c>
      <c r="G126" s="17">
        <f t="shared" si="194"/>
        <v>28.330578512396695</v>
      </c>
      <c r="H126" s="18">
        <v>21</v>
      </c>
      <c r="I126" s="17">
        <f t="shared" si="198"/>
        <v>5.9494214876033062</v>
      </c>
      <c r="J126" s="17">
        <f t="shared" si="199"/>
        <v>28.330578512396695</v>
      </c>
      <c r="K126" s="18">
        <v>0</v>
      </c>
      <c r="L126" s="17">
        <f t="shared" si="200"/>
        <v>0</v>
      </c>
      <c r="M126" s="19">
        <v>34.28</v>
      </c>
      <c r="N126" s="38" t="s">
        <v>27</v>
      </c>
    </row>
    <row r="127" spans="1:19" x14ac:dyDescent="0.35">
      <c r="A127" s="4">
        <v>45536</v>
      </c>
      <c r="B127" s="25" t="s">
        <v>746</v>
      </c>
      <c r="C127" s="25" t="s">
        <v>167</v>
      </c>
      <c r="D127" s="25" t="s">
        <v>189</v>
      </c>
      <c r="E127" s="25" t="s">
        <v>190</v>
      </c>
      <c r="F127" s="5" t="str">
        <f t="shared" si="193"/>
        <v>018-0009-579714 BRICOLAJE BRICOMAN, S.L.U.</v>
      </c>
      <c r="G127" s="17">
        <f>M127/(1-K127/100+H127/100)</f>
        <v>7.5289256198347108</v>
      </c>
      <c r="H127" s="18">
        <v>21</v>
      </c>
      <c r="I127" s="17">
        <f>G127*H127/100</f>
        <v>1.5810743801652893</v>
      </c>
      <c r="J127" s="17">
        <f>G127</f>
        <v>7.5289256198347108</v>
      </c>
      <c r="K127" s="18">
        <v>0</v>
      </c>
      <c r="L127" s="17">
        <f>J127*K127/100</f>
        <v>0</v>
      </c>
      <c r="M127" s="19">
        <v>9.11</v>
      </c>
      <c r="N127" s="38" t="s">
        <v>27</v>
      </c>
    </row>
    <row r="128" spans="1:19" x14ac:dyDescent="0.35">
      <c r="A128" s="4">
        <v>45537</v>
      </c>
      <c r="B128" s="25" t="s">
        <v>776</v>
      </c>
      <c r="C128" s="25" t="s">
        <v>167</v>
      </c>
      <c r="D128" s="25" t="s">
        <v>297</v>
      </c>
      <c r="E128" s="25" t="s">
        <v>298</v>
      </c>
      <c r="F128" s="5" t="str">
        <f t="shared" si="193"/>
        <v>6375358 AENA S.M.E., S.A.</v>
      </c>
      <c r="G128" s="17">
        <f t="shared" ref="G128" si="201">M128/(1-K128/100+H128/100)</f>
        <v>24.710743801652892</v>
      </c>
      <c r="H128" s="18">
        <v>21</v>
      </c>
      <c r="I128" s="17">
        <f t="shared" ref="I128" si="202">G128*H128/100</f>
        <v>5.1892561983471071</v>
      </c>
      <c r="J128" s="17">
        <f t="shared" ref="J128" si="203">G128</f>
        <v>24.710743801652892</v>
      </c>
      <c r="K128" s="18">
        <v>0</v>
      </c>
      <c r="L128" s="17">
        <f t="shared" ref="L128" si="204">J128*K128/100</f>
        <v>0</v>
      </c>
      <c r="M128" s="19">
        <v>29.9</v>
      </c>
      <c r="N128" s="38"/>
    </row>
    <row r="129" spans="1:19" x14ac:dyDescent="0.35">
      <c r="A129" s="4">
        <v>45537</v>
      </c>
      <c r="B129" s="2" t="s">
        <v>734</v>
      </c>
      <c r="C129" s="25" t="s">
        <v>167</v>
      </c>
      <c r="D129" s="25" t="s">
        <v>206</v>
      </c>
      <c r="E129" s="16" t="s">
        <v>207</v>
      </c>
      <c r="F129" s="5" t="str">
        <f t="shared" si="193"/>
        <v>RC EOS ES2024/28397189 MAKSU ESPAÑA S.L.</v>
      </c>
      <c r="G129" s="5">
        <f t="shared" si="194"/>
        <v>1.1499999999999999</v>
      </c>
      <c r="H129" s="18">
        <v>0</v>
      </c>
      <c r="I129" s="17">
        <f t="shared" si="198"/>
        <v>0</v>
      </c>
      <c r="J129" s="17">
        <f t="shared" si="199"/>
        <v>1.1499999999999999</v>
      </c>
      <c r="K129" s="18">
        <v>0</v>
      </c>
      <c r="L129" s="17">
        <f t="shared" si="200"/>
        <v>0</v>
      </c>
      <c r="M129" s="19">
        <v>1.1499999999999999</v>
      </c>
      <c r="N129" s="38"/>
    </row>
    <row r="130" spans="1:19" x14ac:dyDescent="0.35">
      <c r="A130" s="4">
        <v>45537</v>
      </c>
      <c r="B130" s="2" t="s">
        <v>735</v>
      </c>
      <c r="C130" s="25" t="s">
        <v>167</v>
      </c>
      <c r="D130" s="25" t="s">
        <v>206</v>
      </c>
      <c r="E130" s="16" t="s">
        <v>207</v>
      </c>
      <c r="F130" s="5" t="str">
        <f t="shared" si="193"/>
        <v>FT EOS ES2024/1611864 MAKSU ESPAÑA S.L.</v>
      </c>
      <c r="G130" s="5">
        <f t="shared" si="194"/>
        <v>0.11570247933884299</v>
      </c>
      <c r="H130" s="18">
        <v>21</v>
      </c>
      <c r="I130" s="17">
        <f>G130*H130/100</f>
        <v>2.4297520661157028E-2</v>
      </c>
      <c r="J130" s="17">
        <f>G130</f>
        <v>0.11570247933884299</v>
      </c>
      <c r="K130" s="18">
        <v>0</v>
      </c>
      <c r="L130" s="17">
        <f>J130*K130/100</f>
        <v>0</v>
      </c>
      <c r="M130" s="19">
        <v>0.14000000000000001</v>
      </c>
      <c r="N130" s="38"/>
    </row>
    <row r="131" spans="1:19" x14ac:dyDescent="0.35">
      <c r="A131" s="4">
        <v>45537</v>
      </c>
      <c r="B131" s="25" t="s">
        <v>773</v>
      </c>
      <c r="C131" s="25" t="s">
        <v>167</v>
      </c>
      <c r="D131" s="16" t="s">
        <v>168</v>
      </c>
      <c r="E131" s="16" t="s">
        <v>169</v>
      </c>
      <c r="F131" s="5" t="str">
        <f t="shared" si="193"/>
        <v>70124FE000003081 SANTIAGO Y LYDIA DIAZ, S.L.</v>
      </c>
      <c r="G131" s="17">
        <f t="shared" si="194"/>
        <v>48.826446280991739</v>
      </c>
      <c r="H131" s="18">
        <v>21</v>
      </c>
      <c r="I131" s="17">
        <f t="shared" ref="I131" si="205">G131*H131/100</f>
        <v>10.253553719008265</v>
      </c>
      <c r="J131" s="17">
        <f t="shared" ref="J131" si="206">G131</f>
        <v>48.826446280991739</v>
      </c>
      <c r="K131" s="18">
        <v>0</v>
      </c>
      <c r="L131" s="17">
        <f t="shared" ref="L131" si="207">J131*K131/100</f>
        <v>0</v>
      </c>
      <c r="M131" s="19">
        <v>59.08</v>
      </c>
      <c r="N131" s="38"/>
    </row>
    <row r="132" spans="1:19" x14ac:dyDescent="0.35">
      <c r="A132" s="4">
        <v>45538</v>
      </c>
      <c r="B132" s="2" t="s">
        <v>692</v>
      </c>
      <c r="C132" s="25" t="s">
        <v>167</v>
      </c>
      <c r="D132" s="25" t="s">
        <v>206</v>
      </c>
      <c r="E132" s="16" t="s">
        <v>207</v>
      </c>
      <c r="F132" s="5" t="str">
        <f t="shared" ref="F132:F133" si="208">CONCATENATE(S132,B132," ",E132)</f>
        <v>RC EOS ES2024/28639855 MAKSU ESPAÑA S.L.</v>
      </c>
      <c r="G132" s="5">
        <f t="shared" ref="G132:G133" si="209">M132/(1-K132/100+H132/100)</f>
        <v>1.85</v>
      </c>
      <c r="H132" s="18">
        <v>0</v>
      </c>
      <c r="I132" s="17">
        <f t="shared" ref="I132" si="210">G132*H132/100</f>
        <v>0</v>
      </c>
      <c r="J132" s="17">
        <f t="shared" ref="J132" si="211">G132</f>
        <v>1.85</v>
      </c>
      <c r="K132" s="18">
        <v>0</v>
      </c>
      <c r="L132" s="17">
        <f t="shared" ref="L132" si="212">J132*K132/100</f>
        <v>0</v>
      </c>
      <c r="M132" s="19">
        <v>1.85</v>
      </c>
      <c r="N132" s="38"/>
    </row>
    <row r="133" spans="1:19" x14ac:dyDescent="0.35">
      <c r="A133" s="4">
        <v>45538</v>
      </c>
      <c r="B133" s="2" t="s">
        <v>693</v>
      </c>
      <c r="C133" s="25" t="s">
        <v>167</v>
      </c>
      <c r="D133" s="25" t="s">
        <v>206</v>
      </c>
      <c r="E133" s="16" t="s">
        <v>207</v>
      </c>
      <c r="F133" s="5" t="str">
        <f t="shared" si="208"/>
        <v>FT EOS ES2024/1625301 MAKSU ESPAÑA S.L.</v>
      </c>
      <c r="G133" s="5">
        <f t="shared" si="209"/>
        <v>0.18181818181818182</v>
      </c>
      <c r="H133" s="18">
        <v>21</v>
      </c>
      <c r="I133" s="17">
        <f>G133*H133/100</f>
        <v>3.8181818181818185E-2</v>
      </c>
      <c r="J133" s="17">
        <f>G133</f>
        <v>0.18181818181818182</v>
      </c>
      <c r="K133" s="18">
        <v>0</v>
      </c>
      <c r="L133" s="17">
        <f>J133*K133/100</f>
        <v>0</v>
      </c>
      <c r="M133" s="19">
        <v>0.22</v>
      </c>
      <c r="N133" s="38"/>
    </row>
    <row r="134" spans="1:19" x14ac:dyDescent="0.35">
      <c r="A134" s="4">
        <v>45540</v>
      </c>
      <c r="B134" s="2" t="s">
        <v>658</v>
      </c>
      <c r="C134" s="2" t="s">
        <v>111</v>
      </c>
      <c r="D134" s="2" t="s">
        <v>230</v>
      </c>
      <c r="E134" s="2" t="s">
        <v>231</v>
      </c>
      <c r="F134" s="5" t="str">
        <f t="shared" si="193"/>
        <v>S/F 09240905010026293 CURENERGÍA COMERCIALIZADOR DE ÚLTIMO RECURSO S.A.U.</v>
      </c>
      <c r="G134" s="17">
        <f t="shared" si="194"/>
        <v>22.801652892561982</v>
      </c>
      <c r="H134">
        <v>21</v>
      </c>
      <c r="I134" s="5">
        <f t="shared" si="198"/>
        <v>4.7883471074380166</v>
      </c>
      <c r="J134" s="17">
        <f t="shared" si="199"/>
        <v>22.801652892561982</v>
      </c>
      <c r="K134">
        <v>0</v>
      </c>
      <c r="L134" s="17">
        <f t="shared" si="200"/>
        <v>0</v>
      </c>
      <c r="M134" s="8">
        <v>27.59</v>
      </c>
      <c r="S134" t="s">
        <v>19</v>
      </c>
    </row>
    <row r="135" spans="1:19" x14ac:dyDescent="0.35">
      <c r="A135" s="4">
        <v>45540</v>
      </c>
      <c r="B135" s="2" t="s">
        <v>700</v>
      </c>
      <c r="C135" s="25" t="s">
        <v>167</v>
      </c>
      <c r="D135" s="25" t="s">
        <v>206</v>
      </c>
      <c r="E135" s="16" t="s">
        <v>207</v>
      </c>
      <c r="F135" s="5" t="str">
        <f t="shared" ref="F135:F136" si="213">CONCATENATE(S135,B135," ",E135)</f>
        <v>RC EOS ES2024/28866419 MAKSU ESPAÑA S.L.</v>
      </c>
      <c r="G135" s="5">
        <f t="shared" ref="G135:G136" si="214">M135/(1-K135/100+H135/100)</f>
        <v>1</v>
      </c>
      <c r="H135" s="18">
        <v>0</v>
      </c>
      <c r="I135" s="17">
        <f t="shared" ref="I135" si="215">G135*H135/100</f>
        <v>0</v>
      </c>
      <c r="J135" s="17">
        <f t="shared" ref="J135" si="216">G135</f>
        <v>1</v>
      </c>
      <c r="K135" s="18">
        <v>0</v>
      </c>
      <c r="L135" s="17">
        <f t="shared" ref="L135" si="217">J135*K135/100</f>
        <v>0</v>
      </c>
      <c r="M135" s="19">
        <v>1</v>
      </c>
      <c r="N135" s="38"/>
    </row>
    <row r="136" spans="1:19" x14ac:dyDescent="0.35">
      <c r="A136" s="4">
        <v>45540</v>
      </c>
      <c r="B136" s="2" t="s">
        <v>701</v>
      </c>
      <c r="C136" s="25" t="s">
        <v>167</v>
      </c>
      <c r="D136" s="25" t="s">
        <v>206</v>
      </c>
      <c r="E136" s="16" t="s">
        <v>207</v>
      </c>
      <c r="F136" s="5" t="str">
        <f t="shared" si="213"/>
        <v>FT EOS ES2024/1637617 MAKSU ESPAÑA S.L.</v>
      </c>
      <c r="G136" s="5">
        <f t="shared" si="214"/>
        <v>9.9173553719008267E-2</v>
      </c>
      <c r="H136" s="18">
        <v>21</v>
      </c>
      <c r="I136" s="17">
        <f>G136*H136/100</f>
        <v>2.0826446280991739E-2</v>
      </c>
      <c r="J136" s="17">
        <f>G136</f>
        <v>9.9173553719008267E-2</v>
      </c>
      <c r="K136" s="18">
        <v>0</v>
      </c>
      <c r="L136" s="17">
        <f>J136*K136/100</f>
        <v>0</v>
      </c>
      <c r="M136" s="19">
        <v>0.12</v>
      </c>
      <c r="N136" s="38"/>
    </row>
    <row r="137" spans="1:19" x14ac:dyDescent="0.35">
      <c r="A137" s="4">
        <v>45540</v>
      </c>
      <c r="B137" s="2" t="s">
        <v>704</v>
      </c>
      <c r="C137" s="25" t="s">
        <v>167</v>
      </c>
      <c r="D137" s="25" t="s">
        <v>206</v>
      </c>
      <c r="E137" s="16" t="s">
        <v>207</v>
      </c>
      <c r="F137" s="5" t="str">
        <f t="shared" ref="F137:F138" si="218">CONCATENATE(S137,B137," ",E137)</f>
        <v>RC EOS ES2024/28890695 MAKSU ESPAÑA S.L.</v>
      </c>
      <c r="G137" s="5">
        <f t="shared" ref="G137:G138" si="219">M137/(1-K137/100+H137/100)</f>
        <v>1.5</v>
      </c>
      <c r="H137" s="18">
        <v>0</v>
      </c>
      <c r="I137" s="17">
        <f t="shared" ref="I137" si="220">G137*H137/100</f>
        <v>0</v>
      </c>
      <c r="J137" s="17">
        <f t="shared" ref="J137" si="221">G137</f>
        <v>1.5</v>
      </c>
      <c r="K137" s="18">
        <v>0</v>
      </c>
      <c r="L137" s="17">
        <f t="shared" ref="L137" si="222">J137*K137/100</f>
        <v>0</v>
      </c>
      <c r="M137" s="19">
        <v>1.5</v>
      </c>
      <c r="N137" s="38"/>
    </row>
    <row r="138" spans="1:19" x14ac:dyDescent="0.35">
      <c r="A138" s="4">
        <v>45540</v>
      </c>
      <c r="B138" s="2" t="s">
        <v>705</v>
      </c>
      <c r="C138" s="25" t="s">
        <v>167</v>
      </c>
      <c r="D138" s="25" t="s">
        <v>206</v>
      </c>
      <c r="E138" s="16" t="s">
        <v>207</v>
      </c>
      <c r="F138" s="5" t="str">
        <f t="shared" si="218"/>
        <v>FT EOS ES2024/1639103 MAKSU ESPAÑA S.L.</v>
      </c>
      <c r="G138" s="5">
        <f t="shared" si="219"/>
        <v>0.1487603305785124</v>
      </c>
      <c r="H138" s="18">
        <v>21</v>
      </c>
      <c r="I138" s="17">
        <f>G138*H138/100</f>
        <v>3.1239669421487606E-2</v>
      </c>
      <c r="J138" s="17">
        <f>G138</f>
        <v>0.1487603305785124</v>
      </c>
      <c r="K138" s="18">
        <v>0</v>
      </c>
      <c r="L138" s="17">
        <f>J138*K138/100</f>
        <v>0</v>
      </c>
      <c r="M138" s="19">
        <v>0.18</v>
      </c>
      <c r="N138" s="38"/>
    </row>
    <row r="139" spans="1:19" x14ac:dyDescent="0.35">
      <c r="A139" s="4">
        <v>45540</v>
      </c>
      <c r="B139" s="2" t="s">
        <v>728</v>
      </c>
      <c r="C139" s="25" t="s">
        <v>167</v>
      </c>
      <c r="D139" s="25" t="s">
        <v>206</v>
      </c>
      <c r="E139" s="16" t="s">
        <v>207</v>
      </c>
      <c r="F139" s="5" t="str">
        <f t="shared" ref="F139:F141" si="223">CONCATENATE(S139,B139," ",E139)</f>
        <v>RC EOS ES2024/28906403 MAKSU ESPAÑA S.L.</v>
      </c>
      <c r="G139" s="5">
        <f t="shared" ref="G139:G141" si="224">M139/(1-K139/100+H139/100)</f>
        <v>2.25</v>
      </c>
      <c r="H139" s="18">
        <v>0</v>
      </c>
      <c r="I139" s="17">
        <f t="shared" ref="I139" si="225">G139*H139/100</f>
        <v>0</v>
      </c>
      <c r="J139" s="17">
        <f t="shared" ref="J139" si="226">G139</f>
        <v>2.25</v>
      </c>
      <c r="K139" s="18">
        <v>0</v>
      </c>
      <c r="L139" s="17">
        <f t="shared" ref="L139" si="227">J139*K139/100</f>
        <v>0</v>
      </c>
      <c r="M139" s="19">
        <v>2.25</v>
      </c>
      <c r="N139" s="38"/>
    </row>
    <row r="140" spans="1:19" x14ac:dyDescent="0.35">
      <c r="A140" s="4">
        <v>45540</v>
      </c>
      <c r="B140" s="2" t="s">
        <v>729</v>
      </c>
      <c r="C140" s="25" t="s">
        <v>167</v>
      </c>
      <c r="D140" s="25" t="s">
        <v>206</v>
      </c>
      <c r="E140" s="16" t="s">
        <v>207</v>
      </c>
      <c r="F140" s="5" t="str">
        <f t="shared" si="223"/>
        <v>FT EOS ES2024/1640123 MAKSU ESPAÑA S.L.</v>
      </c>
      <c r="G140" s="5">
        <f t="shared" si="224"/>
        <v>0.22314049586776863</v>
      </c>
      <c r="H140" s="18">
        <v>21</v>
      </c>
      <c r="I140" s="17">
        <f>G140*H140/100</f>
        <v>4.685950413223141E-2</v>
      </c>
      <c r="J140" s="17">
        <f>G140</f>
        <v>0.22314049586776863</v>
      </c>
      <c r="K140" s="18">
        <v>0</v>
      </c>
      <c r="L140" s="17">
        <f>J140*K140/100</f>
        <v>0</v>
      </c>
      <c r="M140" s="19">
        <v>0.27</v>
      </c>
      <c r="N140" s="38"/>
    </row>
    <row r="141" spans="1:19" x14ac:dyDescent="0.35">
      <c r="A141" s="4">
        <v>45541</v>
      </c>
      <c r="B141" s="2" t="s">
        <v>790</v>
      </c>
      <c r="C141" s="25" t="s">
        <v>167</v>
      </c>
      <c r="D141" s="25" t="s">
        <v>791</v>
      </c>
      <c r="E141" s="16" t="s">
        <v>792</v>
      </c>
      <c r="F141" s="5" t="str">
        <f t="shared" si="223"/>
        <v>01924/702104501 C.C. BURGO DE LAS ROZAS,S.L.</v>
      </c>
      <c r="G141" s="5">
        <f t="shared" si="224"/>
        <v>4.1735537190082646</v>
      </c>
      <c r="H141" s="18">
        <v>21</v>
      </c>
      <c r="I141" s="17">
        <f>G141*H141/100</f>
        <v>0.8764462809917356</v>
      </c>
      <c r="J141" s="17">
        <f>G141</f>
        <v>4.1735537190082646</v>
      </c>
      <c r="K141" s="18">
        <v>0</v>
      </c>
      <c r="L141" s="17">
        <f>J141*K141/100</f>
        <v>0</v>
      </c>
      <c r="M141" s="19">
        <v>5.05</v>
      </c>
      <c r="N141" s="38"/>
    </row>
    <row r="142" spans="1:19" x14ac:dyDescent="0.35">
      <c r="A142" s="4">
        <v>45541</v>
      </c>
      <c r="B142" s="2" t="s">
        <v>680</v>
      </c>
      <c r="C142" s="25" t="s">
        <v>167</v>
      </c>
      <c r="D142" s="25" t="s">
        <v>206</v>
      </c>
      <c r="E142" s="16" t="s">
        <v>207</v>
      </c>
      <c r="F142" s="5" t="str">
        <f t="shared" si="193"/>
        <v>RC EOS ES2024/29091989 MAKSU ESPAÑA S.L.</v>
      </c>
      <c r="G142" s="5">
        <f t="shared" si="194"/>
        <v>1.85</v>
      </c>
      <c r="H142" s="18">
        <v>0</v>
      </c>
      <c r="I142" s="17">
        <f t="shared" si="198"/>
        <v>0</v>
      </c>
      <c r="J142" s="17">
        <f t="shared" si="199"/>
        <v>1.85</v>
      </c>
      <c r="K142" s="18">
        <v>0</v>
      </c>
      <c r="L142" s="17">
        <f t="shared" si="200"/>
        <v>0</v>
      </c>
      <c r="M142" s="19">
        <v>1.85</v>
      </c>
      <c r="N142" s="38"/>
    </row>
    <row r="143" spans="1:19" x14ac:dyDescent="0.35">
      <c r="A143" s="4">
        <v>45541</v>
      </c>
      <c r="B143" s="2" t="s">
        <v>681</v>
      </c>
      <c r="C143" s="25" t="s">
        <v>167</v>
      </c>
      <c r="D143" s="25" t="s">
        <v>206</v>
      </c>
      <c r="E143" s="16" t="s">
        <v>207</v>
      </c>
      <c r="F143" s="5" t="str">
        <f t="shared" si="193"/>
        <v>FT EOS ES2024/1650789 MAKSU ESPAÑA S.L.</v>
      </c>
      <c r="G143" s="5">
        <f t="shared" si="194"/>
        <v>0.18181818181818182</v>
      </c>
      <c r="H143" s="18">
        <v>21</v>
      </c>
      <c r="I143" s="17">
        <f>G143*H143/100</f>
        <v>3.8181818181818185E-2</v>
      </c>
      <c r="J143" s="17">
        <f>G143</f>
        <v>0.18181818181818182</v>
      </c>
      <c r="K143" s="18">
        <v>0</v>
      </c>
      <c r="L143" s="17">
        <f>J143*K143/100</f>
        <v>0</v>
      </c>
      <c r="M143" s="19">
        <v>0.22</v>
      </c>
      <c r="N143" s="38"/>
    </row>
    <row r="144" spans="1:19" x14ac:dyDescent="0.35">
      <c r="A144" s="4">
        <v>45541</v>
      </c>
      <c r="B144" s="25" t="s">
        <v>774</v>
      </c>
      <c r="C144" s="25" t="s">
        <v>167</v>
      </c>
      <c r="D144" s="16" t="s">
        <v>168</v>
      </c>
      <c r="E144" s="16" t="s">
        <v>169</v>
      </c>
      <c r="F144" s="5" t="str">
        <f t="shared" ref="F144" si="228">CONCATENATE(S144,B144," ",E144)</f>
        <v>70124FE000003127 SANTIAGO Y LYDIA DIAZ, S.L.</v>
      </c>
      <c r="G144" s="17">
        <f t="shared" ref="G144" si="229">M144/(1-K144/100+H144/100)</f>
        <v>49.462809917355372</v>
      </c>
      <c r="H144" s="18">
        <v>21</v>
      </c>
      <c r="I144" s="17">
        <f t="shared" ref="I144" si="230">G144*H144/100</f>
        <v>10.387190082644629</v>
      </c>
      <c r="J144" s="17">
        <f t="shared" ref="J144" si="231">G144</f>
        <v>49.462809917355372</v>
      </c>
      <c r="K144" s="18">
        <v>0</v>
      </c>
      <c r="L144" s="17">
        <f t="shared" ref="L144" si="232">J144*K144/100</f>
        <v>0</v>
      </c>
      <c r="M144" s="19">
        <v>59.85</v>
      </c>
      <c r="N144" s="38"/>
    </row>
    <row r="145" spans="1:19" x14ac:dyDescent="0.35">
      <c r="A145" s="4">
        <v>45544</v>
      </c>
      <c r="B145" s="25" t="s">
        <v>588</v>
      </c>
      <c r="C145" s="25" t="s">
        <v>111</v>
      </c>
      <c r="D145" s="49" t="s">
        <v>124</v>
      </c>
      <c r="E145" s="16" t="s">
        <v>125</v>
      </c>
      <c r="F145" s="5" t="str">
        <f t="shared" si="193"/>
        <v>163848347249 APPLE DISTRIBUTION INTERNATIONAL LTD.</v>
      </c>
      <c r="G145" s="17">
        <f t="shared" si="1"/>
        <v>2.4710743801652897</v>
      </c>
      <c r="H145" s="18">
        <v>21</v>
      </c>
      <c r="I145" s="17">
        <f t="shared" si="198"/>
        <v>0.51892561983471086</v>
      </c>
      <c r="J145" s="17">
        <f t="shared" si="199"/>
        <v>2.4710743801652897</v>
      </c>
      <c r="K145" s="18">
        <v>0</v>
      </c>
      <c r="L145" s="17">
        <f t="shared" ref="L145:L146" si="233">J145*K145/100</f>
        <v>0</v>
      </c>
      <c r="M145" s="19">
        <v>2.99</v>
      </c>
      <c r="N145" s="35"/>
    </row>
    <row r="146" spans="1:19" x14ac:dyDescent="0.35">
      <c r="A146" s="4">
        <v>45544</v>
      </c>
      <c r="B146" s="2" t="s">
        <v>682</v>
      </c>
      <c r="C146" s="25" t="s">
        <v>167</v>
      </c>
      <c r="D146" s="25" t="s">
        <v>206</v>
      </c>
      <c r="E146" s="16" t="s">
        <v>207</v>
      </c>
      <c r="F146" s="5" t="str">
        <f t="shared" si="193"/>
        <v>RC EOS ES2024/29334988 MAKSU ESPAÑA S.L.</v>
      </c>
      <c r="G146" s="5">
        <f t="shared" si="1"/>
        <v>0.45</v>
      </c>
      <c r="H146" s="18">
        <v>0</v>
      </c>
      <c r="I146" s="17">
        <f t="shared" si="198"/>
        <v>0</v>
      </c>
      <c r="J146" s="17">
        <f t="shared" si="199"/>
        <v>0.45</v>
      </c>
      <c r="K146" s="18">
        <v>0</v>
      </c>
      <c r="L146" s="17">
        <f t="shared" si="233"/>
        <v>0</v>
      </c>
      <c r="M146" s="19">
        <v>0.45</v>
      </c>
      <c r="N146" s="38"/>
    </row>
    <row r="147" spans="1:19" x14ac:dyDescent="0.35">
      <c r="A147" s="4">
        <v>45544</v>
      </c>
      <c r="B147" s="2" t="s">
        <v>683</v>
      </c>
      <c r="C147" s="25" t="s">
        <v>167</v>
      </c>
      <c r="D147" s="25" t="s">
        <v>206</v>
      </c>
      <c r="E147" s="16" t="s">
        <v>207</v>
      </c>
      <c r="F147" s="5" t="str">
        <f t="shared" si="193"/>
        <v>FT EOS ES2024/1665446 MAKSU ESPAÑA S.L.</v>
      </c>
      <c r="G147" s="5">
        <f t="shared" si="1"/>
        <v>4.1322314049586778E-2</v>
      </c>
      <c r="H147" s="18">
        <v>21</v>
      </c>
      <c r="I147" s="17">
        <f>G147*H147/100</f>
        <v>8.677685950413223E-3</v>
      </c>
      <c r="J147" s="17">
        <f>G147</f>
        <v>4.1322314049586778E-2</v>
      </c>
      <c r="K147" s="18">
        <v>0</v>
      </c>
      <c r="L147" s="17">
        <f>J147*K147/100</f>
        <v>0</v>
      </c>
      <c r="M147" s="19">
        <v>0.05</v>
      </c>
      <c r="N147" s="38"/>
    </row>
    <row r="148" spans="1:19" x14ac:dyDescent="0.35">
      <c r="A148" s="4">
        <v>45544</v>
      </c>
      <c r="B148" s="2" t="s">
        <v>694</v>
      </c>
      <c r="C148" s="25" t="s">
        <v>167</v>
      </c>
      <c r="D148" s="25" t="s">
        <v>206</v>
      </c>
      <c r="E148" s="16" t="s">
        <v>207</v>
      </c>
      <c r="F148" s="5" t="str">
        <f t="shared" ref="F148:F151" si="234">CONCATENATE(S148,B148," ",E148)</f>
        <v>RC EOS ES2024/29281860 MAKSU ESPAÑA S.L.</v>
      </c>
      <c r="G148" s="5">
        <f t="shared" ref="G148:G150" si="235">M148/(1-K148/100+H148/100)</f>
        <v>0.8</v>
      </c>
      <c r="H148" s="18">
        <v>0</v>
      </c>
      <c r="I148" s="17">
        <f t="shared" ref="I148" si="236">G148*H148/100</f>
        <v>0</v>
      </c>
      <c r="J148" s="17">
        <f t="shared" ref="J148" si="237">G148</f>
        <v>0.8</v>
      </c>
      <c r="K148" s="18">
        <v>0</v>
      </c>
      <c r="L148" s="17">
        <f t="shared" ref="L148" si="238">J148*K148/100</f>
        <v>0</v>
      </c>
      <c r="M148" s="19">
        <v>0.8</v>
      </c>
      <c r="N148" s="38"/>
    </row>
    <row r="149" spans="1:19" x14ac:dyDescent="0.35">
      <c r="A149" s="4">
        <v>45544</v>
      </c>
      <c r="B149" s="2" t="s">
        <v>695</v>
      </c>
      <c r="C149" s="25" t="s">
        <v>167</v>
      </c>
      <c r="D149" s="25" t="s">
        <v>206</v>
      </c>
      <c r="E149" s="16" t="s">
        <v>207</v>
      </c>
      <c r="F149" s="5" t="str">
        <f t="shared" si="234"/>
        <v>FT EOS ES2024/1661343 MAKSU ESPAÑA S.L.</v>
      </c>
      <c r="G149" s="5">
        <f t="shared" si="235"/>
        <v>8.2644628099173556E-2</v>
      </c>
      <c r="H149" s="18">
        <v>21</v>
      </c>
      <c r="I149" s="17">
        <f>G149*H149/100</f>
        <v>1.7355371900826446E-2</v>
      </c>
      <c r="J149" s="17">
        <f>G149</f>
        <v>8.2644628099173556E-2</v>
      </c>
      <c r="K149" s="18">
        <v>0</v>
      </c>
      <c r="L149" s="17">
        <f>J149*K149/100</f>
        <v>0</v>
      </c>
      <c r="M149" s="19">
        <v>0.1</v>
      </c>
      <c r="N149" s="38"/>
    </row>
    <row r="150" spans="1:19" x14ac:dyDescent="0.35">
      <c r="A150" s="4">
        <v>45545</v>
      </c>
      <c r="B150" s="2" t="s">
        <v>795</v>
      </c>
      <c r="C150" s="2" t="s">
        <v>111</v>
      </c>
      <c r="D150" s="2" t="s">
        <v>220</v>
      </c>
      <c r="E150" s="2" t="s">
        <v>221</v>
      </c>
      <c r="F150" s="5" t="str">
        <f t="shared" si="234"/>
        <v>S/F FE24137020808594 Comercializadora Regulada, Gas &amp; Power, S.A.</v>
      </c>
      <c r="G150" s="5">
        <f t="shared" si="235"/>
        <v>14.209090909090909</v>
      </c>
      <c r="H150" s="18">
        <v>10</v>
      </c>
      <c r="I150" s="5">
        <f t="shared" ref="I150" si="239">G150*H150/100</f>
        <v>1.4209090909090909</v>
      </c>
      <c r="J150" s="5">
        <f t="shared" ref="J150" si="240">G150</f>
        <v>14.209090909090909</v>
      </c>
      <c r="K150" s="18">
        <v>0</v>
      </c>
      <c r="L150" s="5">
        <f t="shared" ref="L150" si="241">J150*K150/100</f>
        <v>0</v>
      </c>
      <c r="M150" s="8">
        <v>15.63</v>
      </c>
      <c r="S150" t="s">
        <v>19</v>
      </c>
    </row>
    <row r="151" spans="1:19" x14ac:dyDescent="0.35">
      <c r="A151" s="4">
        <v>45545</v>
      </c>
      <c r="B151" s="25" t="s">
        <v>747</v>
      </c>
      <c r="C151" s="25" t="s">
        <v>167</v>
      </c>
      <c r="D151" s="25" t="s">
        <v>189</v>
      </c>
      <c r="E151" s="25" t="s">
        <v>190</v>
      </c>
      <c r="F151" s="5" t="str">
        <f t="shared" si="234"/>
        <v>018-0009-596029 BRICOLAJE BRICOMAN, S.L.U.</v>
      </c>
      <c r="G151" s="17">
        <f>M151/(1-K151/100+H151/100)</f>
        <v>47.727272727272727</v>
      </c>
      <c r="H151" s="18">
        <v>21</v>
      </c>
      <c r="I151" s="17">
        <f>G151*H151/100</f>
        <v>10.022727272727273</v>
      </c>
      <c r="J151" s="17">
        <f>G151</f>
        <v>47.727272727272727</v>
      </c>
      <c r="K151" s="18">
        <v>0</v>
      </c>
      <c r="L151" s="17">
        <f>J151*K151/100</f>
        <v>0</v>
      </c>
      <c r="M151" s="19">
        <v>57.75</v>
      </c>
      <c r="N151" s="38" t="s">
        <v>27</v>
      </c>
    </row>
    <row r="152" spans="1:19" x14ac:dyDescent="0.35">
      <c r="A152" s="4">
        <v>45545</v>
      </c>
      <c r="B152" s="2" t="s">
        <v>574</v>
      </c>
      <c r="C152" s="2" t="s">
        <v>137</v>
      </c>
      <c r="D152" s="2" t="s">
        <v>576</v>
      </c>
      <c r="E152" s="2" t="s">
        <v>577</v>
      </c>
      <c r="F152" s="5" t="str">
        <f t="shared" si="193"/>
        <v>S/F 1390 / 24 GYSEN PLUS S.A.</v>
      </c>
      <c r="G152" s="17">
        <f t="shared" si="1"/>
        <v>447.37190082644634</v>
      </c>
      <c r="H152">
        <v>21</v>
      </c>
      <c r="I152" s="17">
        <f t="shared" si="198"/>
        <v>93.948099173553729</v>
      </c>
      <c r="J152" s="17">
        <f t="shared" si="199"/>
        <v>447.37190082644634</v>
      </c>
      <c r="K152">
        <v>0</v>
      </c>
      <c r="L152" s="5">
        <v>0</v>
      </c>
      <c r="M152" s="58">
        <v>541.32000000000005</v>
      </c>
      <c r="S152" t="s">
        <v>19</v>
      </c>
    </row>
    <row r="153" spans="1:19" x14ac:dyDescent="0.35">
      <c r="A153" s="4">
        <v>45545</v>
      </c>
      <c r="B153" s="2" t="s">
        <v>575</v>
      </c>
      <c r="C153" s="2" t="s">
        <v>137</v>
      </c>
      <c r="D153" s="2" t="s">
        <v>576</v>
      </c>
      <c r="E153" s="2" t="s">
        <v>577</v>
      </c>
      <c r="F153" s="5" t="str">
        <f t="shared" si="193"/>
        <v>1391 / 24 GYSEN PLUS S.A.</v>
      </c>
      <c r="G153" s="17">
        <f t="shared" si="1"/>
        <v>664.43801652892569</v>
      </c>
      <c r="H153" s="18">
        <v>21</v>
      </c>
      <c r="I153" s="17">
        <f t="shared" si="30"/>
        <v>139.5319834710744</v>
      </c>
      <c r="J153" s="17">
        <f t="shared" si="31"/>
        <v>664.43801652892569</v>
      </c>
      <c r="K153" s="18">
        <v>0</v>
      </c>
      <c r="L153" s="17">
        <f t="shared" si="32"/>
        <v>0</v>
      </c>
      <c r="M153" s="58">
        <v>803.97</v>
      </c>
      <c r="N153" s="38"/>
    </row>
    <row r="154" spans="1:19" x14ac:dyDescent="0.35">
      <c r="A154" s="4">
        <v>45545</v>
      </c>
      <c r="B154" s="25" t="s">
        <v>586</v>
      </c>
      <c r="C154" s="25" t="s">
        <v>137</v>
      </c>
      <c r="D154" s="25" t="s">
        <v>138</v>
      </c>
      <c r="E154" s="25" t="s">
        <v>139</v>
      </c>
      <c r="F154" s="5" t="str">
        <f t="shared" si="193"/>
        <v>503/24 TECNOLOGÍA DEL CONTROL ENERGÉTICO MADRID, S.L.</v>
      </c>
      <c r="G154" s="17">
        <f t="shared" ref="G154:G158" si="242">M154/(1-K154/100+H154/100)</f>
        <v>270.95041322314052</v>
      </c>
      <c r="H154" s="18">
        <v>21</v>
      </c>
      <c r="I154" s="17">
        <f t="shared" si="30"/>
        <v>56.899586776859508</v>
      </c>
      <c r="J154" s="17">
        <f t="shared" si="31"/>
        <v>270.95041322314052</v>
      </c>
      <c r="K154" s="18">
        <v>0</v>
      </c>
      <c r="L154" s="17">
        <f t="shared" si="32"/>
        <v>0</v>
      </c>
      <c r="M154" s="19">
        <v>327.85</v>
      </c>
      <c r="N154" s="35"/>
    </row>
    <row r="155" spans="1:19" x14ac:dyDescent="0.35">
      <c r="A155" s="4">
        <v>45545</v>
      </c>
      <c r="B155" s="2" t="s">
        <v>668</v>
      </c>
      <c r="C155" s="25" t="s">
        <v>167</v>
      </c>
      <c r="D155" s="25" t="s">
        <v>206</v>
      </c>
      <c r="E155" s="16" t="s">
        <v>207</v>
      </c>
      <c r="F155" s="5" t="str">
        <f t="shared" ref="F155:F159" si="243">CONCATENATE(S155,B155," ",E155)</f>
        <v>RC EOS ES2024/29406210 MAKSU ESPAÑA S.L.</v>
      </c>
      <c r="G155" s="5">
        <f t="shared" si="242"/>
        <v>0.65</v>
      </c>
      <c r="H155" s="18">
        <v>0</v>
      </c>
      <c r="I155" s="17">
        <f t="shared" si="30"/>
        <v>0</v>
      </c>
      <c r="J155" s="17">
        <f t="shared" si="31"/>
        <v>0.65</v>
      </c>
      <c r="K155" s="18">
        <v>0</v>
      </c>
      <c r="L155" s="17">
        <f t="shared" si="32"/>
        <v>0</v>
      </c>
      <c r="M155" s="19">
        <v>0.65</v>
      </c>
      <c r="N155" s="38"/>
    </row>
    <row r="156" spans="1:19" x14ac:dyDescent="0.35">
      <c r="A156" s="4">
        <v>45545</v>
      </c>
      <c r="B156" s="2" t="s">
        <v>669</v>
      </c>
      <c r="C156" s="25" t="s">
        <v>167</v>
      </c>
      <c r="D156" s="25" t="s">
        <v>206</v>
      </c>
      <c r="E156" s="16" t="s">
        <v>207</v>
      </c>
      <c r="F156" s="5" t="str">
        <f t="shared" si="243"/>
        <v>FT EOS ES2024/1669326 MAKSU ESPAÑA S.L.</v>
      </c>
      <c r="G156" s="5">
        <f t="shared" si="242"/>
        <v>6.6115702479338845E-2</v>
      </c>
      <c r="H156" s="18">
        <v>21</v>
      </c>
      <c r="I156" s="17">
        <f>G156*H156/100</f>
        <v>1.3884297520661157E-2</v>
      </c>
      <c r="J156" s="17">
        <f>G156</f>
        <v>6.6115702479338845E-2</v>
      </c>
      <c r="K156" s="18">
        <v>0</v>
      </c>
      <c r="L156" s="17">
        <f>J156*K156/100</f>
        <v>0</v>
      </c>
      <c r="M156" s="19">
        <v>0.08</v>
      </c>
      <c r="N156" s="38"/>
    </row>
    <row r="157" spans="1:19" x14ac:dyDescent="0.35">
      <c r="A157" s="4">
        <v>45545</v>
      </c>
      <c r="B157" s="2" t="s">
        <v>678</v>
      </c>
      <c r="C157" s="25" t="s">
        <v>167</v>
      </c>
      <c r="D157" s="25" t="s">
        <v>206</v>
      </c>
      <c r="E157" s="16" t="s">
        <v>207</v>
      </c>
      <c r="F157" s="5" t="str">
        <f t="shared" si="243"/>
        <v>RC EOS ES2024/29411861 MAKSU ESPAÑA S.L.</v>
      </c>
      <c r="G157" s="5">
        <f t="shared" si="242"/>
        <v>0.85</v>
      </c>
      <c r="H157" s="18">
        <v>0</v>
      </c>
      <c r="I157" s="17">
        <f t="shared" ref="I157" si="244">G157*H157/100</f>
        <v>0</v>
      </c>
      <c r="J157" s="17">
        <f t="shared" ref="J157" si="245">G157</f>
        <v>0.85</v>
      </c>
      <c r="K157" s="18">
        <v>0</v>
      </c>
      <c r="L157" s="17">
        <f t="shared" ref="L157" si="246">J157*K157/100</f>
        <v>0</v>
      </c>
      <c r="M157" s="19">
        <v>0.85</v>
      </c>
      <c r="N157" s="38"/>
    </row>
    <row r="158" spans="1:19" x14ac:dyDescent="0.35">
      <c r="A158" s="4">
        <v>45545</v>
      </c>
      <c r="B158" s="2" t="s">
        <v>679</v>
      </c>
      <c r="C158" s="25" t="s">
        <v>167</v>
      </c>
      <c r="D158" s="25" t="s">
        <v>206</v>
      </c>
      <c r="E158" s="16" t="s">
        <v>207</v>
      </c>
      <c r="F158" s="5" t="str">
        <f t="shared" si="243"/>
        <v>FT EOS ES2024/1669737 MAKSU ESPAÑA S.L.</v>
      </c>
      <c r="G158" s="5">
        <f t="shared" si="242"/>
        <v>8.2644628099173556E-2</v>
      </c>
      <c r="H158" s="18">
        <v>21</v>
      </c>
      <c r="I158" s="17">
        <f>G158*H158/100</f>
        <v>1.7355371900826446E-2</v>
      </c>
      <c r="J158" s="17">
        <f>G158</f>
        <v>8.2644628099173556E-2</v>
      </c>
      <c r="K158" s="18">
        <v>0</v>
      </c>
      <c r="L158" s="17">
        <f>J158*K158/100</f>
        <v>0</v>
      </c>
      <c r="M158" s="19">
        <v>0.1</v>
      </c>
      <c r="N158" s="38"/>
    </row>
    <row r="159" spans="1:19" x14ac:dyDescent="0.35">
      <c r="A159" s="4">
        <v>45546</v>
      </c>
      <c r="B159" s="25" t="s">
        <v>748</v>
      </c>
      <c r="C159" s="25" t="s">
        <v>167</v>
      </c>
      <c r="D159" s="25" t="s">
        <v>189</v>
      </c>
      <c r="E159" s="25" t="s">
        <v>190</v>
      </c>
      <c r="F159" s="5" t="str">
        <f t="shared" si="243"/>
        <v>011-0009-089259 BRICOLAJE BRICOMAN, S.L.U.</v>
      </c>
      <c r="G159" s="17">
        <f>M159/(1-K159/100+H159/100)</f>
        <v>3.2644628099173558</v>
      </c>
      <c r="H159" s="18">
        <v>21</v>
      </c>
      <c r="I159" s="17">
        <f>G159*H159/100</f>
        <v>0.68553719008264469</v>
      </c>
      <c r="J159" s="17">
        <f>G159</f>
        <v>3.2644628099173558</v>
      </c>
      <c r="K159" s="18">
        <v>0</v>
      </c>
      <c r="L159" s="17">
        <f>J159*K159/100</f>
        <v>0</v>
      </c>
      <c r="M159" s="19">
        <v>3.95</v>
      </c>
      <c r="N159" s="38" t="s">
        <v>27</v>
      </c>
    </row>
    <row r="160" spans="1:19" x14ac:dyDescent="0.35">
      <c r="A160" s="4">
        <v>45547</v>
      </c>
      <c r="B160" s="25" t="s">
        <v>587</v>
      </c>
      <c r="C160" s="25" t="s">
        <v>137</v>
      </c>
      <c r="D160" s="25" t="s">
        <v>138</v>
      </c>
      <c r="E160" s="25" t="s">
        <v>139</v>
      </c>
      <c r="F160" s="5" t="str">
        <f t="shared" ref="F160:F167" si="247">CONCATENATE(S160,B160," ",E160)</f>
        <v>537/24 TECNOLOGÍA DEL CONTROL ENERGÉTICO MADRID, S.L.</v>
      </c>
      <c r="G160" s="17">
        <f t="shared" ref="G160:G162" si="248">M160/(1-K160/100+H160/100)</f>
        <v>108.86776859504131</v>
      </c>
      <c r="H160" s="18">
        <v>21</v>
      </c>
      <c r="I160" s="17">
        <f t="shared" ref="I160:I162" si="249">G160*H160/100</f>
        <v>22.862231404958674</v>
      </c>
      <c r="J160" s="17">
        <f t="shared" ref="J160:J162" si="250">G160</f>
        <v>108.86776859504131</v>
      </c>
      <c r="K160" s="18">
        <v>0</v>
      </c>
      <c r="L160" s="17">
        <f t="shared" ref="L160:L162" si="251">J160*K160/100</f>
        <v>0</v>
      </c>
      <c r="M160" s="19">
        <v>131.72999999999999</v>
      </c>
      <c r="N160" s="35"/>
    </row>
    <row r="161" spans="1:19" x14ac:dyDescent="0.35">
      <c r="A161" s="4">
        <v>45547</v>
      </c>
      <c r="B161" s="2" t="s">
        <v>662</v>
      </c>
      <c r="C161" s="2" t="s">
        <v>111</v>
      </c>
      <c r="D161" s="2" t="s">
        <v>215</v>
      </c>
      <c r="E161" s="2" t="s">
        <v>216</v>
      </c>
      <c r="F161" s="5" t="str">
        <f t="shared" si="247"/>
        <v>61051651571 Repsol Comercializadora de Electricidad y Gas, S.L.U.</v>
      </c>
      <c r="G161" s="5">
        <f t="shared" si="248"/>
        <v>20.471074380165291</v>
      </c>
      <c r="H161" s="18">
        <v>21</v>
      </c>
      <c r="I161" s="5">
        <f t="shared" si="249"/>
        <v>4.2989256198347112</v>
      </c>
      <c r="J161" s="5">
        <f t="shared" si="250"/>
        <v>20.471074380165291</v>
      </c>
      <c r="K161" s="18">
        <v>0</v>
      </c>
      <c r="L161" s="5">
        <f t="shared" si="251"/>
        <v>0</v>
      </c>
      <c r="M161" s="8">
        <v>24.77</v>
      </c>
    </row>
    <row r="162" spans="1:19" x14ac:dyDescent="0.35">
      <c r="A162" s="4">
        <v>45547</v>
      </c>
      <c r="B162" s="25" t="s">
        <v>771</v>
      </c>
      <c r="C162" s="25" t="s">
        <v>167</v>
      </c>
      <c r="D162" s="16" t="s">
        <v>168</v>
      </c>
      <c r="E162" s="16" t="s">
        <v>169</v>
      </c>
      <c r="F162" s="5" t="str">
        <f t="shared" si="247"/>
        <v>70124FE000003181 SANTIAGO Y LYDIA DIAZ, S.L.</v>
      </c>
      <c r="G162" s="17">
        <f t="shared" si="248"/>
        <v>47.97520661157025</v>
      </c>
      <c r="H162" s="18">
        <v>21</v>
      </c>
      <c r="I162" s="17">
        <f t="shared" si="249"/>
        <v>10.074793388429752</v>
      </c>
      <c r="J162" s="17">
        <f t="shared" si="250"/>
        <v>47.97520661157025</v>
      </c>
      <c r="K162" s="18">
        <v>0</v>
      </c>
      <c r="L162" s="17">
        <f t="shared" si="251"/>
        <v>0</v>
      </c>
      <c r="M162" s="19">
        <v>58.05</v>
      </c>
      <c r="N162" s="38"/>
    </row>
    <row r="163" spans="1:19" x14ac:dyDescent="0.35">
      <c r="A163" s="4">
        <v>45548</v>
      </c>
      <c r="B163" s="25" t="s">
        <v>659</v>
      </c>
      <c r="C163" s="25" t="s">
        <v>111</v>
      </c>
      <c r="D163" s="16" t="s">
        <v>223</v>
      </c>
      <c r="E163" s="16" t="s">
        <v>224</v>
      </c>
      <c r="F163" s="5" t="str">
        <f t="shared" si="247"/>
        <v>FMDVAIH0037868 TELEFONICA DE ESPAÑA S.A.U.</v>
      </c>
      <c r="G163" s="17">
        <f>M163/(1-K163/100+H163/100)</f>
        <v>17.685950413223139</v>
      </c>
      <c r="H163" s="18">
        <v>21</v>
      </c>
      <c r="I163" s="17">
        <f>G163*H163/100</f>
        <v>3.7140495867768597</v>
      </c>
      <c r="J163" s="17">
        <f>G163</f>
        <v>17.685950413223139</v>
      </c>
      <c r="K163" s="18">
        <v>0</v>
      </c>
      <c r="L163" s="17">
        <f>J163*K163/100</f>
        <v>0</v>
      </c>
      <c r="M163" s="19">
        <v>21.4</v>
      </c>
      <c r="N163" s="38"/>
    </row>
    <row r="164" spans="1:19" x14ac:dyDescent="0.35">
      <c r="A164" s="20">
        <v>45548</v>
      </c>
      <c r="B164" s="20" t="s">
        <v>661</v>
      </c>
      <c r="C164" s="25" t="s">
        <v>111</v>
      </c>
      <c r="D164" s="25" t="s">
        <v>225</v>
      </c>
      <c r="E164" s="25" t="s">
        <v>226</v>
      </c>
      <c r="F164" s="5" t="str">
        <f t="shared" si="247"/>
        <v>MMDVAIH0014019 TELEFÓNICA MÓVILES ESPAÑA, S.A.</v>
      </c>
      <c r="G164" s="5">
        <f t="shared" ref="G164:G167" si="252">M164/(1-K164/100+H164/100)</f>
        <v>26.033057851239668</v>
      </c>
      <c r="H164" s="18">
        <v>21</v>
      </c>
      <c r="I164" s="17">
        <f t="shared" ref="I164:I166" si="253">G164*H164/100</f>
        <v>5.4669421487603298</v>
      </c>
      <c r="J164" s="17">
        <f t="shared" ref="J164:J166" si="254">G164</f>
        <v>26.033057851239668</v>
      </c>
      <c r="K164" s="18">
        <v>0</v>
      </c>
      <c r="L164" s="17">
        <f t="shared" ref="L164:L166" si="255">J164*K164/100</f>
        <v>0</v>
      </c>
      <c r="M164" s="19">
        <v>31.5</v>
      </c>
      <c r="N164" s="38"/>
    </row>
    <row r="165" spans="1:19" x14ac:dyDescent="0.35">
      <c r="A165" s="4">
        <v>45548</v>
      </c>
      <c r="B165" s="20" t="s">
        <v>660</v>
      </c>
      <c r="C165" s="25" t="s">
        <v>111</v>
      </c>
      <c r="D165" s="25" t="s">
        <v>225</v>
      </c>
      <c r="E165" s="25" t="s">
        <v>226</v>
      </c>
      <c r="F165" s="5" t="str">
        <f t="shared" si="247"/>
        <v>MMDVAIH0014020 TELEFÓNICA MÓVILES ESPAÑA, S.A.</v>
      </c>
      <c r="G165" s="5">
        <f t="shared" si="252"/>
        <v>23.099173553719009</v>
      </c>
      <c r="H165" s="18">
        <v>21</v>
      </c>
      <c r="I165" s="17">
        <f t="shared" si="253"/>
        <v>4.8508264462809914</v>
      </c>
      <c r="J165" s="17">
        <f t="shared" si="254"/>
        <v>23.099173553719009</v>
      </c>
      <c r="K165" s="18">
        <v>0</v>
      </c>
      <c r="L165" s="17">
        <f t="shared" si="255"/>
        <v>0</v>
      </c>
      <c r="M165" s="19">
        <v>27.95</v>
      </c>
      <c r="N165" s="38"/>
    </row>
    <row r="166" spans="1:19" x14ac:dyDescent="0.35">
      <c r="A166" s="20">
        <v>45548</v>
      </c>
      <c r="B166" s="2" t="s">
        <v>672</v>
      </c>
      <c r="C166" s="25" t="s">
        <v>167</v>
      </c>
      <c r="D166" s="25" t="s">
        <v>206</v>
      </c>
      <c r="E166" s="16" t="s">
        <v>207</v>
      </c>
      <c r="F166" s="5" t="str">
        <f t="shared" si="247"/>
        <v>RC EOS ES2024/29902982 MAKSU ESPAÑA S.L.</v>
      </c>
      <c r="G166" s="5">
        <f t="shared" si="252"/>
        <v>1.1499999999999999</v>
      </c>
      <c r="H166" s="18">
        <v>0</v>
      </c>
      <c r="I166" s="17">
        <f t="shared" si="253"/>
        <v>0</v>
      </c>
      <c r="J166" s="17">
        <f t="shared" si="254"/>
        <v>1.1499999999999999</v>
      </c>
      <c r="K166" s="18">
        <v>0</v>
      </c>
      <c r="L166" s="17">
        <f t="shared" si="255"/>
        <v>0</v>
      </c>
      <c r="M166" s="19">
        <v>1.1499999999999999</v>
      </c>
      <c r="N166" s="38"/>
    </row>
    <row r="167" spans="1:19" x14ac:dyDescent="0.35">
      <c r="A167" s="4">
        <v>45548</v>
      </c>
      <c r="B167" s="2" t="s">
        <v>673</v>
      </c>
      <c r="C167" s="25" t="s">
        <v>167</v>
      </c>
      <c r="D167" s="25" t="s">
        <v>206</v>
      </c>
      <c r="E167" s="16" t="s">
        <v>207</v>
      </c>
      <c r="F167" s="5" t="str">
        <f t="shared" si="247"/>
        <v>FT EOS ES2024/1698720 MAKSU ESPAÑA S.L.</v>
      </c>
      <c r="G167" s="5">
        <f t="shared" si="252"/>
        <v>0.11570247933884299</v>
      </c>
      <c r="H167" s="18">
        <v>21</v>
      </c>
      <c r="I167" s="17">
        <f>G167*H167/100</f>
        <v>2.4297520661157028E-2</v>
      </c>
      <c r="J167" s="17">
        <f>G167</f>
        <v>0.11570247933884299</v>
      </c>
      <c r="K167" s="18">
        <v>0</v>
      </c>
      <c r="L167" s="17">
        <f>J167*K167/100</f>
        <v>0</v>
      </c>
      <c r="M167" s="19">
        <v>0.14000000000000001</v>
      </c>
      <c r="N167" s="38"/>
    </row>
    <row r="168" spans="1:19" x14ac:dyDescent="0.35">
      <c r="A168" s="20">
        <v>45548</v>
      </c>
      <c r="B168" s="2" t="s">
        <v>710</v>
      </c>
      <c r="C168" s="25" t="s">
        <v>167</v>
      </c>
      <c r="D168" s="25" t="s">
        <v>206</v>
      </c>
      <c r="E168" s="16" t="s">
        <v>207</v>
      </c>
      <c r="F168" s="5" t="str">
        <f t="shared" ref="F168:F169" si="256">CONCATENATE(S168,B168," ",E168)</f>
        <v>RC EOS ES2024/29957651 MAKSU ESPAÑA S.L.</v>
      </c>
      <c r="G168" s="5">
        <f t="shared" ref="G168:G169" si="257">M168/(1-K168/100+H168/100)</f>
        <v>2.2000000000000002</v>
      </c>
      <c r="H168" s="18">
        <v>0</v>
      </c>
      <c r="I168" s="17">
        <f t="shared" ref="I168" si="258">G168*H168/100</f>
        <v>0</v>
      </c>
      <c r="J168" s="17">
        <f t="shared" ref="J168" si="259">G168</f>
        <v>2.2000000000000002</v>
      </c>
      <c r="K168" s="18">
        <v>0</v>
      </c>
      <c r="L168" s="17">
        <f t="shared" ref="L168" si="260">J168*K168/100</f>
        <v>0</v>
      </c>
      <c r="M168" s="19">
        <v>2.2000000000000002</v>
      </c>
      <c r="N168" s="38"/>
    </row>
    <row r="169" spans="1:19" x14ac:dyDescent="0.35">
      <c r="A169" s="4">
        <v>45548</v>
      </c>
      <c r="B169" s="2" t="s">
        <v>711</v>
      </c>
      <c r="C169" s="25" t="s">
        <v>167</v>
      </c>
      <c r="D169" s="25" t="s">
        <v>206</v>
      </c>
      <c r="E169" s="16" t="s">
        <v>207</v>
      </c>
      <c r="F169" s="5" t="str">
        <f t="shared" si="256"/>
        <v>FT EOS ES2024/1702160 MAKSU ESPAÑA S.L.</v>
      </c>
      <c r="G169" s="5">
        <f t="shared" si="257"/>
        <v>0.22314049586776863</v>
      </c>
      <c r="H169" s="18">
        <v>21</v>
      </c>
      <c r="I169" s="17">
        <f>G169*H169/100</f>
        <v>4.685950413223141E-2</v>
      </c>
      <c r="J169" s="17">
        <f>G169</f>
        <v>0.22314049586776863</v>
      </c>
      <c r="K169" s="18">
        <v>0</v>
      </c>
      <c r="L169" s="17">
        <f>J169*K169/100</f>
        <v>0</v>
      </c>
      <c r="M169" s="19">
        <v>0.27</v>
      </c>
      <c r="N169" s="38"/>
    </row>
    <row r="170" spans="1:19" x14ac:dyDescent="0.35">
      <c r="A170" s="20">
        <v>45548</v>
      </c>
      <c r="B170" s="2" t="s">
        <v>714</v>
      </c>
      <c r="C170" s="25" t="s">
        <v>167</v>
      </c>
      <c r="D170" s="25" t="s">
        <v>206</v>
      </c>
      <c r="E170" s="16" t="s">
        <v>207</v>
      </c>
      <c r="F170" s="5" t="str">
        <f t="shared" ref="F170:F171" si="261">CONCATENATE(S170,B170," ",E170)</f>
        <v>RC EOS ES2024/29935252 MAKSU ESPAÑA S.L.</v>
      </c>
      <c r="G170" s="5">
        <f t="shared" ref="G170:G171" si="262">M170/(1-K170/100+H170/100)</f>
        <v>4</v>
      </c>
      <c r="H170" s="18">
        <v>0</v>
      </c>
      <c r="I170" s="17">
        <f t="shared" ref="I170" si="263">G170*H170/100</f>
        <v>0</v>
      </c>
      <c r="J170" s="17">
        <f t="shared" ref="J170" si="264">G170</f>
        <v>4</v>
      </c>
      <c r="K170" s="18">
        <v>0</v>
      </c>
      <c r="L170" s="17">
        <f t="shared" ref="L170" si="265">J170*K170/100</f>
        <v>0</v>
      </c>
      <c r="M170" s="19">
        <v>4</v>
      </c>
      <c r="N170" s="38"/>
    </row>
    <row r="171" spans="1:19" x14ac:dyDescent="0.35">
      <c r="A171" s="4">
        <v>45548</v>
      </c>
      <c r="B171" s="2" t="s">
        <v>715</v>
      </c>
      <c r="C171" s="25" t="s">
        <v>167</v>
      </c>
      <c r="D171" s="25" t="s">
        <v>206</v>
      </c>
      <c r="E171" s="16" t="s">
        <v>207</v>
      </c>
      <c r="F171" s="5" t="str">
        <f t="shared" si="261"/>
        <v>FT EOS ES2024/1700708 MAKSU ESPAÑA S.L.</v>
      </c>
      <c r="G171" s="5">
        <f t="shared" si="262"/>
        <v>0.39669421487603307</v>
      </c>
      <c r="H171" s="18">
        <v>21</v>
      </c>
      <c r="I171" s="17">
        <f>G171*H171/100</f>
        <v>8.3305785123966955E-2</v>
      </c>
      <c r="J171" s="17">
        <f>G171</f>
        <v>0.39669421487603307</v>
      </c>
      <c r="K171" s="18">
        <v>0</v>
      </c>
      <c r="L171" s="17">
        <f>J171*K171/100</f>
        <v>0</v>
      </c>
      <c r="M171" s="19">
        <v>0.48</v>
      </c>
      <c r="N171" s="38"/>
    </row>
    <row r="172" spans="1:19" x14ac:dyDescent="0.35">
      <c r="A172" s="20">
        <v>45548</v>
      </c>
      <c r="B172" s="2" t="s">
        <v>724</v>
      </c>
      <c r="C172" s="25" t="s">
        <v>167</v>
      </c>
      <c r="D172" s="25" t="s">
        <v>206</v>
      </c>
      <c r="E172" s="16" t="s">
        <v>207</v>
      </c>
      <c r="F172" s="5" t="str">
        <f t="shared" ref="F172:F173" si="266">CONCATENATE(S172,B172," ",E172)</f>
        <v>RC EOS ES2024/29937315 MAKSU ESPAÑA S.L.</v>
      </c>
      <c r="G172" s="5">
        <f t="shared" ref="G172:G173" si="267">M172/(1-K172/100+H172/100)</f>
        <v>2.5</v>
      </c>
      <c r="H172" s="18">
        <v>0</v>
      </c>
      <c r="I172" s="17">
        <f t="shared" ref="I172" si="268">G172*H172/100</f>
        <v>0</v>
      </c>
      <c r="J172" s="17">
        <f t="shared" ref="J172" si="269">G172</f>
        <v>2.5</v>
      </c>
      <c r="K172" s="18">
        <v>0</v>
      </c>
      <c r="L172" s="17">
        <f t="shared" ref="L172" si="270">J172*K172/100</f>
        <v>0</v>
      </c>
      <c r="M172" s="19">
        <v>2.5</v>
      </c>
      <c r="N172" s="38"/>
    </row>
    <row r="173" spans="1:19" x14ac:dyDescent="0.35">
      <c r="A173" s="4">
        <v>45548</v>
      </c>
      <c r="B173" s="2" t="s">
        <v>725</v>
      </c>
      <c r="C173" s="25" t="s">
        <v>167</v>
      </c>
      <c r="D173" s="25" t="s">
        <v>206</v>
      </c>
      <c r="E173" s="16" t="s">
        <v>207</v>
      </c>
      <c r="F173" s="5" t="str">
        <f t="shared" si="266"/>
        <v>FT EOS ES2024/1700841 MAKSU ESPAÑA S.L.</v>
      </c>
      <c r="G173" s="5">
        <f t="shared" si="267"/>
        <v>0.24793388429752067</v>
      </c>
      <c r="H173" s="18">
        <v>21</v>
      </c>
      <c r="I173" s="17">
        <f>G173*H173/100</f>
        <v>5.2066115702479342E-2</v>
      </c>
      <c r="J173" s="17">
        <f>G173</f>
        <v>0.24793388429752067</v>
      </c>
      <c r="K173" s="18">
        <v>0</v>
      </c>
      <c r="L173" s="17">
        <f>J173*K173/100</f>
        <v>0</v>
      </c>
      <c r="M173" s="19">
        <v>0.3</v>
      </c>
      <c r="N173" s="38"/>
    </row>
    <row r="174" spans="1:19" x14ac:dyDescent="0.35">
      <c r="A174" s="4">
        <v>45549</v>
      </c>
      <c r="B174" s="2" t="s">
        <v>686</v>
      </c>
      <c r="C174" s="25" t="s">
        <v>167</v>
      </c>
      <c r="D174" s="25" t="s">
        <v>206</v>
      </c>
      <c r="E174" s="16" t="s">
        <v>207</v>
      </c>
      <c r="F174" s="5" t="str">
        <f t="shared" ref="F174:F175" si="271">CONCATENATE(S174,B174," ",E174)</f>
        <v>RC EOS ES2024/30055066 MAKSU ESPAÑA S.L.</v>
      </c>
      <c r="G174" s="5">
        <f t="shared" ref="G174:G175" si="272">M174/(1-K174/100+H174/100)</f>
        <v>3.3</v>
      </c>
      <c r="H174" s="18">
        <v>0</v>
      </c>
      <c r="I174" s="17">
        <f t="shared" ref="I174" si="273">G174*H174/100</f>
        <v>0</v>
      </c>
      <c r="J174" s="17">
        <f t="shared" ref="J174" si="274">G174</f>
        <v>3.3</v>
      </c>
      <c r="K174" s="18">
        <v>0</v>
      </c>
      <c r="L174" s="17">
        <f t="shared" ref="L174" si="275">J174*K174/100</f>
        <v>0</v>
      </c>
      <c r="M174" s="19">
        <v>3.3</v>
      </c>
      <c r="N174" s="38"/>
    </row>
    <row r="175" spans="1:19" x14ac:dyDescent="0.35">
      <c r="A175" s="4">
        <v>45549</v>
      </c>
      <c r="B175" s="2" t="s">
        <v>687</v>
      </c>
      <c r="C175" s="25" t="s">
        <v>167</v>
      </c>
      <c r="D175" s="25" t="s">
        <v>206</v>
      </c>
      <c r="E175" s="16" t="s">
        <v>207</v>
      </c>
      <c r="F175" s="5" t="str">
        <f t="shared" si="271"/>
        <v>FT EOS ES2024/1707336 MAKSU ESPAÑA S.L.</v>
      </c>
      <c r="G175" s="5">
        <f t="shared" si="272"/>
        <v>0.33057851239669422</v>
      </c>
      <c r="H175" s="18">
        <v>21</v>
      </c>
      <c r="I175" s="17">
        <f>G175*H175/100</f>
        <v>6.9421487603305784E-2</v>
      </c>
      <c r="J175" s="17">
        <f>G175</f>
        <v>0.33057851239669422</v>
      </c>
      <c r="K175" s="18">
        <v>0</v>
      </c>
      <c r="L175" s="17">
        <f>J175*K175/100</f>
        <v>0</v>
      </c>
      <c r="M175" s="19">
        <v>0.4</v>
      </c>
      <c r="N175" s="38"/>
    </row>
    <row r="176" spans="1:19" x14ac:dyDescent="0.35">
      <c r="A176" s="4">
        <v>45550</v>
      </c>
      <c r="B176" s="2" t="s">
        <v>572</v>
      </c>
      <c r="C176" s="2" t="s">
        <v>111</v>
      </c>
      <c r="D176" s="2" t="s">
        <v>114</v>
      </c>
      <c r="E176" s="2" t="s">
        <v>115</v>
      </c>
      <c r="F176" s="5" t="str">
        <f t="shared" si="193"/>
        <v>S/F FR363532 ELECTRO MERCANTIL LEGANES D.A.M.,S.L.U.</v>
      </c>
      <c r="G176" s="17">
        <f t="shared" si="1"/>
        <v>5920.1404958677685</v>
      </c>
      <c r="H176" s="18">
        <v>21</v>
      </c>
      <c r="I176" s="5">
        <f t="shared" ref="I176:I178" si="276">G176*H176/100</f>
        <v>1243.2295041322313</v>
      </c>
      <c r="J176" s="17">
        <f t="shared" ref="J176:J178" si="277">G176</f>
        <v>5920.1404958677685</v>
      </c>
      <c r="K176" s="18">
        <v>0</v>
      </c>
      <c r="L176" s="17">
        <f t="shared" ref="L176:L178" si="278">J176*K176/100</f>
        <v>0</v>
      </c>
      <c r="M176" s="8">
        <v>7163.37</v>
      </c>
      <c r="S176" t="s">
        <v>19</v>
      </c>
    </row>
    <row r="177" spans="1:14" x14ac:dyDescent="0.35">
      <c r="A177" s="4">
        <v>45550</v>
      </c>
      <c r="B177" s="25" t="s">
        <v>578</v>
      </c>
      <c r="C177" s="25" t="s">
        <v>111</v>
      </c>
      <c r="D177" s="25" t="s">
        <v>112</v>
      </c>
      <c r="E177" s="25" t="s">
        <v>113</v>
      </c>
      <c r="F177" s="5" t="str">
        <f t="shared" ref="F177:F179" si="279">CONCATENATE(S177,B177," ",E177)</f>
        <v>H4F09590 HIPER ANTENA, S.A.</v>
      </c>
      <c r="G177" s="17">
        <f t="shared" si="1"/>
        <v>9.4876033057851252</v>
      </c>
      <c r="H177" s="18">
        <v>21</v>
      </c>
      <c r="I177" s="17">
        <f t="shared" si="276"/>
        <v>1.9923966942148763</v>
      </c>
      <c r="J177" s="17">
        <f t="shared" si="277"/>
        <v>9.4876033057851252</v>
      </c>
      <c r="K177" s="18">
        <v>0</v>
      </c>
      <c r="L177" s="17">
        <f t="shared" si="278"/>
        <v>0</v>
      </c>
      <c r="M177" s="19">
        <v>11.48</v>
      </c>
      <c r="N177" s="38"/>
    </row>
    <row r="178" spans="1:14" x14ac:dyDescent="0.35">
      <c r="A178" s="4">
        <v>45551</v>
      </c>
      <c r="B178" s="2" t="s">
        <v>688</v>
      </c>
      <c r="C178" s="25" t="s">
        <v>167</v>
      </c>
      <c r="D178" s="25" t="s">
        <v>206</v>
      </c>
      <c r="E178" s="16" t="s">
        <v>207</v>
      </c>
      <c r="F178" s="5" t="str">
        <f t="shared" si="279"/>
        <v>RC EOS ES2024/30134574 MAKSU ESPAÑA S.L.</v>
      </c>
      <c r="G178" s="5">
        <f t="shared" si="1"/>
        <v>1.85</v>
      </c>
      <c r="H178" s="18">
        <v>0</v>
      </c>
      <c r="I178" s="17">
        <f t="shared" si="276"/>
        <v>0</v>
      </c>
      <c r="J178" s="17">
        <f t="shared" si="277"/>
        <v>1.85</v>
      </c>
      <c r="K178" s="18">
        <v>0</v>
      </c>
      <c r="L178" s="17">
        <f t="shared" si="278"/>
        <v>0</v>
      </c>
      <c r="M178" s="19">
        <v>1.85</v>
      </c>
      <c r="N178" s="38"/>
    </row>
    <row r="179" spans="1:14" x14ac:dyDescent="0.35">
      <c r="A179" s="4">
        <v>45551</v>
      </c>
      <c r="B179" s="2" t="s">
        <v>689</v>
      </c>
      <c r="C179" s="25" t="s">
        <v>167</v>
      </c>
      <c r="D179" s="25" t="s">
        <v>206</v>
      </c>
      <c r="E179" s="16" t="s">
        <v>207</v>
      </c>
      <c r="F179" s="5" t="str">
        <f t="shared" si="279"/>
        <v>FT EOS ES2024/1712038 MAKSU ESPAÑA S.L.</v>
      </c>
      <c r="G179" s="5">
        <f t="shared" si="1"/>
        <v>0.18181818181818182</v>
      </c>
      <c r="H179" s="18">
        <v>21</v>
      </c>
      <c r="I179" s="17">
        <f>G179*H179/100</f>
        <v>3.8181818181818185E-2</v>
      </c>
      <c r="J179" s="17">
        <f>G179</f>
        <v>0.18181818181818182</v>
      </c>
      <c r="K179" s="18">
        <v>0</v>
      </c>
      <c r="L179" s="17">
        <f>J179*K179/100</f>
        <v>0</v>
      </c>
      <c r="M179" s="19">
        <v>0.22</v>
      </c>
      <c r="N179" s="38"/>
    </row>
    <row r="180" spans="1:14" x14ac:dyDescent="0.35">
      <c r="A180" s="4">
        <v>45551</v>
      </c>
      <c r="B180" s="2" t="s">
        <v>716</v>
      </c>
      <c r="C180" s="25" t="s">
        <v>167</v>
      </c>
      <c r="D180" s="25" t="s">
        <v>206</v>
      </c>
      <c r="E180" s="16" t="s">
        <v>207</v>
      </c>
      <c r="F180" s="5" t="str">
        <f t="shared" ref="F180:F181" si="280">CONCATENATE(S180,B180," ",E180)</f>
        <v>RC EOS ES2024/30183115 MAKSU ESPAÑA S.L.</v>
      </c>
      <c r="G180" s="5">
        <f t="shared" ref="G180:G181" si="281">M180/(1-K180/100+H180/100)</f>
        <v>1.95</v>
      </c>
      <c r="H180" s="18">
        <v>0</v>
      </c>
      <c r="I180" s="17">
        <f t="shared" ref="I180" si="282">G180*H180/100</f>
        <v>0</v>
      </c>
      <c r="J180" s="17">
        <f t="shared" ref="J180" si="283">G180</f>
        <v>1.95</v>
      </c>
      <c r="K180" s="18">
        <v>0</v>
      </c>
      <c r="L180" s="17">
        <f t="shared" ref="L180" si="284">J180*K180/100</f>
        <v>0</v>
      </c>
      <c r="M180" s="19">
        <v>1.95</v>
      </c>
      <c r="N180" s="38"/>
    </row>
    <row r="181" spans="1:14" x14ac:dyDescent="0.35">
      <c r="A181" s="4">
        <v>45551</v>
      </c>
      <c r="B181" s="2" t="s">
        <v>717</v>
      </c>
      <c r="C181" s="25" t="s">
        <v>167</v>
      </c>
      <c r="D181" s="25" t="s">
        <v>206</v>
      </c>
      <c r="E181" s="16" t="s">
        <v>207</v>
      </c>
      <c r="F181" s="5" t="str">
        <f t="shared" si="280"/>
        <v>FT EOS ES2024/1715121 MAKSU ESPAÑA S.L.</v>
      </c>
      <c r="G181" s="5">
        <f t="shared" si="281"/>
        <v>0.19834710743801653</v>
      </c>
      <c r="H181" s="18">
        <v>21</v>
      </c>
      <c r="I181" s="17">
        <f>G181*H181/100</f>
        <v>4.1652892561983478E-2</v>
      </c>
      <c r="J181" s="17">
        <f>G181</f>
        <v>0.19834710743801653</v>
      </c>
      <c r="K181" s="18">
        <v>0</v>
      </c>
      <c r="L181" s="17">
        <f>J181*K181/100</f>
        <v>0</v>
      </c>
      <c r="M181" s="19">
        <v>0.24</v>
      </c>
      <c r="N181" s="38"/>
    </row>
    <row r="182" spans="1:14" x14ac:dyDescent="0.35">
      <c r="A182" s="4">
        <v>45551</v>
      </c>
      <c r="B182" s="2" t="s">
        <v>718</v>
      </c>
      <c r="C182" s="25" t="s">
        <v>167</v>
      </c>
      <c r="D182" s="25" t="s">
        <v>206</v>
      </c>
      <c r="E182" s="16" t="s">
        <v>207</v>
      </c>
      <c r="F182" s="5" t="str">
        <f t="shared" ref="F182:F183" si="285">CONCATENATE(S182,B182," ",E182)</f>
        <v>RC EOS ES2024/30201259 MAKSU ESPAÑA S.L.</v>
      </c>
      <c r="G182" s="5">
        <f t="shared" ref="G182:G183" si="286">M182/(1-K182/100+H182/100)</f>
        <v>3.7</v>
      </c>
      <c r="H182" s="18">
        <v>0</v>
      </c>
      <c r="I182" s="17">
        <f t="shared" ref="I182" si="287">G182*H182/100</f>
        <v>0</v>
      </c>
      <c r="J182" s="17">
        <f t="shared" ref="J182" si="288">G182</f>
        <v>3.7</v>
      </c>
      <c r="K182" s="18">
        <v>0</v>
      </c>
      <c r="L182" s="17">
        <f t="shared" ref="L182" si="289">J182*K182/100</f>
        <v>0</v>
      </c>
      <c r="M182" s="19">
        <v>3.7</v>
      </c>
      <c r="N182" s="38"/>
    </row>
    <row r="183" spans="1:14" x14ac:dyDescent="0.35">
      <c r="A183" s="4">
        <v>45551</v>
      </c>
      <c r="B183" s="2" t="s">
        <v>719</v>
      </c>
      <c r="C183" s="25" t="s">
        <v>167</v>
      </c>
      <c r="D183" s="25" t="s">
        <v>206</v>
      </c>
      <c r="E183" s="16" t="s">
        <v>207</v>
      </c>
      <c r="F183" s="5" t="str">
        <f t="shared" si="285"/>
        <v>FT EOS ES2024/1716522 MAKSU ESPAÑA S.L.</v>
      </c>
      <c r="G183" s="5">
        <f t="shared" si="286"/>
        <v>0.37190082644628103</v>
      </c>
      <c r="H183" s="18">
        <v>21</v>
      </c>
      <c r="I183" s="17">
        <f>G183*H183/100</f>
        <v>7.8099173553719009E-2</v>
      </c>
      <c r="J183" s="17">
        <f>G183</f>
        <v>0.37190082644628103</v>
      </c>
      <c r="K183" s="18">
        <v>0</v>
      </c>
      <c r="L183" s="17">
        <f>J183*K183/100</f>
        <v>0</v>
      </c>
      <c r="M183" s="19">
        <v>0.45</v>
      </c>
      <c r="N183" s="38"/>
    </row>
    <row r="184" spans="1:14" x14ac:dyDescent="0.35">
      <c r="A184" s="4">
        <v>45551</v>
      </c>
      <c r="B184" s="2" t="s">
        <v>720</v>
      </c>
      <c r="C184" s="25" t="s">
        <v>167</v>
      </c>
      <c r="D184" s="25" t="s">
        <v>206</v>
      </c>
      <c r="E184" s="16" t="s">
        <v>207</v>
      </c>
      <c r="F184" s="5" t="str">
        <f t="shared" ref="F184:F185" si="290">CONCATENATE(S184,B184," ",E184)</f>
        <v>RC EOS ES2024/30158273 MAKSU ESPAÑA S.L.</v>
      </c>
      <c r="G184" s="5">
        <f t="shared" ref="G184:G185" si="291">M184/(1-K184/100+H184/100)</f>
        <v>1.55</v>
      </c>
      <c r="H184" s="18">
        <v>0</v>
      </c>
      <c r="I184" s="17">
        <f t="shared" ref="I184" si="292">G184*H184/100</f>
        <v>0</v>
      </c>
      <c r="J184" s="17">
        <f t="shared" ref="J184" si="293">G184</f>
        <v>1.55</v>
      </c>
      <c r="K184" s="18">
        <v>0</v>
      </c>
      <c r="L184" s="17">
        <f t="shared" ref="L184" si="294">J184*K184/100</f>
        <v>0</v>
      </c>
      <c r="M184" s="19">
        <v>1.55</v>
      </c>
      <c r="N184" s="38"/>
    </row>
    <row r="185" spans="1:14" x14ac:dyDescent="0.35">
      <c r="A185" s="4">
        <v>45551</v>
      </c>
      <c r="B185" s="2" t="s">
        <v>721</v>
      </c>
      <c r="C185" s="25" t="s">
        <v>167</v>
      </c>
      <c r="D185" s="25" t="s">
        <v>206</v>
      </c>
      <c r="E185" s="16" t="s">
        <v>207</v>
      </c>
      <c r="F185" s="5" t="str">
        <f t="shared" si="290"/>
        <v>FT EOS ES2024/1713550 MAKSU ESPAÑA S.L.</v>
      </c>
      <c r="G185" s="5">
        <f t="shared" si="291"/>
        <v>0.15702479338842976</v>
      </c>
      <c r="H185" s="18">
        <v>21</v>
      </c>
      <c r="I185" s="17">
        <f>G185*H185/100</f>
        <v>3.2975206611570246E-2</v>
      </c>
      <c r="J185" s="17">
        <f>G185</f>
        <v>0.15702479338842976</v>
      </c>
      <c r="K185" s="18">
        <v>0</v>
      </c>
      <c r="L185" s="17">
        <f>J185*K185/100</f>
        <v>0</v>
      </c>
      <c r="M185" s="19">
        <v>0.19</v>
      </c>
      <c r="N185" s="38"/>
    </row>
    <row r="186" spans="1:14" x14ac:dyDescent="0.35">
      <c r="A186" s="4">
        <v>45552</v>
      </c>
      <c r="B186" s="2" t="s">
        <v>670</v>
      </c>
      <c r="C186" s="25" t="s">
        <v>167</v>
      </c>
      <c r="D186" s="25" t="s">
        <v>206</v>
      </c>
      <c r="E186" s="16" t="s">
        <v>207</v>
      </c>
      <c r="F186" s="5" t="str">
        <f t="shared" si="193"/>
        <v>RC EOS ES2024/30297527 MAKSU ESPAÑA S.L.</v>
      </c>
      <c r="G186" s="5">
        <f t="shared" si="1"/>
        <v>1.35</v>
      </c>
      <c r="H186" s="18">
        <v>0</v>
      </c>
      <c r="I186" s="17">
        <f t="shared" ref="I186:I201" si="295">G186*H186/100</f>
        <v>0</v>
      </c>
      <c r="J186" s="17">
        <f t="shared" ref="J186:J201" si="296">G186</f>
        <v>1.35</v>
      </c>
      <c r="K186" s="18">
        <v>0</v>
      </c>
      <c r="L186" s="17">
        <f t="shared" ref="L186:L201" si="297">J186*K186/100</f>
        <v>0</v>
      </c>
      <c r="M186" s="19">
        <v>1.35</v>
      </c>
      <c r="N186" s="38"/>
    </row>
    <row r="187" spans="1:14" x14ac:dyDescent="0.35">
      <c r="A187" s="4">
        <v>45552</v>
      </c>
      <c r="B187" s="2" t="s">
        <v>671</v>
      </c>
      <c r="C187" s="25" t="s">
        <v>167</v>
      </c>
      <c r="D187" s="25" t="s">
        <v>206</v>
      </c>
      <c r="E187" s="16" t="s">
        <v>207</v>
      </c>
      <c r="F187" s="5" t="str">
        <f t="shared" si="193"/>
        <v>FT EOS ES2024/1721547 MAKSU ESPAÑA S.L.</v>
      </c>
      <c r="G187" s="5">
        <f t="shared" si="1"/>
        <v>0.13223140495867769</v>
      </c>
      <c r="H187" s="18">
        <v>21</v>
      </c>
      <c r="I187" s="17">
        <f>G187*H187/100</f>
        <v>2.7768595041322314E-2</v>
      </c>
      <c r="J187" s="17">
        <f>G187</f>
        <v>0.13223140495867769</v>
      </c>
      <c r="K187" s="18">
        <v>0</v>
      </c>
      <c r="L187" s="17">
        <f>J187*K187/100</f>
        <v>0</v>
      </c>
      <c r="M187" s="19">
        <v>0.16</v>
      </c>
      <c r="N187" s="38"/>
    </row>
    <row r="188" spans="1:14" x14ac:dyDescent="0.35">
      <c r="A188" s="4">
        <v>45552</v>
      </c>
      <c r="B188" s="2" t="s">
        <v>712</v>
      </c>
      <c r="C188" s="25" t="s">
        <v>167</v>
      </c>
      <c r="D188" s="25" t="s">
        <v>206</v>
      </c>
      <c r="E188" s="16" t="s">
        <v>207</v>
      </c>
      <c r="F188" s="5" t="str">
        <f t="shared" ref="F188:F190" si="298">CONCATENATE(S188,B188," ",E188)</f>
        <v>RC EOS ES2024/30338609 MAKSU ESPAÑA S.L.</v>
      </c>
      <c r="G188" s="5">
        <f t="shared" ref="G188:G190" si="299">M188/(1-K188/100+H188/100)</f>
        <v>3.2</v>
      </c>
      <c r="H188" s="18">
        <v>0</v>
      </c>
      <c r="I188" s="17">
        <f t="shared" ref="I188" si="300">G188*H188/100</f>
        <v>0</v>
      </c>
      <c r="J188" s="17">
        <f t="shared" ref="J188" si="301">G188</f>
        <v>3.2</v>
      </c>
      <c r="K188" s="18">
        <v>0</v>
      </c>
      <c r="L188" s="17">
        <f t="shared" ref="L188" si="302">J188*K188/100</f>
        <v>0</v>
      </c>
      <c r="M188" s="19">
        <v>3.2</v>
      </c>
      <c r="N188" s="38"/>
    </row>
    <row r="189" spans="1:14" x14ac:dyDescent="0.35">
      <c r="A189" s="4">
        <v>45552</v>
      </c>
      <c r="B189" s="2" t="s">
        <v>713</v>
      </c>
      <c r="C189" s="25" t="s">
        <v>167</v>
      </c>
      <c r="D189" s="25" t="s">
        <v>206</v>
      </c>
      <c r="E189" s="16" t="s">
        <v>207</v>
      </c>
      <c r="F189" s="5" t="str">
        <f t="shared" si="298"/>
        <v>FT EOS ES2024/1724244 MAKSU ESPAÑA S.L.</v>
      </c>
      <c r="G189" s="5">
        <f t="shared" si="299"/>
        <v>0.3223140495867769</v>
      </c>
      <c r="H189" s="18">
        <v>21</v>
      </c>
      <c r="I189" s="17">
        <f>G189*H189/100</f>
        <v>6.7685950413223145E-2</v>
      </c>
      <c r="J189" s="17">
        <f>G189</f>
        <v>0.3223140495867769</v>
      </c>
      <c r="K189" s="18">
        <v>0</v>
      </c>
      <c r="L189" s="17">
        <f>J189*K189/100</f>
        <v>0</v>
      </c>
      <c r="M189" s="19">
        <v>0.39</v>
      </c>
      <c r="N189" s="38"/>
    </row>
    <row r="190" spans="1:14" x14ac:dyDescent="0.35">
      <c r="A190" s="4">
        <v>45553</v>
      </c>
      <c r="B190" s="25" t="s">
        <v>768</v>
      </c>
      <c r="C190" s="25" t="s">
        <v>167</v>
      </c>
      <c r="D190" s="16" t="s">
        <v>168</v>
      </c>
      <c r="E190" s="16" t="s">
        <v>169</v>
      </c>
      <c r="F190" s="5" t="str">
        <f t="shared" si="298"/>
        <v>70124FE000003251 SANTIAGO Y LYDIA DIAZ, S.L.</v>
      </c>
      <c r="G190" s="17">
        <f t="shared" si="299"/>
        <v>49.776859504132233</v>
      </c>
      <c r="H190" s="18">
        <v>21</v>
      </c>
      <c r="I190" s="17">
        <f t="shared" ref="I190" si="303">G190*H190/100</f>
        <v>10.453140495867769</v>
      </c>
      <c r="J190" s="17">
        <f t="shared" ref="J190" si="304">G190</f>
        <v>49.776859504132233</v>
      </c>
      <c r="K190" s="18">
        <v>0</v>
      </c>
      <c r="L190" s="17">
        <f t="shared" ref="L190" si="305">J190*K190/100</f>
        <v>0</v>
      </c>
      <c r="M190" s="19">
        <v>60.23</v>
      </c>
      <c r="N190" s="38"/>
    </row>
    <row r="191" spans="1:14" x14ac:dyDescent="0.35">
      <c r="A191" s="4">
        <v>45555</v>
      </c>
      <c r="B191" s="2" t="s">
        <v>706</v>
      </c>
      <c r="C191" s="25" t="s">
        <v>167</v>
      </c>
      <c r="D191" s="25" t="s">
        <v>206</v>
      </c>
      <c r="E191" s="16" t="s">
        <v>207</v>
      </c>
      <c r="F191" s="5" t="str">
        <f t="shared" ref="F191:F192" si="306">CONCATENATE(S191,B191," ",E191)</f>
        <v>RC EOS ES2024/30799087 MAKSU ESPAÑA S.L.</v>
      </c>
      <c r="G191" s="5">
        <f t="shared" ref="G191:G192" si="307">M191/(1-K191/100+H191/100)</f>
        <v>1.5</v>
      </c>
      <c r="H191" s="18">
        <v>0</v>
      </c>
      <c r="I191" s="17">
        <f t="shared" ref="I191" si="308">G191*H191/100</f>
        <v>0</v>
      </c>
      <c r="J191" s="17">
        <f t="shared" ref="J191" si="309">G191</f>
        <v>1.5</v>
      </c>
      <c r="K191" s="18">
        <v>0</v>
      </c>
      <c r="L191" s="17">
        <f t="shared" ref="L191" si="310">J191*K191/100</f>
        <v>0</v>
      </c>
      <c r="M191" s="19">
        <v>1.5</v>
      </c>
      <c r="N191" s="38"/>
    </row>
    <row r="192" spans="1:14" x14ac:dyDescent="0.35">
      <c r="A192" s="4">
        <v>45555</v>
      </c>
      <c r="B192" s="2" t="s">
        <v>707</v>
      </c>
      <c r="C192" s="25" t="s">
        <v>167</v>
      </c>
      <c r="D192" s="25" t="s">
        <v>206</v>
      </c>
      <c r="E192" s="16" t="s">
        <v>207</v>
      </c>
      <c r="F192" s="5" t="str">
        <f t="shared" si="306"/>
        <v>FT EOS ES2024/1751598 MAKSU ESPAÑA S.L.</v>
      </c>
      <c r="G192" s="5">
        <f t="shared" si="307"/>
        <v>0.1487603305785124</v>
      </c>
      <c r="H192" s="18">
        <v>21</v>
      </c>
      <c r="I192" s="17">
        <f>G192*H192/100</f>
        <v>3.1239669421487606E-2</v>
      </c>
      <c r="J192" s="17">
        <f>G192</f>
        <v>0.1487603305785124</v>
      </c>
      <c r="K192" s="18">
        <v>0</v>
      </c>
      <c r="L192" s="17">
        <f>J192*K192/100</f>
        <v>0</v>
      </c>
      <c r="M192" s="19">
        <v>0.18</v>
      </c>
      <c r="N192" s="38"/>
    </row>
    <row r="193" spans="1:14" x14ac:dyDescent="0.35">
      <c r="A193" s="4">
        <v>45555</v>
      </c>
      <c r="B193" s="2" t="s">
        <v>730</v>
      </c>
      <c r="C193" s="25" t="s">
        <v>167</v>
      </c>
      <c r="D193" s="25" t="s">
        <v>206</v>
      </c>
      <c r="E193" s="16" t="s">
        <v>207</v>
      </c>
      <c r="F193" s="5" t="str">
        <f t="shared" ref="F193:F194" si="311">CONCATENATE(S193,B193," ",E193)</f>
        <v>RC EOS ES2024/30805081 MAKSU ESPAÑA S.L.</v>
      </c>
      <c r="G193" s="5">
        <f t="shared" ref="G193:G194" si="312">M193/(1-K193/100+H193/100)</f>
        <v>1.05</v>
      </c>
      <c r="H193" s="18">
        <v>0</v>
      </c>
      <c r="I193" s="17">
        <f t="shared" ref="I193" si="313">G193*H193/100</f>
        <v>0</v>
      </c>
      <c r="J193" s="17">
        <f t="shared" ref="J193" si="314">G193</f>
        <v>1.05</v>
      </c>
      <c r="K193" s="18">
        <v>0</v>
      </c>
      <c r="L193" s="17">
        <f t="shared" ref="L193" si="315">J193*K193/100</f>
        <v>0</v>
      </c>
      <c r="M193" s="19">
        <v>1.05</v>
      </c>
      <c r="N193" s="38"/>
    </row>
    <row r="194" spans="1:14" x14ac:dyDescent="0.35">
      <c r="A194" s="4">
        <v>45555</v>
      </c>
      <c r="B194" s="2" t="s">
        <v>731</v>
      </c>
      <c r="C194" s="25" t="s">
        <v>167</v>
      </c>
      <c r="D194" s="25" t="s">
        <v>206</v>
      </c>
      <c r="E194" s="16" t="s">
        <v>207</v>
      </c>
      <c r="F194" s="5" t="str">
        <f t="shared" si="311"/>
        <v>FT EOS ES2024/1752019 MAKSU ESPAÑA S.L.</v>
      </c>
      <c r="G194" s="5">
        <f t="shared" si="312"/>
        <v>0.10743801652892562</v>
      </c>
      <c r="H194" s="18">
        <v>21</v>
      </c>
      <c r="I194" s="17">
        <f>G194*H194/100</f>
        <v>2.2561983471074382E-2</v>
      </c>
      <c r="J194" s="17">
        <f>G194</f>
        <v>0.10743801652892562</v>
      </c>
      <c r="K194" s="18">
        <v>0</v>
      </c>
      <c r="L194" s="17">
        <f>J194*K194/100</f>
        <v>0</v>
      </c>
      <c r="M194" s="19">
        <v>0.13</v>
      </c>
      <c r="N194" s="38"/>
    </row>
    <row r="195" spans="1:14" x14ac:dyDescent="0.35">
      <c r="A195" s="4">
        <v>45556</v>
      </c>
      <c r="B195" s="2" t="s">
        <v>676</v>
      </c>
      <c r="C195" s="25" t="s">
        <v>167</v>
      </c>
      <c r="D195" s="25" t="s">
        <v>206</v>
      </c>
      <c r="E195" s="16" t="s">
        <v>207</v>
      </c>
      <c r="F195" s="5" t="str">
        <f t="shared" ref="F195:F196" si="316">CONCATENATE(S195,B195," ",E195)</f>
        <v>RC EOS ES2024/30950667 MAKSU ESPAÑA S.L.</v>
      </c>
      <c r="G195" s="5">
        <f t="shared" ref="G195:G196" si="317">M195/(1-K195/100+H195/100)</f>
        <v>1.05</v>
      </c>
      <c r="H195" s="18">
        <v>0</v>
      </c>
      <c r="I195" s="17">
        <f t="shared" ref="I195" si="318">G195*H195/100</f>
        <v>0</v>
      </c>
      <c r="J195" s="17">
        <f t="shared" ref="J195" si="319">G195</f>
        <v>1.05</v>
      </c>
      <c r="K195" s="18">
        <v>0</v>
      </c>
      <c r="L195" s="17">
        <f t="shared" ref="L195" si="320">J195*K195/100</f>
        <v>0</v>
      </c>
      <c r="M195" s="19">
        <v>1.05</v>
      </c>
      <c r="N195" s="38"/>
    </row>
    <row r="196" spans="1:14" x14ac:dyDescent="0.35">
      <c r="A196" s="4">
        <v>45556</v>
      </c>
      <c r="B196" s="2" t="s">
        <v>677</v>
      </c>
      <c r="C196" s="25" t="s">
        <v>167</v>
      </c>
      <c r="D196" s="25" t="s">
        <v>206</v>
      </c>
      <c r="E196" s="16" t="s">
        <v>207</v>
      </c>
      <c r="F196" s="5" t="str">
        <f t="shared" si="316"/>
        <v>FT EOS ES2024/1760219 MAKSU ESPAÑA S.L.</v>
      </c>
      <c r="G196" s="5">
        <f t="shared" si="317"/>
        <v>0.10743801652892562</v>
      </c>
      <c r="H196" s="18">
        <v>21</v>
      </c>
      <c r="I196" s="17">
        <f>G196*H196/100</f>
        <v>2.2561983471074382E-2</v>
      </c>
      <c r="J196" s="17">
        <f>G196</f>
        <v>0.10743801652892562</v>
      </c>
      <c r="K196" s="18">
        <v>0</v>
      </c>
      <c r="L196" s="17">
        <f>J196*K196/100</f>
        <v>0</v>
      </c>
      <c r="M196" s="19">
        <v>0.13</v>
      </c>
      <c r="N196" s="38"/>
    </row>
    <row r="197" spans="1:14" x14ac:dyDescent="0.35">
      <c r="A197" s="4">
        <v>45556</v>
      </c>
      <c r="B197" s="2" t="s">
        <v>696</v>
      </c>
      <c r="C197" s="25" t="s">
        <v>167</v>
      </c>
      <c r="D197" s="25" t="s">
        <v>206</v>
      </c>
      <c r="E197" s="16" t="s">
        <v>207</v>
      </c>
      <c r="F197" s="5" t="str">
        <f t="shared" ref="F197:F198" si="321">CONCATENATE(S197,B197," ",E197)</f>
        <v>RC EOS ES2024/30945363 MAKSU ESPAÑA S.L.</v>
      </c>
      <c r="G197" s="5">
        <f t="shared" ref="G197:G198" si="322">M197/(1-K197/100+H197/100)</f>
        <v>1.7</v>
      </c>
      <c r="H197" s="18">
        <v>0</v>
      </c>
      <c r="I197" s="17">
        <f t="shared" ref="I197" si="323">G197*H197/100</f>
        <v>0</v>
      </c>
      <c r="J197" s="17">
        <f t="shared" ref="J197" si="324">G197</f>
        <v>1.7</v>
      </c>
      <c r="K197" s="18">
        <v>0</v>
      </c>
      <c r="L197" s="17">
        <f t="shared" ref="L197" si="325">J197*K197/100</f>
        <v>0</v>
      </c>
      <c r="M197" s="19">
        <v>1.7</v>
      </c>
      <c r="N197" s="38"/>
    </row>
    <row r="198" spans="1:14" x14ac:dyDescent="0.35">
      <c r="A198" s="4">
        <v>45556</v>
      </c>
      <c r="B198" s="2" t="s">
        <v>697</v>
      </c>
      <c r="C198" s="25" t="s">
        <v>167</v>
      </c>
      <c r="D198" s="25" t="s">
        <v>206</v>
      </c>
      <c r="E198" s="16" t="s">
        <v>207</v>
      </c>
      <c r="F198" s="5" t="str">
        <f t="shared" si="321"/>
        <v>FT EOS ES2024/1760036 MAKSU ESPAÑA S.L.</v>
      </c>
      <c r="G198" s="5">
        <f t="shared" si="322"/>
        <v>0.17355371900826447</v>
      </c>
      <c r="H198" s="18">
        <v>21</v>
      </c>
      <c r="I198" s="17">
        <f>G198*H198/100</f>
        <v>3.6446280991735538E-2</v>
      </c>
      <c r="J198" s="17">
        <f>G198</f>
        <v>0.17355371900826447</v>
      </c>
      <c r="K198" s="18">
        <v>0</v>
      </c>
      <c r="L198" s="17">
        <f>J198*K198/100</f>
        <v>0</v>
      </c>
      <c r="M198" s="19">
        <v>0.21</v>
      </c>
      <c r="N198" s="38"/>
    </row>
    <row r="199" spans="1:14" x14ac:dyDescent="0.35">
      <c r="A199" s="4">
        <v>45558</v>
      </c>
      <c r="B199" s="2" t="s">
        <v>674</v>
      </c>
      <c r="C199" s="25" t="s">
        <v>167</v>
      </c>
      <c r="D199" s="25" t="s">
        <v>206</v>
      </c>
      <c r="E199" s="16" t="s">
        <v>207</v>
      </c>
      <c r="F199" s="5" t="str">
        <f t="shared" si="193"/>
        <v>RC EOS ES2024/31062426 MAKSU ESPAÑA S.L.</v>
      </c>
      <c r="G199" s="5">
        <f t="shared" si="1"/>
        <v>1.8</v>
      </c>
      <c r="H199" s="18">
        <v>0</v>
      </c>
      <c r="I199" s="17">
        <f t="shared" si="295"/>
        <v>0</v>
      </c>
      <c r="J199" s="17">
        <f t="shared" si="296"/>
        <v>1.8</v>
      </c>
      <c r="K199" s="18">
        <v>0</v>
      </c>
      <c r="L199" s="17">
        <f t="shared" si="297"/>
        <v>0</v>
      </c>
      <c r="M199" s="19">
        <v>1.8</v>
      </c>
      <c r="N199" s="38"/>
    </row>
    <row r="200" spans="1:14" x14ac:dyDescent="0.35">
      <c r="A200" s="4">
        <v>45558</v>
      </c>
      <c r="B200" s="2" t="s">
        <v>675</v>
      </c>
      <c r="C200" s="25" t="s">
        <v>167</v>
      </c>
      <c r="D200" s="25" t="s">
        <v>206</v>
      </c>
      <c r="E200" s="16" t="s">
        <v>207</v>
      </c>
      <c r="F200" s="5" t="str">
        <f t="shared" si="193"/>
        <v>FT EOS ES2024/1767057 MAKSU ESPAÑA S.L.</v>
      </c>
      <c r="G200" s="5">
        <f t="shared" si="1"/>
        <v>0.18181818181818182</v>
      </c>
      <c r="H200" s="18">
        <v>21</v>
      </c>
      <c r="I200" s="17">
        <f>G200*H200/100</f>
        <v>3.8181818181818185E-2</v>
      </c>
      <c r="J200" s="17">
        <f>G200</f>
        <v>0.18181818181818182</v>
      </c>
      <c r="K200" s="18">
        <v>0</v>
      </c>
      <c r="L200" s="17">
        <f>J200*K200/100</f>
        <v>0</v>
      </c>
      <c r="M200" s="19">
        <v>0.22</v>
      </c>
      <c r="N200" s="38"/>
    </row>
    <row r="201" spans="1:14" x14ac:dyDescent="0.35">
      <c r="A201" s="4">
        <v>45558</v>
      </c>
      <c r="B201" s="2" t="s">
        <v>666</v>
      </c>
      <c r="C201" s="25" t="s">
        <v>167</v>
      </c>
      <c r="D201" s="25" t="s">
        <v>206</v>
      </c>
      <c r="E201" s="16" t="s">
        <v>207</v>
      </c>
      <c r="F201" s="5" t="str">
        <f t="shared" si="193"/>
        <v>RC EOS ES2024/31091196 MAKSU ESPAÑA S.L.</v>
      </c>
      <c r="G201" s="5">
        <f t="shared" ref="G201:G202" si="326">M201/(1-K201/100+H201/100)</f>
        <v>0.65</v>
      </c>
      <c r="H201" s="18">
        <v>0</v>
      </c>
      <c r="I201" s="17">
        <f t="shared" si="295"/>
        <v>0</v>
      </c>
      <c r="J201" s="17">
        <f t="shared" si="296"/>
        <v>0.65</v>
      </c>
      <c r="K201" s="18">
        <v>0</v>
      </c>
      <c r="L201" s="17">
        <f t="shared" si="297"/>
        <v>0</v>
      </c>
      <c r="M201" s="19">
        <v>0.65</v>
      </c>
      <c r="N201" s="38"/>
    </row>
    <row r="202" spans="1:14" x14ac:dyDescent="0.35">
      <c r="A202" s="4">
        <v>45558</v>
      </c>
      <c r="B202" s="2" t="s">
        <v>667</v>
      </c>
      <c r="C202" s="25" t="s">
        <v>167</v>
      </c>
      <c r="D202" s="25" t="s">
        <v>206</v>
      </c>
      <c r="E202" s="16" t="s">
        <v>207</v>
      </c>
      <c r="F202" s="5" t="str">
        <f t="shared" si="193"/>
        <v>FT EOS ES2024/1768807 MAKSU ESPAÑA S.L.</v>
      </c>
      <c r="G202" s="5">
        <f t="shared" si="326"/>
        <v>6.6115702479338845E-2</v>
      </c>
      <c r="H202" s="18">
        <v>21</v>
      </c>
      <c r="I202" s="17">
        <f>G202*H202/100</f>
        <v>1.3884297520661157E-2</v>
      </c>
      <c r="J202" s="17">
        <f>G202</f>
        <v>6.6115702479338845E-2</v>
      </c>
      <c r="K202" s="18">
        <v>0</v>
      </c>
      <c r="L202" s="17">
        <f>J202*K202/100</f>
        <v>0</v>
      </c>
      <c r="M202" s="19">
        <v>0.08</v>
      </c>
      <c r="N202" s="38"/>
    </row>
    <row r="203" spans="1:14" x14ac:dyDescent="0.35">
      <c r="A203" s="4">
        <v>45558</v>
      </c>
      <c r="B203" s="2" t="s">
        <v>684</v>
      </c>
      <c r="C203" s="25" t="s">
        <v>167</v>
      </c>
      <c r="D203" s="25" t="s">
        <v>206</v>
      </c>
      <c r="E203" s="16" t="s">
        <v>207</v>
      </c>
      <c r="F203" s="5" t="str">
        <f t="shared" ref="F203:F206" si="327">CONCATENATE(S203,B203," ",E203)</f>
        <v>RC EOS ES2024/31046398 MAKSU ESPAÑA S.L.</v>
      </c>
      <c r="G203" s="5">
        <f t="shared" ref="G203:G204" si="328">M203/(1-K203/100+H203/100)</f>
        <v>1.85</v>
      </c>
      <c r="H203" s="18">
        <v>0</v>
      </c>
      <c r="I203" s="17">
        <f t="shared" ref="I203" si="329">G203*H203/100</f>
        <v>0</v>
      </c>
      <c r="J203" s="17">
        <f t="shared" ref="J203" si="330">G203</f>
        <v>1.85</v>
      </c>
      <c r="K203" s="18">
        <v>0</v>
      </c>
      <c r="L203" s="17">
        <f t="shared" ref="L203" si="331">J203*K203/100</f>
        <v>0</v>
      </c>
      <c r="M203" s="19">
        <v>1.85</v>
      </c>
      <c r="N203" s="38"/>
    </row>
    <row r="204" spans="1:14" x14ac:dyDescent="0.35">
      <c r="A204" s="4">
        <v>45558</v>
      </c>
      <c r="B204" s="2" t="s">
        <v>685</v>
      </c>
      <c r="C204" s="25" t="s">
        <v>167</v>
      </c>
      <c r="D204" s="25" t="s">
        <v>206</v>
      </c>
      <c r="E204" s="16" t="s">
        <v>207</v>
      </c>
      <c r="F204" s="5" t="str">
        <f t="shared" si="327"/>
        <v>FT EOS ES2024/1766092 MAKSU ESPAÑA S.L.</v>
      </c>
      <c r="G204" s="5">
        <f t="shared" si="328"/>
        <v>0.18181818181818182</v>
      </c>
      <c r="H204" s="18">
        <v>21</v>
      </c>
      <c r="I204" s="17">
        <f>G204*H204/100</f>
        <v>3.8181818181818185E-2</v>
      </c>
      <c r="J204" s="17">
        <f>G204</f>
        <v>0.18181818181818182</v>
      </c>
      <c r="K204" s="18">
        <v>0</v>
      </c>
      <c r="L204" s="17">
        <f>J204*K204/100</f>
        <v>0</v>
      </c>
      <c r="M204" s="19">
        <v>0.22</v>
      </c>
      <c r="N204" s="38"/>
    </row>
    <row r="205" spans="1:14" x14ac:dyDescent="0.35">
      <c r="A205" s="4">
        <v>45558</v>
      </c>
      <c r="B205" s="25" t="s">
        <v>749</v>
      </c>
      <c r="C205" s="25" t="s">
        <v>167</v>
      </c>
      <c r="D205" s="25" t="s">
        <v>189</v>
      </c>
      <c r="E205" s="25" t="s">
        <v>190</v>
      </c>
      <c r="F205" s="5" t="str">
        <f t="shared" si="327"/>
        <v>024-0009-439351 BRICOLAJE BRICOMAN, S.L.U.</v>
      </c>
      <c r="G205" s="17">
        <f>M205/(1-K205/100+H205/100)</f>
        <v>21.074380165289256</v>
      </c>
      <c r="H205" s="18">
        <v>21</v>
      </c>
      <c r="I205" s="17">
        <f>G205*H205/100</f>
        <v>4.4256198347107434</v>
      </c>
      <c r="J205" s="17">
        <f>G205</f>
        <v>21.074380165289256</v>
      </c>
      <c r="K205" s="18">
        <v>0</v>
      </c>
      <c r="L205" s="17">
        <f>J205*K205/100</f>
        <v>0</v>
      </c>
      <c r="M205" s="19">
        <v>25.5</v>
      </c>
      <c r="N205" s="38" t="s">
        <v>27</v>
      </c>
    </row>
    <row r="206" spans="1:14" x14ac:dyDescent="0.35">
      <c r="A206" s="4">
        <v>45559</v>
      </c>
      <c r="B206" s="25" t="s">
        <v>772</v>
      </c>
      <c r="C206" s="25" t="s">
        <v>167</v>
      </c>
      <c r="D206" s="16" t="s">
        <v>168</v>
      </c>
      <c r="E206" s="16" t="s">
        <v>169</v>
      </c>
      <c r="F206" s="5" t="str">
        <f t="shared" si="327"/>
        <v>70124FE000003308 SANTIAGO Y LYDIA DIAZ, S.L.</v>
      </c>
      <c r="G206" s="17">
        <f t="shared" ref="G206" si="332">M206/(1-K206/100+H206/100)</f>
        <v>45.652892561983471</v>
      </c>
      <c r="H206" s="18">
        <v>21</v>
      </c>
      <c r="I206" s="17">
        <f t="shared" ref="I206" si="333">G206*H206/100</f>
        <v>9.5871074380165293</v>
      </c>
      <c r="J206" s="17">
        <f t="shared" ref="J206" si="334">G206</f>
        <v>45.652892561983471</v>
      </c>
      <c r="K206" s="18">
        <v>0</v>
      </c>
      <c r="L206" s="17">
        <f t="shared" ref="L206" si="335">J206*K206/100</f>
        <v>0</v>
      </c>
      <c r="M206" s="19">
        <v>55.24</v>
      </c>
      <c r="N206" s="38"/>
    </row>
    <row r="207" spans="1:14" x14ac:dyDescent="0.35">
      <c r="A207" s="4">
        <v>45559</v>
      </c>
      <c r="B207" s="2" t="s">
        <v>698</v>
      </c>
      <c r="C207" s="25" t="s">
        <v>167</v>
      </c>
      <c r="D207" s="25" t="s">
        <v>206</v>
      </c>
      <c r="E207" s="16" t="s">
        <v>207</v>
      </c>
      <c r="F207" s="5" t="str">
        <f t="shared" ref="F207:F208" si="336">CONCATENATE(S207,B207," ",E207)</f>
        <v>RC EOS ES2024/31253948 MAKSU ESPAÑA S.L.</v>
      </c>
      <c r="G207" s="5">
        <f t="shared" ref="G207:G208" si="337">M207/(1-K207/100+H207/100)</f>
        <v>3.6</v>
      </c>
      <c r="H207" s="18">
        <v>0</v>
      </c>
      <c r="I207" s="17">
        <f t="shared" ref="I207" si="338">G207*H207/100</f>
        <v>0</v>
      </c>
      <c r="J207" s="17">
        <f t="shared" ref="J207" si="339">G207</f>
        <v>3.6</v>
      </c>
      <c r="K207" s="18">
        <v>0</v>
      </c>
      <c r="L207" s="17">
        <f t="shared" ref="L207" si="340">J207*K207/100</f>
        <v>0</v>
      </c>
      <c r="M207" s="19">
        <v>3.6</v>
      </c>
      <c r="N207" s="38"/>
    </row>
    <row r="208" spans="1:14" x14ac:dyDescent="0.35">
      <c r="A208" s="4">
        <v>45559</v>
      </c>
      <c r="B208" s="2" t="s">
        <v>699</v>
      </c>
      <c r="C208" s="25" t="s">
        <v>167</v>
      </c>
      <c r="D208" s="25" t="s">
        <v>206</v>
      </c>
      <c r="E208" s="16" t="s">
        <v>207</v>
      </c>
      <c r="F208" s="5" t="str">
        <f t="shared" si="336"/>
        <v>FT EOS ES2024/1778473 MAKSU ESPAÑA S.L.</v>
      </c>
      <c r="G208" s="5">
        <f t="shared" si="337"/>
        <v>0.35537190082644626</v>
      </c>
      <c r="H208" s="18">
        <v>21</v>
      </c>
      <c r="I208" s="17">
        <f>G208*H208/100</f>
        <v>7.4628099173553716E-2</v>
      </c>
      <c r="J208" s="17">
        <f>G208</f>
        <v>0.35537190082644626</v>
      </c>
      <c r="K208" s="18">
        <v>0</v>
      </c>
      <c r="L208" s="17">
        <f>J208*K208/100</f>
        <v>0</v>
      </c>
      <c r="M208" s="19">
        <v>0.43</v>
      </c>
      <c r="N208" s="38"/>
    </row>
    <row r="209" spans="1:19" x14ac:dyDescent="0.35">
      <c r="A209" s="4">
        <v>45559</v>
      </c>
      <c r="B209" s="2" t="s">
        <v>702</v>
      </c>
      <c r="C209" s="25" t="s">
        <v>167</v>
      </c>
      <c r="D209" s="25" t="s">
        <v>206</v>
      </c>
      <c r="E209" s="16" t="s">
        <v>207</v>
      </c>
      <c r="F209" s="5" t="str">
        <f t="shared" ref="F209:F210" si="341">CONCATENATE(S209,B209," ",E209)</f>
        <v>RC EOS ES2024/31258055 MAKSU ESPAÑA S.L.</v>
      </c>
      <c r="G209" s="5">
        <f t="shared" ref="G209:G210" si="342">M209/(1-K209/100+H209/100)</f>
        <v>1.85</v>
      </c>
      <c r="H209" s="18">
        <v>0</v>
      </c>
      <c r="I209" s="17">
        <f t="shared" ref="I209" si="343">G209*H209/100</f>
        <v>0</v>
      </c>
      <c r="J209" s="17">
        <f t="shared" ref="J209" si="344">G209</f>
        <v>1.85</v>
      </c>
      <c r="K209" s="18">
        <v>0</v>
      </c>
      <c r="L209" s="17">
        <f t="shared" ref="L209" si="345">J209*K209/100</f>
        <v>0</v>
      </c>
      <c r="M209" s="19">
        <v>1.85</v>
      </c>
      <c r="N209" s="38"/>
    </row>
    <row r="210" spans="1:19" x14ac:dyDescent="0.35">
      <c r="A210" s="4">
        <v>45559</v>
      </c>
      <c r="B210" s="2" t="s">
        <v>703</v>
      </c>
      <c r="C210" s="25" t="s">
        <v>167</v>
      </c>
      <c r="D210" s="25" t="s">
        <v>206</v>
      </c>
      <c r="E210" s="16" t="s">
        <v>207</v>
      </c>
      <c r="F210" s="5" t="str">
        <f t="shared" si="341"/>
        <v>FT EOS ES2024/1779019 MAKSU ESPAÑA S.L.</v>
      </c>
      <c r="G210" s="5">
        <f t="shared" si="342"/>
        <v>0.18181818181818182</v>
      </c>
      <c r="H210" s="18">
        <v>21</v>
      </c>
      <c r="I210" s="17">
        <f>G210*H210/100</f>
        <v>3.8181818181818185E-2</v>
      </c>
      <c r="J210" s="17">
        <f>G210</f>
        <v>0.18181818181818182</v>
      </c>
      <c r="K210" s="18">
        <v>0</v>
      </c>
      <c r="L210" s="17">
        <f>J210*K210/100</f>
        <v>0</v>
      </c>
      <c r="M210" s="19">
        <v>0.22</v>
      </c>
      <c r="N210" s="38"/>
    </row>
    <row r="211" spans="1:19" x14ac:dyDescent="0.35">
      <c r="A211" s="4">
        <v>45559</v>
      </c>
      <c r="B211" s="2" t="s">
        <v>708</v>
      </c>
      <c r="C211" s="25" t="s">
        <v>167</v>
      </c>
      <c r="D211" s="25" t="s">
        <v>206</v>
      </c>
      <c r="E211" s="16" t="s">
        <v>207</v>
      </c>
      <c r="F211" s="5" t="str">
        <f t="shared" ref="F211:F212" si="346">CONCATENATE(S211,B211," ",E211)</f>
        <v>RC EOS ES2024/31197700 MAKSU ESPAÑA S.L.</v>
      </c>
      <c r="G211" s="5">
        <f t="shared" ref="G211:G212" si="347">M211/(1-K211/100+H211/100)</f>
        <v>1.85</v>
      </c>
      <c r="H211" s="18">
        <v>0</v>
      </c>
      <c r="I211" s="17">
        <f t="shared" ref="I211" si="348">G211*H211/100</f>
        <v>0</v>
      </c>
      <c r="J211" s="17">
        <f t="shared" ref="J211" si="349">G211</f>
        <v>1.85</v>
      </c>
      <c r="K211" s="18">
        <v>0</v>
      </c>
      <c r="L211" s="17">
        <f t="shared" ref="L211" si="350">J211*K211/100</f>
        <v>0</v>
      </c>
      <c r="M211" s="19">
        <v>1.85</v>
      </c>
      <c r="N211" s="38"/>
    </row>
    <row r="212" spans="1:19" x14ac:dyDescent="0.35">
      <c r="A212" s="4">
        <v>45559</v>
      </c>
      <c r="B212" s="2" t="s">
        <v>709</v>
      </c>
      <c r="C212" s="25" t="s">
        <v>167</v>
      </c>
      <c r="D212" s="25" t="s">
        <v>206</v>
      </c>
      <c r="E212" s="16" t="s">
        <v>207</v>
      </c>
      <c r="F212" s="5" t="str">
        <f t="shared" si="346"/>
        <v>FT EOS ES2024/1774796 MAKSU ESPAÑA S.L.</v>
      </c>
      <c r="G212" s="5">
        <f t="shared" si="347"/>
        <v>0.18181818181818182</v>
      </c>
      <c r="H212" s="18">
        <v>21</v>
      </c>
      <c r="I212" s="17">
        <f>G212*H212/100</f>
        <v>3.8181818181818185E-2</v>
      </c>
      <c r="J212" s="17">
        <f>G212</f>
        <v>0.18181818181818182</v>
      </c>
      <c r="K212" s="18">
        <v>0</v>
      </c>
      <c r="L212" s="17">
        <f>J212*K212/100</f>
        <v>0</v>
      </c>
      <c r="M212" s="19">
        <v>0.22</v>
      </c>
      <c r="N212" s="38"/>
    </row>
    <row r="213" spans="1:19" x14ac:dyDescent="0.35">
      <c r="A213" s="4">
        <v>45559</v>
      </c>
      <c r="B213" s="2" t="s">
        <v>722</v>
      </c>
      <c r="C213" s="25" t="s">
        <v>167</v>
      </c>
      <c r="D213" s="25" t="s">
        <v>206</v>
      </c>
      <c r="E213" s="16" t="s">
        <v>207</v>
      </c>
      <c r="F213" s="5" t="str">
        <f t="shared" ref="F213:F214" si="351">CONCATENATE(S213,B213," ",E213)</f>
        <v>RC EOS ES2024/31210822 MAKSU ESPAÑA S.L.</v>
      </c>
      <c r="G213" s="5">
        <f t="shared" ref="G213:G214" si="352">M213/(1-K213/100+H213/100)</f>
        <v>1.7</v>
      </c>
      <c r="H213" s="18">
        <v>0</v>
      </c>
      <c r="I213" s="17">
        <f t="shared" ref="I213" si="353">G213*H213/100</f>
        <v>0</v>
      </c>
      <c r="J213" s="17">
        <f t="shared" ref="J213" si="354">G213</f>
        <v>1.7</v>
      </c>
      <c r="K213" s="18">
        <v>0</v>
      </c>
      <c r="L213" s="17">
        <f t="shared" ref="L213" si="355">J213*K213/100</f>
        <v>0</v>
      </c>
      <c r="M213" s="19">
        <v>1.7</v>
      </c>
      <c r="N213" s="38"/>
    </row>
    <row r="214" spans="1:19" x14ac:dyDescent="0.35">
      <c r="A214" s="4">
        <v>45559</v>
      </c>
      <c r="B214" s="2" t="s">
        <v>723</v>
      </c>
      <c r="C214" s="25" t="s">
        <v>167</v>
      </c>
      <c r="D214" s="25" t="s">
        <v>206</v>
      </c>
      <c r="E214" s="16" t="s">
        <v>207</v>
      </c>
      <c r="F214" s="5" t="str">
        <f t="shared" si="351"/>
        <v>FT EOS ES2024/1775741 MAKSU ESPAÑA S.L.</v>
      </c>
      <c r="G214" s="5">
        <f t="shared" si="352"/>
        <v>0.17355371900826447</v>
      </c>
      <c r="H214" s="18">
        <v>21</v>
      </c>
      <c r="I214" s="17">
        <f>G214*H214/100</f>
        <v>3.6446280991735538E-2</v>
      </c>
      <c r="J214" s="17">
        <f>G214</f>
        <v>0.17355371900826447</v>
      </c>
      <c r="K214" s="18">
        <v>0</v>
      </c>
      <c r="L214" s="17">
        <f>J214*K214/100</f>
        <v>0</v>
      </c>
      <c r="M214" s="19">
        <v>0.21</v>
      </c>
      <c r="N214" s="38"/>
    </row>
    <row r="215" spans="1:19" x14ac:dyDescent="0.35">
      <c r="A215" s="4">
        <v>45559</v>
      </c>
      <c r="B215" s="2" t="s">
        <v>726</v>
      </c>
      <c r="C215" s="25" t="s">
        <v>167</v>
      </c>
      <c r="D215" s="25" t="s">
        <v>206</v>
      </c>
      <c r="E215" s="16" t="s">
        <v>207</v>
      </c>
      <c r="F215" s="5" t="str">
        <f t="shared" ref="F215:F217" si="356">CONCATENATE(S215,B215," ",E215)</f>
        <v>RC EOS ES2024/31234378 MAKSU ESPAÑA S.L.</v>
      </c>
      <c r="G215" s="5">
        <f t="shared" ref="G215:G217" si="357">M215/(1-K215/100+H215/100)</f>
        <v>1.85</v>
      </c>
      <c r="H215" s="18">
        <v>0</v>
      </c>
      <c r="I215" s="17">
        <f t="shared" ref="I215" si="358">G215*H215/100</f>
        <v>0</v>
      </c>
      <c r="J215" s="17">
        <f t="shared" ref="J215" si="359">G215</f>
        <v>1.85</v>
      </c>
      <c r="K215" s="18">
        <v>0</v>
      </c>
      <c r="L215" s="17">
        <f t="shared" ref="L215" si="360">J215*K215/100</f>
        <v>0</v>
      </c>
      <c r="M215" s="19">
        <v>1.85</v>
      </c>
      <c r="N215" s="38"/>
    </row>
    <row r="216" spans="1:19" x14ac:dyDescent="0.35">
      <c r="A216" s="4">
        <v>45559</v>
      </c>
      <c r="B216" s="2" t="s">
        <v>727</v>
      </c>
      <c r="C216" s="25" t="s">
        <v>167</v>
      </c>
      <c r="D216" s="25" t="s">
        <v>206</v>
      </c>
      <c r="E216" s="16" t="s">
        <v>207</v>
      </c>
      <c r="F216" s="5" t="str">
        <f t="shared" si="356"/>
        <v>FT EOS ES2024/1777226 MAKSU ESPAÑA S.L.</v>
      </c>
      <c r="G216" s="5">
        <f t="shared" si="357"/>
        <v>0.18181818181818182</v>
      </c>
      <c r="H216" s="18">
        <v>21</v>
      </c>
      <c r="I216" s="17">
        <f>G216*H216/100</f>
        <v>3.8181818181818185E-2</v>
      </c>
      <c r="J216" s="17">
        <f>G216</f>
        <v>0.18181818181818182</v>
      </c>
      <c r="K216" s="18">
        <v>0</v>
      </c>
      <c r="L216" s="17">
        <f>J216*K216/100</f>
        <v>0</v>
      </c>
      <c r="M216" s="19">
        <v>0.22</v>
      </c>
      <c r="N216" s="38"/>
    </row>
    <row r="217" spans="1:19" x14ac:dyDescent="0.35">
      <c r="A217" s="4">
        <v>45559</v>
      </c>
      <c r="B217" s="2" t="s">
        <v>783</v>
      </c>
      <c r="C217" s="25" t="s">
        <v>167</v>
      </c>
      <c r="D217" s="25" t="s">
        <v>784</v>
      </c>
      <c r="E217" s="16" t="s">
        <v>785</v>
      </c>
      <c r="F217" s="5" t="str">
        <f t="shared" si="356"/>
        <v>013457 HU.QUIRONSALUD M</v>
      </c>
      <c r="G217" s="5">
        <f t="shared" si="357"/>
        <v>1.4876033057851241</v>
      </c>
      <c r="H217" s="18">
        <v>21</v>
      </c>
      <c r="I217" s="17">
        <f>G217*H217/100</f>
        <v>0.31239669421487604</v>
      </c>
      <c r="J217" s="17">
        <f>G217</f>
        <v>1.4876033057851241</v>
      </c>
      <c r="K217" s="18">
        <v>0</v>
      </c>
      <c r="L217" s="17">
        <f>J217*K217/100</f>
        <v>0</v>
      </c>
      <c r="M217" s="19">
        <v>1.8</v>
      </c>
      <c r="N217" s="38"/>
    </row>
    <row r="218" spans="1:19" x14ac:dyDescent="0.35">
      <c r="A218" s="4">
        <v>45560</v>
      </c>
      <c r="B218" s="2" t="s">
        <v>569</v>
      </c>
      <c r="C218" s="2" t="s">
        <v>137</v>
      </c>
      <c r="D218" s="2" t="s">
        <v>570</v>
      </c>
      <c r="E218" s="2" t="s">
        <v>568</v>
      </c>
      <c r="F218" s="5" t="str">
        <f t="shared" si="193"/>
        <v>1166471262 Berner Montaje y Fijación, S. L.</v>
      </c>
      <c r="G218" s="17">
        <f t="shared" si="1"/>
        <v>111.68595041322314</v>
      </c>
      <c r="H218" s="18">
        <v>21</v>
      </c>
      <c r="I218" s="17">
        <f>G218*H218/100</f>
        <v>23.454049586776861</v>
      </c>
      <c r="J218" s="17">
        <f>G218</f>
        <v>111.68595041322314</v>
      </c>
      <c r="K218" s="18">
        <v>0</v>
      </c>
      <c r="L218" s="17">
        <f>J218*K218/100</f>
        <v>0</v>
      </c>
      <c r="M218" s="58">
        <v>135.13999999999999</v>
      </c>
      <c r="N218" s="38"/>
    </row>
    <row r="219" spans="1:19" x14ac:dyDescent="0.35">
      <c r="A219" s="4">
        <v>45560</v>
      </c>
      <c r="B219" s="25" t="s">
        <v>663</v>
      </c>
      <c r="C219" s="25" t="s">
        <v>111</v>
      </c>
      <c r="D219" s="25" t="s">
        <v>235</v>
      </c>
      <c r="E219" s="25" t="s">
        <v>236</v>
      </c>
      <c r="F219" s="5" t="str">
        <f>CONCATENATE(S219,B219," ",E219)</f>
        <v>B5010924-00006869 ORANGE ESPAÑA VIRTUAL, S.L.U.</v>
      </c>
      <c r="G219" s="5">
        <f t="shared" si="1"/>
        <v>12.396694214876034</v>
      </c>
      <c r="H219" s="18">
        <v>21</v>
      </c>
      <c r="I219" s="17">
        <f>G219*H219/100</f>
        <v>2.6033057851239669</v>
      </c>
      <c r="J219" s="17">
        <f>G219</f>
        <v>12.396694214876034</v>
      </c>
      <c r="K219" s="18">
        <v>0</v>
      </c>
      <c r="L219" s="17">
        <f>J219*K219/100</f>
        <v>0</v>
      </c>
      <c r="M219" s="19">
        <v>15</v>
      </c>
      <c r="N219" s="35"/>
    </row>
    <row r="220" spans="1:19" x14ac:dyDescent="0.35">
      <c r="A220" s="4">
        <v>45561</v>
      </c>
      <c r="B220" s="2" t="s">
        <v>580</v>
      </c>
      <c r="C220" s="2" t="s">
        <v>167</v>
      </c>
      <c r="D220" s="2" t="s">
        <v>581</v>
      </c>
      <c r="E220" s="2" t="s">
        <v>582</v>
      </c>
      <c r="G220" s="17">
        <f t="shared" si="1"/>
        <v>17.239669421487605</v>
      </c>
      <c r="H220" s="18">
        <v>21</v>
      </c>
      <c r="I220" s="17">
        <f t="shared" ref="I220:I223" si="361">G220*H220/100</f>
        <v>3.6203305785123971</v>
      </c>
      <c r="J220" s="17">
        <f t="shared" ref="J220:J223" si="362">G220</f>
        <v>17.239669421487605</v>
      </c>
      <c r="K220" s="18">
        <v>0</v>
      </c>
      <c r="L220" s="17">
        <f t="shared" ref="L220:L223" si="363">J220*K220/100</f>
        <v>0</v>
      </c>
      <c r="M220" s="58">
        <v>20.86</v>
      </c>
      <c r="N220" s="38"/>
    </row>
    <row r="221" spans="1:19" x14ac:dyDescent="0.35">
      <c r="A221" s="4">
        <v>45561</v>
      </c>
      <c r="B221" s="2" t="s">
        <v>759</v>
      </c>
      <c r="C221" s="2" t="s">
        <v>167</v>
      </c>
      <c r="D221" s="2" t="s">
        <v>304</v>
      </c>
      <c r="E221" s="2" t="s">
        <v>305</v>
      </c>
      <c r="F221" s="5" t="str">
        <f t="shared" ref="F221:F222" si="364">CONCATENATE(S221,B221," ",E221)</f>
        <v>S/F 096383/A/24/006125 Repsol Comercial de Productos Petrolíferos, S.A.</v>
      </c>
      <c r="G221" s="5">
        <f t="shared" si="1"/>
        <v>50.991735537190088</v>
      </c>
      <c r="H221" s="18">
        <v>21</v>
      </c>
      <c r="I221" s="5">
        <f t="shared" si="361"/>
        <v>10.708264462809918</v>
      </c>
      <c r="J221" s="5">
        <f t="shared" si="362"/>
        <v>50.991735537190088</v>
      </c>
      <c r="K221" s="18">
        <v>0</v>
      </c>
      <c r="L221" s="5">
        <f t="shared" si="363"/>
        <v>0</v>
      </c>
      <c r="M221" s="8">
        <v>61.7</v>
      </c>
      <c r="S221" t="s">
        <v>19</v>
      </c>
    </row>
    <row r="222" spans="1:19" x14ac:dyDescent="0.35">
      <c r="A222" s="4">
        <v>45561</v>
      </c>
      <c r="B222" s="2" t="s">
        <v>779</v>
      </c>
      <c r="C222" s="25" t="s">
        <v>167</v>
      </c>
      <c r="D222" s="25" t="s">
        <v>287</v>
      </c>
      <c r="E222" s="16" t="s">
        <v>288</v>
      </c>
      <c r="F222" s="5" t="str">
        <f t="shared" si="364"/>
        <v>0253196 INMOBILIARIA PARIS, S.A.</v>
      </c>
      <c r="G222" s="5">
        <f t="shared" si="1"/>
        <v>0.66115702479338845</v>
      </c>
      <c r="H222" s="18">
        <v>21</v>
      </c>
      <c r="I222" s="17">
        <f>G222*H222/100</f>
        <v>0.13884297520661157</v>
      </c>
      <c r="J222" s="17">
        <f>G222</f>
        <v>0.66115702479338845</v>
      </c>
      <c r="K222" s="18">
        <v>0</v>
      </c>
      <c r="L222" s="17">
        <f>J222*K222/100</f>
        <v>0</v>
      </c>
      <c r="M222" s="19">
        <v>0.8</v>
      </c>
      <c r="N222" s="38"/>
    </row>
    <row r="223" spans="1:19" x14ac:dyDescent="0.35">
      <c r="A223" s="4">
        <v>45562</v>
      </c>
      <c r="B223" s="2" t="s">
        <v>664</v>
      </c>
      <c r="C223" s="25" t="s">
        <v>167</v>
      </c>
      <c r="D223" s="25" t="s">
        <v>206</v>
      </c>
      <c r="E223" s="16" t="s">
        <v>207</v>
      </c>
      <c r="F223" s="5" t="str">
        <f t="shared" ref="F223:F224" si="365">CONCATENATE(S223,B223," ",E223)</f>
        <v>RC EOS ES2024/31711287 MAKSU ESPAÑA S.L.</v>
      </c>
      <c r="G223" s="5">
        <f t="shared" si="1"/>
        <v>0.95</v>
      </c>
      <c r="H223" s="18">
        <v>0</v>
      </c>
      <c r="I223" s="17">
        <f t="shared" si="361"/>
        <v>0</v>
      </c>
      <c r="J223" s="17">
        <f t="shared" si="362"/>
        <v>0.95</v>
      </c>
      <c r="K223" s="18">
        <v>0</v>
      </c>
      <c r="L223" s="17">
        <f t="shared" si="363"/>
        <v>0</v>
      </c>
      <c r="M223" s="19">
        <v>0.95</v>
      </c>
      <c r="N223" s="38"/>
    </row>
    <row r="224" spans="1:19" x14ac:dyDescent="0.35">
      <c r="A224" s="4">
        <v>45562</v>
      </c>
      <c r="B224" s="2" t="s">
        <v>665</v>
      </c>
      <c r="C224" s="25" t="s">
        <v>167</v>
      </c>
      <c r="D224" s="25" t="s">
        <v>206</v>
      </c>
      <c r="E224" s="16" t="s">
        <v>207</v>
      </c>
      <c r="F224" s="5" t="str">
        <f t="shared" si="365"/>
        <v>FT EOS ES2024/1805442 MAKSU ESPAÑA S.L.</v>
      </c>
      <c r="G224" s="5">
        <f t="shared" si="1"/>
        <v>9.0909090909090912E-2</v>
      </c>
      <c r="H224" s="18">
        <v>21</v>
      </c>
      <c r="I224" s="17">
        <f>G224*H224/100</f>
        <v>1.9090909090909092E-2</v>
      </c>
      <c r="J224" s="17">
        <f>G224</f>
        <v>9.0909090909090912E-2</v>
      </c>
      <c r="K224" s="18">
        <v>0</v>
      </c>
      <c r="L224" s="17">
        <f>J224*K224/100</f>
        <v>0</v>
      </c>
      <c r="M224" s="19">
        <v>0.11</v>
      </c>
      <c r="N224" s="38"/>
    </row>
    <row r="225" spans="1:19" x14ac:dyDescent="0.35">
      <c r="A225" s="4">
        <v>45562</v>
      </c>
      <c r="B225" s="2" t="s">
        <v>690</v>
      </c>
      <c r="C225" s="25" t="s">
        <v>167</v>
      </c>
      <c r="D225" s="25" t="s">
        <v>206</v>
      </c>
      <c r="E225" s="16" t="s">
        <v>207</v>
      </c>
      <c r="F225" s="5" t="str">
        <f t="shared" ref="F225:F226" si="366">CONCATENATE(S225,B225," ",E225)</f>
        <v>RC EOS ES2024/31704023 MAKSU ESPAÑA S.L.</v>
      </c>
      <c r="G225" s="5">
        <f t="shared" ref="G225:G226" si="367">M225/(1-K225/100+H225/100)</f>
        <v>2.5</v>
      </c>
      <c r="H225" s="18">
        <v>0</v>
      </c>
      <c r="I225" s="17">
        <f t="shared" ref="I225" si="368">G225*H225/100</f>
        <v>0</v>
      </c>
      <c r="J225" s="17">
        <f t="shared" ref="J225" si="369">G225</f>
        <v>2.5</v>
      </c>
      <c r="K225" s="18">
        <v>0</v>
      </c>
      <c r="L225" s="17">
        <f t="shared" ref="L225" si="370">J225*K225/100</f>
        <v>0</v>
      </c>
      <c r="M225" s="19">
        <v>2.5</v>
      </c>
      <c r="N225" s="38"/>
    </row>
    <row r="226" spans="1:19" x14ac:dyDescent="0.35">
      <c r="A226" s="4">
        <v>45562</v>
      </c>
      <c r="B226" s="2" t="s">
        <v>691</v>
      </c>
      <c r="C226" s="25" t="s">
        <v>167</v>
      </c>
      <c r="D226" s="25" t="s">
        <v>206</v>
      </c>
      <c r="E226" s="16" t="s">
        <v>207</v>
      </c>
      <c r="F226" s="5" t="str">
        <f t="shared" si="366"/>
        <v>FT EOS ES2024/1804959 MAKSU ESPAÑA S.L.</v>
      </c>
      <c r="G226" s="5">
        <f t="shared" si="367"/>
        <v>0.24793388429752067</v>
      </c>
      <c r="H226" s="18">
        <v>21</v>
      </c>
      <c r="I226" s="17">
        <f>G226*H226/100</f>
        <v>5.2066115702479342E-2</v>
      </c>
      <c r="J226" s="17">
        <f>G226</f>
        <v>0.24793388429752067</v>
      </c>
      <c r="K226" s="18">
        <v>0</v>
      </c>
      <c r="L226" s="17">
        <f>J226*K226/100</f>
        <v>0</v>
      </c>
      <c r="M226" s="19">
        <v>0.3</v>
      </c>
      <c r="N226" s="38"/>
    </row>
    <row r="227" spans="1:19" x14ac:dyDescent="0.35">
      <c r="A227" s="4">
        <v>45562</v>
      </c>
      <c r="B227" s="2" t="s">
        <v>732</v>
      </c>
      <c r="C227" s="25" t="s">
        <v>167</v>
      </c>
      <c r="D227" s="25" t="s">
        <v>206</v>
      </c>
      <c r="E227" s="16" t="s">
        <v>207</v>
      </c>
      <c r="F227" s="5" t="str">
        <f t="shared" ref="F227:F228" si="371">CONCATENATE(S227,B227," ",E227)</f>
        <v>RC EOS ES2024/31737846 MAKSU ESPAÑA S.L.</v>
      </c>
      <c r="G227" s="5">
        <f t="shared" ref="G227:G228" si="372">M227/(1-K227/100+H227/100)</f>
        <v>1.05</v>
      </c>
      <c r="H227" s="18">
        <v>0</v>
      </c>
      <c r="I227" s="17">
        <f t="shared" ref="I227" si="373">G227*H227/100</f>
        <v>0</v>
      </c>
      <c r="J227" s="17">
        <f t="shared" ref="J227" si="374">G227</f>
        <v>1.05</v>
      </c>
      <c r="K227" s="18">
        <v>0</v>
      </c>
      <c r="L227" s="17">
        <f t="shared" ref="L227" si="375">J227*K227/100</f>
        <v>0</v>
      </c>
      <c r="M227" s="19">
        <v>1.05</v>
      </c>
      <c r="N227" s="38"/>
    </row>
    <row r="228" spans="1:19" x14ac:dyDescent="0.35">
      <c r="A228" s="4">
        <v>45562</v>
      </c>
      <c r="B228" s="2" t="s">
        <v>733</v>
      </c>
      <c r="C228" s="25" t="s">
        <v>167</v>
      </c>
      <c r="D228" s="25" t="s">
        <v>206</v>
      </c>
      <c r="E228" s="16" t="s">
        <v>207</v>
      </c>
      <c r="F228" s="5" t="str">
        <f t="shared" si="371"/>
        <v>FT EOS ES2024/1806987 MAKSU ESPAÑA S.L.</v>
      </c>
      <c r="G228" s="5">
        <f t="shared" si="372"/>
        <v>0.10743801652892562</v>
      </c>
      <c r="H228" s="18">
        <v>21</v>
      </c>
      <c r="I228" s="17">
        <f>G228*H228/100</f>
        <v>2.2561983471074382E-2</v>
      </c>
      <c r="J228" s="17">
        <f>G228</f>
        <v>0.10743801652892562</v>
      </c>
      <c r="K228" s="18">
        <v>0</v>
      </c>
      <c r="L228" s="17">
        <f>J228*K228/100</f>
        <v>0</v>
      </c>
      <c r="M228" s="19">
        <v>0.13</v>
      </c>
      <c r="N228" s="38"/>
    </row>
    <row r="229" spans="1:19" x14ac:dyDescent="0.35">
      <c r="A229" s="4">
        <v>45562</v>
      </c>
      <c r="B229" s="2" t="s">
        <v>736</v>
      </c>
      <c r="C229" s="25" t="s">
        <v>167</v>
      </c>
      <c r="D229" s="25" t="s">
        <v>206</v>
      </c>
      <c r="E229" s="16" t="s">
        <v>207</v>
      </c>
      <c r="F229" s="5" t="str">
        <f t="shared" ref="F229:F230" si="376">CONCATENATE(S229,B229," ",E229)</f>
        <v>RC EOS ES2024/31729941 MAKSU ESPAÑA S.L.</v>
      </c>
      <c r="G229" s="5">
        <f t="shared" ref="G229:G230" si="377">M229/(1-K229/100+H229/100)</f>
        <v>2.6</v>
      </c>
      <c r="H229" s="18">
        <v>0</v>
      </c>
      <c r="I229" s="17">
        <f t="shared" ref="I229" si="378">G229*H229/100</f>
        <v>0</v>
      </c>
      <c r="J229" s="17">
        <f t="shared" ref="J229" si="379">G229</f>
        <v>2.6</v>
      </c>
      <c r="K229" s="18">
        <v>0</v>
      </c>
      <c r="L229" s="17">
        <f t="shared" ref="L229" si="380">J229*K229/100</f>
        <v>0</v>
      </c>
      <c r="M229" s="19">
        <v>2.6</v>
      </c>
      <c r="N229" s="38"/>
    </row>
    <row r="230" spans="1:19" x14ac:dyDescent="0.35">
      <c r="A230" s="4">
        <v>45562</v>
      </c>
      <c r="B230" s="2" t="s">
        <v>737</v>
      </c>
      <c r="C230" s="25" t="s">
        <v>167</v>
      </c>
      <c r="D230" s="25" t="s">
        <v>206</v>
      </c>
      <c r="E230" s="16" t="s">
        <v>207</v>
      </c>
      <c r="F230" s="5" t="str">
        <f t="shared" si="376"/>
        <v>FT EOS ES2024/1806485 MAKSU ESPAÑA S.L.</v>
      </c>
      <c r="G230" s="5">
        <f t="shared" si="377"/>
        <v>0.256198347107438</v>
      </c>
      <c r="H230" s="18">
        <v>21</v>
      </c>
      <c r="I230" s="17">
        <f>G230*H230/100</f>
        <v>5.3801652892561974E-2</v>
      </c>
      <c r="J230" s="17">
        <f>G230</f>
        <v>0.256198347107438</v>
      </c>
      <c r="K230" s="18">
        <v>0</v>
      </c>
      <c r="L230" s="17">
        <f>J230*K230/100</f>
        <v>0</v>
      </c>
      <c r="M230" s="19">
        <v>0.31</v>
      </c>
      <c r="N230" s="38"/>
    </row>
    <row r="231" spans="1:19" x14ac:dyDescent="0.35">
      <c r="A231" s="4">
        <v>45565</v>
      </c>
      <c r="B231" s="25" t="s">
        <v>571</v>
      </c>
      <c r="C231" s="25" t="s">
        <v>111</v>
      </c>
      <c r="D231" s="25" t="s">
        <v>127</v>
      </c>
      <c r="E231" s="25" t="s">
        <v>128</v>
      </c>
      <c r="F231" s="5" t="str">
        <f t="shared" ref="F231:F233" si="381">CONCATENATE(S231,B231," ",E231)</f>
        <v>F243561 CONTAMAR S.L.</v>
      </c>
      <c r="G231" s="17">
        <f t="shared" si="1"/>
        <v>254.79338842975207</v>
      </c>
      <c r="H231" s="18">
        <v>21</v>
      </c>
      <c r="I231" s="17">
        <f t="shared" si="30"/>
        <v>53.506611570247934</v>
      </c>
      <c r="J231" s="17">
        <f t="shared" si="31"/>
        <v>254.79338842975207</v>
      </c>
      <c r="K231" s="18">
        <v>0</v>
      </c>
      <c r="L231" s="17">
        <f t="shared" si="32"/>
        <v>0</v>
      </c>
      <c r="M231" s="19">
        <v>308.3</v>
      </c>
      <c r="N231" s="38"/>
    </row>
    <row r="232" spans="1:19" x14ac:dyDescent="0.35">
      <c r="A232" s="4">
        <v>45565</v>
      </c>
      <c r="B232" s="2" t="s">
        <v>573</v>
      </c>
      <c r="C232" s="2" t="s">
        <v>111</v>
      </c>
      <c r="D232" s="2" t="s">
        <v>114</v>
      </c>
      <c r="E232" s="2" t="s">
        <v>115</v>
      </c>
      <c r="F232" s="5" t="str">
        <f t="shared" si="381"/>
        <v>S/F FR364034 ELECTRO MERCANTIL LEGANES D.A.M.,S.L.U.</v>
      </c>
      <c r="G232" s="17">
        <f t="shared" si="1"/>
        <v>260.22314049586777</v>
      </c>
      <c r="H232" s="18">
        <v>21</v>
      </c>
      <c r="I232" s="5">
        <f>G232*H232/100</f>
        <v>54.646859504132237</v>
      </c>
      <c r="J232" s="5">
        <f>G232</f>
        <v>260.22314049586777</v>
      </c>
      <c r="K232" s="18">
        <v>0</v>
      </c>
      <c r="L232" s="5">
        <f>J232*K232/100</f>
        <v>0</v>
      </c>
      <c r="M232" s="8">
        <v>314.87</v>
      </c>
      <c r="S232" t="s">
        <v>19</v>
      </c>
    </row>
    <row r="233" spans="1:19" x14ac:dyDescent="0.35">
      <c r="A233" s="4">
        <v>45565</v>
      </c>
      <c r="B233" s="25" t="s">
        <v>579</v>
      </c>
      <c r="C233" s="25" t="s">
        <v>111</v>
      </c>
      <c r="D233" s="25" t="s">
        <v>112</v>
      </c>
      <c r="E233" s="25" t="s">
        <v>113</v>
      </c>
      <c r="F233" s="5" t="str">
        <f t="shared" si="381"/>
        <v>H4F10201 HIPER ANTENA, S.A.</v>
      </c>
      <c r="G233" s="17">
        <f t="shared" ref="G233" si="382">M233/(1-K233/100+H233/100)</f>
        <v>7.5371900826446279</v>
      </c>
      <c r="H233" s="18">
        <v>21</v>
      </c>
      <c r="I233" s="17">
        <f t="shared" ref="I233" si="383">G233*H233/100</f>
        <v>1.5828099173553718</v>
      </c>
      <c r="J233" s="17">
        <f t="shared" ref="J233" si="384">G233</f>
        <v>7.5371900826446279</v>
      </c>
      <c r="K233" s="18">
        <v>0</v>
      </c>
      <c r="L233" s="17">
        <f t="shared" ref="L233" si="385">J233*K233/100</f>
        <v>0</v>
      </c>
      <c r="M233" s="19">
        <v>9.1199999999999992</v>
      </c>
      <c r="N233" s="38"/>
    </row>
    <row r="234" spans="1:19" x14ac:dyDescent="0.35">
      <c r="G234" s="17">
        <f t="shared" si="1"/>
        <v>0</v>
      </c>
      <c r="H234">
        <v>21</v>
      </c>
      <c r="I234" s="5">
        <f t="shared" si="30"/>
        <v>0</v>
      </c>
      <c r="J234" s="5">
        <f t="shared" si="31"/>
        <v>0</v>
      </c>
      <c r="L234" s="5">
        <f t="shared" si="32"/>
        <v>0</v>
      </c>
      <c r="S234" t="s">
        <v>19</v>
      </c>
    </row>
    <row r="235" spans="1:19" x14ac:dyDescent="0.35">
      <c r="G235" s="17">
        <f t="shared" si="1"/>
        <v>0</v>
      </c>
      <c r="H235" s="18">
        <v>0</v>
      </c>
      <c r="I235" s="17">
        <f t="shared" si="30"/>
        <v>0</v>
      </c>
      <c r="J235" s="17">
        <f t="shared" si="31"/>
        <v>0</v>
      </c>
      <c r="K235" s="18">
        <v>0</v>
      </c>
      <c r="L235" s="17">
        <f t="shared" si="32"/>
        <v>0</v>
      </c>
      <c r="N235" s="38"/>
    </row>
    <row r="236" spans="1:19" x14ac:dyDescent="0.35">
      <c r="G236" s="17">
        <f t="shared" si="1"/>
        <v>0</v>
      </c>
      <c r="H236" s="18">
        <v>21</v>
      </c>
      <c r="I236" s="17">
        <f>G236*H236/100</f>
        <v>0</v>
      </c>
      <c r="J236" s="17">
        <f>G236</f>
        <v>0</v>
      </c>
      <c r="K236" s="18">
        <v>0</v>
      </c>
      <c r="L236" s="17">
        <f>J236*K236/100</f>
        <v>0</v>
      </c>
      <c r="N236" s="38"/>
    </row>
    <row r="237" spans="1:19" ht="15" thickBot="1" x14ac:dyDescent="0.4"/>
    <row r="238" spans="1:19" ht="15" thickBot="1" x14ac:dyDescent="0.4">
      <c r="G238" s="26">
        <f>SUM(G2:G236)</f>
        <v>23559.272066115707</v>
      </c>
      <c r="I238" s="26">
        <f>SUM(I2:I236)</f>
        <v>4880.2779338843002</v>
      </c>
      <c r="L238" s="26">
        <f>SUM(L2:L236)</f>
        <v>783.75</v>
      </c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0"/>
  <sheetViews>
    <sheetView tabSelected="1" topLeftCell="A181" zoomScaleNormal="100" workbookViewId="0">
      <selection activeCell="A118" sqref="A118:XFD118"/>
    </sheetView>
  </sheetViews>
  <sheetFormatPr baseColWidth="10" defaultRowHeight="14.5" x14ac:dyDescent="0.35"/>
  <cols>
    <col min="1" max="1" width="11.54296875" bestFit="1" customWidth="1"/>
    <col min="2" max="2" width="11.54296875" style="2" customWidth="1"/>
    <col min="3" max="3" width="10" style="2" bestFit="1" customWidth="1"/>
    <col min="4" max="4" width="11.08984375" style="2" bestFit="1" customWidth="1"/>
    <col min="5" max="5" width="25.453125" style="2" customWidth="1"/>
    <col min="6" max="6" width="30.08984375" style="5" customWidth="1"/>
    <col min="7" max="7" width="10.54296875" style="10" customWidth="1"/>
    <col min="8" max="8" width="5.6328125" bestFit="1" customWidth="1"/>
    <col min="9" max="9" width="9.6328125" customWidth="1"/>
    <col min="10" max="10" width="11.6328125" customWidth="1"/>
    <col min="11" max="11" width="6.08984375" customWidth="1"/>
    <col min="12" max="12" width="8.54296875" customWidth="1"/>
    <col min="13" max="13" width="10.6328125" style="11" customWidth="1"/>
    <col min="14" max="14" width="14.90625" style="2" bestFit="1" customWidth="1"/>
    <col min="15" max="16" width="11.453125" style="3" customWidth="1"/>
    <col min="17" max="17" width="13.36328125" customWidth="1"/>
    <col min="18" max="18" width="14.08984375" customWidth="1"/>
  </cols>
  <sheetData>
    <row r="1" spans="1:18" s="1" customFormat="1" ht="30" customHeight="1" x14ac:dyDescent="0.35">
      <c r="A1" s="6" t="s">
        <v>0</v>
      </c>
      <c r="B1" s="7" t="s">
        <v>18</v>
      </c>
      <c r="C1" s="7" t="s">
        <v>2</v>
      </c>
      <c r="D1" s="7" t="s">
        <v>3</v>
      </c>
      <c r="E1" s="7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15</v>
      </c>
      <c r="P1" s="7" t="s">
        <v>14</v>
      </c>
      <c r="Q1" s="7" t="s">
        <v>16</v>
      </c>
      <c r="R1" s="6" t="s">
        <v>17</v>
      </c>
    </row>
    <row r="2" spans="1:18" x14ac:dyDescent="0.35">
      <c r="A2" s="4">
        <v>45566</v>
      </c>
      <c r="B2" s="25" t="s">
        <v>840</v>
      </c>
      <c r="C2" s="25" t="s">
        <v>137</v>
      </c>
      <c r="D2" s="25" t="s">
        <v>367</v>
      </c>
      <c r="E2" s="25" t="s">
        <v>368</v>
      </c>
      <c r="F2" s="5" t="str">
        <f t="shared" ref="F2:F67" si="0">CONCATENATE(S2,B2," ",E2)</f>
        <v>10/24 COMUNIDAD BIENES ANT. J.  SERRANO RUBIO</v>
      </c>
      <c r="G2" s="17">
        <f>M2/(1-K2/100+H2/100)</f>
        <v>825</v>
      </c>
      <c r="H2" s="18">
        <v>21</v>
      </c>
      <c r="I2" s="17">
        <f>G2*H2/100</f>
        <v>173.25</v>
      </c>
      <c r="J2" s="17">
        <f>G2</f>
        <v>825</v>
      </c>
      <c r="K2" s="18">
        <v>19</v>
      </c>
      <c r="L2" s="17">
        <f>J2*K2/100</f>
        <v>156.75</v>
      </c>
      <c r="M2" s="19">
        <v>841.5</v>
      </c>
      <c r="N2" s="35"/>
    </row>
    <row r="3" spans="1:18" x14ac:dyDescent="0.35">
      <c r="A3" s="4">
        <v>45566</v>
      </c>
      <c r="B3" s="2" t="s">
        <v>841</v>
      </c>
      <c r="C3" s="25" t="s">
        <v>137</v>
      </c>
      <c r="D3" s="25" t="s">
        <v>369</v>
      </c>
      <c r="E3" s="25" t="s">
        <v>370</v>
      </c>
      <c r="F3" s="5" t="str">
        <f t="shared" si="0"/>
        <v>A010/24 JAVIER SERRANO IZQUIERDO</v>
      </c>
      <c r="G3" s="17">
        <f t="shared" ref="G3:G178" si="1">M3/(1-K3/100+H3/100)</f>
        <v>550</v>
      </c>
      <c r="H3" s="18">
        <v>21</v>
      </c>
      <c r="I3" s="17">
        <f t="shared" ref="I3:I7" si="2">G3*H3/100</f>
        <v>115.5</v>
      </c>
      <c r="J3" s="17">
        <f t="shared" ref="J3:J7" si="3">G3</f>
        <v>550</v>
      </c>
      <c r="K3" s="18">
        <v>19</v>
      </c>
      <c r="L3" s="17">
        <f t="shared" ref="L3:L7" si="4">J3*K3/100</f>
        <v>104.5</v>
      </c>
      <c r="M3" s="19">
        <v>561</v>
      </c>
      <c r="N3" s="35"/>
    </row>
    <row r="4" spans="1:18" x14ac:dyDescent="0.35">
      <c r="A4" s="4">
        <v>45566</v>
      </c>
      <c r="B4" s="20" t="s">
        <v>853</v>
      </c>
      <c r="C4" s="25" t="s">
        <v>111</v>
      </c>
      <c r="D4" s="25" t="s">
        <v>116</v>
      </c>
      <c r="E4" s="25" t="s">
        <v>117</v>
      </c>
      <c r="F4" s="5" t="str">
        <f t="shared" si="0"/>
        <v>2410C00787856 SECURITAS DIRECT ESPAÑA S.A.U.</v>
      </c>
      <c r="G4" s="17">
        <f t="shared" si="1"/>
        <v>30.553719008264462</v>
      </c>
      <c r="H4" s="18">
        <v>21</v>
      </c>
      <c r="I4" s="17">
        <f t="shared" si="2"/>
        <v>6.4162809917355368</v>
      </c>
      <c r="J4" s="17">
        <f t="shared" si="3"/>
        <v>30.553719008264462</v>
      </c>
      <c r="K4" s="18">
        <v>0</v>
      </c>
      <c r="L4" s="17">
        <f t="shared" si="4"/>
        <v>0</v>
      </c>
      <c r="M4" s="19">
        <v>36.97</v>
      </c>
      <c r="N4" s="38" t="s">
        <v>27</v>
      </c>
    </row>
    <row r="5" spans="1:18" x14ac:dyDescent="0.35">
      <c r="A5" s="4">
        <v>45566</v>
      </c>
      <c r="B5" s="20" t="s">
        <v>855</v>
      </c>
      <c r="C5" s="25" t="s">
        <v>111</v>
      </c>
      <c r="D5" s="25" t="s">
        <v>116</v>
      </c>
      <c r="E5" s="25" t="s">
        <v>117</v>
      </c>
      <c r="F5" s="5" t="str">
        <f t="shared" si="0"/>
        <v>2410C00461282 SECURITAS DIRECT ESPAÑA S.A.U.</v>
      </c>
      <c r="G5" s="17">
        <f t="shared" si="1"/>
        <v>28.388429752066116</v>
      </c>
      <c r="H5" s="18">
        <v>21</v>
      </c>
      <c r="I5" s="17">
        <f t="shared" si="2"/>
        <v>5.961570247933885</v>
      </c>
      <c r="J5" s="17">
        <f t="shared" si="3"/>
        <v>28.388429752066116</v>
      </c>
      <c r="K5" s="18">
        <v>0</v>
      </c>
      <c r="L5" s="17">
        <f t="shared" si="4"/>
        <v>0</v>
      </c>
      <c r="M5" s="19">
        <v>34.35</v>
      </c>
      <c r="N5" s="38" t="s">
        <v>27</v>
      </c>
    </row>
    <row r="6" spans="1:18" x14ac:dyDescent="0.35">
      <c r="A6" s="4">
        <v>45566</v>
      </c>
      <c r="B6" s="20" t="s">
        <v>854</v>
      </c>
      <c r="C6" s="25" t="s">
        <v>111</v>
      </c>
      <c r="D6" s="25" t="s">
        <v>116</v>
      </c>
      <c r="E6" s="25" t="s">
        <v>117</v>
      </c>
      <c r="F6" s="5" t="str">
        <f t="shared" si="0"/>
        <v>2410C00467209 SECURITAS DIRECT ESPAÑA S.A.U.</v>
      </c>
      <c r="G6" s="17">
        <f t="shared" si="1"/>
        <v>28.330578512396695</v>
      </c>
      <c r="H6" s="18">
        <v>21</v>
      </c>
      <c r="I6" s="17">
        <f t="shared" si="2"/>
        <v>5.9494214876033062</v>
      </c>
      <c r="J6" s="17">
        <f t="shared" si="3"/>
        <v>28.330578512396695</v>
      </c>
      <c r="K6" s="18">
        <v>0</v>
      </c>
      <c r="L6" s="17">
        <f t="shared" si="4"/>
        <v>0</v>
      </c>
      <c r="M6" s="19">
        <v>34.28</v>
      </c>
      <c r="N6" s="38" t="s">
        <v>27</v>
      </c>
    </row>
    <row r="7" spans="1:18" x14ac:dyDescent="0.35">
      <c r="A7" s="4">
        <v>45567</v>
      </c>
      <c r="B7" s="25" t="s">
        <v>890</v>
      </c>
      <c r="C7" s="25" t="s">
        <v>167</v>
      </c>
      <c r="D7" s="16" t="s">
        <v>168</v>
      </c>
      <c r="E7" s="16" t="s">
        <v>169</v>
      </c>
      <c r="F7" s="5" t="str">
        <f t="shared" ref="F7:F10" si="5">CONCATENATE(S7,B7," ",E7)</f>
        <v>70124FE000003402 SANTIAGO Y LYDIA DIAZ, S.L.</v>
      </c>
      <c r="G7" s="17">
        <f t="shared" ref="G7" si="6">M7/(1-K7/100+H7/100)</f>
        <v>45.132231404958681</v>
      </c>
      <c r="H7" s="18">
        <v>21</v>
      </c>
      <c r="I7" s="17">
        <f t="shared" si="2"/>
        <v>9.4777685950413222</v>
      </c>
      <c r="J7" s="17">
        <f t="shared" si="3"/>
        <v>45.132231404958681</v>
      </c>
      <c r="K7" s="18">
        <v>0</v>
      </c>
      <c r="L7" s="17">
        <f t="shared" si="4"/>
        <v>0</v>
      </c>
      <c r="M7" s="19">
        <v>54.61</v>
      </c>
      <c r="N7" s="38"/>
    </row>
    <row r="8" spans="1:18" x14ac:dyDescent="0.35">
      <c r="A8" s="4">
        <v>45567</v>
      </c>
      <c r="B8" s="25" t="s">
        <v>906</v>
      </c>
      <c r="C8" s="25" t="s">
        <v>167</v>
      </c>
      <c r="D8" s="25" t="s">
        <v>189</v>
      </c>
      <c r="E8" s="25" t="s">
        <v>190</v>
      </c>
      <c r="F8" s="5" t="str">
        <f t="shared" si="5"/>
        <v>011-0010-126290 BRICOLAJE BRICOMAN, S.L.U.</v>
      </c>
      <c r="G8" s="17">
        <f>M8/(1-K8/100+H8/100)</f>
        <v>23.057851239669422</v>
      </c>
      <c r="H8" s="18">
        <v>21</v>
      </c>
      <c r="I8" s="17">
        <f>G8*H8/100</f>
        <v>4.8421487603305788</v>
      </c>
      <c r="J8" s="17">
        <f>G8</f>
        <v>23.057851239669422</v>
      </c>
      <c r="K8" s="18">
        <v>0</v>
      </c>
      <c r="L8" s="17">
        <f>J8*K8/100</f>
        <v>0</v>
      </c>
      <c r="M8" s="19">
        <v>27.9</v>
      </c>
      <c r="N8" s="38" t="s">
        <v>27</v>
      </c>
    </row>
    <row r="9" spans="1:18" x14ac:dyDescent="0.35">
      <c r="A9" s="4">
        <v>45567</v>
      </c>
      <c r="B9" s="2" t="s">
        <v>933</v>
      </c>
      <c r="C9" s="25" t="s">
        <v>167</v>
      </c>
      <c r="D9" s="25" t="s">
        <v>206</v>
      </c>
      <c r="E9" s="16" t="s">
        <v>207</v>
      </c>
      <c r="F9" s="5" t="str">
        <f t="shared" si="5"/>
        <v>RC EOS ES2024/32325305 MAKSU ESPAÑA S.L.</v>
      </c>
      <c r="G9" s="5">
        <f t="shared" ref="G9:G10" si="7">M9/(1-K9/100+H9/100)</f>
        <v>0.8</v>
      </c>
      <c r="H9" s="18">
        <v>0</v>
      </c>
      <c r="I9" s="17">
        <f t="shared" ref="I9" si="8">G9*H9/100</f>
        <v>0</v>
      </c>
      <c r="J9" s="17">
        <f t="shared" ref="J9" si="9">G9</f>
        <v>0.8</v>
      </c>
      <c r="K9" s="18">
        <v>0</v>
      </c>
      <c r="L9" s="17">
        <f t="shared" ref="L9" si="10">J9*K9/100</f>
        <v>0</v>
      </c>
      <c r="M9" s="19">
        <v>0.8</v>
      </c>
      <c r="N9" s="38"/>
    </row>
    <row r="10" spans="1:18" x14ac:dyDescent="0.35">
      <c r="A10" s="4">
        <v>45567</v>
      </c>
      <c r="B10" s="2" t="s">
        <v>934</v>
      </c>
      <c r="C10" s="25" t="s">
        <v>167</v>
      </c>
      <c r="D10" s="25" t="s">
        <v>206</v>
      </c>
      <c r="E10" s="16" t="s">
        <v>207</v>
      </c>
      <c r="F10" s="5" t="str">
        <f t="shared" si="5"/>
        <v>FT EOS ES2024/1841243 MAKSU ESPAÑA S.L.</v>
      </c>
      <c r="G10" s="5">
        <f t="shared" si="7"/>
        <v>8.2644628099173556E-2</v>
      </c>
      <c r="H10" s="18">
        <v>21</v>
      </c>
      <c r="I10" s="17">
        <f>G10*H10/100</f>
        <v>1.7355371900826446E-2</v>
      </c>
      <c r="J10" s="17">
        <f>G10</f>
        <v>8.2644628099173556E-2</v>
      </c>
      <c r="K10" s="18">
        <v>0</v>
      </c>
      <c r="L10" s="17">
        <f>J10*K10/100</f>
        <v>0</v>
      </c>
      <c r="M10" s="19">
        <v>0.1</v>
      </c>
      <c r="N10" s="38"/>
    </row>
    <row r="11" spans="1:18" x14ac:dyDescent="0.35">
      <c r="A11" s="4">
        <v>45567</v>
      </c>
      <c r="B11" s="2" t="s">
        <v>937</v>
      </c>
      <c r="C11" s="25" t="s">
        <v>167</v>
      </c>
      <c r="D11" s="25" t="s">
        <v>206</v>
      </c>
      <c r="E11" s="16" t="s">
        <v>207</v>
      </c>
      <c r="F11" s="5" t="str">
        <f t="shared" ref="F11:F12" si="11">CONCATENATE(S11,B11," ",E11)</f>
        <v>RC EOS ES2024/32338511 MAKSU ESPAÑA S.L.</v>
      </c>
      <c r="G11" s="5">
        <f t="shared" ref="G11:G12" si="12">M11/(1-K11/100+H11/100)</f>
        <v>2</v>
      </c>
      <c r="H11" s="18">
        <v>0</v>
      </c>
      <c r="I11" s="17">
        <f t="shared" ref="I11" si="13">G11*H11/100</f>
        <v>0</v>
      </c>
      <c r="J11" s="17">
        <f t="shared" ref="J11" si="14">G11</f>
        <v>2</v>
      </c>
      <c r="K11" s="18">
        <v>0</v>
      </c>
      <c r="L11" s="17">
        <f t="shared" ref="L11" si="15">J11*K11/100</f>
        <v>0</v>
      </c>
      <c r="M11" s="19">
        <v>2</v>
      </c>
      <c r="N11" s="38"/>
    </row>
    <row r="12" spans="1:18" x14ac:dyDescent="0.35">
      <c r="A12" s="4">
        <v>45567</v>
      </c>
      <c r="B12" s="2" t="s">
        <v>938</v>
      </c>
      <c r="C12" s="25" t="s">
        <v>167</v>
      </c>
      <c r="D12" s="25" t="s">
        <v>206</v>
      </c>
      <c r="E12" s="16" t="s">
        <v>207</v>
      </c>
      <c r="F12" s="5" t="str">
        <f t="shared" si="11"/>
        <v>FT EOS ES2024/1842078 MAKSU ESPAÑA S.L.</v>
      </c>
      <c r="G12" s="5">
        <f t="shared" si="12"/>
        <v>0.19834710743801653</v>
      </c>
      <c r="H12" s="18">
        <v>21</v>
      </c>
      <c r="I12" s="17">
        <f>G12*H12/100</f>
        <v>4.1652892561983478E-2</v>
      </c>
      <c r="J12" s="17">
        <f>G12</f>
        <v>0.19834710743801653</v>
      </c>
      <c r="K12" s="18">
        <v>0</v>
      </c>
      <c r="L12" s="17">
        <f>J12*K12/100</f>
        <v>0</v>
      </c>
      <c r="M12" s="19">
        <v>0.24</v>
      </c>
      <c r="N12" s="38"/>
    </row>
    <row r="13" spans="1:18" x14ac:dyDescent="0.35">
      <c r="A13" s="4">
        <v>45567</v>
      </c>
      <c r="B13" s="2" t="s">
        <v>939</v>
      </c>
      <c r="C13" s="25" t="s">
        <v>167</v>
      </c>
      <c r="D13" s="25" t="s">
        <v>206</v>
      </c>
      <c r="E13" s="16" t="s">
        <v>207</v>
      </c>
      <c r="F13" s="5" t="str">
        <f t="shared" ref="F13:F14" si="16">CONCATENATE(S13,B13," ",E13)</f>
        <v>RC EOS ES2024/32285083 MAKSU ESPAÑA S.L.</v>
      </c>
      <c r="G13" s="5">
        <f t="shared" ref="G13:G14" si="17">M13/(1-K13/100+H13/100)</f>
        <v>0.35</v>
      </c>
      <c r="H13" s="18">
        <v>0</v>
      </c>
      <c r="I13" s="17">
        <f t="shared" ref="I13" si="18">G13*H13/100</f>
        <v>0</v>
      </c>
      <c r="J13" s="17">
        <f t="shared" ref="J13" si="19">G13</f>
        <v>0.35</v>
      </c>
      <c r="K13" s="18">
        <v>0</v>
      </c>
      <c r="L13" s="17">
        <f t="shared" ref="L13" si="20">J13*K13/100</f>
        <v>0</v>
      </c>
      <c r="M13" s="19">
        <v>0.35</v>
      </c>
      <c r="N13" s="38"/>
    </row>
    <row r="14" spans="1:18" x14ac:dyDescent="0.35">
      <c r="A14" s="4">
        <v>45567</v>
      </c>
      <c r="B14" s="2" t="s">
        <v>940</v>
      </c>
      <c r="C14" s="25" t="s">
        <v>167</v>
      </c>
      <c r="D14" s="25" t="s">
        <v>206</v>
      </c>
      <c r="E14" s="16" t="s">
        <v>207</v>
      </c>
      <c r="F14" s="5" t="str">
        <f t="shared" si="16"/>
        <v>FT EOS ES2024/1838744 MAKSU ESPAÑA S.L.</v>
      </c>
      <c r="G14" s="5">
        <f t="shared" si="17"/>
        <v>3.3057851239669422E-2</v>
      </c>
      <c r="H14" s="18">
        <v>21</v>
      </c>
      <c r="I14" s="17">
        <f>G14*H14/100</f>
        <v>6.9421487603305784E-3</v>
      </c>
      <c r="J14" s="17">
        <f>G14</f>
        <v>3.3057851239669422E-2</v>
      </c>
      <c r="K14" s="18">
        <v>0</v>
      </c>
      <c r="L14" s="17">
        <f>J14*K14/100</f>
        <v>0</v>
      </c>
      <c r="M14" s="19">
        <v>0.04</v>
      </c>
      <c r="N14" s="38"/>
    </row>
    <row r="15" spans="1:18" x14ac:dyDescent="0.35">
      <c r="A15" s="4">
        <v>45567</v>
      </c>
      <c r="B15" s="2" t="s">
        <v>943</v>
      </c>
      <c r="C15" s="25" t="s">
        <v>167</v>
      </c>
      <c r="D15" s="25" t="s">
        <v>206</v>
      </c>
      <c r="E15" s="16" t="s">
        <v>207</v>
      </c>
      <c r="F15" s="5" t="str">
        <f t="shared" ref="F15:F16" si="21">CONCATENATE(S15,B15," ",E15)</f>
        <v>RC EOS ES2024/32272811 MAKSU ESPAÑA S.L.</v>
      </c>
      <c r="G15" s="5">
        <f t="shared" ref="G15:G16" si="22">M15/(1-K15/100+H15/100)</f>
        <v>1.85</v>
      </c>
      <c r="H15" s="18">
        <v>0</v>
      </c>
      <c r="I15" s="17">
        <f t="shared" ref="I15" si="23">G15*H15/100</f>
        <v>0</v>
      </c>
      <c r="J15" s="17">
        <f t="shared" ref="J15" si="24">G15</f>
        <v>1.85</v>
      </c>
      <c r="K15" s="18">
        <v>0</v>
      </c>
      <c r="L15" s="17">
        <f t="shared" ref="L15" si="25">J15*K15/100</f>
        <v>0</v>
      </c>
      <c r="M15" s="19">
        <v>1.85</v>
      </c>
      <c r="N15" s="38"/>
    </row>
    <row r="16" spans="1:18" x14ac:dyDescent="0.35">
      <c r="A16" s="4">
        <v>45567</v>
      </c>
      <c r="B16" s="2" t="s">
        <v>944</v>
      </c>
      <c r="C16" s="25" t="s">
        <v>167</v>
      </c>
      <c r="D16" s="25" t="s">
        <v>206</v>
      </c>
      <c r="E16" s="16" t="s">
        <v>207</v>
      </c>
      <c r="F16" s="5" t="str">
        <f t="shared" si="21"/>
        <v>FT EOS ES2024/1837958 MAKSU ESPAÑA S.L.</v>
      </c>
      <c r="G16" s="5">
        <f t="shared" si="22"/>
        <v>0.18181818181818182</v>
      </c>
      <c r="H16" s="18">
        <v>21</v>
      </c>
      <c r="I16" s="17">
        <f>G16*H16/100</f>
        <v>3.8181818181818185E-2</v>
      </c>
      <c r="J16" s="17">
        <f>G16</f>
        <v>0.18181818181818182</v>
      </c>
      <c r="K16" s="18">
        <v>0</v>
      </c>
      <c r="L16" s="17">
        <f>J16*K16/100</f>
        <v>0</v>
      </c>
      <c r="M16" s="19">
        <v>0.22</v>
      </c>
      <c r="N16" s="38"/>
    </row>
    <row r="17" spans="1:19" x14ac:dyDescent="0.35">
      <c r="A17" s="4">
        <v>45567</v>
      </c>
      <c r="B17" s="2" t="s">
        <v>951</v>
      </c>
      <c r="C17" s="25" t="s">
        <v>167</v>
      </c>
      <c r="D17" s="25" t="s">
        <v>206</v>
      </c>
      <c r="E17" s="16" t="s">
        <v>207</v>
      </c>
      <c r="F17" s="5" t="str">
        <f t="shared" ref="F17:F18" si="26">CONCATENATE(S17,B17," ",E17)</f>
        <v>RC EOS ES2024/32320693 MAKSU ESPAÑA S.L.</v>
      </c>
      <c r="G17" s="5">
        <f t="shared" ref="G17:G18" si="27">M17/(1-K17/100+H17/100)</f>
        <v>1.05</v>
      </c>
      <c r="H17" s="18">
        <v>0</v>
      </c>
      <c r="I17" s="17">
        <f t="shared" ref="I17" si="28">G17*H17/100</f>
        <v>0</v>
      </c>
      <c r="J17" s="17">
        <f t="shared" ref="J17" si="29">G17</f>
        <v>1.05</v>
      </c>
      <c r="K17" s="18">
        <v>0</v>
      </c>
      <c r="L17" s="17">
        <f t="shared" ref="L17" si="30">J17*K17/100</f>
        <v>0</v>
      </c>
      <c r="M17" s="19">
        <v>1.05</v>
      </c>
      <c r="N17" s="38"/>
    </row>
    <row r="18" spans="1:19" x14ac:dyDescent="0.35">
      <c r="A18" s="4">
        <v>45567</v>
      </c>
      <c r="B18" s="2" t="s">
        <v>952</v>
      </c>
      <c r="C18" s="25" t="s">
        <v>167</v>
      </c>
      <c r="D18" s="25" t="s">
        <v>206</v>
      </c>
      <c r="E18" s="16" t="s">
        <v>207</v>
      </c>
      <c r="F18" s="5" t="str">
        <f t="shared" si="26"/>
        <v>FT EOS ES2024/1840953 MAKSU ESPAÑA S.L.</v>
      </c>
      <c r="G18" s="5">
        <f t="shared" si="27"/>
        <v>0.10743801652892562</v>
      </c>
      <c r="H18" s="18">
        <v>21</v>
      </c>
      <c r="I18" s="17">
        <f>G18*H18/100</f>
        <v>2.2561983471074382E-2</v>
      </c>
      <c r="J18" s="17">
        <f>G18</f>
        <v>0.10743801652892562</v>
      </c>
      <c r="K18" s="18">
        <v>0</v>
      </c>
      <c r="L18" s="17">
        <f>J18*K18/100</f>
        <v>0</v>
      </c>
      <c r="M18" s="19">
        <v>0.13</v>
      </c>
      <c r="N18" s="38"/>
    </row>
    <row r="19" spans="1:19" x14ac:dyDescent="0.35">
      <c r="A19" s="4">
        <v>45567</v>
      </c>
      <c r="B19" s="2" t="s">
        <v>953</v>
      </c>
      <c r="C19" s="25" t="s">
        <v>167</v>
      </c>
      <c r="D19" s="25" t="s">
        <v>206</v>
      </c>
      <c r="E19" s="16" t="s">
        <v>207</v>
      </c>
      <c r="F19" s="5" t="str">
        <f t="shared" ref="F19:F20" si="31">CONCATENATE(S19,B19," ",E19)</f>
        <v>RC EOS ES2024/32310888 MAKSU ESPAÑA S.L.</v>
      </c>
      <c r="G19" s="5">
        <f t="shared" ref="G19:G20" si="32">M19/(1-K19/100+H19/100)</f>
        <v>1.85</v>
      </c>
      <c r="H19" s="18">
        <v>0</v>
      </c>
      <c r="I19" s="17">
        <f t="shared" ref="I19" si="33">G19*H19/100</f>
        <v>0</v>
      </c>
      <c r="J19" s="17">
        <f t="shared" ref="J19" si="34">G19</f>
        <v>1.85</v>
      </c>
      <c r="K19" s="18">
        <v>0</v>
      </c>
      <c r="L19" s="17">
        <f t="shared" ref="L19" si="35">J19*K19/100</f>
        <v>0</v>
      </c>
      <c r="M19" s="19">
        <v>1.85</v>
      </c>
      <c r="N19" s="38"/>
    </row>
    <row r="20" spans="1:19" x14ac:dyDescent="0.35">
      <c r="A20" s="4">
        <v>45567</v>
      </c>
      <c r="B20" s="2" t="s">
        <v>954</v>
      </c>
      <c r="C20" s="25" t="s">
        <v>167</v>
      </c>
      <c r="D20" s="25" t="s">
        <v>206</v>
      </c>
      <c r="E20" s="16" t="s">
        <v>207</v>
      </c>
      <c r="F20" s="5" t="str">
        <f t="shared" si="31"/>
        <v>FT EOS ES2024/1840307 MAKSU ESPAÑA S.L.</v>
      </c>
      <c r="G20" s="5">
        <f t="shared" si="32"/>
        <v>0.18181818181818182</v>
      </c>
      <c r="H20" s="18">
        <v>21</v>
      </c>
      <c r="I20" s="17">
        <f>G20*H20/100</f>
        <v>3.8181818181818185E-2</v>
      </c>
      <c r="J20" s="17">
        <f>G20</f>
        <v>0.18181818181818182</v>
      </c>
      <c r="K20" s="18">
        <v>0</v>
      </c>
      <c r="L20" s="17">
        <f>J20*K20/100</f>
        <v>0</v>
      </c>
      <c r="M20" s="19">
        <v>0.22</v>
      </c>
      <c r="N20" s="38"/>
    </row>
    <row r="21" spans="1:19" x14ac:dyDescent="0.35">
      <c r="A21" s="4">
        <v>45568</v>
      </c>
      <c r="B21" s="25" t="s">
        <v>851</v>
      </c>
      <c r="C21" s="25" t="s">
        <v>111</v>
      </c>
      <c r="D21" s="16" t="s">
        <v>121</v>
      </c>
      <c r="E21" s="16" t="s">
        <v>122</v>
      </c>
      <c r="G21" s="17">
        <f t="shared" si="1"/>
        <v>96</v>
      </c>
      <c r="H21" s="18">
        <v>0</v>
      </c>
      <c r="I21" s="17">
        <f t="shared" ref="I21:I172" si="36">G21*H21/100</f>
        <v>0</v>
      </c>
      <c r="J21" s="17">
        <f t="shared" ref="J21:J172" si="37">G21</f>
        <v>96</v>
      </c>
      <c r="K21" s="18">
        <v>0</v>
      </c>
      <c r="L21" s="17">
        <f t="shared" ref="L21:L172" si="38">J21*K21/100</f>
        <v>0</v>
      </c>
      <c r="M21" s="19">
        <v>96</v>
      </c>
      <c r="N21" s="35"/>
    </row>
    <row r="22" spans="1:19" x14ac:dyDescent="0.35">
      <c r="A22" s="4">
        <v>45569</v>
      </c>
      <c r="B22" s="2" t="s">
        <v>931</v>
      </c>
      <c r="C22" s="2" t="s">
        <v>111</v>
      </c>
      <c r="D22" s="2" t="s">
        <v>230</v>
      </c>
      <c r="E22" s="2" t="s">
        <v>231</v>
      </c>
      <c r="F22" s="5" t="str">
        <f t="shared" ref="F22:F30" si="39">CONCATENATE(S22,B22," ",E22)</f>
        <v>S/F 09241004010025818 CURENERGÍA COMERCIALIZADOR DE ÚLTIMO RECURSO S.A.U.</v>
      </c>
      <c r="G22" s="17">
        <f t="shared" si="1"/>
        <v>22.454545454545453</v>
      </c>
      <c r="H22">
        <v>10</v>
      </c>
      <c r="I22" s="5">
        <f t="shared" si="36"/>
        <v>2.2454545454545451</v>
      </c>
      <c r="J22" s="17">
        <f t="shared" si="37"/>
        <v>22.454545454545453</v>
      </c>
      <c r="K22">
        <v>0</v>
      </c>
      <c r="L22" s="17">
        <f t="shared" si="38"/>
        <v>0</v>
      </c>
      <c r="M22" s="8">
        <v>24.7</v>
      </c>
      <c r="S22" t="s">
        <v>19</v>
      </c>
    </row>
    <row r="23" spans="1:19" x14ac:dyDescent="0.35">
      <c r="A23" s="4">
        <v>45569</v>
      </c>
      <c r="B23" s="2" t="s">
        <v>941</v>
      </c>
      <c r="C23" s="25" t="s">
        <v>167</v>
      </c>
      <c r="D23" s="25" t="s">
        <v>206</v>
      </c>
      <c r="E23" s="16" t="s">
        <v>207</v>
      </c>
      <c r="F23" s="5" t="str">
        <f t="shared" si="39"/>
        <v>RC EOS ES2024/32647480 MAKSU ESPAÑA S.L.</v>
      </c>
      <c r="G23" s="5">
        <f t="shared" si="1"/>
        <v>1.1499999999999999</v>
      </c>
      <c r="H23" s="18">
        <v>0</v>
      </c>
      <c r="I23" s="17">
        <f t="shared" si="36"/>
        <v>0</v>
      </c>
      <c r="J23" s="17">
        <f t="shared" si="37"/>
        <v>1.1499999999999999</v>
      </c>
      <c r="K23" s="18">
        <v>0</v>
      </c>
      <c r="L23" s="17">
        <f t="shared" si="38"/>
        <v>0</v>
      </c>
      <c r="M23" s="19">
        <v>1.1499999999999999</v>
      </c>
      <c r="N23" s="38"/>
    </row>
    <row r="24" spans="1:19" x14ac:dyDescent="0.35">
      <c r="A24" s="4">
        <v>45569</v>
      </c>
      <c r="B24" s="2" t="s">
        <v>942</v>
      </c>
      <c r="C24" s="25" t="s">
        <v>167</v>
      </c>
      <c r="D24" s="25" t="s">
        <v>206</v>
      </c>
      <c r="E24" s="16" t="s">
        <v>207</v>
      </c>
      <c r="F24" s="5" t="str">
        <f t="shared" si="39"/>
        <v>FT EOS ES2024/1859724 MAKSU ESPAÑA S.L.</v>
      </c>
      <c r="G24" s="5">
        <f t="shared" si="1"/>
        <v>0.11570247933884299</v>
      </c>
      <c r="H24" s="18">
        <v>21</v>
      </c>
      <c r="I24" s="17">
        <f>G24*H24/100</f>
        <v>2.4297520661157028E-2</v>
      </c>
      <c r="J24" s="17">
        <f>G24</f>
        <v>0.11570247933884299</v>
      </c>
      <c r="K24" s="18">
        <v>0</v>
      </c>
      <c r="L24" s="17">
        <f>J24*K24/100</f>
        <v>0</v>
      </c>
      <c r="M24" s="19">
        <v>0.14000000000000001</v>
      </c>
      <c r="N24" s="38"/>
    </row>
    <row r="25" spans="1:19" x14ac:dyDescent="0.35">
      <c r="A25" s="4">
        <v>45569</v>
      </c>
      <c r="B25" s="2" t="s">
        <v>945</v>
      </c>
      <c r="C25" s="25" t="s">
        <v>167</v>
      </c>
      <c r="D25" s="25" t="s">
        <v>206</v>
      </c>
      <c r="E25" s="16" t="s">
        <v>207</v>
      </c>
      <c r="F25" s="5" t="str">
        <f t="shared" ref="F25:F26" si="40">CONCATENATE(S25,B25," ",E25)</f>
        <v>RC EOS ES2024/32652687 MAKSU ESPAÑA S.L.</v>
      </c>
      <c r="G25" s="5">
        <f t="shared" ref="G25:G26" si="41">M25/(1-K25/100+H25/100)</f>
        <v>1.4</v>
      </c>
      <c r="H25" s="18">
        <v>0</v>
      </c>
      <c r="I25" s="17">
        <f t="shared" ref="I25" si="42">G25*H25/100</f>
        <v>0</v>
      </c>
      <c r="J25" s="17">
        <f t="shared" ref="J25" si="43">G25</f>
        <v>1.4</v>
      </c>
      <c r="K25" s="18">
        <v>0</v>
      </c>
      <c r="L25" s="17">
        <f t="shared" ref="L25" si="44">J25*K25/100</f>
        <v>0</v>
      </c>
      <c r="M25" s="19">
        <v>1.4</v>
      </c>
      <c r="N25" s="38"/>
    </row>
    <row r="26" spans="1:19" x14ac:dyDescent="0.35">
      <c r="A26" s="4">
        <v>45569</v>
      </c>
      <c r="B26" s="2" t="s">
        <v>946</v>
      </c>
      <c r="C26" s="25" t="s">
        <v>167</v>
      </c>
      <c r="D26" s="25" t="s">
        <v>206</v>
      </c>
      <c r="E26" s="16" t="s">
        <v>207</v>
      </c>
      <c r="F26" s="5" t="str">
        <f t="shared" si="40"/>
        <v>FT EOS ES2024/1860024 MAKSU ESPAÑA S.L.</v>
      </c>
      <c r="G26" s="5">
        <f t="shared" si="41"/>
        <v>0.14049586776859505</v>
      </c>
      <c r="H26" s="18">
        <v>21</v>
      </c>
      <c r="I26" s="17">
        <f>G26*H26/100</f>
        <v>2.950413223140496E-2</v>
      </c>
      <c r="J26" s="17">
        <f>G26</f>
        <v>0.14049586776859505</v>
      </c>
      <c r="K26" s="18">
        <v>0</v>
      </c>
      <c r="L26" s="17">
        <f>J26*K26/100</f>
        <v>0</v>
      </c>
      <c r="M26" s="19">
        <v>0.17</v>
      </c>
      <c r="N26" s="38"/>
    </row>
    <row r="27" spans="1:19" x14ac:dyDescent="0.35">
      <c r="A27" s="4">
        <v>45569</v>
      </c>
      <c r="B27" s="2" t="s">
        <v>957</v>
      </c>
      <c r="C27" s="25" t="s">
        <v>167</v>
      </c>
      <c r="D27" s="25" t="s">
        <v>206</v>
      </c>
      <c r="E27" s="16" t="s">
        <v>207</v>
      </c>
      <c r="F27" s="5" t="str">
        <f t="shared" ref="F27:F28" si="45">CONCATENATE(S27,B27," ",E27)</f>
        <v>RC EOS ES2024/32629297 MAKSU ESPAÑA S.L.</v>
      </c>
      <c r="G27" s="5">
        <f t="shared" ref="G27:G28" si="46">M27/(1-K27/100+H27/100)</f>
        <v>1.55</v>
      </c>
      <c r="H27" s="18">
        <v>0</v>
      </c>
      <c r="I27" s="17">
        <f t="shared" ref="I27" si="47">G27*H27/100</f>
        <v>0</v>
      </c>
      <c r="J27" s="17">
        <f t="shared" ref="J27" si="48">G27</f>
        <v>1.55</v>
      </c>
      <c r="K27" s="18">
        <v>0</v>
      </c>
      <c r="L27" s="17">
        <f t="shared" ref="L27" si="49">J27*K27/100</f>
        <v>0</v>
      </c>
      <c r="M27" s="19">
        <v>1.55</v>
      </c>
      <c r="N27" s="38"/>
    </row>
    <row r="28" spans="1:19" x14ac:dyDescent="0.35">
      <c r="A28" s="4">
        <v>45569</v>
      </c>
      <c r="B28" s="2" t="s">
        <v>958</v>
      </c>
      <c r="C28" s="25" t="s">
        <v>167</v>
      </c>
      <c r="D28" s="25" t="s">
        <v>206</v>
      </c>
      <c r="E28" s="16" t="s">
        <v>207</v>
      </c>
      <c r="F28" s="5" t="str">
        <f t="shared" si="45"/>
        <v>FT EOS ES2024/1858675 MAKSU ESPAÑA S.L.</v>
      </c>
      <c r="G28" s="5">
        <f t="shared" si="46"/>
        <v>0.15702479338842976</v>
      </c>
      <c r="H28" s="18">
        <v>21</v>
      </c>
      <c r="I28" s="17">
        <f>G28*H28/100</f>
        <v>3.2975206611570246E-2</v>
      </c>
      <c r="J28" s="17">
        <f>G28</f>
        <v>0.15702479338842976</v>
      </c>
      <c r="K28" s="18">
        <v>0</v>
      </c>
      <c r="L28" s="17">
        <f>J28*K28/100</f>
        <v>0</v>
      </c>
      <c r="M28" s="19">
        <v>0.19</v>
      </c>
      <c r="N28" s="38"/>
    </row>
    <row r="29" spans="1:19" x14ac:dyDescent="0.35">
      <c r="A29" s="4">
        <v>45570</v>
      </c>
      <c r="B29" s="2" t="s">
        <v>935</v>
      </c>
      <c r="C29" s="25" t="s">
        <v>167</v>
      </c>
      <c r="D29" s="25" t="s">
        <v>206</v>
      </c>
      <c r="E29" s="16" t="s">
        <v>207</v>
      </c>
      <c r="F29" s="5" t="str">
        <f t="shared" si="39"/>
        <v>RC EOS ES2024/32798865 MAKSU ESPAÑA S.L.</v>
      </c>
      <c r="G29" s="5">
        <f t="shared" si="1"/>
        <v>1</v>
      </c>
      <c r="H29" s="18">
        <v>0</v>
      </c>
      <c r="I29" s="17">
        <f t="shared" si="36"/>
        <v>0</v>
      </c>
      <c r="J29" s="17">
        <f t="shared" si="37"/>
        <v>1</v>
      </c>
      <c r="K29" s="18">
        <v>0</v>
      </c>
      <c r="L29" s="17">
        <f t="shared" si="38"/>
        <v>0</v>
      </c>
      <c r="M29" s="19">
        <v>1</v>
      </c>
      <c r="N29" s="38"/>
    </row>
    <row r="30" spans="1:19" x14ac:dyDescent="0.35">
      <c r="A30" s="4">
        <v>45570</v>
      </c>
      <c r="B30" s="2" t="s">
        <v>936</v>
      </c>
      <c r="C30" s="25" t="s">
        <v>167</v>
      </c>
      <c r="D30" s="25" t="s">
        <v>206</v>
      </c>
      <c r="E30" s="16" t="s">
        <v>207</v>
      </c>
      <c r="F30" s="5" t="str">
        <f t="shared" si="39"/>
        <v>FT EOS ES2024/1867885 MAKSU ESPAÑA S.L.</v>
      </c>
      <c r="G30" s="5">
        <f t="shared" si="1"/>
        <v>9.9173553719008267E-2</v>
      </c>
      <c r="H30" s="18">
        <v>21</v>
      </c>
      <c r="I30" s="17">
        <f>G30*H30/100</f>
        <v>2.0826446280991739E-2</v>
      </c>
      <c r="J30" s="17">
        <f>G30</f>
        <v>9.9173553719008267E-2</v>
      </c>
      <c r="K30" s="18">
        <v>0</v>
      </c>
      <c r="L30" s="17">
        <f>J30*K30/100</f>
        <v>0</v>
      </c>
      <c r="M30" s="19">
        <v>0.12</v>
      </c>
      <c r="N30" s="38"/>
    </row>
    <row r="31" spans="1:19" x14ac:dyDescent="0.35">
      <c r="A31" s="4">
        <v>45573</v>
      </c>
      <c r="B31" s="2" t="s">
        <v>849</v>
      </c>
      <c r="C31" s="2" t="s">
        <v>167</v>
      </c>
      <c r="D31" s="2" t="s">
        <v>581</v>
      </c>
      <c r="E31" s="2" t="s">
        <v>582</v>
      </c>
      <c r="F31" s="5" t="str">
        <f t="shared" si="0"/>
        <v>FV/125814 LUZ NEGRA CENTRO LNC, S.L.</v>
      </c>
      <c r="G31" s="17">
        <f t="shared" si="1"/>
        <v>155.15702479338844</v>
      </c>
      <c r="H31" s="18">
        <v>21</v>
      </c>
      <c r="I31" s="17">
        <f t="shared" ref="I31:I36" si="50">G31*H31/100</f>
        <v>32.582975206611572</v>
      </c>
      <c r="J31" s="17">
        <f t="shared" ref="J31:J36" si="51">G31</f>
        <v>155.15702479338844</v>
      </c>
      <c r="K31" s="18">
        <v>0</v>
      </c>
      <c r="L31" s="17">
        <f t="shared" ref="L31:L36" si="52">J31*K31/100</f>
        <v>0</v>
      </c>
      <c r="M31" s="19">
        <v>187.74</v>
      </c>
      <c r="N31" s="38"/>
    </row>
    <row r="32" spans="1:19" x14ac:dyDescent="0.35">
      <c r="A32" s="4">
        <v>45573</v>
      </c>
      <c r="B32" s="25" t="s">
        <v>884</v>
      </c>
      <c r="C32" s="25" t="s">
        <v>167</v>
      </c>
      <c r="D32" s="16" t="s">
        <v>168</v>
      </c>
      <c r="E32" s="16" t="s">
        <v>169</v>
      </c>
      <c r="F32" s="5" t="str">
        <f t="shared" si="0"/>
        <v>70124FE000003473 SANTIAGO Y LYDIA DIAZ, S.L.</v>
      </c>
      <c r="G32" s="17">
        <f t="shared" si="1"/>
        <v>59.561983471074377</v>
      </c>
      <c r="H32" s="18">
        <v>21</v>
      </c>
      <c r="I32" s="17">
        <f t="shared" si="50"/>
        <v>12.508016528925618</v>
      </c>
      <c r="J32" s="17">
        <f t="shared" si="51"/>
        <v>59.561983471074377</v>
      </c>
      <c r="K32" s="18">
        <v>0</v>
      </c>
      <c r="L32" s="17">
        <f t="shared" si="52"/>
        <v>0</v>
      </c>
      <c r="M32" s="19">
        <v>72.069999999999993</v>
      </c>
      <c r="N32" s="38"/>
    </row>
    <row r="33" spans="1:19" x14ac:dyDescent="0.35">
      <c r="A33" s="4">
        <v>45573</v>
      </c>
      <c r="B33" s="25" t="s">
        <v>903</v>
      </c>
      <c r="C33" s="25" t="s">
        <v>167</v>
      </c>
      <c r="D33" s="16" t="s">
        <v>904</v>
      </c>
      <c r="E33" s="16" t="s">
        <v>905</v>
      </c>
      <c r="F33" s="5" t="str">
        <f t="shared" si="0"/>
        <v>007-0010-446061 LEROY MERLIN ESPAÑA, SLU</v>
      </c>
      <c r="G33" s="17">
        <f t="shared" si="1"/>
        <v>36.991735537190081</v>
      </c>
      <c r="H33" s="18">
        <v>21</v>
      </c>
      <c r="I33" s="17">
        <f t="shared" si="50"/>
        <v>7.7682644628099169</v>
      </c>
      <c r="J33" s="17">
        <f t="shared" si="51"/>
        <v>36.991735537190081</v>
      </c>
      <c r="K33" s="18">
        <v>0</v>
      </c>
      <c r="L33" s="17">
        <f t="shared" si="52"/>
        <v>0</v>
      </c>
      <c r="M33" s="19">
        <v>44.76</v>
      </c>
      <c r="N33" s="38"/>
    </row>
    <row r="34" spans="1:19" x14ac:dyDescent="0.35">
      <c r="A34" s="4">
        <v>45573</v>
      </c>
      <c r="B34" s="2" t="s">
        <v>947</v>
      </c>
      <c r="C34" s="25" t="s">
        <v>167</v>
      </c>
      <c r="D34" s="25" t="s">
        <v>206</v>
      </c>
      <c r="E34" s="16" t="s">
        <v>207</v>
      </c>
      <c r="F34" s="5" t="str">
        <f t="shared" si="0"/>
        <v>RC EOS ES2024/33064832 MAKSU ESPAÑA S.L.</v>
      </c>
      <c r="G34" s="5">
        <f t="shared" si="1"/>
        <v>1.55</v>
      </c>
      <c r="H34" s="18">
        <v>0</v>
      </c>
      <c r="I34" s="17">
        <f t="shared" si="50"/>
        <v>0</v>
      </c>
      <c r="J34" s="17">
        <f t="shared" si="51"/>
        <v>1.55</v>
      </c>
      <c r="K34" s="18">
        <v>0</v>
      </c>
      <c r="L34" s="17">
        <f t="shared" si="52"/>
        <v>0</v>
      </c>
      <c r="M34" s="19">
        <v>1.55</v>
      </c>
      <c r="N34" s="38"/>
    </row>
    <row r="35" spans="1:19" x14ac:dyDescent="0.35">
      <c r="A35" s="4">
        <v>45573</v>
      </c>
      <c r="B35" s="2" t="s">
        <v>948</v>
      </c>
      <c r="C35" s="25" t="s">
        <v>167</v>
      </c>
      <c r="D35" s="25" t="s">
        <v>206</v>
      </c>
      <c r="E35" s="16" t="s">
        <v>207</v>
      </c>
      <c r="F35" s="5" t="str">
        <f t="shared" si="0"/>
        <v>FT EOS ES2024/1883932 MAKSU ESPAÑA S.L.</v>
      </c>
      <c r="G35" s="5">
        <f t="shared" si="1"/>
        <v>0.15702479338842976</v>
      </c>
      <c r="H35" s="18">
        <v>21</v>
      </c>
      <c r="I35" s="17">
        <f>G35*H35/100</f>
        <v>3.2975206611570246E-2</v>
      </c>
      <c r="J35" s="17">
        <f>G35</f>
        <v>0.15702479338842976</v>
      </c>
      <c r="K35" s="18">
        <v>0</v>
      </c>
      <c r="L35" s="17">
        <f>J35*K35/100</f>
        <v>0</v>
      </c>
      <c r="M35" s="19">
        <v>0.19</v>
      </c>
      <c r="N35" s="38"/>
    </row>
    <row r="36" spans="1:19" x14ac:dyDescent="0.35">
      <c r="A36" s="4">
        <v>45574</v>
      </c>
      <c r="B36" s="25" t="s">
        <v>852</v>
      </c>
      <c r="C36" s="25" t="s">
        <v>111</v>
      </c>
      <c r="D36" s="49" t="s">
        <v>124</v>
      </c>
      <c r="E36" s="16" t="s">
        <v>125</v>
      </c>
      <c r="F36" s="5" t="str">
        <f t="shared" si="0"/>
        <v>191860791363 APPLE DISTRIBUTION INTERNATIONAL LTD.</v>
      </c>
      <c r="G36" s="17">
        <f t="shared" si="1"/>
        <v>2.4710743801652897</v>
      </c>
      <c r="H36" s="18">
        <v>21</v>
      </c>
      <c r="I36" s="17">
        <f t="shared" si="50"/>
        <v>0.51892561983471086</v>
      </c>
      <c r="J36" s="17">
        <f t="shared" si="51"/>
        <v>2.4710743801652897</v>
      </c>
      <c r="K36" s="18">
        <v>0</v>
      </c>
      <c r="L36" s="17">
        <f t="shared" si="52"/>
        <v>0</v>
      </c>
      <c r="M36" s="19">
        <v>2.99</v>
      </c>
      <c r="N36" s="35"/>
    </row>
    <row r="37" spans="1:19" x14ac:dyDescent="0.35">
      <c r="A37" s="4">
        <v>45574</v>
      </c>
      <c r="B37" s="25" t="s">
        <v>907</v>
      </c>
      <c r="C37" s="25" t="s">
        <v>167</v>
      </c>
      <c r="D37" s="16" t="s">
        <v>904</v>
      </c>
      <c r="E37" s="16" t="s">
        <v>905</v>
      </c>
      <c r="F37" s="5" t="str">
        <f t="shared" ref="F37:F39" si="53">CONCATENATE(S37,B37," ",E37)</f>
        <v>061-0010-322740 LEROY MERLIN ESPAÑA, SLU</v>
      </c>
      <c r="G37" s="17">
        <f t="shared" ref="G37:G39" si="54">M37/(1-K37/100+H37/100)</f>
        <v>55.958677685950413</v>
      </c>
      <c r="H37" s="18">
        <v>21</v>
      </c>
      <c r="I37" s="17">
        <f t="shared" ref="I37:I39" si="55">G37*H37/100</f>
        <v>11.751322314049586</v>
      </c>
      <c r="J37" s="17">
        <f t="shared" ref="J37:J39" si="56">G37</f>
        <v>55.958677685950413</v>
      </c>
      <c r="K37" s="18">
        <v>0</v>
      </c>
      <c r="L37" s="17">
        <f t="shared" ref="L37:L39" si="57">J37*K37/100</f>
        <v>0</v>
      </c>
      <c r="M37" s="19">
        <v>67.709999999999994</v>
      </c>
      <c r="N37" s="38"/>
    </row>
    <row r="38" spans="1:19" x14ac:dyDescent="0.35">
      <c r="A38" s="4">
        <v>45574</v>
      </c>
      <c r="B38" s="2" t="s">
        <v>927</v>
      </c>
      <c r="C38" s="2" t="s">
        <v>111</v>
      </c>
      <c r="D38" s="2" t="s">
        <v>220</v>
      </c>
      <c r="E38" s="2" t="s">
        <v>221</v>
      </c>
      <c r="F38" s="5" t="str">
        <f t="shared" si="53"/>
        <v>S/F FE24137023209588 Comercializadora Regulada, Gas &amp; Power, S.A.</v>
      </c>
      <c r="G38" s="5">
        <f t="shared" si="54"/>
        <v>13.954545454545453</v>
      </c>
      <c r="H38" s="18">
        <v>10</v>
      </c>
      <c r="I38" s="5">
        <f t="shared" si="55"/>
        <v>1.3954545454545453</v>
      </c>
      <c r="J38" s="5">
        <f t="shared" si="56"/>
        <v>13.954545454545453</v>
      </c>
      <c r="K38" s="18">
        <v>0</v>
      </c>
      <c r="L38" s="5">
        <f t="shared" si="57"/>
        <v>0</v>
      </c>
      <c r="M38" s="8">
        <v>15.35</v>
      </c>
      <c r="S38" t="s">
        <v>19</v>
      </c>
    </row>
    <row r="39" spans="1:19" x14ac:dyDescent="0.35">
      <c r="A39" s="4">
        <v>45575</v>
      </c>
      <c r="B39" s="2" t="s">
        <v>926</v>
      </c>
      <c r="C39" s="2" t="s">
        <v>111</v>
      </c>
      <c r="D39" s="2" t="s">
        <v>215</v>
      </c>
      <c r="E39" s="2" t="s">
        <v>216</v>
      </c>
      <c r="F39" s="5" t="str">
        <f t="shared" si="53"/>
        <v>61053032216 Repsol Comercializadora de Electricidad y Gas, S.L.U.</v>
      </c>
      <c r="G39" s="5">
        <f t="shared" si="54"/>
        <v>18.936363636363634</v>
      </c>
      <c r="H39" s="18">
        <v>10</v>
      </c>
      <c r="I39" s="5">
        <f t="shared" si="55"/>
        <v>1.8936363636363636</v>
      </c>
      <c r="J39" s="5">
        <f t="shared" si="56"/>
        <v>18.936363636363634</v>
      </c>
      <c r="K39" s="18">
        <v>0</v>
      </c>
      <c r="L39" s="5">
        <f t="shared" si="57"/>
        <v>0</v>
      </c>
      <c r="M39" s="8">
        <v>20.83</v>
      </c>
    </row>
    <row r="40" spans="1:19" x14ac:dyDescent="0.35">
      <c r="A40" s="4">
        <v>45576</v>
      </c>
      <c r="B40" s="25" t="s">
        <v>856</v>
      </c>
      <c r="C40" s="25" t="s">
        <v>137</v>
      </c>
      <c r="D40" s="25" t="s">
        <v>138</v>
      </c>
      <c r="E40" s="25" t="s">
        <v>139</v>
      </c>
      <c r="F40" s="5" t="str">
        <f t="shared" si="0"/>
        <v>604/24 TECNOLOGÍA DEL CONTROL ENERGÉTICO MADRID, S.L.</v>
      </c>
      <c r="G40" s="17">
        <f t="shared" si="1"/>
        <v>142.50413223140498</v>
      </c>
      <c r="H40" s="18">
        <v>21</v>
      </c>
      <c r="I40" s="17">
        <f t="shared" ref="I40:I46" si="58">G40*H40/100</f>
        <v>29.925867768595044</v>
      </c>
      <c r="J40" s="17">
        <f t="shared" ref="J40:J46" si="59">G40</f>
        <v>142.50413223140498</v>
      </c>
      <c r="K40" s="18">
        <v>0</v>
      </c>
      <c r="L40" s="17">
        <f t="shared" ref="L40:L46" si="60">J40*K40/100</f>
        <v>0</v>
      </c>
      <c r="M40" s="19">
        <v>172.43</v>
      </c>
      <c r="N40" s="35"/>
    </row>
    <row r="41" spans="1:19" x14ac:dyDescent="0.35">
      <c r="A41" s="4">
        <v>45576</v>
      </c>
      <c r="B41" s="25" t="s">
        <v>908</v>
      </c>
      <c r="C41" s="25" t="s">
        <v>167</v>
      </c>
      <c r="D41" s="25" t="s">
        <v>189</v>
      </c>
      <c r="E41" s="25" t="s">
        <v>190</v>
      </c>
      <c r="F41" s="5" t="str">
        <f t="shared" si="0"/>
        <v>011-0010-140386 BRICOLAJE BRICOMAN, S.L.U.</v>
      </c>
      <c r="G41" s="17">
        <f>M41/(1-K41/100+H41/100)</f>
        <v>14.752066115702481</v>
      </c>
      <c r="H41" s="18">
        <v>21</v>
      </c>
      <c r="I41" s="17">
        <f>G41*H41/100</f>
        <v>3.0979338842975208</v>
      </c>
      <c r="J41" s="17">
        <f>G41</f>
        <v>14.752066115702481</v>
      </c>
      <c r="K41" s="18">
        <v>0</v>
      </c>
      <c r="L41" s="17">
        <f>J41*K41/100</f>
        <v>0</v>
      </c>
      <c r="M41" s="19">
        <v>17.850000000000001</v>
      </c>
      <c r="N41" s="38" t="s">
        <v>27</v>
      </c>
    </row>
    <row r="42" spans="1:19" x14ac:dyDescent="0.35">
      <c r="A42" s="4">
        <v>45578</v>
      </c>
      <c r="B42" s="25" t="s">
        <v>891</v>
      </c>
      <c r="C42" s="25" t="s">
        <v>167</v>
      </c>
      <c r="D42" s="16" t="s">
        <v>168</v>
      </c>
      <c r="E42" s="16" t="s">
        <v>169</v>
      </c>
      <c r="F42" s="5" t="str">
        <f t="shared" ref="F42:F46" si="61">CONCATENATE(S42,B42," ",E42)</f>
        <v>70124FE000003536 SANTIAGO Y LYDIA DIAZ, S.L.</v>
      </c>
      <c r="G42" s="17">
        <f t="shared" ref="G42:G46" si="62">M42/(1-K42/100+H42/100)</f>
        <v>49.983471074380162</v>
      </c>
      <c r="H42" s="18">
        <v>21</v>
      </c>
      <c r="I42" s="17">
        <f t="shared" si="58"/>
        <v>10.496528925619835</v>
      </c>
      <c r="J42" s="17">
        <f t="shared" si="59"/>
        <v>49.983471074380162</v>
      </c>
      <c r="K42" s="18">
        <v>0</v>
      </c>
      <c r="L42" s="17">
        <f t="shared" si="60"/>
        <v>0</v>
      </c>
      <c r="M42" s="19">
        <v>60.48</v>
      </c>
      <c r="N42" s="38"/>
    </row>
    <row r="43" spans="1:19" x14ac:dyDescent="0.35">
      <c r="A43" s="4">
        <v>45578</v>
      </c>
      <c r="B43" s="25" t="s">
        <v>928</v>
      </c>
      <c r="C43" s="25" t="s">
        <v>111</v>
      </c>
      <c r="D43" s="16" t="s">
        <v>223</v>
      </c>
      <c r="E43" s="16" t="s">
        <v>224</v>
      </c>
      <c r="F43" s="5" t="str">
        <f t="shared" si="61"/>
        <v>FMDVAJH0013657 TELEFONICA DE ESPAÑA S.A.U.</v>
      </c>
      <c r="G43" s="17">
        <f>M43/(1-K43/100+H43/100)</f>
        <v>17.685950413223139</v>
      </c>
      <c r="H43" s="18">
        <v>21</v>
      </c>
      <c r="I43" s="17">
        <f>G43*H43/100</f>
        <v>3.7140495867768597</v>
      </c>
      <c r="J43" s="17">
        <f>G43</f>
        <v>17.685950413223139</v>
      </c>
      <c r="K43" s="18">
        <v>0</v>
      </c>
      <c r="L43" s="17">
        <f>J43*K43/100</f>
        <v>0</v>
      </c>
      <c r="M43" s="19">
        <v>21.4</v>
      </c>
      <c r="N43" s="38"/>
    </row>
    <row r="44" spans="1:19" x14ac:dyDescent="0.35">
      <c r="A44" s="4">
        <v>45578</v>
      </c>
      <c r="B44" s="20" t="s">
        <v>929</v>
      </c>
      <c r="C44" s="25" t="s">
        <v>111</v>
      </c>
      <c r="D44" s="25" t="s">
        <v>225</v>
      </c>
      <c r="E44" s="25" t="s">
        <v>226</v>
      </c>
      <c r="F44" s="5" t="str">
        <f t="shared" si="61"/>
        <v>MMDVAJH0031414 TELEFÓNICA MÓVILES ESPAÑA, S.A.</v>
      </c>
      <c r="G44" s="5">
        <f t="shared" ref="G44:G45" si="63">M44/(1-K44/100+H44/100)</f>
        <v>26.033057851239668</v>
      </c>
      <c r="H44" s="18">
        <v>21</v>
      </c>
      <c r="I44" s="17">
        <f t="shared" ref="I44:I45" si="64">G44*H44/100</f>
        <v>5.4669421487603298</v>
      </c>
      <c r="J44" s="17">
        <f t="shared" ref="J44:J45" si="65">G44</f>
        <v>26.033057851239668</v>
      </c>
      <c r="K44" s="18">
        <v>0</v>
      </c>
      <c r="L44" s="17">
        <f t="shared" ref="L44:L45" si="66">J44*K44/100</f>
        <v>0</v>
      </c>
      <c r="M44" s="19">
        <v>31.5</v>
      </c>
      <c r="N44" s="38"/>
    </row>
    <row r="45" spans="1:19" x14ac:dyDescent="0.35">
      <c r="A45" s="4">
        <v>45578</v>
      </c>
      <c r="B45" s="20" t="s">
        <v>930</v>
      </c>
      <c r="C45" s="25" t="s">
        <v>111</v>
      </c>
      <c r="D45" s="25" t="s">
        <v>225</v>
      </c>
      <c r="E45" s="25" t="s">
        <v>226</v>
      </c>
      <c r="F45" s="5" t="str">
        <f t="shared" si="61"/>
        <v>MMDVAJH0013081 TELEFÓNICA MÓVILES ESPAÑA, S.A.</v>
      </c>
      <c r="G45" s="5">
        <f t="shared" si="63"/>
        <v>23.099173553719009</v>
      </c>
      <c r="H45" s="18">
        <v>21</v>
      </c>
      <c r="I45" s="17">
        <f t="shared" si="64"/>
        <v>4.8508264462809914</v>
      </c>
      <c r="J45" s="17">
        <f t="shared" si="65"/>
        <v>23.099173553719009</v>
      </c>
      <c r="K45" s="18">
        <v>0</v>
      </c>
      <c r="L45" s="17">
        <f t="shared" si="66"/>
        <v>0</v>
      </c>
      <c r="M45" s="19">
        <v>27.95</v>
      </c>
      <c r="N45" s="38"/>
    </row>
    <row r="46" spans="1:19" x14ac:dyDescent="0.35">
      <c r="A46" s="4">
        <v>45579</v>
      </c>
      <c r="B46" s="25" t="s">
        <v>909</v>
      </c>
      <c r="C46" s="25" t="s">
        <v>167</v>
      </c>
      <c r="D46" s="16" t="s">
        <v>904</v>
      </c>
      <c r="E46" s="16" t="s">
        <v>905</v>
      </c>
      <c r="F46" s="5" t="str">
        <f t="shared" si="61"/>
        <v>007-0010-449001 LEROY MERLIN ESPAÑA, SLU</v>
      </c>
      <c r="G46" s="17">
        <f t="shared" si="62"/>
        <v>6.8760330578512399</v>
      </c>
      <c r="H46" s="18">
        <v>21</v>
      </c>
      <c r="I46" s="17">
        <f t="shared" si="58"/>
        <v>1.4439669421487604</v>
      </c>
      <c r="J46" s="17">
        <f t="shared" si="59"/>
        <v>6.8760330578512399</v>
      </c>
      <c r="K46" s="18">
        <v>0</v>
      </c>
      <c r="L46" s="17">
        <f t="shared" si="60"/>
        <v>0</v>
      </c>
      <c r="M46" s="19">
        <v>8.32</v>
      </c>
      <c r="N46" s="38"/>
    </row>
    <row r="47" spans="1:19" x14ac:dyDescent="0.35">
      <c r="A47" s="4">
        <v>45580</v>
      </c>
      <c r="B47" s="2" t="s">
        <v>846</v>
      </c>
      <c r="C47" s="2" t="s">
        <v>111</v>
      </c>
      <c r="D47" s="2" t="s">
        <v>114</v>
      </c>
      <c r="E47" s="2" t="s">
        <v>115</v>
      </c>
      <c r="F47" s="5" t="str">
        <f t="shared" si="0"/>
        <v>S/F FR364593 ELECTRO MERCANTIL LEGANES D.A.M.,S.L.U.</v>
      </c>
      <c r="G47" s="17">
        <f t="shared" si="1"/>
        <v>3336.0826446280989</v>
      </c>
      <c r="H47" s="18">
        <v>21</v>
      </c>
      <c r="I47" s="5">
        <f t="shared" si="36"/>
        <v>700.57735537190081</v>
      </c>
      <c r="J47" s="17">
        <f t="shared" si="37"/>
        <v>3336.0826446280989</v>
      </c>
      <c r="K47" s="18">
        <v>0</v>
      </c>
      <c r="L47" s="17">
        <f t="shared" si="38"/>
        <v>0</v>
      </c>
      <c r="M47" s="19">
        <v>4036.66</v>
      </c>
      <c r="S47" t="s">
        <v>19</v>
      </c>
    </row>
    <row r="48" spans="1:19" x14ac:dyDescent="0.35">
      <c r="A48" s="4">
        <v>45582</v>
      </c>
      <c r="B48" s="2" t="s">
        <v>949</v>
      </c>
      <c r="C48" s="25" t="s">
        <v>167</v>
      </c>
      <c r="D48" s="25" t="s">
        <v>206</v>
      </c>
      <c r="E48" s="16" t="s">
        <v>207</v>
      </c>
      <c r="F48" s="5" t="str">
        <f t="shared" ref="F48:F50" si="67">CONCATENATE(S48,B48," ",E48)</f>
        <v>RC EOS ES2024/34290150 MAKSU ESPAÑA S.L.</v>
      </c>
      <c r="G48" s="5">
        <f t="shared" ref="G48:G50" si="68">M48/(1-K48/100+H48/100)</f>
        <v>2.8</v>
      </c>
      <c r="H48" s="18">
        <v>0</v>
      </c>
      <c r="I48" s="17">
        <f t="shared" si="36"/>
        <v>0</v>
      </c>
      <c r="J48" s="17">
        <f t="shared" si="37"/>
        <v>2.8</v>
      </c>
      <c r="K48" s="18">
        <v>0</v>
      </c>
      <c r="L48" s="17">
        <f t="shared" si="38"/>
        <v>0</v>
      </c>
      <c r="M48" s="19">
        <v>2.8</v>
      </c>
      <c r="N48" s="38"/>
    </row>
    <row r="49" spans="1:19" x14ac:dyDescent="0.35">
      <c r="A49" s="4">
        <v>45582</v>
      </c>
      <c r="B49" s="2" t="s">
        <v>950</v>
      </c>
      <c r="C49" s="25" t="s">
        <v>167</v>
      </c>
      <c r="D49" s="25" t="s">
        <v>206</v>
      </c>
      <c r="E49" s="16" t="s">
        <v>207</v>
      </c>
      <c r="F49" s="5" t="str">
        <f t="shared" si="67"/>
        <v>FT EOS ES2024/1954934 MAKSU ESPAÑA S.L.</v>
      </c>
      <c r="G49" s="5">
        <f t="shared" si="68"/>
        <v>0.28099173553719009</v>
      </c>
      <c r="H49" s="18">
        <v>21</v>
      </c>
      <c r="I49" s="17">
        <f>G49*H49/100</f>
        <v>5.900826446280992E-2</v>
      </c>
      <c r="J49" s="17">
        <f>G49</f>
        <v>0.28099173553719009</v>
      </c>
      <c r="K49" s="18">
        <v>0</v>
      </c>
      <c r="L49" s="17">
        <f>J49*K49/100</f>
        <v>0</v>
      </c>
      <c r="M49" s="19">
        <v>0.34</v>
      </c>
      <c r="N49" s="38"/>
    </row>
    <row r="50" spans="1:19" x14ac:dyDescent="0.35">
      <c r="A50" s="4">
        <v>45582</v>
      </c>
      <c r="B50" s="2" t="s">
        <v>1007</v>
      </c>
      <c r="C50" s="25" t="s">
        <v>479</v>
      </c>
      <c r="D50" s="25" t="s">
        <v>1008</v>
      </c>
      <c r="E50" s="16" t="s">
        <v>1009</v>
      </c>
      <c r="F50" s="5" t="str">
        <f t="shared" si="67"/>
        <v>99208 FERRETERIA SAMANIEGO S.L.</v>
      </c>
      <c r="G50" s="5">
        <f t="shared" si="68"/>
        <v>2.7768595041322315</v>
      </c>
      <c r="H50" s="18">
        <v>21</v>
      </c>
      <c r="I50" s="17">
        <f>G50*H50/100</f>
        <v>0.58314049586776862</v>
      </c>
      <c r="J50" s="17">
        <f>G50</f>
        <v>2.7768595041322315</v>
      </c>
      <c r="K50" s="18">
        <v>0</v>
      </c>
      <c r="L50" s="17">
        <f>J50*K50/100</f>
        <v>0</v>
      </c>
      <c r="M50" s="19">
        <v>3.36</v>
      </c>
      <c r="N50" s="38"/>
    </row>
    <row r="51" spans="1:19" x14ac:dyDescent="0.35">
      <c r="A51" s="4">
        <v>45583</v>
      </c>
      <c r="B51" s="25" t="s">
        <v>889</v>
      </c>
      <c r="C51" s="25" t="s">
        <v>167</v>
      </c>
      <c r="D51" s="16" t="s">
        <v>168</v>
      </c>
      <c r="E51" s="16" t="s">
        <v>169</v>
      </c>
      <c r="F51" s="5" t="str">
        <f t="shared" si="0"/>
        <v>70124FE000003626 SANTIAGO Y LYDIA DIAZ, S.L.</v>
      </c>
      <c r="G51" s="17">
        <f t="shared" si="1"/>
        <v>47.090909090909086</v>
      </c>
      <c r="H51" s="18">
        <v>21</v>
      </c>
      <c r="I51" s="17">
        <f t="shared" si="36"/>
        <v>9.8890909090909069</v>
      </c>
      <c r="J51" s="17">
        <f t="shared" si="37"/>
        <v>47.090909090909086</v>
      </c>
      <c r="K51" s="18">
        <v>0</v>
      </c>
      <c r="L51" s="17">
        <f t="shared" si="38"/>
        <v>0</v>
      </c>
      <c r="M51" s="19">
        <v>56.98</v>
      </c>
      <c r="N51" s="38"/>
    </row>
    <row r="52" spans="1:19" x14ac:dyDescent="0.35">
      <c r="A52" s="4">
        <v>45586</v>
      </c>
      <c r="B52" s="2" t="s">
        <v>955</v>
      </c>
      <c r="C52" s="25" t="s">
        <v>167</v>
      </c>
      <c r="D52" s="25" t="s">
        <v>206</v>
      </c>
      <c r="E52" s="16" t="s">
        <v>207</v>
      </c>
      <c r="F52" s="5" t="str">
        <f t="shared" si="0"/>
        <v>RC EOS ES2024/34698458 MAKSU ESPAÑA S.L.</v>
      </c>
      <c r="G52" s="5">
        <f t="shared" si="1"/>
        <v>1</v>
      </c>
      <c r="H52" s="18">
        <v>0</v>
      </c>
      <c r="I52" s="17">
        <f t="shared" si="36"/>
        <v>0</v>
      </c>
      <c r="J52" s="17">
        <f t="shared" si="37"/>
        <v>1</v>
      </c>
      <c r="K52" s="18">
        <v>0</v>
      </c>
      <c r="L52" s="17">
        <f t="shared" si="38"/>
        <v>0</v>
      </c>
      <c r="M52" s="19">
        <v>1</v>
      </c>
      <c r="N52" s="38"/>
    </row>
    <row r="53" spans="1:19" x14ac:dyDescent="0.35">
      <c r="A53" s="4">
        <v>45586</v>
      </c>
      <c r="B53" s="2" t="s">
        <v>956</v>
      </c>
      <c r="C53" s="25" t="s">
        <v>167</v>
      </c>
      <c r="D53" s="25" t="s">
        <v>206</v>
      </c>
      <c r="E53" s="16" t="s">
        <v>207</v>
      </c>
      <c r="F53" s="5" t="str">
        <f t="shared" si="0"/>
        <v>FT EOS ES2024/1978214 MAKSU ESPAÑA S.L.</v>
      </c>
      <c r="G53" s="5">
        <f t="shared" si="1"/>
        <v>9.9173553719008267E-2</v>
      </c>
      <c r="H53" s="18">
        <v>21</v>
      </c>
      <c r="I53" s="17">
        <f>G53*H53/100</f>
        <v>2.0826446280991739E-2</v>
      </c>
      <c r="J53" s="17">
        <f>G53</f>
        <v>9.9173553719008267E-2</v>
      </c>
      <c r="K53" s="18">
        <v>0</v>
      </c>
      <c r="L53" s="17">
        <f>J53*K53/100</f>
        <v>0</v>
      </c>
      <c r="M53" s="19">
        <v>0.12</v>
      </c>
      <c r="N53" s="38"/>
    </row>
    <row r="54" spans="1:19" x14ac:dyDescent="0.35">
      <c r="A54" s="4">
        <v>45587</v>
      </c>
      <c r="B54" s="2" t="s">
        <v>959</v>
      </c>
      <c r="C54" s="25" t="s">
        <v>167</v>
      </c>
      <c r="D54" s="25" t="s">
        <v>206</v>
      </c>
      <c r="E54" s="16" t="s">
        <v>207</v>
      </c>
      <c r="F54" s="5" t="str">
        <f t="shared" si="0"/>
        <v>RC EOS ES2024/34863333 MAKSU ESPAÑA S.L.</v>
      </c>
      <c r="G54" s="5">
        <f t="shared" si="1"/>
        <v>1</v>
      </c>
      <c r="H54" s="18">
        <v>0</v>
      </c>
      <c r="I54" s="17">
        <f t="shared" ref="I54" si="69">G54*H54/100</f>
        <v>0</v>
      </c>
      <c r="J54" s="17">
        <f t="shared" ref="J54" si="70">G54</f>
        <v>1</v>
      </c>
      <c r="K54" s="18">
        <v>0</v>
      </c>
      <c r="L54" s="17">
        <f t="shared" ref="L54" si="71">J54*K54/100</f>
        <v>0</v>
      </c>
      <c r="M54" s="19">
        <v>1</v>
      </c>
      <c r="N54" s="38"/>
    </row>
    <row r="55" spans="1:19" x14ac:dyDescent="0.35">
      <c r="A55" s="4">
        <v>45587</v>
      </c>
      <c r="B55" s="2" t="s">
        <v>960</v>
      </c>
      <c r="C55" s="25" t="s">
        <v>167</v>
      </c>
      <c r="D55" s="25" t="s">
        <v>206</v>
      </c>
      <c r="E55" s="16" t="s">
        <v>207</v>
      </c>
      <c r="F55" s="5" t="str">
        <f t="shared" si="0"/>
        <v>FT EOS ES2024/1987850 MAKSU ESPAÑA S.L.</v>
      </c>
      <c r="G55" s="5">
        <f t="shared" si="1"/>
        <v>9.9173553719008267E-2</v>
      </c>
      <c r="H55" s="18">
        <v>21</v>
      </c>
      <c r="I55" s="17">
        <f>G55*H55/100</f>
        <v>2.0826446280991739E-2</v>
      </c>
      <c r="J55" s="17">
        <f>G55</f>
        <v>9.9173553719008267E-2</v>
      </c>
      <c r="K55" s="18">
        <v>0</v>
      </c>
      <c r="L55" s="17">
        <f>J55*K55/100</f>
        <v>0</v>
      </c>
      <c r="M55" s="19">
        <v>0.12</v>
      </c>
      <c r="N55" s="38"/>
    </row>
    <row r="56" spans="1:19" x14ac:dyDescent="0.35">
      <c r="A56" s="4">
        <v>45587</v>
      </c>
      <c r="B56" s="25" t="s">
        <v>911</v>
      </c>
      <c r="C56" s="25" t="s">
        <v>479</v>
      </c>
      <c r="D56" s="25" t="s">
        <v>189</v>
      </c>
      <c r="E56" s="25" t="s">
        <v>190</v>
      </c>
      <c r="F56" s="5" t="str">
        <f t="shared" si="0"/>
        <v>018-0010-679307 BRICOLAJE BRICOMAN, S.L.U.</v>
      </c>
      <c r="G56" s="17">
        <f>M56/(1-K56/100+H56/100)</f>
        <v>12.396694214876034</v>
      </c>
      <c r="H56" s="18">
        <v>21</v>
      </c>
      <c r="I56" s="17">
        <f>G56*H56/100</f>
        <v>2.6033057851239669</v>
      </c>
      <c r="J56" s="17">
        <f>G56</f>
        <v>12.396694214876034</v>
      </c>
      <c r="K56" s="18">
        <v>0</v>
      </c>
      <c r="L56" s="17">
        <f>J56*K56/100</f>
        <v>0</v>
      </c>
      <c r="M56" s="19">
        <v>15</v>
      </c>
      <c r="N56" s="38" t="s">
        <v>27</v>
      </c>
    </row>
    <row r="57" spans="1:19" x14ac:dyDescent="0.35">
      <c r="A57" s="4">
        <v>45588</v>
      </c>
      <c r="B57" s="25" t="s">
        <v>910</v>
      </c>
      <c r="C57" s="25" t="s">
        <v>479</v>
      </c>
      <c r="D57" s="25" t="s">
        <v>189</v>
      </c>
      <c r="E57" s="25" t="s">
        <v>190</v>
      </c>
      <c r="F57" s="5" t="str">
        <f t="shared" si="0"/>
        <v>018-0010-681508 BRICOLAJE BRICOMAN, S.L.U.</v>
      </c>
      <c r="G57" s="17">
        <f>M57/(1-K57/100+H57/100)</f>
        <v>5.785123966942149</v>
      </c>
      <c r="H57" s="18">
        <v>21</v>
      </c>
      <c r="I57" s="17">
        <f>G57*H57/100</f>
        <v>1.2148760330578512</v>
      </c>
      <c r="J57" s="17">
        <f>G57</f>
        <v>5.785123966942149</v>
      </c>
      <c r="K57" s="18">
        <v>0</v>
      </c>
      <c r="L57" s="17">
        <f>J57*K57/100</f>
        <v>0</v>
      </c>
      <c r="M57" s="19">
        <v>7</v>
      </c>
      <c r="N57" s="38" t="s">
        <v>27</v>
      </c>
    </row>
    <row r="58" spans="1:19" x14ac:dyDescent="0.35">
      <c r="A58" s="4">
        <v>45589</v>
      </c>
      <c r="B58" s="2" t="s">
        <v>1003</v>
      </c>
      <c r="C58" s="2" t="s">
        <v>167</v>
      </c>
      <c r="D58" s="2" t="s">
        <v>304</v>
      </c>
      <c r="E58" s="2" t="s">
        <v>305</v>
      </c>
      <c r="F58" s="5" t="str">
        <f t="shared" si="0"/>
        <v>S/F 096383/A/24/006780 Repsol Comercial de Productos Petrolíferos, S.A.</v>
      </c>
      <c r="G58" s="5">
        <f t="shared" ref="G58:G60" si="72">M58/(1-K58/100+H58/100)</f>
        <v>50.950413223140494</v>
      </c>
      <c r="H58" s="18">
        <v>21</v>
      </c>
      <c r="I58" s="5">
        <f t="shared" ref="I58:I59" si="73">G58*H58/100</f>
        <v>10.699586776859503</v>
      </c>
      <c r="J58" s="5">
        <f t="shared" ref="J58:J59" si="74">G58</f>
        <v>50.950413223140494</v>
      </c>
      <c r="K58" s="18">
        <v>0</v>
      </c>
      <c r="L58" s="5">
        <f t="shared" ref="L58:L59" si="75">J58*K58/100</f>
        <v>0</v>
      </c>
      <c r="M58" s="8">
        <v>61.65</v>
      </c>
      <c r="S58" t="s">
        <v>19</v>
      </c>
    </row>
    <row r="59" spans="1:19" x14ac:dyDescent="0.35">
      <c r="A59" s="4">
        <v>45589</v>
      </c>
      <c r="B59" s="2" t="s">
        <v>1023</v>
      </c>
      <c r="C59" s="2" t="s">
        <v>167</v>
      </c>
      <c r="D59" s="2" t="s">
        <v>304</v>
      </c>
      <c r="E59" s="2" t="s">
        <v>305</v>
      </c>
      <c r="F59" s="5" t="str">
        <f t="shared" si="0"/>
        <v>S/F 096383/A/24/006781 Repsol Comercial de Productos Petrolíferos, S.A.</v>
      </c>
      <c r="G59" s="5">
        <f t="shared" si="72"/>
        <v>38.041322314049587</v>
      </c>
      <c r="H59" s="18">
        <v>21</v>
      </c>
      <c r="I59" s="5">
        <f t="shared" si="73"/>
        <v>7.9886776859504129</v>
      </c>
      <c r="J59" s="5">
        <f t="shared" si="74"/>
        <v>38.041322314049587</v>
      </c>
      <c r="K59" s="18">
        <v>0</v>
      </c>
      <c r="L59" s="5">
        <f t="shared" si="75"/>
        <v>0</v>
      </c>
      <c r="M59" s="8">
        <v>46.03</v>
      </c>
      <c r="S59" t="s">
        <v>19</v>
      </c>
    </row>
    <row r="60" spans="1:19" x14ac:dyDescent="0.35">
      <c r="A60" s="4">
        <v>45590</v>
      </c>
      <c r="B60" s="2" t="s">
        <v>1010</v>
      </c>
      <c r="C60" s="25" t="s">
        <v>167</v>
      </c>
      <c r="D60" s="25" t="s">
        <v>287</v>
      </c>
      <c r="E60" s="16" t="s">
        <v>288</v>
      </c>
      <c r="F60" s="5" t="str">
        <f t="shared" si="0"/>
        <v>0111196 INMOBILIARIA PARIS, S.A.</v>
      </c>
      <c r="G60" s="5">
        <f t="shared" si="72"/>
        <v>0.49586776859504134</v>
      </c>
      <c r="H60" s="18">
        <v>21</v>
      </c>
      <c r="I60" s="17">
        <f>G60*H60/100</f>
        <v>0.10413223140495868</v>
      </c>
      <c r="J60" s="17">
        <f>G60</f>
        <v>0.49586776859504134</v>
      </c>
      <c r="K60" s="18">
        <v>0</v>
      </c>
      <c r="L60" s="17">
        <f>J60*K60/100</f>
        <v>0</v>
      </c>
      <c r="M60" s="19">
        <v>0.6</v>
      </c>
      <c r="N60" s="38"/>
    </row>
    <row r="61" spans="1:19" x14ac:dyDescent="0.35">
      <c r="A61" s="4">
        <v>45590</v>
      </c>
      <c r="B61" s="2" t="s">
        <v>932</v>
      </c>
      <c r="C61" s="2" t="s">
        <v>111</v>
      </c>
      <c r="D61" s="2" t="s">
        <v>260</v>
      </c>
      <c r="E61" s="2" t="s">
        <v>261</v>
      </c>
      <c r="F61" s="5" t="str">
        <f t="shared" si="0"/>
        <v>240007705515 Canal de Isabel II, S.A.</v>
      </c>
      <c r="G61" s="5">
        <f t="shared" ref="G61" si="76">M61/(1-K61/100+H61/100)</f>
        <v>20.072727272727271</v>
      </c>
      <c r="H61" s="18">
        <v>10</v>
      </c>
      <c r="I61" s="5">
        <f t="shared" ref="I61" si="77">G61*H61/100</f>
        <v>2.0072727272727269</v>
      </c>
      <c r="J61" s="5">
        <f t="shared" ref="J61" si="78">G61</f>
        <v>20.072727272727271</v>
      </c>
      <c r="K61" s="18">
        <v>0</v>
      </c>
      <c r="L61" s="5">
        <f t="shared" ref="L61" si="79">J61*K61/100</f>
        <v>0</v>
      </c>
      <c r="M61" s="8">
        <v>22.08</v>
      </c>
    </row>
    <row r="62" spans="1:19" x14ac:dyDescent="0.35">
      <c r="A62" s="4">
        <v>45593</v>
      </c>
      <c r="B62" s="25" t="s">
        <v>925</v>
      </c>
      <c r="C62" s="25" t="s">
        <v>111</v>
      </c>
      <c r="D62" s="25" t="s">
        <v>235</v>
      </c>
      <c r="E62" s="25" t="s">
        <v>236</v>
      </c>
      <c r="F62" s="5" t="str">
        <f>CONCATENATE(S62,B62," ",E62)</f>
        <v>B5011024-00010376 ORANGE ESPAÑA VIRTUAL, S.L.U.</v>
      </c>
      <c r="G62" s="5">
        <f t="shared" ref="G62" si="80">M62/(1-K62/100+H62/100)</f>
        <v>12.396694214876034</v>
      </c>
      <c r="H62" s="18">
        <v>21</v>
      </c>
      <c r="I62" s="17">
        <f>G62*H62/100</f>
        <v>2.6033057851239669</v>
      </c>
      <c r="J62" s="17">
        <f>G62</f>
        <v>12.396694214876034</v>
      </c>
      <c r="K62" s="18">
        <v>0</v>
      </c>
      <c r="L62" s="17">
        <f>J62*K62/100</f>
        <v>0</v>
      </c>
      <c r="M62" s="19">
        <v>15</v>
      </c>
      <c r="N62" s="35"/>
    </row>
    <row r="63" spans="1:19" x14ac:dyDescent="0.35">
      <c r="A63" s="4">
        <v>45594</v>
      </c>
      <c r="B63" s="25" t="s">
        <v>912</v>
      </c>
      <c r="C63" s="25" t="s">
        <v>479</v>
      </c>
      <c r="D63" s="25" t="s">
        <v>189</v>
      </c>
      <c r="E63" s="25" t="s">
        <v>190</v>
      </c>
      <c r="F63" s="5" t="str">
        <f t="shared" ref="F63:F65" si="81">CONCATENATE(S63,B63," ",E63)</f>
        <v>018-0010-693019 BRICOLAJE BRICOMAN, S.L.U.</v>
      </c>
      <c r="G63" s="17">
        <f>M63/(1-K63/100+H63/100)</f>
        <v>35.049586776859499</v>
      </c>
      <c r="H63" s="18">
        <v>21</v>
      </c>
      <c r="I63" s="17">
        <f>G63*H63/100</f>
        <v>7.3604132231404948</v>
      </c>
      <c r="J63" s="17">
        <f>G63</f>
        <v>35.049586776859499</v>
      </c>
      <c r="K63" s="18">
        <v>0</v>
      </c>
      <c r="L63" s="17">
        <f>J63*K63/100</f>
        <v>0</v>
      </c>
      <c r="M63" s="19">
        <v>42.41</v>
      </c>
      <c r="N63" s="38" t="s">
        <v>27</v>
      </c>
    </row>
    <row r="64" spans="1:19" x14ac:dyDescent="0.35">
      <c r="A64" s="4">
        <v>45594</v>
      </c>
      <c r="B64" s="25" t="s">
        <v>913</v>
      </c>
      <c r="C64" s="25" t="s">
        <v>479</v>
      </c>
      <c r="D64" s="16" t="s">
        <v>904</v>
      </c>
      <c r="E64" s="16" t="s">
        <v>905</v>
      </c>
      <c r="F64" s="5" t="str">
        <f t="shared" si="81"/>
        <v>007-0010-456464 LEROY MERLIN ESPAÑA, SLU</v>
      </c>
      <c r="G64" s="17">
        <f t="shared" ref="G64:G65" si="82">M64/(1-K64/100+H64/100)</f>
        <v>25.41322314049587</v>
      </c>
      <c r="H64" s="18">
        <v>21</v>
      </c>
      <c r="I64" s="17">
        <f t="shared" ref="I64:I65" si="83">G64*H64/100</f>
        <v>5.3367768595041323</v>
      </c>
      <c r="J64" s="17">
        <f t="shared" ref="J64:J65" si="84">G64</f>
        <v>25.41322314049587</v>
      </c>
      <c r="K64" s="18">
        <v>0</v>
      </c>
      <c r="L64" s="17">
        <f t="shared" ref="L64:L65" si="85">J64*K64/100</f>
        <v>0</v>
      </c>
      <c r="M64" s="19">
        <v>30.75</v>
      </c>
      <c r="N64" s="38"/>
    </row>
    <row r="65" spans="1:19" x14ac:dyDescent="0.35">
      <c r="A65" s="4">
        <v>45594</v>
      </c>
      <c r="B65" s="2" t="s">
        <v>1021</v>
      </c>
      <c r="C65" s="2" t="s">
        <v>167</v>
      </c>
      <c r="D65" s="2" t="s">
        <v>304</v>
      </c>
      <c r="E65" s="2" t="s">
        <v>305</v>
      </c>
      <c r="F65" s="5" t="str">
        <f t="shared" si="81"/>
        <v>S/F 096383/A/24/006906 Repsol Comercial de Productos Petrolíferos, S.A.</v>
      </c>
      <c r="G65" s="5">
        <f t="shared" si="82"/>
        <v>44.082644628099175</v>
      </c>
      <c r="H65" s="18">
        <v>21</v>
      </c>
      <c r="I65" s="5">
        <f t="shared" si="83"/>
        <v>9.257355371900827</v>
      </c>
      <c r="J65" s="5">
        <f t="shared" si="84"/>
        <v>44.082644628099175</v>
      </c>
      <c r="K65" s="18">
        <v>0</v>
      </c>
      <c r="L65" s="5">
        <f t="shared" si="85"/>
        <v>0</v>
      </c>
      <c r="M65" s="8">
        <v>53.34</v>
      </c>
      <c r="S65" t="s">
        <v>19</v>
      </c>
    </row>
    <row r="66" spans="1:19" x14ac:dyDescent="0.35">
      <c r="A66" s="4">
        <v>45595</v>
      </c>
      <c r="B66" s="2" t="s">
        <v>850</v>
      </c>
      <c r="C66" s="2" t="s">
        <v>479</v>
      </c>
      <c r="D66" s="2" t="s">
        <v>581</v>
      </c>
      <c r="E66" s="2" t="s">
        <v>582</v>
      </c>
      <c r="F66" s="5" t="str">
        <f t="shared" ref="F66" si="86">CONCATENATE(S66,B66," ",E66)</f>
        <v>FV/126320 LUZ NEGRA CENTRO LNC, S.L.</v>
      </c>
      <c r="G66" s="17">
        <f t="shared" ref="G66" si="87">M66/(1-K66/100+H66/100)</f>
        <v>238.900826446281</v>
      </c>
      <c r="H66" s="18">
        <v>21</v>
      </c>
      <c r="I66" s="17">
        <f t="shared" ref="I66" si="88">G66*H66/100</f>
        <v>50.169173553719013</v>
      </c>
      <c r="J66" s="17">
        <f t="shared" ref="J66" si="89">G66</f>
        <v>238.900826446281</v>
      </c>
      <c r="K66" s="18">
        <v>0</v>
      </c>
      <c r="L66" s="17">
        <f t="shared" ref="L66" si="90">J66*K66/100</f>
        <v>0</v>
      </c>
      <c r="M66" s="19">
        <v>289.07</v>
      </c>
      <c r="N66" s="38"/>
    </row>
    <row r="67" spans="1:19" x14ac:dyDescent="0.35">
      <c r="A67" s="4">
        <v>45596</v>
      </c>
      <c r="B67" s="25" t="s">
        <v>848</v>
      </c>
      <c r="C67" s="25" t="s">
        <v>111</v>
      </c>
      <c r="D67" s="25" t="s">
        <v>112</v>
      </c>
      <c r="E67" s="25" t="s">
        <v>113</v>
      </c>
      <c r="F67" s="5" t="str">
        <f t="shared" si="0"/>
        <v>H4F11306 HIPER ANTENA, S.A.</v>
      </c>
      <c r="G67" s="17">
        <f t="shared" si="1"/>
        <v>583.8677685950413</v>
      </c>
      <c r="H67" s="18">
        <v>21</v>
      </c>
      <c r="I67" s="17">
        <f t="shared" ref="I67" si="91">G67*H67/100</f>
        <v>122.61223140495868</v>
      </c>
      <c r="J67" s="17">
        <f t="shared" ref="J67" si="92">G67</f>
        <v>583.8677685950413</v>
      </c>
      <c r="K67" s="18">
        <v>0</v>
      </c>
      <c r="L67" s="17">
        <f t="shared" ref="L67" si="93">J67*K67/100</f>
        <v>0</v>
      </c>
      <c r="M67" s="19">
        <v>706.48</v>
      </c>
      <c r="N67" s="38"/>
    </row>
    <row r="68" spans="1:19" x14ac:dyDescent="0.35">
      <c r="A68" s="4">
        <v>45596</v>
      </c>
      <c r="B68" s="2" t="s">
        <v>847</v>
      </c>
      <c r="C68" s="2" t="s">
        <v>111</v>
      </c>
      <c r="D68" s="2" t="s">
        <v>114</v>
      </c>
      <c r="E68" s="2" t="s">
        <v>115</v>
      </c>
      <c r="F68" s="5" t="str">
        <f t="shared" ref="F68:F69" si="94">CONCATENATE(S68,B68," ",E68)</f>
        <v>S/F FR365154 ELECTRO MERCANTIL LEGANES D.A.M.,S.L.U.</v>
      </c>
      <c r="G68" s="17">
        <f t="shared" si="1"/>
        <v>1671.818181818182</v>
      </c>
      <c r="H68" s="18">
        <v>21</v>
      </c>
      <c r="I68" s="5">
        <f t="shared" ref="I68:I69" si="95">G68*H68/100</f>
        <v>351.08181818181822</v>
      </c>
      <c r="J68" s="17">
        <f t="shared" ref="J68:J69" si="96">G68</f>
        <v>1671.818181818182</v>
      </c>
      <c r="K68" s="18">
        <v>0</v>
      </c>
      <c r="L68" s="17">
        <f t="shared" ref="L68:L69" si="97">J68*K68/100</f>
        <v>0</v>
      </c>
      <c r="M68" s="19">
        <v>2022.9</v>
      </c>
      <c r="S68" t="s">
        <v>19</v>
      </c>
    </row>
    <row r="69" spans="1:19" x14ac:dyDescent="0.35">
      <c r="A69" s="4">
        <v>45596</v>
      </c>
      <c r="B69" s="25" t="s">
        <v>857</v>
      </c>
      <c r="C69" s="25" t="s">
        <v>111</v>
      </c>
      <c r="D69" s="25" t="s">
        <v>127</v>
      </c>
      <c r="E69" s="25" t="s">
        <v>128</v>
      </c>
      <c r="F69" s="5" t="str">
        <f t="shared" si="94"/>
        <v>F243949 CONTAMAR S.L.</v>
      </c>
      <c r="G69" s="17">
        <f t="shared" si="1"/>
        <v>254.79338842975207</v>
      </c>
      <c r="H69" s="18">
        <v>21</v>
      </c>
      <c r="I69" s="17">
        <f t="shared" si="95"/>
        <v>53.506611570247934</v>
      </c>
      <c r="J69" s="17">
        <f t="shared" si="96"/>
        <v>254.79338842975207</v>
      </c>
      <c r="K69" s="18">
        <v>0</v>
      </c>
      <c r="L69" s="17">
        <f t="shared" si="97"/>
        <v>0</v>
      </c>
      <c r="M69" s="19">
        <v>308.3</v>
      </c>
      <c r="N69" s="38"/>
    </row>
    <row r="70" spans="1:19" x14ac:dyDescent="0.35">
      <c r="A70" s="4">
        <v>45597</v>
      </c>
      <c r="B70" s="25" t="s">
        <v>842</v>
      </c>
      <c r="C70" s="25" t="s">
        <v>137</v>
      </c>
      <c r="D70" s="25" t="s">
        <v>367</v>
      </c>
      <c r="E70" s="25" t="s">
        <v>368</v>
      </c>
      <c r="F70" s="5" t="str">
        <f t="shared" ref="F70:F74" si="98">CONCATENATE(S70,B70," ",E70)</f>
        <v>11/24 COMUNIDAD BIENES ANT. J.  SERRANO RUBIO</v>
      </c>
      <c r="G70" s="17">
        <f t="shared" si="1"/>
        <v>825</v>
      </c>
      <c r="H70" s="18">
        <v>21</v>
      </c>
      <c r="I70" s="17">
        <f>G70*H70/100</f>
        <v>173.25</v>
      </c>
      <c r="J70" s="17">
        <f>G70</f>
        <v>825</v>
      </c>
      <c r="K70" s="18">
        <v>19</v>
      </c>
      <c r="L70" s="17">
        <f>J70*K70/100</f>
        <v>156.75</v>
      </c>
      <c r="M70" s="19">
        <v>841.5</v>
      </c>
      <c r="N70" s="35"/>
    </row>
    <row r="71" spans="1:19" x14ac:dyDescent="0.35">
      <c r="A71" s="4">
        <v>45597</v>
      </c>
      <c r="B71" s="2" t="s">
        <v>843</v>
      </c>
      <c r="C71" s="25" t="s">
        <v>137</v>
      </c>
      <c r="D71" s="25" t="s">
        <v>369</v>
      </c>
      <c r="E71" s="25" t="s">
        <v>370</v>
      </c>
      <c r="F71" s="5" t="str">
        <f t="shared" si="98"/>
        <v>A011/24 JAVIER SERRANO IZQUIERDO</v>
      </c>
      <c r="G71" s="17">
        <f t="shared" si="1"/>
        <v>550</v>
      </c>
      <c r="H71" s="18">
        <v>21</v>
      </c>
      <c r="I71" s="17">
        <f t="shared" ref="I71:I74" si="99">G71*H71/100</f>
        <v>115.5</v>
      </c>
      <c r="J71" s="17">
        <f t="shared" ref="J71:J74" si="100">G71</f>
        <v>550</v>
      </c>
      <c r="K71" s="18">
        <v>19</v>
      </c>
      <c r="L71" s="17">
        <f t="shared" ref="L71:L74" si="101">J71*K71/100</f>
        <v>104.5</v>
      </c>
      <c r="M71" s="19">
        <v>561</v>
      </c>
      <c r="N71" s="35"/>
    </row>
    <row r="72" spans="1:19" x14ac:dyDescent="0.35">
      <c r="A72" s="4">
        <v>45597</v>
      </c>
      <c r="B72" s="20" t="s">
        <v>866</v>
      </c>
      <c r="C72" s="25" t="s">
        <v>111</v>
      </c>
      <c r="D72" s="25" t="s">
        <v>116</v>
      </c>
      <c r="E72" s="25" t="s">
        <v>117</v>
      </c>
      <c r="F72" s="5" t="str">
        <f t="shared" si="98"/>
        <v>2411C00611848 SECURITAS DIRECT ESPAÑA S.A.U.</v>
      </c>
      <c r="G72" s="17">
        <f t="shared" ref="G72:G74" si="102">M72/(1-K72/100+H72/100)</f>
        <v>30.553719008264462</v>
      </c>
      <c r="H72" s="18">
        <v>21</v>
      </c>
      <c r="I72" s="17">
        <f t="shared" si="99"/>
        <v>6.4162809917355368</v>
      </c>
      <c r="J72" s="17">
        <f t="shared" si="100"/>
        <v>30.553719008264462</v>
      </c>
      <c r="K72" s="18">
        <v>0</v>
      </c>
      <c r="L72" s="17">
        <f t="shared" si="101"/>
        <v>0</v>
      </c>
      <c r="M72" s="19">
        <v>36.97</v>
      </c>
      <c r="N72" s="38" t="s">
        <v>27</v>
      </c>
    </row>
    <row r="73" spans="1:19" x14ac:dyDescent="0.35">
      <c r="A73" s="4">
        <v>45597</v>
      </c>
      <c r="B73" s="20" t="s">
        <v>867</v>
      </c>
      <c r="C73" s="25" t="s">
        <v>111</v>
      </c>
      <c r="D73" s="25" t="s">
        <v>116</v>
      </c>
      <c r="E73" s="25" t="s">
        <v>117</v>
      </c>
      <c r="F73" s="5" t="str">
        <f t="shared" si="98"/>
        <v>2411C00467483 SECURITAS DIRECT ESPAÑA S.A.U.</v>
      </c>
      <c r="G73" s="17">
        <f t="shared" si="102"/>
        <v>28.388429752066116</v>
      </c>
      <c r="H73" s="18">
        <v>21</v>
      </c>
      <c r="I73" s="17">
        <f t="shared" si="99"/>
        <v>5.961570247933885</v>
      </c>
      <c r="J73" s="17">
        <f t="shared" si="100"/>
        <v>28.388429752066116</v>
      </c>
      <c r="K73" s="18">
        <v>0</v>
      </c>
      <c r="L73" s="17">
        <f t="shared" si="101"/>
        <v>0</v>
      </c>
      <c r="M73" s="19">
        <v>34.35</v>
      </c>
      <c r="N73" s="38" t="s">
        <v>27</v>
      </c>
    </row>
    <row r="74" spans="1:19" x14ac:dyDescent="0.35">
      <c r="A74" s="4">
        <v>45597</v>
      </c>
      <c r="B74" s="20" t="s">
        <v>868</v>
      </c>
      <c r="C74" s="25" t="s">
        <v>111</v>
      </c>
      <c r="D74" s="25" t="s">
        <v>116</v>
      </c>
      <c r="E74" s="25" t="s">
        <v>117</v>
      </c>
      <c r="F74" s="5" t="str">
        <f t="shared" si="98"/>
        <v>2411C00427630 SECURITAS DIRECT ESPAÑA S.A.U.</v>
      </c>
      <c r="G74" s="17">
        <f t="shared" si="102"/>
        <v>28.330578512396695</v>
      </c>
      <c r="H74" s="18">
        <v>21</v>
      </c>
      <c r="I74" s="17">
        <f t="shared" si="99"/>
        <v>5.9494214876033062</v>
      </c>
      <c r="J74" s="17">
        <f t="shared" si="100"/>
        <v>28.330578512396695</v>
      </c>
      <c r="K74" s="18">
        <v>0</v>
      </c>
      <c r="L74" s="17">
        <f t="shared" si="101"/>
        <v>0</v>
      </c>
      <c r="M74" s="19">
        <v>34.28</v>
      </c>
      <c r="N74" s="38" t="s">
        <v>27</v>
      </c>
    </row>
    <row r="75" spans="1:19" x14ac:dyDescent="0.35">
      <c r="A75" s="4">
        <v>45600</v>
      </c>
      <c r="B75" s="25" t="s">
        <v>914</v>
      </c>
      <c r="C75" s="25" t="s">
        <v>479</v>
      </c>
      <c r="D75" s="25" t="s">
        <v>189</v>
      </c>
      <c r="E75" s="25" t="s">
        <v>190</v>
      </c>
      <c r="F75" s="5" t="str">
        <f t="shared" ref="F75:F77" si="103">CONCATENATE(S75,B75," ",E75)</f>
        <v>011-0011-177752 BRICOLAJE BRICOMAN, S.L.U.</v>
      </c>
      <c r="G75" s="17">
        <f>M75/(1-K75/100+H75/100)</f>
        <v>2.2148760330578514</v>
      </c>
      <c r="H75" s="18">
        <v>21</v>
      </c>
      <c r="I75" s="17">
        <f>G75*H75/100</f>
        <v>0.4651239669421488</v>
      </c>
      <c r="J75" s="17">
        <f>G75</f>
        <v>2.2148760330578514</v>
      </c>
      <c r="K75" s="18">
        <v>0</v>
      </c>
      <c r="L75" s="17">
        <f>J75*K75/100</f>
        <v>0</v>
      </c>
      <c r="M75" s="19">
        <v>2.68</v>
      </c>
      <c r="N75" s="38" t="s">
        <v>27</v>
      </c>
    </row>
    <row r="76" spans="1:19" x14ac:dyDescent="0.35">
      <c r="A76" s="4">
        <v>45600</v>
      </c>
      <c r="B76" s="2" t="s">
        <v>1005</v>
      </c>
      <c r="C76" s="2" t="s">
        <v>167</v>
      </c>
      <c r="D76" s="2" t="s">
        <v>304</v>
      </c>
      <c r="E76" s="2" t="s">
        <v>305</v>
      </c>
      <c r="F76" s="5" t="str">
        <f t="shared" si="103"/>
        <v>S/F 096383/A/24/007018 Repsol Comercial de Productos Petrolíferos, S.A.</v>
      </c>
      <c r="G76" s="5">
        <f t="shared" ref="G76" si="104">M76/(1-K76/100+H76/100)</f>
        <v>40.421487603305785</v>
      </c>
      <c r="H76" s="18">
        <v>21</v>
      </c>
      <c r="I76" s="5">
        <f t="shared" ref="I76" si="105">G76*H76/100</f>
        <v>8.4885123966942153</v>
      </c>
      <c r="J76" s="5">
        <f t="shared" ref="J76" si="106">G76</f>
        <v>40.421487603305785</v>
      </c>
      <c r="K76" s="18">
        <v>0</v>
      </c>
      <c r="L76" s="5">
        <f t="shared" ref="L76" si="107">J76*K76/100</f>
        <v>0</v>
      </c>
      <c r="M76" s="8">
        <v>48.91</v>
      </c>
      <c r="S76" t="s">
        <v>19</v>
      </c>
    </row>
    <row r="77" spans="1:19" x14ac:dyDescent="0.35">
      <c r="A77" s="4">
        <v>45601</v>
      </c>
      <c r="B77" s="2" t="s">
        <v>961</v>
      </c>
      <c r="C77" s="2" t="s">
        <v>167</v>
      </c>
      <c r="D77" s="2" t="s">
        <v>963</v>
      </c>
      <c r="E77" s="2" t="s">
        <v>962</v>
      </c>
      <c r="F77" s="5" t="str">
        <f t="shared" si="103"/>
        <v>INV-ES-103647171-2024-360 SOUNDBASE (UK) CO., LIMITED</v>
      </c>
      <c r="G77" s="17">
        <f t="shared" si="1"/>
        <v>26.768595041322314</v>
      </c>
      <c r="H77" s="18">
        <v>21</v>
      </c>
      <c r="I77" s="17">
        <f t="shared" ref="I77:I107" si="108">G77*H77/100</f>
        <v>5.6214049586776857</v>
      </c>
      <c r="J77" s="17">
        <f t="shared" ref="J77:J107" si="109">G77</f>
        <v>26.768595041322314</v>
      </c>
      <c r="K77" s="18">
        <v>0</v>
      </c>
      <c r="L77" s="17">
        <f t="shared" ref="L77:L107" si="110">J77*K77/100</f>
        <v>0</v>
      </c>
      <c r="M77" s="19">
        <v>32.39</v>
      </c>
      <c r="N77" s="38"/>
    </row>
    <row r="78" spans="1:19" x14ac:dyDescent="0.35">
      <c r="A78" s="4">
        <v>45601</v>
      </c>
      <c r="B78" s="2" t="s">
        <v>964</v>
      </c>
      <c r="C78" s="2" t="s">
        <v>167</v>
      </c>
      <c r="D78" s="2" t="s">
        <v>963</v>
      </c>
      <c r="E78" s="2" t="s">
        <v>962</v>
      </c>
      <c r="F78" s="5" t="str">
        <f t="shared" ref="F78:F79" si="111">CONCATENATE(S78,B78," ",E78)</f>
        <v>INV-ES-103647171-2024-361 SOUNDBASE (UK) CO., LIMITED</v>
      </c>
      <c r="G78" s="17">
        <f t="shared" ref="G78:G79" si="112">M78/(1-K78/100+H78/100)</f>
        <v>16.057851239669422</v>
      </c>
      <c r="H78" s="18">
        <v>21</v>
      </c>
      <c r="I78" s="17">
        <f t="shared" ref="I78:I79" si="113">G78*H78/100</f>
        <v>3.3721487603305786</v>
      </c>
      <c r="J78" s="17">
        <f t="shared" ref="J78:J79" si="114">G78</f>
        <v>16.057851239669422</v>
      </c>
      <c r="K78" s="18">
        <v>0</v>
      </c>
      <c r="L78" s="17">
        <f t="shared" ref="L78:L79" si="115">J78*K78/100</f>
        <v>0</v>
      </c>
      <c r="M78" s="19">
        <v>19.43</v>
      </c>
      <c r="N78" s="38"/>
    </row>
    <row r="79" spans="1:19" x14ac:dyDescent="0.35">
      <c r="A79" s="4">
        <v>45602</v>
      </c>
      <c r="B79" s="2" t="s">
        <v>1001</v>
      </c>
      <c r="C79" s="2" t="s">
        <v>167</v>
      </c>
      <c r="D79" s="2" t="s">
        <v>923</v>
      </c>
      <c r="E79" s="2" t="s">
        <v>1002</v>
      </c>
      <c r="F79" s="5" t="str">
        <f t="shared" si="111"/>
        <v xml:space="preserve">E232-61206702 E232 MEDIA MARKT SATURN S.A. </v>
      </c>
      <c r="G79" s="17">
        <f t="shared" si="112"/>
        <v>489.71900826446279</v>
      </c>
      <c r="H79" s="18">
        <v>21</v>
      </c>
      <c r="I79" s="17">
        <f t="shared" si="113"/>
        <v>102.84099173553719</v>
      </c>
      <c r="J79" s="17">
        <f t="shared" si="114"/>
        <v>489.71900826446279</v>
      </c>
      <c r="K79" s="18">
        <v>0</v>
      </c>
      <c r="L79" s="17">
        <f t="shared" si="115"/>
        <v>0</v>
      </c>
      <c r="M79" s="19">
        <v>592.55999999999995</v>
      </c>
      <c r="N79" s="38"/>
    </row>
    <row r="80" spans="1:19" x14ac:dyDescent="0.35">
      <c r="A80" s="4">
        <v>45603</v>
      </c>
      <c r="B80" s="2" t="s">
        <v>900</v>
      </c>
      <c r="C80" s="25" t="s">
        <v>167</v>
      </c>
      <c r="D80" s="25" t="s">
        <v>287</v>
      </c>
      <c r="E80" s="16" t="s">
        <v>288</v>
      </c>
      <c r="F80" s="5" t="str">
        <f t="shared" ref="F80:F87" si="116">CONCATENATE(S80,B80," ",E80)</f>
        <v>0264249 INMOBILIARIA PARIS, S.A.</v>
      </c>
      <c r="G80" s="5">
        <f t="shared" ref="G80:G87" si="117">M80/(1-K80/100+H80/100)</f>
        <v>0.37190082644628103</v>
      </c>
      <c r="H80" s="18">
        <v>21</v>
      </c>
      <c r="I80" s="17">
        <f>G80*H80/100</f>
        <v>7.8099173553719009E-2</v>
      </c>
      <c r="J80" s="17">
        <f>G80</f>
        <v>0.37190082644628103</v>
      </c>
      <c r="K80" s="18">
        <v>0</v>
      </c>
      <c r="L80" s="17">
        <f>J80*K80/100</f>
        <v>0</v>
      </c>
      <c r="M80" s="19">
        <v>0.45</v>
      </c>
      <c r="N80" s="38"/>
    </row>
    <row r="81" spans="1:19" x14ac:dyDescent="0.35">
      <c r="A81" s="4">
        <v>45603</v>
      </c>
      <c r="B81" s="2" t="s">
        <v>974</v>
      </c>
      <c r="C81" s="2" t="s">
        <v>111</v>
      </c>
      <c r="D81" s="2" t="s">
        <v>230</v>
      </c>
      <c r="E81" s="2" t="s">
        <v>231</v>
      </c>
      <c r="F81" s="5" t="str">
        <f t="shared" si="116"/>
        <v>S/F 09241107010025521 CURENERGÍA COMERCIALIZADOR DE ÚLTIMO RECURSO S.A.U.</v>
      </c>
      <c r="G81" s="17">
        <f t="shared" si="117"/>
        <v>26.454545454545453</v>
      </c>
      <c r="H81">
        <v>10</v>
      </c>
      <c r="I81" s="5">
        <f t="shared" ref="I81:I86" si="118">G81*H81/100</f>
        <v>2.6454545454545451</v>
      </c>
      <c r="J81" s="17">
        <f t="shared" ref="J81:J86" si="119">G81</f>
        <v>26.454545454545453</v>
      </c>
      <c r="K81">
        <v>0</v>
      </c>
      <c r="L81" s="17">
        <f t="shared" ref="L81:L86" si="120">J81*K81/100</f>
        <v>0</v>
      </c>
      <c r="M81" s="8">
        <v>29.1</v>
      </c>
      <c r="S81" t="s">
        <v>19</v>
      </c>
    </row>
    <row r="82" spans="1:19" x14ac:dyDescent="0.35">
      <c r="A82" s="4">
        <v>45603</v>
      </c>
      <c r="B82" s="2" t="s">
        <v>992</v>
      </c>
      <c r="C82" s="25" t="s">
        <v>167</v>
      </c>
      <c r="D82" s="25" t="s">
        <v>206</v>
      </c>
      <c r="E82" s="16" t="s">
        <v>207</v>
      </c>
      <c r="F82" s="5" t="str">
        <f t="shared" si="116"/>
        <v>RC EOS ES2024/36823645 MAKSU ESPAÑA S.L.</v>
      </c>
      <c r="G82" s="5">
        <f t="shared" si="117"/>
        <v>1.5</v>
      </c>
      <c r="H82" s="18">
        <v>0</v>
      </c>
      <c r="I82" s="17">
        <f t="shared" si="118"/>
        <v>0</v>
      </c>
      <c r="J82" s="17">
        <f t="shared" si="119"/>
        <v>1.5</v>
      </c>
      <c r="K82" s="18">
        <v>0</v>
      </c>
      <c r="L82" s="17">
        <f t="shared" si="120"/>
        <v>0</v>
      </c>
      <c r="M82" s="19">
        <v>1.5</v>
      </c>
      <c r="N82" s="38"/>
    </row>
    <row r="83" spans="1:19" x14ac:dyDescent="0.35">
      <c r="A83" s="4">
        <v>45603</v>
      </c>
      <c r="B83" s="2" t="s">
        <v>993</v>
      </c>
      <c r="C83" s="25" t="s">
        <v>167</v>
      </c>
      <c r="D83" s="25" t="s">
        <v>206</v>
      </c>
      <c r="E83" s="16" t="s">
        <v>207</v>
      </c>
      <c r="F83" s="5" t="str">
        <f t="shared" si="116"/>
        <v>FT EOS ES2024/2100779 MAKSU ESPAÑA S.L.</v>
      </c>
      <c r="G83" s="5">
        <f t="shared" si="117"/>
        <v>0.1487603305785124</v>
      </c>
      <c r="H83" s="18">
        <v>21</v>
      </c>
      <c r="I83" s="17">
        <f>G83*H83/100</f>
        <v>3.1239669421487606E-2</v>
      </c>
      <c r="J83" s="17">
        <f>G83</f>
        <v>0.1487603305785124</v>
      </c>
      <c r="K83" s="18">
        <v>0</v>
      </c>
      <c r="L83" s="17">
        <f>J83*K83/100</f>
        <v>0</v>
      </c>
      <c r="M83" s="19">
        <v>0.18</v>
      </c>
      <c r="N83" s="38"/>
    </row>
    <row r="84" spans="1:19" x14ac:dyDescent="0.35">
      <c r="A84" s="4">
        <v>45603</v>
      </c>
      <c r="B84" s="2" t="s">
        <v>986</v>
      </c>
      <c r="C84" s="25" t="s">
        <v>167</v>
      </c>
      <c r="D84" s="25" t="s">
        <v>206</v>
      </c>
      <c r="E84" s="16" t="s">
        <v>207</v>
      </c>
      <c r="F84" s="5" t="str">
        <f t="shared" ref="F84:F85" si="121">CONCATENATE(S84,B84," ",E84)</f>
        <v>RC EOS ES2024/36849924 MAKSU ESPAÑA S.L.</v>
      </c>
      <c r="G84" s="5">
        <f t="shared" ref="G84:G85" si="122">M84/(1-K84/100+H84/100)</f>
        <v>2.4500000000000002</v>
      </c>
      <c r="H84" s="18">
        <v>0</v>
      </c>
      <c r="I84" s="17">
        <f t="shared" ref="I84" si="123">G84*H84/100</f>
        <v>0</v>
      </c>
      <c r="J84" s="17">
        <f t="shared" ref="J84" si="124">G84</f>
        <v>2.4500000000000002</v>
      </c>
      <c r="K84" s="18">
        <v>0</v>
      </c>
      <c r="L84" s="17">
        <f t="shared" ref="L84" si="125">J84*K84/100</f>
        <v>0</v>
      </c>
      <c r="M84" s="19">
        <v>2.4500000000000002</v>
      </c>
      <c r="N84" s="38"/>
    </row>
    <row r="85" spans="1:19" x14ac:dyDescent="0.35">
      <c r="A85" s="4">
        <v>45603</v>
      </c>
      <c r="B85" s="2" t="s">
        <v>987</v>
      </c>
      <c r="C85" s="25" t="s">
        <v>167</v>
      </c>
      <c r="D85" s="25" t="s">
        <v>206</v>
      </c>
      <c r="E85" s="16" t="s">
        <v>207</v>
      </c>
      <c r="F85" s="5" t="str">
        <f t="shared" si="121"/>
        <v>FT EOS ES2024/2102404 MAKSU ESPAÑA S.L.</v>
      </c>
      <c r="G85" s="5">
        <f t="shared" si="122"/>
        <v>0.24793388429752067</v>
      </c>
      <c r="H85" s="18">
        <v>21</v>
      </c>
      <c r="I85" s="17">
        <f>G85*H85/100</f>
        <v>5.2066115702479342E-2</v>
      </c>
      <c r="J85" s="17">
        <f>G85</f>
        <v>0.24793388429752067</v>
      </c>
      <c r="K85" s="18">
        <v>0</v>
      </c>
      <c r="L85" s="17">
        <f>J85*K85/100</f>
        <v>0</v>
      </c>
      <c r="M85" s="19">
        <v>0.3</v>
      </c>
      <c r="N85" s="38"/>
    </row>
    <row r="86" spans="1:19" x14ac:dyDescent="0.35">
      <c r="A86" s="4">
        <v>45604</v>
      </c>
      <c r="B86" s="2" t="s">
        <v>975</v>
      </c>
      <c r="C86" s="25" t="s">
        <v>167</v>
      </c>
      <c r="D86" s="25" t="s">
        <v>206</v>
      </c>
      <c r="E86" s="16" t="s">
        <v>207</v>
      </c>
      <c r="F86" s="5" t="str">
        <f t="shared" si="116"/>
        <v>RC EOS ES2024/37094241 MAKSU ESPAÑA S.L.</v>
      </c>
      <c r="G86" s="5">
        <f t="shared" si="117"/>
        <v>0.5</v>
      </c>
      <c r="H86" s="18">
        <v>0</v>
      </c>
      <c r="I86" s="17">
        <f t="shared" si="118"/>
        <v>0</v>
      </c>
      <c r="J86" s="17">
        <f t="shared" si="119"/>
        <v>0.5</v>
      </c>
      <c r="K86" s="18">
        <v>0</v>
      </c>
      <c r="L86" s="17">
        <f t="shared" si="120"/>
        <v>0</v>
      </c>
      <c r="M86" s="19">
        <v>0.5</v>
      </c>
      <c r="N86" s="38"/>
    </row>
    <row r="87" spans="1:19" x14ac:dyDescent="0.35">
      <c r="A87" s="4">
        <v>45604</v>
      </c>
      <c r="B87" s="2" t="s">
        <v>976</v>
      </c>
      <c r="C87" s="25" t="s">
        <v>167</v>
      </c>
      <c r="D87" s="25" t="s">
        <v>206</v>
      </c>
      <c r="E87" s="16" t="s">
        <v>207</v>
      </c>
      <c r="F87" s="5" t="str">
        <f t="shared" si="116"/>
        <v>FT EOS ES2024/2116485 MAKSU ESPAÑA S.L.</v>
      </c>
      <c r="G87" s="5">
        <f t="shared" si="117"/>
        <v>4.9586776859504134E-2</v>
      </c>
      <c r="H87" s="18">
        <v>21</v>
      </c>
      <c r="I87" s="17">
        <f>G87*H87/100</f>
        <v>1.0413223140495869E-2</v>
      </c>
      <c r="J87" s="17">
        <f>G87</f>
        <v>4.9586776859504134E-2</v>
      </c>
      <c r="K87" s="18">
        <v>0</v>
      </c>
      <c r="L87" s="17">
        <f>J87*K87/100</f>
        <v>0</v>
      </c>
      <c r="M87" s="19">
        <v>0.06</v>
      </c>
      <c r="N87" s="38"/>
    </row>
    <row r="88" spans="1:19" x14ac:dyDescent="0.35">
      <c r="A88" s="4">
        <v>45604</v>
      </c>
      <c r="B88" s="25" t="s">
        <v>888</v>
      </c>
      <c r="C88" s="25" t="s">
        <v>167</v>
      </c>
      <c r="D88" s="16" t="s">
        <v>168</v>
      </c>
      <c r="E88" s="16" t="s">
        <v>169</v>
      </c>
      <c r="F88" s="5" t="str">
        <f t="shared" ref="F88" si="126">CONCATENATE(S88,B88," ",E88)</f>
        <v>70124FE000003873 SANTIAGO Y LYDIA DIAZ, S.L.</v>
      </c>
      <c r="G88" s="17">
        <f t="shared" ref="G88" si="127">M88/(1-K88/100+H88/100)</f>
        <v>47.231404958677686</v>
      </c>
      <c r="H88" s="18">
        <v>21</v>
      </c>
      <c r="I88" s="17">
        <f t="shared" ref="I88" si="128">G88*H88/100</f>
        <v>9.9185950413223143</v>
      </c>
      <c r="J88" s="17">
        <f t="shared" ref="J88" si="129">G88</f>
        <v>47.231404958677686</v>
      </c>
      <c r="K88" s="18">
        <v>0</v>
      </c>
      <c r="L88" s="17">
        <f t="shared" ref="L88" si="130">J88*K88/100</f>
        <v>0</v>
      </c>
      <c r="M88" s="19">
        <v>57.15</v>
      </c>
      <c r="N88" s="38"/>
    </row>
    <row r="89" spans="1:19" x14ac:dyDescent="0.35">
      <c r="A89" s="4">
        <v>45605</v>
      </c>
      <c r="B89" s="25" t="s">
        <v>858</v>
      </c>
      <c r="C89" s="25" t="s">
        <v>111</v>
      </c>
      <c r="D89" s="49" t="s">
        <v>124</v>
      </c>
      <c r="E89" s="16" t="s">
        <v>125</v>
      </c>
      <c r="F89" s="5" t="str">
        <f t="shared" ref="F89:F90" si="131">CONCATENATE(S89,B89," ",E89)</f>
        <v>171873071314 APPLE DISTRIBUTION INTERNATIONAL LTD.</v>
      </c>
      <c r="G89" s="17">
        <f t="shared" ref="G89:G90" si="132">M89/(1-K89/100+H89/100)</f>
        <v>2.4710743801652897</v>
      </c>
      <c r="H89" s="18">
        <v>21</v>
      </c>
      <c r="I89" s="17">
        <f t="shared" si="108"/>
        <v>0.51892561983471086</v>
      </c>
      <c r="J89" s="17">
        <f t="shared" si="109"/>
        <v>2.4710743801652897</v>
      </c>
      <c r="K89" s="18">
        <v>0</v>
      </c>
      <c r="L89" s="17">
        <f t="shared" si="110"/>
        <v>0</v>
      </c>
      <c r="M89" s="19">
        <v>2.99</v>
      </c>
      <c r="N89" s="35"/>
    </row>
    <row r="90" spans="1:19" x14ac:dyDescent="0.35">
      <c r="A90" s="4">
        <v>45606</v>
      </c>
      <c r="B90" s="2" t="s">
        <v>970</v>
      </c>
      <c r="C90" s="2" t="s">
        <v>111</v>
      </c>
      <c r="D90" s="2" t="s">
        <v>220</v>
      </c>
      <c r="E90" s="2" t="s">
        <v>221</v>
      </c>
      <c r="F90" s="5" t="str">
        <f t="shared" si="131"/>
        <v>S/F FE24137025686838 Comercializadora Regulada, Gas &amp; Power, S.A.</v>
      </c>
      <c r="G90" s="5">
        <f t="shared" si="132"/>
        <v>13.636363636363635</v>
      </c>
      <c r="H90" s="18">
        <v>10</v>
      </c>
      <c r="I90" s="5">
        <f t="shared" si="108"/>
        <v>1.3636363636363635</v>
      </c>
      <c r="J90" s="5">
        <f t="shared" si="109"/>
        <v>13.636363636363635</v>
      </c>
      <c r="K90" s="18">
        <v>0</v>
      </c>
      <c r="L90" s="5">
        <f t="shared" si="110"/>
        <v>0</v>
      </c>
      <c r="M90" s="8">
        <v>15</v>
      </c>
      <c r="S90" t="s">
        <v>19</v>
      </c>
    </row>
    <row r="91" spans="1:19" x14ac:dyDescent="0.35">
      <c r="A91" s="4">
        <v>45607</v>
      </c>
      <c r="B91" s="25" t="s">
        <v>915</v>
      </c>
      <c r="C91" s="25" t="s">
        <v>167</v>
      </c>
      <c r="D91" s="25" t="s">
        <v>189</v>
      </c>
      <c r="E91" s="25" t="s">
        <v>190</v>
      </c>
      <c r="F91" s="5" t="str">
        <f t="shared" ref="F91" si="133">CONCATENATE(S91,B91," ",E91)</f>
        <v>011-0011-190489 BRICOLAJE BRICOMAN, S.L.U.</v>
      </c>
      <c r="G91" s="17">
        <f>M91/(1-K91/100+H91/100)</f>
        <v>9.5454545454545467</v>
      </c>
      <c r="H91" s="18">
        <v>21</v>
      </c>
      <c r="I91" s="17">
        <f>G91*H91/100</f>
        <v>2.0045454545454549</v>
      </c>
      <c r="J91" s="17">
        <f>G91</f>
        <v>9.5454545454545467</v>
      </c>
      <c r="K91" s="18">
        <v>0</v>
      </c>
      <c r="L91" s="17">
        <f>J91*K91/100</f>
        <v>0</v>
      </c>
      <c r="M91" s="19">
        <v>11.55</v>
      </c>
      <c r="N91" s="38" t="s">
        <v>27</v>
      </c>
    </row>
    <row r="92" spans="1:19" x14ac:dyDescent="0.35">
      <c r="A92" s="4">
        <v>45609</v>
      </c>
      <c r="B92" s="25" t="s">
        <v>916</v>
      </c>
      <c r="C92" s="25" t="s">
        <v>167</v>
      </c>
      <c r="D92" s="25" t="s">
        <v>189</v>
      </c>
      <c r="E92" s="25" t="s">
        <v>190</v>
      </c>
      <c r="F92" s="5" t="str">
        <f t="shared" ref="F92" si="134">CONCATENATE(S92,B92," ",E92)</f>
        <v>018-0011-722267 BRICOLAJE BRICOMAN, S.L.U.</v>
      </c>
      <c r="G92" s="17">
        <f>M92/(1-K92/100+H92/100)</f>
        <v>31.280991735537192</v>
      </c>
      <c r="H92" s="18">
        <v>21</v>
      </c>
      <c r="I92" s="17">
        <f>G92*H92/100</f>
        <v>6.5690082644628101</v>
      </c>
      <c r="J92" s="17">
        <f>G92</f>
        <v>31.280991735537192</v>
      </c>
      <c r="K92" s="18">
        <v>0</v>
      </c>
      <c r="L92" s="17">
        <f>J92*K92/100</f>
        <v>0</v>
      </c>
      <c r="M92" s="19">
        <v>37.85</v>
      </c>
      <c r="N92" s="38" t="s">
        <v>27</v>
      </c>
    </row>
    <row r="93" spans="1:19" x14ac:dyDescent="0.35">
      <c r="A93" s="4">
        <v>45609</v>
      </c>
      <c r="B93" s="25" t="s">
        <v>887</v>
      </c>
      <c r="C93" s="25" t="s">
        <v>167</v>
      </c>
      <c r="D93" s="16" t="s">
        <v>168</v>
      </c>
      <c r="E93" s="16" t="s">
        <v>169</v>
      </c>
      <c r="F93" s="5" t="str">
        <f t="shared" ref="F93:F101" si="135">CONCATENATE(S93,B93," ",E93)</f>
        <v>70124FE000003934 SANTIAGO Y LYDIA DIAZ, S.L.</v>
      </c>
      <c r="G93" s="17">
        <f t="shared" si="1"/>
        <v>47.570247933884303</v>
      </c>
      <c r="H93" s="18">
        <v>21</v>
      </c>
      <c r="I93" s="17">
        <f t="shared" si="108"/>
        <v>9.9897520661157042</v>
      </c>
      <c r="J93" s="17">
        <f t="shared" si="109"/>
        <v>47.570247933884303</v>
      </c>
      <c r="K93" s="18">
        <v>0</v>
      </c>
      <c r="L93" s="17">
        <f t="shared" si="110"/>
        <v>0</v>
      </c>
      <c r="M93" s="19">
        <v>57.56</v>
      </c>
      <c r="N93" s="38"/>
    </row>
    <row r="94" spans="1:19" x14ac:dyDescent="0.35">
      <c r="A94" s="4">
        <v>45609</v>
      </c>
      <c r="B94" s="2" t="s">
        <v>994</v>
      </c>
      <c r="C94" s="25" t="s">
        <v>167</v>
      </c>
      <c r="D94" s="25" t="s">
        <v>206</v>
      </c>
      <c r="E94" s="16" t="s">
        <v>207</v>
      </c>
      <c r="F94" s="5" t="str">
        <f t="shared" si="135"/>
        <v>RC EOS ES2024/37597076 MAKSU ESPAÑA S.L.</v>
      </c>
      <c r="G94" s="5">
        <f t="shared" si="1"/>
        <v>0.75</v>
      </c>
      <c r="H94" s="18">
        <v>0</v>
      </c>
      <c r="I94" s="17">
        <f t="shared" si="108"/>
        <v>0</v>
      </c>
      <c r="J94" s="17">
        <f t="shared" si="109"/>
        <v>0.75</v>
      </c>
      <c r="K94" s="18">
        <v>0</v>
      </c>
      <c r="L94" s="17">
        <f t="shared" si="110"/>
        <v>0</v>
      </c>
      <c r="M94" s="19">
        <v>0.75</v>
      </c>
      <c r="N94" s="38"/>
    </row>
    <row r="95" spans="1:19" x14ac:dyDescent="0.35">
      <c r="A95" s="4">
        <v>45609</v>
      </c>
      <c r="B95" s="2" t="s">
        <v>995</v>
      </c>
      <c r="C95" s="25" t="s">
        <v>167</v>
      </c>
      <c r="D95" s="25" t="s">
        <v>206</v>
      </c>
      <c r="E95" s="16" t="s">
        <v>207</v>
      </c>
      <c r="F95" s="5" t="str">
        <f t="shared" si="135"/>
        <v>FT EOS ES2024/2143940 MAKSU ESPAÑA S.L.</v>
      </c>
      <c r="G95" s="5">
        <f t="shared" si="1"/>
        <v>7.43801652892562E-2</v>
      </c>
      <c r="H95" s="18">
        <v>21</v>
      </c>
      <c r="I95" s="17">
        <f>G95*H95/100</f>
        <v>1.5619834710743803E-2</v>
      </c>
      <c r="J95" s="17">
        <f>G95</f>
        <v>7.43801652892562E-2</v>
      </c>
      <c r="K95" s="18">
        <v>0</v>
      </c>
      <c r="L95" s="17">
        <f>J95*K95/100</f>
        <v>0</v>
      </c>
      <c r="M95" s="19">
        <v>0.09</v>
      </c>
      <c r="N95" s="38"/>
    </row>
    <row r="96" spans="1:19" x14ac:dyDescent="0.35">
      <c r="A96" s="4">
        <v>45609</v>
      </c>
      <c r="B96" s="2" t="s">
        <v>969</v>
      </c>
      <c r="C96" s="2" t="s">
        <v>111</v>
      </c>
      <c r="D96" s="2" t="s">
        <v>215</v>
      </c>
      <c r="E96" s="2" t="s">
        <v>216</v>
      </c>
      <c r="F96" s="5" t="str">
        <f t="shared" si="135"/>
        <v>61054369462 Repsol Comercializadora de Electricidad y Gas, S.L.U.</v>
      </c>
      <c r="G96" s="5">
        <f t="shared" si="1"/>
        <v>23.263636363636362</v>
      </c>
      <c r="H96" s="18">
        <v>10</v>
      </c>
      <c r="I96" s="5">
        <f t="shared" si="108"/>
        <v>2.3263636363636362</v>
      </c>
      <c r="J96" s="5">
        <f t="shared" si="109"/>
        <v>23.263636363636362</v>
      </c>
      <c r="K96" s="18">
        <v>0</v>
      </c>
      <c r="L96" s="5">
        <f t="shared" si="110"/>
        <v>0</v>
      </c>
      <c r="M96" s="8">
        <v>25.59</v>
      </c>
    </row>
    <row r="97" spans="1:19" x14ac:dyDescent="0.35">
      <c r="A97" s="4">
        <v>45609</v>
      </c>
      <c r="B97" s="25" t="s">
        <v>971</v>
      </c>
      <c r="C97" s="25" t="s">
        <v>111</v>
      </c>
      <c r="D97" s="16" t="s">
        <v>223</v>
      </c>
      <c r="E97" s="16" t="s">
        <v>224</v>
      </c>
      <c r="F97" s="5" t="str">
        <f t="shared" si="135"/>
        <v>FMDVAKH0006428 TELEFONICA DE ESPAÑA S.A.U.</v>
      </c>
      <c r="G97" s="17">
        <f>M97/(1-K97/100+H97/100)</f>
        <v>17.685950413223139</v>
      </c>
      <c r="H97" s="18">
        <v>21</v>
      </c>
      <c r="I97" s="17">
        <f>G97*H97/100</f>
        <v>3.7140495867768597</v>
      </c>
      <c r="J97" s="17">
        <f>G97</f>
        <v>17.685950413223139</v>
      </c>
      <c r="K97" s="18">
        <v>0</v>
      </c>
      <c r="L97" s="17">
        <f>J97*K97/100</f>
        <v>0</v>
      </c>
      <c r="M97" s="19">
        <v>21.4</v>
      </c>
      <c r="N97" s="38"/>
    </row>
    <row r="98" spans="1:19" x14ac:dyDescent="0.35">
      <c r="A98" s="4">
        <v>45609</v>
      </c>
      <c r="B98" s="20" t="s">
        <v>972</v>
      </c>
      <c r="C98" s="25" t="s">
        <v>111</v>
      </c>
      <c r="D98" s="25" t="s">
        <v>225</v>
      </c>
      <c r="E98" s="25" t="s">
        <v>226</v>
      </c>
      <c r="F98" s="5" t="str">
        <f t="shared" si="135"/>
        <v>MMDVAKH0034456 TELEFÓNICA MÓVILES ESPAÑA, S.A.</v>
      </c>
      <c r="G98" s="5">
        <f t="shared" ref="G98:G101" si="136">M98/(1-K98/100+H98/100)</f>
        <v>26.033057851239668</v>
      </c>
      <c r="H98" s="18">
        <v>21</v>
      </c>
      <c r="I98" s="17">
        <f t="shared" ref="I98:I100" si="137">G98*H98/100</f>
        <v>5.4669421487603298</v>
      </c>
      <c r="J98" s="17">
        <f t="shared" ref="J98:J100" si="138">G98</f>
        <v>26.033057851239668</v>
      </c>
      <c r="K98" s="18">
        <v>0</v>
      </c>
      <c r="L98" s="17">
        <f t="shared" ref="L98:L100" si="139">J98*K98/100</f>
        <v>0</v>
      </c>
      <c r="M98" s="19">
        <v>31.5</v>
      </c>
      <c r="N98" s="38"/>
    </row>
    <row r="99" spans="1:19" x14ac:dyDescent="0.35">
      <c r="A99" s="4">
        <v>45609</v>
      </c>
      <c r="B99" s="20" t="s">
        <v>973</v>
      </c>
      <c r="C99" s="25" t="s">
        <v>111</v>
      </c>
      <c r="D99" s="25" t="s">
        <v>225</v>
      </c>
      <c r="E99" s="25" t="s">
        <v>226</v>
      </c>
      <c r="F99" s="5" t="str">
        <f t="shared" si="135"/>
        <v>MMDVAKH0004086 TELEFÓNICA MÓVILES ESPAÑA, S.A.</v>
      </c>
      <c r="G99" s="5">
        <f t="shared" si="136"/>
        <v>23.099173553719009</v>
      </c>
      <c r="H99" s="18">
        <v>21</v>
      </c>
      <c r="I99" s="17">
        <f t="shared" si="137"/>
        <v>4.8508264462809914</v>
      </c>
      <c r="J99" s="17">
        <f t="shared" si="138"/>
        <v>23.099173553719009</v>
      </c>
      <c r="K99" s="18">
        <v>0</v>
      </c>
      <c r="L99" s="17">
        <f t="shared" si="139"/>
        <v>0</v>
      </c>
      <c r="M99" s="19">
        <v>27.95</v>
      </c>
      <c r="N99" s="38"/>
    </row>
    <row r="100" spans="1:19" x14ac:dyDescent="0.35">
      <c r="A100" s="4">
        <v>45611</v>
      </c>
      <c r="B100" s="2" t="s">
        <v>982</v>
      </c>
      <c r="C100" s="25" t="s">
        <v>167</v>
      </c>
      <c r="D100" s="25" t="s">
        <v>206</v>
      </c>
      <c r="E100" s="16" t="s">
        <v>207</v>
      </c>
      <c r="F100" s="5" t="str">
        <f t="shared" si="135"/>
        <v>RC EOS ES2024/37924762 MAKSU ESPAÑA S.L.</v>
      </c>
      <c r="G100" s="5">
        <f t="shared" si="136"/>
        <v>1.85</v>
      </c>
      <c r="H100" s="18">
        <v>0</v>
      </c>
      <c r="I100" s="17">
        <f t="shared" si="137"/>
        <v>0</v>
      </c>
      <c r="J100" s="17">
        <f t="shared" si="138"/>
        <v>1.85</v>
      </c>
      <c r="K100" s="18">
        <v>0</v>
      </c>
      <c r="L100" s="17">
        <f t="shared" si="139"/>
        <v>0</v>
      </c>
      <c r="M100" s="19">
        <v>1.85</v>
      </c>
      <c r="N100" s="38"/>
    </row>
    <row r="101" spans="1:19" x14ac:dyDescent="0.35">
      <c r="A101" s="4">
        <v>45611</v>
      </c>
      <c r="B101" s="2" t="s">
        <v>983</v>
      </c>
      <c r="C101" s="25" t="s">
        <v>167</v>
      </c>
      <c r="D101" s="25" t="s">
        <v>206</v>
      </c>
      <c r="E101" s="16" t="s">
        <v>207</v>
      </c>
      <c r="F101" s="5" t="str">
        <f t="shared" si="135"/>
        <v>FT EOS ES2024/2162325 MAKSU ESPAÑA S.L.</v>
      </c>
      <c r="G101" s="5">
        <f t="shared" si="136"/>
        <v>0.18181818181818182</v>
      </c>
      <c r="H101" s="18">
        <v>21</v>
      </c>
      <c r="I101" s="17">
        <f>G101*H101/100</f>
        <v>3.8181818181818185E-2</v>
      </c>
      <c r="J101" s="17">
        <f>G101</f>
        <v>0.18181818181818182</v>
      </c>
      <c r="K101" s="18">
        <v>0</v>
      </c>
      <c r="L101" s="17">
        <f>J101*K101/100</f>
        <v>0</v>
      </c>
      <c r="M101" s="19">
        <v>0.22</v>
      </c>
      <c r="N101" s="38"/>
    </row>
    <row r="102" spans="1:19" x14ac:dyDescent="0.35">
      <c r="A102" s="4">
        <v>45611</v>
      </c>
      <c r="B102" s="2" t="s">
        <v>996</v>
      </c>
      <c r="C102" s="25" t="s">
        <v>167</v>
      </c>
      <c r="D102" s="25" t="s">
        <v>206</v>
      </c>
      <c r="E102" s="16" t="s">
        <v>207</v>
      </c>
      <c r="F102" s="5" t="str">
        <f t="shared" ref="F102:F103" si="140">CONCATENATE(S102,B102," ",E102)</f>
        <v>RC EOS ES2024/37940767 MAKSU ESPAÑA S.L.</v>
      </c>
      <c r="G102" s="5">
        <f t="shared" ref="G102:G103" si="141">M102/(1-K102/100+H102/100)</f>
        <v>1.85</v>
      </c>
      <c r="H102" s="18">
        <v>0</v>
      </c>
      <c r="I102" s="17">
        <f t="shared" ref="I102" si="142">G102*H102/100</f>
        <v>0</v>
      </c>
      <c r="J102" s="17">
        <f t="shared" ref="J102" si="143">G102</f>
        <v>1.85</v>
      </c>
      <c r="K102" s="18">
        <v>0</v>
      </c>
      <c r="L102" s="17">
        <f t="shared" ref="L102" si="144">J102*K102/100</f>
        <v>0</v>
      </c>
      <c r="M102" s="19">
        <v>1.85</v>
      </c>
      <c r="N102" s="38"/>
    </row>
    <row r="103" spans="1:19" x14ac:dyDescent="0.35">
      <c r="A103" s="4">
        <v>45611</v>
      </c>
      <c r="B103" s="2" t="s">
        <v>997</v>
      </c>
      <c r="C103" s="25" t="s">
        <v>167</v>
      </c>
      <c r="D103" s="25" t="s">
        <v>206</v>
      </c>
      <c r="E103" s="16" t="s">
        <v>207</v>
      </c>
      <c r="F103" s="5" t="str">
        <f t="shared" si="140"/>
        <v>FT EOS ES2024/2163295 MAKSU ESPAÑA S.L.</v>
      </c>
      <c r="G103" s="5">
        <f t="shared" si="141"/>
        <v>0.18181818181818182</v>
      </c>
      <c r="H103" s="18">
        <v>21</v>
      </c>
      <c r="I103" s="17">
        <f>G103*H103/100</f>
        <v>3.8181818181818185E-2</v>
      </c>
      <c r="J103" s="17">
        <f>G103</f>
        <v>0.18181818181818182</v>
      </c>
      <c r="K103" s="18">
        <v>0</v>
      </c>
      <c r="L103" s="17">
        <f>J103*K103/100</f>
        <v>0</v>
      </c>
      <c r="M103" s="19">
        <v>0.22</v>
      </c>
      <c r="N103" s="38"/>
    </row>
    <row r="104" spans="1:19" x14ac:dyDescent="0.35">
      <c r="A104" s="4">
        <v>45611</v>
      </c>
      <c r="B104" s="2" t="s">
        <v>860</v>
      </c>
      <c r="C104" s="2" t="s">
        <v>111</v>
      </c>
      <c r="D104" s="2" t="s">
        <v>114</v>
      </c>
      <c r="E104" s="2" t="s">
        <v>115</v>
      </c>
      <c r="F104" s="5" t="str">
        <f t="shared" ref="F104:F123" si="145">CONCATENATE(S104,B104," ",E104)</f>
        <v>S/F FR365748 ELECTRO MERCANTIL LEGANES D.A.M.,S.L.U.</v>
      </c>
      <c r="G104" s="17">
        <f t="shared" ref="G104:G107" si="146">M104/(1-K104/100+H104/100)</f>
        <v>2326.7520661157023</v>
      </c>
      <c r="H104" s="18">
        <v>21</v>
      </c>
      <c r="I104" s="5">
        <f t="shared" si="108"/>
        <v>488.61793388429743</v>
      </c>
      <c r="J104" s="17">
        <f t="shared" si="109"/>
        <v>2326.7520661157023</v>
      </c>
      <c r="K104" s="18">
        <v>0</v>
      </c>
      <c r="L104" s="17">
        <f t="shared" si="110"/>
        <v>0</v>
      </c>
      <c r="M104" s="19">
        <v>2815.37</v>
      </c>
      <c r="S104" t="s">
        <v>19</v>
      </c>
    </row>
    <row r="105" spans="1:19" x14ac:dyDescent="0.35">
      <c r="A105" s="4">
        <v>45611</v>
      </c>
      <c r="B105" s="25" t="s">
        <v>862</v>
      </c>
      <c r="C105" s="25" t="s">
        <v>111</v>
      </c>
      <c r="D105" s="25" t="s">
        <v>112</v>
      </c>
      <c r="E105" s="25" t="s">
        <v>113</v>
      </c>
      <c r="F105" s="5" t="str">
        <f t="shared" si="145"/>
        <v>H4F11890 HIPER ANTENA, S.A.</v>
      </c>
      <c r="G105" s="17">
        <f t="shared" si="146"/>
        <v>-97</v>
      </c>
      <c r="H105" s="18">
        <v>21</v>
      </c>
      <c r="I105" s="17">
        <f t="shared" si="108"/>
        <v>-20.37</v>
      </c>
      <c r="J105" s="17">
        <f t="shared" si="109"/>
        <v>-97</v>
      </c>
      <c r="K105" s="18">
        <v>0</v>
      </c>
      <c r="L105" s="17">
        <f t="shared" si="110"/>
        <v>0</v>
      </c>
      <c r="M105" s="19">
        <v>-117.37</v>
      </c>
      <c r="N105" s="38"/>
    </row>
    <row r="106" spans="1:19" x14ac:dyDescent="0.35">
      <c r="A106" s="4">
        <v>45611</v>
      </c>
      <c r="B106" s="25" t="s">
        <v>1018</v>
      </c>
      <c r="C106" s="25" t="s">
        <v>167</v>
      </c>
      <c r="D106" s="25" t="s">
        <v>1019</v>
      </c>
      <c r="E106" s="25" t="s">
        <v>1020</v>
      </c>
      <c r="F106" s="5" t="str">
        <f t="shared" si="145"/>
        <v>330809 CLIMIPARKING S.L.U.</v>
      </c>
      <c r="G106" s="17">
        <f t="shared" si="146"/>
        <v>4.7933884297520661</v>
      </c>
      <c r="H106" s="18">
        <v>21</v>
      </c>
      <c r="I106" s="17">
        <f t="shared" si="108"/>
        <v>1.0066115702479339</v>
      </c>
      <c r="J106" s="17">
        <f t="shared" si="109"/>
        <v>4.7933884297520661</v>
      </c>
      <c r="K106" s="18">
        <v>0</v>
      </c>
      <c r="L106" s="17">
        <f t="shared" si="110"/>
        <v>0</v>
      </c>
      <c r="M106" s="19">
        <v>5.8</v>
      </c>
      <c r="N106" s="38"/>
    </row>
    <row r="107" spans="1:19" x14ac:dyDescent="0.35">
      <c r="A107" s="4">
        <v>45614</v>
      </c>
      <c r="B107" s="25" t="s">
        <v>898</v>
      </c>
      <c r="C107" s="25" t="s">
        <v>167</v>
      </c>
      <c r="D107" s="16" t="s">
        <v>168</v>
      </c>
      <c r="E107" s="16" t="s">
        <v>169</v>
      </c>
      <c r="F107" s="5" t="str">
        <f t="shared" si="145"/>
        <v>70124FE000004001 SANTIAGO Y LYDIA DIAZ, S.L.</v>
      </c>
      <c r="G107" s="17">
        <f t="shared" si="146"/>
        <v>51.165289256198349</v>
      </c>
      <c r="H107" s="18">
        <v>21</v>
      </c>
      <c r="I107" s="17">
        <f t="shared" si="108"/>
        <v>10.744710743801654</v>
      </c>
      <c r="J107" s="17">
        <f t="shared" si="109"/>
        <v>51.165289256198349</v>
      </c>
      <c r="K107" s="18">
        <v>0</v>
      </c>
      <c r="L107" s="17">
        <f t="shared" si="110"/>
        <v>0</v>
      </c>
      <c r="M107" s="19">
        <v>61.91</v>
      </c>
      <c r="N107" s="38"/>
    </row>
    <row r="108" spans="1:19" x14ac:dyDescent="0.35">
      <c r="A108" s="4">
        <v>45615</v>
      </c>
      <c r="B108" s="25" t="s">
        <v>869</v>
      </c>
      <c r="C108" s="25" t="s">
        <v>137</v>
      </c>
      <c r="D108" s="25" t="s">
        <v>138</v>
      </c>
      <c r="E108" s="25" t="s">
        <v>139</v>
      </c>
      <c r="F108" s="5" t="str">
        <f t="shared" si="145"/>
        <v>687/24 TECNOLOGÍA DEL CONTROL ENERGÉTICO MADRID, S.L.</v>
      </c>
      <c r="G108" s="17">
        <f t="shared" ref="G108:G116" si="147">M108/(1-K108/100+H108/100)</f>
        <v>182.85123966942149</v>
      </c>
      <c r="H108" s="18">
        <v>21</v>
      </c>
      <c r="I108" s="17">
        <f t="shared" ref="I108:I115" si="148">G108*H108/100</f>
        <v>38.398760330578511</v>
      </c>
      <c r="J108" s="17">
        <f t="shared" ref="J108:J115" si="149">G108</f>
        <v>182.85123966942149</v>
      </c>
      <c r="K108" s="18">
        <v>0</v>
      </c>
      <c r="L108" s="17">
        <f t="shared" ref="L108:L115" si="150">J108*K108/100</f>
        <v>0</v>
      </c>
      <c r="M108" s="19">
        <v>221.25</v>
      </c>
      <c r="N108" s="35"/>
    </row>
    <row r="109" spans="1:19" x14ac:dyDescent="0.35">
      <c r="A109" s="4">
        <v>45615</v>
      </c>
      <c r="B109" s="2" t="s">
        <v>984</v>
      </c>
      <c r="C109" s="25" t="s">
        <v>167</v>
      </c>
      <c r="D109" s="25" t="s">
        <v>206</v>
      </c>
      <c r="E109" s="16" t="s">
        <v>207</v>
      </c>
      <c r="F109" s="5" t="str">
        <f t="shared" si="145"/>
        <v>RC EOS ES2024/38348654 MAKSU ESPAÑA S.L.</v>
      </c>
      <c r="G109" s="5">
        <f t="shared" si="147"/>
        <v>0.35</v>
      </c>
      <c r="H109" s="18">
        <v>0</v>
      </c>
      <c r="I109" s="17">
        <f t="shared" si="148"/>
        <v>0</v>
      </c>
      <c r="J109" s="17">
        <f t="shared" si="149"/>
        <v>0.35</v>
      </c>
      <c r="K109" s="18">
        <v>0</v>
      </c>
      <c r="L109" s="17">
        <f t="shared" si="150"/>
        <v>0</v>
      </c>
      <c r="M109" s="19">
        <v>0.35</v>
      </c>
      <c r="N109" s="38"/>
    </row>
    <row r="110" spans="1:19" x14ac:dyDescent="0.35">
      <c r="A110" s="4">
        <v>45615</v>
      </c>
      <c r="B110" s="2" t="s">
        <v>985</v>
      </c>
      <c r="C110" s="25" t="s">
        <v>167</v>
      </c>
      <c r="D110" s="25" t="s">
        <v>206</v>
      </c>
      <c r="E110" s="16" t="s">
        <v>207</v>
      </c>
      <c r="F110" s="5" t="str">
        <f t="shared" si="145"/>
        <v>FT EOS ES2024/2186712 MAKSU ESPAÑA S.L.</v>
      </c>
      <c r="G110" s="5">
        <f t="shared" si="147"/>
        <v>3.3057851239669422E-2</v>
      </c>
      <c r="H110" s="18">
        <v>21</v>
      </c>
      <c r="I110" s="17">
        <f>G110*H110/100</f>
        <v>6.9421487603305784E-3</v>
      </c>
      <c r="J110" s="17">
        <f>G110</f>
        <v>3.3057851239669422E-2</v>
      </c>
      <c r="K110" s="18">
        <v>0</v>
      </c>
      <c r="L110" s="17">
        <f>J110*K110/100</f>
        <v>0</v>
      </c>
      <c r="M110" s="19">
        <v>0.04</v>
      </c>
      <c r="N110" s="38"/>
    </row>
    <row r="111" spans="1:19" x14ac:dyDescent="0.35">
      <c r="A111" s="4">
        <v>45615</v>
      </c>
      <c r="B111" s="25" t="s">
        <v>965</v>
      </c>
      <c r="C111" s="25" t="s">
        <v>167</v>
      </c>
      <c r="D111" s="25" t="s">
        <v>967</v>
      </c>
      <c r="E111" s="25" t="s">
        <v>966</v>
      </c>
      <c r="F111" s="5" t="str">
        <f t="shared" si="145"/>
        <v>8241176466 FNMT-RCM</v>
      </c>
      <c r="G111" s="17">
        <f t="shared" si="147"/>
        <v>24</v>
      </c>
      <c r="H111" s="18">
        <v>21</v>
      </c>
      <c r="I111" s="17">
        <f t="shared" si="148"/>
        <v>5.04</v>
      </c>
      <c r="J111" s="17">
        <f t="shared" si="149"/>
        <v>24</v>
      </c>
      <c r="K111" s="18">
        <v>0</v>
      </c>
      <c r="L111" s="17">
        <f t="shared" si="150"/>
        <v>0</v>
      </c>
      <c r="M111" s="19">
        <v>29.04</v>
      </c>
      <c r="N111" s="35"/>
    </row>
    <row r="112" spans="1:19" x14ac:dyDescent="0.35">
      <c r="A112" s="4">
        <v>45615</v>
      </c>
      <c r="B112" s="25"/>
      <c r="C112" s="25" t="s">
        <v>167</v>
      </c>
      <c r="D112" s="25"/>
      <c r="E112" s="25" t="s">
        <v>480</v>
      </c>
      <c r="F112" s="5" t="str">
        <f t="shared" si="145"/>
        <v xml:space="preserve"> AYUNTAMIENTO ALCOBENDAS</v>
      </c>
      <c r="G112" s="17">
        <f t="shared" si="147"/>
        <v>0.45</v>
      </c>
      <c r="H112" s="18">
        <v>0</v>
      </c>
      <c r="I112" s="17">
        <f t="shared" si="148"/>
        <v>0</v>
      </c>
      <c r="J112" s="17">
        <f t="shared" si="149"/>
        <v>0.45</v>
      </c>
      <c r="K112" s="18">
        <v>0</v>
      </c>
      <c r="L112" s="17">
        <f t="shared" si="150"/>
        <v>0</v>
      </c>
      <c r="M112" s="19">
        <v>0.45</v>
      </c>
      <c r="N112" s="35"/>
    </row>
    <row r="113" spans="1:19" x14ac:dyDescent="0.35">
      <c r="A113" s="4">
        <v>45617</v>
      </c>
      <c r="B113" s="25"/>
      <c r="C113" s="25" t="s">
        <v>167</v>
      </c>
      <c r="D113" s="25"/>
      <c r="E113" s="25" t="s">
        <v>480</v>
      </c>
      <c r="F113" s="5" t="str">
        <f t="shared" si="145"/>
        <v xml:space="preserve"> AYUNTAMIENTO ALCOBENDAS</v>
      </c>
      <c r="G113" s="17">
        <f t="shared" si="147"/>
        <v>0.4</v>
      </c>
      <c r="H113" s="61">
        <v>0</v>
      </c>
      <c r="I113" s="17">
        <f t="shared" si="148"/>
        <v>0</v>
      </c>
      <c r="J113" s="17">
        <f t="shared" si="149"/>
        <v>0.4</v>
      </c>
      <c r="K113" s="18">
        <v>0</v>
      </c>
      <c r="L113" s="17">
        <f t="shared" si="150"/>
        <v>0</v>
      </c>
      <c r="M113" s="19">
        <v>0.4</v>
      </c>
      <c r="N113" s="35"/>
    </row>
    <row r="114" spans="1:19" x14ac:dyDescent="0.35">
      <c r="A114" s="4">
        <v>45617</v>
      </c>
      <c r="B114" s="25" t="s">
        <v>886</v>
      </c>
      <c r="C114" s="25" t="s">
        <v>167</v>
      </c>
      <c r="D114" s="16" t="s">
        <v>168</v>
      </c>
      <c r="E114" s="16" t="s">
        <v>169</v>
      </c>
      <c r="F114" s="5" t="str">
        <f t="shared" ref="F114:F116" si="151">CONCATENATE(S114,B114," ",E114)</f>
        <v>70124FE000004050 SANTIAGO Y LYDIA DIAZ, S.L.</v>
      </c>
      <c r="G114" s="17">
        <f t="shared" si="147"/>
        <v>50.586776859504134</v>
      </c>
      <c r="H114" s="18">
        <v>21</v>
      </c>
      <c r="I114" s="17">
        <f t="shared" si="148"/>
        <v>10.623223140495869</v>
      </c>
      <c r="J114" s="17">
        <f t="shared" si="149"/>
        <v>50.586776859504134</v>
      </c>
      <c r="K114" s="18">
        <v>0</v>
      </c>
      <c r="L114" s="17">
        <f t="shared" si="150"/>
        <v>0</v>
      </c>
      <c r="M114" s="19">
        <v>61.21</v>
      </c>
      <c r="N114" s="38"/>
    </row>
    <row r="115" spans="1:19" x14ac:dyDescent="0.35">
      <c r="A115" s="4">
        <v>45617</v>
      </c>
      <c r="B115" s="2" t="s">
        <v>977</v>
      </c>
      <c r="C115" s="25" t="s">
        <v>167</v>
      </c>
      <c r="D115" s="25" t="s">
        <v>206</v>
      </c>
      <c r="E115" s="16" t="s">
        <v>207</v>
      </c>
      <c r="F115" s="5" t="str">
        <f t="shared" si="151"/>
        <v>RC EOS ES2024/38684948 MAKSU ESPAÑA S.L.</v>
      </c>
      <c r="G115" s="5">
        <f t="shared" si="147"/>
        <v>1</v>
      </c>
      <c r="H115" s="18">
        <v>0</v>
      </c>
      <c r="I115" s="17">
        <f t="shared" si="148"/>
        <v>0</v>
      </c>
      <c r="J115" s="17">
        <f t="shared" si="149"/>
        <v>1</v>
      </c>
      <c r="K115" s="18">
        <v>0</v>
      </c>
      <c r="L115" s="17">
        <f t="shared" si="150"/>
        <v>0</v>
      </c>
      <c r="M115" s="19">
        <v>1</v>
      </c>
      <c r="N115" s="38"/>
    </row>
    <row r="116" spans="1:19" x14ac:dyDescent="0.35">
      <c r="A116" s="4">
        <v>45617</v>
      </c>
      <c r="B116" s="2" t="s">
        <v>978</v>
      </c>
      <c r="C116" s="25" t="s">
        <v>167</v>
      </c>
      <c r="D116" s="25" t="s">
        <v>206</v>
      </c>
      <c r="E116" s="16" t="s">
        <v>207</v>
      </c>
      <c r="F116" s="5" t="str">
        <f t="shared" si="151"/>
        <v>FT EOS ES2024/2206398 MAKSU ESPAÑA S.L.</v>
      </c>
      <c r="G116" s="5">
        <f t="shared" si="147"/>
        <v>9.9173553719008267E-2</v>
      </c>
      <c r="H116" s="18">
        <v>21</v>
      </c>
      <c r="I116" s="17">
        <f>G116*H116/100</f>
        <v>2.0826446280991739E-2</v>
      </c>
      <c r="J116" s="17">
        <f>G116</f>
        <v>9.9173553719008267E-2</v>
      </c>
      <c r="K116" s="18">
        <v>0</v>
      </c>
      <c r="L116" s="17">
        <f>J116*K116/100</f>
        <v>0</v>
      </c>
      <c r="M116" s="19">
        <v>0.12</v>
      </c>
      <c r="N116" s="38"/>
    </row>
    <row r="117" spans="1:19" x14ac:dyDescent="0.35">
      <c r="A117" s="4">
        <v>45618</v>
      </c>
      <c r="B117" s="2" t="s">
        <v>864</v>
      </c>
      <c r="C117" s="2" t="s">
        <v>111</v>
      </c>
      <c r="D117" s="2" t="s">
        <v>865</v>
      </c>
      <c r="E117" s="2" t="s">
        <v>863</v>
      </c>
      <c r="F117" s="5" t="str">
        <f t="shared" si="145"/>
        <v>FV24-3780 INMAREPRO, S.L.</v>
      </c>
      <c r="G117" s="17">
        <f t="shared" si="1"/>
        <v>134.47933884297521</v>
      </c>
      <c r="H117" s="18">
        <v>21</v>
      </c>
      <c r="I117" s="17">
        <f t="shared" ref="I117" si="152">G117*H117/100</f>
        <v>28.240661157024793</v>
      </c>
      <c r="J117" s="17">
        <f t="shared" ref="J117" si="153">G117</f>
        <v>134.47933884297521</v>
      </c>
      <c r="K117" s="18">
        <v>0</v>
      </c>
      <c r="L117" s="17">
        <f t="shared" ref="L117" si="154">J117*K117/100</f>
        <v>0</v>
      </c>
      <c r="M117" s="19">
        <v>162.72</v>
      </c>
      <c r="N117" s="38"/>
    </row>
    <row r="118" spans="1:19" x14ac:dyDescent="0.35">
      <c r="A118" s="4">
        <v>45621</v>
      </c>
      <c r="B118" s="25" t="s">
        <v>917</v>
      </c>
      <c r="C118" s="25" t="s">
        <v>167</v>
      </c>
      <c r="D118" s="25" t="s">
        <v>189</v>
      </c>
      <c r="E118" s="25" t="s">
        <v>190</v>
      </c>
      <c r="F118" s="5" t="str">
        <f t="shared" si="145"/>
        <v>018-0011-745784 BRICOLAJE BRICOMAN, S.L.U.</v>
      </c>
      <c r="G118" s="17">
        <f>M118/(1-K118/100+H118/100)</f>
        <v>2.3057851239669422</v>
      </c>
      <c r="H118" s="18">
        <v>21</v>
      </c>
      <c r="I118" s="17">
        <f>G118*H118/100</f>
        <v>0.48421487603305785</v>
      </c>
      <c r="J118" s="17">
        <f>G118</f>
        <v>2.3057851239669422</v>
      </c>
      <c r="K118" s="18">
        <v>0</v>
      </c>
      <c r="L118" s="17">
        <f>J118*K118/100</f>
        <v>0</v>
      </c>
      <c r="M118" s="19">
        <v>2.79</v>
      </c>
      <c r="N118" s="38" t="s">
        <v>27</v>
      </c>
    </row>
    <row r="119" spans="1:19" x14ac:dyDescent="0.35">
      <c r="A119" s="4">
        <v>45622</v>
      </c>
      <c r="B119" s="2" t="s">
        <v>1004</v>
      </c>
      <c r="C119" s="2" t="s">
        <v>167</v>
      </c>
      <c r="D119" s="2" t="s">
        <v>304</v>
      </c>
      <c r="E119" s="2" t="s">
        <v>305</v>
      </c>
      <c r="F119" s="5" t="str">
        <f t="shared" si="145"/>
        <v>S/F 096383/A/24/007488 Repsol Comercial de Productos Petrolíferos, S.A.</v>
      </c>
      <c r="G119" s="5">
        <f t="shared" ref="G119" si="155">M119/(1-K119/100+H119/100)</f>
        <v>33.057851239669425</v>
      </c>
      <c r="H119" s="18">
        <v>21</v>
      </c>
      <c r="I119" s="5">
        <f t="shared" ref="I119" si="156">G119*H119/100</f>
        <v>6.9421487603305794</v>
      </c>
      <c r="J119" s="5">
        <f t="shared" ref="J119" si="157">G119</f>
        <v>33.057851239669425</v>
      </c>
      <c r="K119" s="18">
        <v>0</v>
      </c>
      <c r="L119" s="5">
        <f t="shared" ref="L119" si="158">J119*K119/100</f>
        <v>0</v>
      </c>
      <c r="M119" s="8">
        <v>40</v>
      </c>
      <c r="S119" t="s">
        <v>19</v>
      </c>
    </row>
    <row r="120" spans="1:19" x14ac:dyDescent="0.35">
      <c r="A120" s="4">
        <v>45623</v>
      </c>
      <c r="B120" s="25" t="s">
        <v>968</v>
      </c>
      <c r="C120" s="25" t="s">
        <v>111</v>
      </c>
      <c r="D120" s="25" t="s">
        <v>235</v>
      </c>
      <c r="E120" s="25" t="s">
        <v>236</v>
      </c>
      <c r="F120" s="5" t="str">
        <f>CONCATENATE(S120,B120," ",E120)</f>
        <v>B5011124-00007009 ORANGE ESPAÑA VIRTUAL, S.L.U.</v>
      </c>
      <c r="G120" s="5">
        <f t="shared" ref="G120" si="159">M120/(1-K120/100+H120/100)</f>
        <v>12.396694214876034</v>
      </c>
      <c r="H120" s="18">
        <v>21</v>
      </c>
      <c r="I120" s="17">
        <f>G120*H120/100</f>
        <v>2.6033057851239669</v>
      </c>
      <c r="J120" s="17">
        <f>G120</f>
        <v>12.396694214876034</v>
      </c>
      <c r="K120" s="18">
        <v>0</v>
      </c>
      <c r="L120" s="17">
        <f>J120*K120/100</f>
        <v>0</v>
      </c>
      <c r="M120" s="19">
        <v>15</v>
      </c>
      <c r="N120" s="35"/>
    </row>
    <row r="121" spans="1:19" x14ac:dyDescent="0.35">
      <c r="A121" s="4">
        <v>45624</v>
      </c>
      <c r="B121" s="25" t="s">
        <v>885</v>
      </c>
      <c r="C121" s="25" t="s">
        <v>167</v>
      </c>
      <c r="D121" s="16" t="s">
        <v>168</v>
      </c>
      <c r="E121" s="16" t="s">
        <v>169</v>
      </c>
      <c r="F121" s="5" t="str">
        <f t="shared" si="145"/>
        <v>70124FE000004126 SANTIAGO Y LYDIA DIAZ, S.L.</v>
      </c>
      <c r="G121" s="17">
        <f t="shared" ref="G121:G123" si="160">M121/(1-K121/100+H121/100)</f>
        <v>44.380165289256205</v>
      </c>
      <c r="H121" s="18">
        <v>21</v>
      </c>
      <c r="I121" s="17">
        <f t="shared" ref="I121:I122" si="161">G121*H121/100</f>
        <v>9.3198347107438035</v>
      </c>
      <c r="J121" s="17">
        <f t="shared" ref="J121:J122" si="162">G121</f>
        <v>44.380165289256205</v>
      </c>
      <c r="K121" s="18">
        <v>0</v>
      </c>
      <c r="L121" s="17">
        <f t="shared" ref="L121:L122" si="163">J121*K121/100</f>
        <v>0</v>
      </c>
      <c r="M121" s="19">
        <v>53.7</v>
      </c>
      <c r="N121" s="38"/>
    </row>
    <row r="122" spans="1:19" x14ac:dyDescent="0.35">
      <c r="A122" s="4">
        <v>45624</v>
      </c>
      <c r="B122" s="2" t="s">
        <v>979</v>
      </c>
      <c r="C122" s="25" t="s">
        <v>167</v>
      </c>
      <c r="D122" s="25" t="s">
        <v>206</v>
      </c>
      <c r="E122" s="16" t="s">
        <v>207</v>
      </c>
      <c r="F122" s="5" t="str">
        <f t="shared" si="145"/>
        <v>RC EOS ES2024/39584072 MAKSU ESPAÑA S.L.</v>
      </c>
      <c r="G122" s="5">
        <f t="shared" si="160"/>
        <v>0.3</v>
      </c>
      <c r="H122" s="18">
        <v>0</v>
      </c>
      <c r="I122" s="17">
        <f t="shared" si="161"/>
        <v>0</v>
      </c>
      <c r="J122" s="17">
        <f t="shared" si="162"/>
        <v>0.3</v>
      </c>
      <c r="K122" s="18">
        <v>0</v>
      </c>
      <c r="L122" s="17">
        <f t="shared" si="163"/>
        <v>0</v>
      </c>
      <c r="M122" s="19">
        <v>0.3</v>
      </c>
      <c r="N122" s="38"/>
    </row>
    <row r="123" spans="1:19" x14ac:dyDescent="0.35">
      <c r="A123" s="4">
        <v>45624</v>
      </c>
      <c r="B123" s="2" t="s">
        <v>980</v>
      </c>
      <c r="C123" s="25" t="s">
        <v>167</v>
      </c>
      <c r="D123" s="25" t="s">
        <v>206</v>
      </c>
      <c r="E123" s="16" t="s">
        <v>207</v>
      </c>
      <c r="F123" s="5" t="str">
        <f t="shared" si="145"/>
        <v>FT EOS ES2024/2258169 MAKSU ESPAÑA S.L.</v>
      </c>
      <c r="G123" s="5">
        <f t="shared" si="160"/>
        <v>3.3057851239669422E-2</v>
      </c>
      <c r="H123" s="18">
        <v>21</v>
      </c>
      <c r="I123" s="17">
        <f>G123*H123/100</f>
        <v>6.9421487603305784E-3</v>
      </c>
      <c r="J123" s="17">
        <f>G123</f>
        <v>3.3057851239669422E-2</v>
      </c>
      <c r="K123" s="18">
        <v>0</v>
      </c>
      <c r="L123" s="17">
        <f>J123*K123/100</f>
        <v>0</v>
      </c>
      <c r="M123" s="19">
        <v>0.04</v>
      </c>
      <c r="N123" s="38"/>
    </row>
    <row r="124" spans="1:19" x14ac:dyDescent="0.35">
      <c r="A124" s="4">
        <v>45624</v>
      </c>
      <c r="B124" s="2" t="s">
        <v>981</v>
      </c>
      <c r="C124" s="25" t="s">
        <v>167</v>
      </c>
      <c r="D124" s="25" t="s">
        <v>206</v>
      </c>
      <c r="E124" s="16" t="s">
        <v>207</v>
      </c>
      <c r="F124" s="5" t="str">
        <f t="shared" ref="F124:F126" si="164">CONCATENATE(S124,B124," ",E124)</f>
        <v>FT EOS ES2024/2259061 MAKSU ESPAÑA S.L.</v>
      </c>
      <c r="G124" s="5">
        <f t="shared" ref="G124:G126" si="165">M124/(1-K124/100+H124/100)</f>
        <v>0.64462809917355379</v>
      </c>
      <c r="H124" s="18">
        <v>21</v>
      </c>
      <c r="I124" s="17">
        <f>G124*H124/100</f>
        <v>0.13537190082644629</v>
      </c>
      <c r="J124" s="17">
        <f>G124</f>
        <v>0.64462809917355379</v>
      </c>
      <c r="K124" s="18">
        <v>0</v>
      </c>
      <c r="L124" s="17">
        <f>J124*K124/100</f>
        <v>0</v>
      </c>
      <c r="M124" s="19">
        <v>0.78</v>
      </c>
      <c r="N124" s="38"/>
    </row>
    <row r="125" spans="1:19" x14ac:dyDescent="0.35">
      <c r="A125" s="4">
        <v>45624</v>
      </c>
      <c r="B125" s="2" t="s">
        <v>990</v>
      </c>
      <c r="C125" s="25" t="s">
        <v>167</v>
      </c>
      <c r="D125" s="25" t="s">
        <v>206</v>
      </c>
      <c r="E125" s="16" t="s">
        <v>207</v>
      </c>
      <c r="F125" s="5" t="str">
        <f t="shared" si="164"/>
        <v>RC EOS ES2024/39573986 MAKSU ESPAÑA S.L.</v>
      </c>
      <c r="G125" s="5">
        <f t="shared" si="165"/>
        <v>0.65</v>
      </c>
      <c r="H125" s="18">
        <v>0</v>
      </c>
      <c r="I125" s="17">
        <f t="shared" ref="I125" si="166">G125*H125/100</f>
        <v>0</v>
      </c>
      <c r="J125" s="17">
        <f t="shared" ref="J125" si="167">G125</f>
        <v>0.65</v>
      </c>
      <c r="K125" s="18">
        <v>0</v>
      </c>
      <c r="L125" s="17">
        <f t="shared" ref="L125" si="168">J125*K125/100</f>
        <v>0</v>
      </c>
      <c r="M125" s="19">
        <v>0.65</v>
      </c>
      <c r="N125" s="38"/>
    </row>
    <row r="126" spans="1:19" x14ac:dyDescent="0.35">
      <c r="A126" s="4">
        <v>45624</v>
      </c>
      <c r="B126" s="2" t="s">
        <v>991</v>
      </c>
      <c r="C126" s="25" t="s">
        <v>167</v>
      </c>
      <c r="D126" s="25" t="s">
        <v>206</v>
      </c>
      <c r="E126" s="16" t="s">
        <v>207</v>
      </c>
      <c r="F126" s="5" t="str">
        <f t="shared" si="164"/>
        <v>FT EOS ES2024/2257502 MAKSU ESPAÑA S.L.</v>
      </c>
      <c r="G126" s="5">
        <f t="shared" si="165"/>
        <v>6.6115702479338845E-2</v>
      </c>
      <c r="H126" s="18">
        <v>21</v>
      </c>
      <c r="I126" s="17">
        <f>G126*H126/100</f>
        <v>1.3884297520661157E-2</v>
      </c>
      <c r="J126" s="17">
        <f>G126</f>
        <v>6.6115702479338845E-2</v>
      </c>
      <c r="K126" s="18">
        <v>0</v>
      </c>
      <c r="L126" s="17">
        <f>J126*K126/100</f>
        <v>0</v>
      </c>
      <c r="M126" s="19">
        <v>0.08</v>
      </c>
      <c r="N126" s="38"/>
    </row>
    <row r="127" spans="1:19" x14ac:dyDescent="0.35">
      <c r="A127" s="4">
        <v>45625</v>
      </c>
      <c r="B127" s="25" t="s">
        <v>918</v>
      </c>
      <c r="C127" s="25" t="s">
        <v>167</v>
      </c>
      <c r="D127" s="25" t="s">
        <v>189</v>
      </c>
      <c r="E127" s="25" t="s">
        <v>190</v>
      </c>
      <c r="F127" s="5" t="str">
        <f t="shared" ref="F127" si="169">CONCATENATE(S127,B127," ",E127)</f>
        <v>011-0011-223275 BRICOLAJE BRICOMAN, S.L.U.</v>
      </c>
      <c r="G127" s="17">
        <f>M127/(1-K127/100+H127/100)</f>
        <v>5.785123966942149</v>
      </c>
      <c r="H127" s="18">
        <v>21</v>
      </c>
      <c r="I127" s="17">
        <f>G127*H127/100</f>
        <v>1.2148760330578512</v>
      </c>
      <c r="J127" s="17">
        <f>G127</f>
        <v>5.785123966942149</v>
      </c>
      <c r="K127" s="18">
        <v>0</v>
      </c>
      <c r="L127" s="17">
        <f>J127*K127/100</f>
        <v>0</v>
      </c>
      <c r="M127" s="19">
        <v>7</v>
      </c>
      <c r="N127" s="38" t="s">
        <v>27</v>
      </c>
    </row>
    <row r="128" spans="1:19" x14ac:dyDescent="0.35">
      <c r="A128" s="4">
        <v>45625</v>
      </c>
      <c r="B128" s="25" t="s">
        <v>859</v>
      </c>
      <c r="C128" s="25" t="s">
        <v>111</v>
      </c>
      <c r="D128" s="25" t="s">
        <v>127</v>
      </c>
      <c r="E128" s="25" t="s">
        <v>128</v>
      </c>
      <c r="F128" s="5" t="str">
        <f t="shared" ref="F128:F131" si="170">CONCATENATE(S128,B128," ",E128)</f>
        <v>F244362 CONTAMAR S.L.</v>
      </c>
      <c r="G128" s="17">
        <f t="shared" ref="G128:G131" si="171">M128/(1-K128/100+H128/100)</f>
        <v>314.79338842975204</v>
      </c>
      <c r="H128" s="18">
        <v>21</v>
      </c>
      <c r="I128" s="17">
        <f t="shared" ref="I128:I131" si="172">G128*H128/100</f>
        <v>66.106611570247935</v>
      </c>
      <c r="J128" s="17">
        <f t="shared" ref="J128:J131" si="173">G128</f>
        <v>314.79338842975204</v>
      </c>
      <c r="K128" s="18">
        <v>0</v>
      </c>
      <c r="L128" s="17">
        <f t="shared" ref="L128:L131" si="174">J128*K128/100</f>
        <v>0</v>
      </c>
      <c r="M128" s="19">
        <v>380.9</v>
      </c>
      <c r="N128" s="38"/>
    </row>
    <row r="129" spans="1:19" x14ac:dyDescent="0.35">
      <c r="A129" s="4">
        <v>45625</v>
      </c>
      <c r="B129" s="2" t="s">
        <v>988</v>
      </c>
      <c r="C129" s="25" t="s">
        <v>167</v>
      </c>
      <c r="D129" s="25" t="s">
        <v>206</v>
      </c>
      <c r="E129" s="16" t="s">
        <v>207</v>
      </c>
      <c r="F129" s="5" t="str">
        <f t="shared" si="170"/>
        <v>RC EOS ES2024/39751913 MAKSU ESPAÑA S.L.</v>
      </c>
      <c r="G129" s="5">
        <f t="shared" si="171"/>
        <v>1.85</v>
      </c>
      <c r="H129" s="18">
        <v>0</v>
      </c>
      <c r="I129" s="17">
        <f t="shared" si="172"/>
        <v>0</v>
      </c>
      <c r="J129" s="17">
        <f t="shared" si="173"/>
        <v>1.85</v>
      </c>
      <c r="K129" s="18">
        <v>0</v>
      </c>
      <c r="L129" s="17">
        <f t="shared" si="174"/>
        <v>0</v>
      </c>
      <c r="M129" s="19">
        <v>1.85</v>
      </c>
      <c r="N129" s="38"/>
    </row>
    <row r="130" spans="1:19" x14ac:dyDescent="0.35">
      <c r="A130" s="4">
        <v>45625</v>
      </c>
      <c r="B130" s="2" t="s">
        <v>989</v>
      </c>
      <c r="C130" s="25" t="s">
        <v>167</v>
      </c>
      <c r="D130" s="25" t="s">
        <v>206</v>
      </c>
      <c r="E130" s="16" t="s">
        <v>207</v>
      </c>
      <c r="F130" s="5" t="str">
        <f t="shared" si="170"/>
        <v>FT EOS ES2024/2268206 MAKSU ESPAÑA S.L.</v>
      </c>
      <c r="G130" s="5">
        <f t="shared" si="171"/>
        <v>0.18181818181818182</v>
      </c>
      <c r="H130" s="18">
        <v>21</v>
      </c>
      <c r="I130" s="17">
        <f>G130*H130/100</f>
        <v>3.8181818181818185E-2</v>
      </c>
      <c r="J130" s="17">
        <f>G130</f>
        <v>0.18181818181818182</v>
      </c>
      <c r="K130" s="18">
        <v>0</v>
      </c>
      <c r="L130" s="17">
        <f>J130*K130/100</f>
        <v>0</v>
      </c>
      <c r="M130" s="19">
        <v>0.22</v>
      </c>
      <c r="N130" s="38"/>
    </row>
    <row r="131" spans="1:19" x14ac:dyDescent="0.35">
      <c r="A131" s="4">
        <v>45626</v>
      </c>
      <c r="B131" s="2" t="s">
        <v>861</v>
      </c>
      <c r="C131" s="2" t="s">
        <v>111</v>
      </c>
      <c r="D131" s="2" t="s">
        <v>114</v>
      </c>
      <c r="E131" s="2" t="s">
        <v>115</v>
      </c>
      <c r="F131" s="5" t="str">
        <f t="shared" si="170"/>
        <v>S/F FR366285 ELECTRO MERCANTIL LEGANES D.A.M.,S.L.U.</v>
      </c>
      <c r="G131" s="17">
        <f t="shared" si="171"/>
        <v>2111.8099173553719</v>
      </c>
      <c r="H131" s="18">
        <v>21</v>
      </c>
      <c r="I131" s="5">
        <f t="shared" si="172"/>
        <v>443.48008264462811</v>
      </c>
      <c r="J131" s="17">
        <f t="shared" si="173"/>
        <v>2111.8099173553719</v>
      </c>
      <c r="K131" s="18">
        <v>0</v>
      </c>
      <c r="L131" s="17">
        <f t="shared" si="174"/>
        <v>0</v>
      </c>
      <c r="M131" s="19">
        <v>2555.29</v>
      </c>
      <c r="S131" t="s">
        <v>19</v>
      </c>
    </row>
    <row r="132" spans="1:19" x14ac:dyDescent="0.35">
      <c r="A132" s="4">
        <v>45627</v>
      </c>
      <c r="B132" s="25" t="s">
        <v>844</v>
      </c>
      <c r="C132" s="25" t="s">
        <v>137</v>
      </c>
      <c r="D132" s="25" t="s">
        <v>367</v>
      </c>
      <c r="E132" s="25" t="s">
        <v>368</v>
      </c>
      <c r="F132" s="5" t="str">
        <f t="shared" ref="F132:F147" si="175">CONCATENATE(S132,B132," ",E132)</f>
        <v>12/24 COMUNIDAD BIENES ANT. J.  SERRANO RUBIO</v>
      </c>
      <c r="G132" s="17">
        <f t="shared" si="1"/>
        <v>825</v>
      </c>
      <c r="H132" s="18">
        <v>21</v>
      </c>
      <c r="I132" s="17">
        <f>G132*H132/100</f>
        <v>173.25</v>
      </c>
      <c r="J132" s="17">
        <f>G132</f>
        <v>825</v>
      </c>
      <c r="K132" s="18">
        <v>19</v>
      </c>
      <c r="L132" s="17">
        <f>J132*K132/100</f>
        <v>156.75</v>
      </c>
      <c r="M132" s="19">
        <v>841.5</v>
      </c>
      <c r="N132" s="35"/>
    </row>
    <row r="133" spans="1:19" x14ac:dyDescent="0.35">
      <c r="A133" s="4">
        <v>45627</v>
      </c>
      <c r="B133" s="2" t="s">
        <v>845</v>
      </c>
      <c r="C133" s="25" t="s">
        <v>137</v>
      </c>
      <c r="D133" s="25" t="s">
        <v>369</v>
      </c>
      <c r="E133" s="25" t="s">
        <v>370</v>
      </c>
      <c r="F133" s="5" t="str">
        <f t="shared" si="175"/>
        <v>A012/24 JAVIER SERRANO IZQUIERDO</v>
      </c>
      <c r="G133" s="17">
        <f t="shared" si="1"/>
        <v>550</v>
      </c>
      <c r="H133" s="18">
        <v>21</v>
      </c>
      <c r="I133" s="17">
        <f t="shared" ref="I133:I137" si="176">G133*H133/100</f>
        <v>115.5</v>
      </c>
      <c r="J133" s="17">
        <f t="shared" ref="J133:J137" si="177">G133</f>
        <v>550</v>
      </c>
      <c r="K133" s="18">
        <v>19</v>
      </c>
      <c r="L133" s="17">
        <f t="shared" ref="L133:L137" si="178">J133*K133/100</f>
        <v>104.5</v>
      </c>
      <c r="M133" s="19">
        <v>561</v>
      </c>
      <c r="N133" s="35"/>
    </row>
    <row r="134" spans="1:19" x14ac:dyDescent="0.35">
      <c r="A134" s="4">
        <v>45627</v>
      </c>
      <c r="B134" s="20" t="s">
        <v>870</v>
      </c>
      <c r="C134" s="25" t="s">
        <v>111</v>
      </c>
      <c r="D134" s="25" t="s">
        <v>116</v>
      </c>
      <c r="E134" s="25" t="s">
        <v>117</v>
      </c>
      <c r="F134" s="5" t="str">
        <f t="shared" si="175"/>
        <v>2412C00628818 SECURITAS DIRECT ESPAÑA S.A.U.</v>
      </c>
      <c r="G134" s="17">
        <f t="shared" si="1"/>
        <v>30.553719008264462</v>
      </c>
      <c r="H134" s="18">
        <v>21</v>
      </c>
      <c r="I134" s="17">
        <f t="shared" si="176"/>
        <v>6.4162809917355368</v>
      </c>
      <c r="J134" s="17">
        <f t="shared" si="177"/>
        <v>30.553719008264462</v>
      </c>
      <c r="K134" s="18">
        <v>0</v>
      </c>
      <c r="L134" s="17">
        <f t="shared" si="178"/>
        <v>0</v>
      </c>
      <c r="M134" s="19">
        <v>36.97</v>
      </c>
      <c r="N134" s="38" t="s">
        <v>27</v>
      </c>
    </row>
    <row r="135" spans="1:19" x14ac:dyDescent="0.35">
      <c r="A135" s="4">
        <v>45627</v>
      </c>
      <c r="B135" s="20" t="s">
        <v>871</v>
      </c>
      <c r="C135" s="25" t="s">
        <v>111</v>
      </c>
      <c r="D135" s="25" t="s">
        <v>116</v>
      </c>
      <c r="E135" s="25" t="s">
        <v>117</v>
      </c>
      <c r="F135" s="5" t="str">
        <f t="shared" si="175"/>
        <v>2412C00392848 SECURITAS DIRECT ESPAÑA S.A.U.</v>
      </c>
      <c r="G135" s="17">
        <f t="shared" si="1"/>
        <v>28.388429752066116</v>
      </c>
      <c r="H135" s="18">
        <v>21</v>
      </c>
      <c r="I135" s="17">
        <f t="shared" si="176"/>
        <v>5.961570247933885</v>
      </c>
      <c r="J135" s="17">
        <f t="shared" si="177"/>
        <v>28.388429752066116</v>
      </c>
      <c r="K135" s="18">
        <v>0</v>
      </c>
      <c r="L135" s="17">
        <f t="shared" si="178"/>
        <v>0</v>
      </c>
      <c r="M135" s="19">
        <v>34.35</v>
      </c>
      <c r="N135" s="38" t="s">
        <v>27</v>
      </c>
    </row>
    <row r="136" spans="1:19" x14ac:dyDescent="0.35">
      <c r="A136" s="4">
        <v>45627</v>
      </c>
      <c r="B136" s="20" t="s">
        <v>872</v>
      </c>
      <c r="C136" s="25" t="s">
        <v>111</v>
      </c>
      <c r="D136" s="25" t="s">
        <v>116</v>
      </c>
      <c r="E136" s="25" t="s">
        <v>117</v>
      </c>
      <c r="F136" s="5" t="str">
        <f t="shared" si="175"/>
        <v>2412C00401000 SECURITAS DIRECT ESPAÑA S.A.U.</v>
      </c>
      <c r="G136" s="17">
        <f t="shared" si="1"/>
        <v>28.330578512396695</v>
      </c>
      <c r="H136" s="18">
        <v>21</v>
      </c>
      <c r="I136" s="17">
        <f t="shared" si="176"/>
        <v>5.9494214876033062</v>
      </c>
      <c r="J136" s="17">
        <f t="shared" si="177"/>
        <v>28.330578512396695</v>
      </c>
      <c r="K136" s="18">
        <v>0</v>
      </c>
      <c r="L136" s="17">
        <f t="shared" si="178"/>
        <v>0</v>
      </c>
      <c r="M136" s="19">
        <v>34.28</v>
      </c>
      <c r="N136" s="38" t="s">
        <v>27</v>
      </c>
    </row>
    <row r="137" spans="1:19" x14ac:dyDescent="0.35">
      <c r="A137" s="4">
        <v>45628</v>
      </c>
      <c r="B137" s="25" t="s">
        <v>892</v>
      </c>
      <c r="C137" s="25" t="s">
        <v>167</v>
      </c>
      <c r="D137" s="16" t="s">
        <v>168</v>
      </c>
      <c r="E137" s="16" t="s">
        <v>169</v>
      </c>
      <c r="F137" s="5" t="str">
        <f t="shared" si="175"/>
        <v>70124FE000004184 SANTIAGO Y LYDIA DIAZ, S.L.</v>
      </c>
      <c r="G137" s="17">
        <f t="shared" si="1"/>
        <v>42.123966942148762</v>
      </c>
      <c r="H137" s="18">
        <v>21</v>
      </c>
      <c r="I137" s="17">
        <f t="shared" si="176"/>
        <v>8.8460330578512405</v>
      </c>
      <c r="J137" s="17">
        <f t="shared" si="177"/>
        <v>42.123966942148762</v>
      </c>
      <c r="K137" s="18">
        <v>0</v>
      </c>
      <c r="L137" s="17">
        <f t="shared" si="178"/>
        <v>0</v>
      </c>
      <c r="M137" s="19">
        <v>50.97</v>
      </c>
      <c r="N137" s="38"/>
    </row>
    <row r="138" spans="1:19" x14ac:dyDescent="0.35">
      <c r="A138" s="4">
        <v>45629</v>
      </c>
      <c r="B138" s="25" t="s">
        <v>919</v>
      </c>
      <c r="C138" s="25" t="s">
        <v>167</v>
      </c>
      <c r="D138" s="25" t="s">
        <v>189</v>
      </c>
      <c r="E138" s="25" t="s">
        <v>190</v>
      </c>
      <c r="F138" s="5" t="str">
        <f t="shared" si="175"/>
        <v>018-0012-761663 BRICOLAJE BRICOMAN, S.L.U.</v>
      </c>
      <c r="G138" s="17">
        <f>M138/(1-K138/100+H138/100)</f>
        <v>2.7272727272727271</v>
      </c>
      <c r="H138" s="18">
        <v>21</v>
      </c>
      <c r="I138" s="17">
        <f>G138*H138/100</f>
        <v>0.57272727272727264</v>
      </c>
      <c r="J138" s="17">
        <f>G138</f>
        <v>2.7272727272727271</v>
      </c>
      <c r="K138" s="18">
        <v>0</v>
      </c>
      <c r="L138" s="17">
        <f>J138*K138/100</f>
        <v>0</v>
      </c>
      <c r="M138" s="19">
        <v>3.3</v>
      </c>
      <c r="N138" s="38" t="s">
        <v>27</v>
      </c>
    </row>
    <row r="139" spans="1:19" x14ac:dyDescent="0.35">
      <c r="A139" s="4">
        <v>45629</v>
      </c>
      <c r="B139" s="2" t="s">
        <v>1040</v>
      </c>
      <c r="C139" s="25" t="s">
        <v>167</v>
      </c>
      <c r="D139" s="25" t="s">
        <v>206</v>
      </c>
      <c r="E139" s="16" t="s">
        <v>207</v>
      </c>
      <c r="F139" s="5" t="str">
        <f t="shared" si="175"/>
        <v>FT EOS ES2024/2295726 MAKSU ESPAÑA S.L.</v>
      </c>
      <c r="G139" s="5">
        <f t="shared" ref="G139:G141" si="179">M139/(1-K139/100+H139/100)</f>
        <v>2.8099173553719008</v>
      </c>
      <c r="H139" s="18">
        <v>21</v>
      </c>
      <c r="I139" s="17">
        <f>G139*H139/100</f>
        <v>0.59008264462809923</v>
      </c>
      <c r="J139" s="17">
        <f>G139</f>
        <v>2.8099173553719008</v>
      </c>
      <c r="K139" s="18">
        <v>0</v>
      </c>
      <c r="L139" s="17">
        <f>J139*K139/100</f>
        <v>0</v>
      </c>
      <c r="M139" s="19">
        <v>3.4</v>
      </c>
      <c r="N139" s="38"/>
    </row>
    <row r="140" spans="1:19" x14ac:dyDescent="0.35">
      <c r="A140" s="4">
        <v>45629</v>
      </c>
      <c r="B140" s="2" t="s">
        <v>1041</v>
      </c>
      <c r="C140" s="25" t="s">
        <v>167</v>
      </c>
      <c r="D140" s="25" t="s">
        <v>206</v>
      </c>
      <c r="E140" s="16" t="s">
        <v>207</v>
      </c>
      <c r="F140" s="5" t="str">
        <f t="shared" si="175"/>
        <v>RC EOS ES2024/40149874 MAKSU ESPAÑA S.L.</v>
      </c>
      <c r="G140" s="5">
        <f t="shared" si="179"/>
        <v>1</v>
      </c>
      <c r="H140" s="18">
        <v>0</v>
      </c>
      <c r="I140" s="17">
        <f t="shared" ref="I140" si="180">G140*H140/100</f>
        <v>0</v>
      </c>
      <c r="J140" s="17">
        <f t="shared" ref="J140" si="181">G140</f>
        <v>1</v>
      </c>
      <c r="K140" s="18">
        <v>0</v>
      </c>
      <c r="L140" s="17">
        <f t="shared" ref="L140" si="182">J140*K140/100</f>
        <v>0</v>
      </c>
      <c r="M140" s="19">
        <v>1</v>
      </c>
      <c r="N140" s="38"/>
    </row>
    <row r="141" spans="1:19" x14ac:dyDescent="0.35">
      <c r="A141" s="4">
        <v>45629</v>
      </c>
      <c r="B141" s="2" t="s">
        <v>1042</v>
      </c>
      <c r="C141" s="25" t="s">
        <v>167</v>
      </c>
      <c r="D141" s="25" t="s">
        <v>206</v>
      </c>
      <c r="E141" s="16" t="s">
        <v>207</v>
      </c>
      <c r="F141" s="5" t="str">
        <f t="shared" si="175"/>
        <v>FT EOS ES2024/2293355 MAKSU ESPAÑA S.L.</v>
      </c>
      <c r="G141" s="5">
        <f t="shared" si="179"/>
        <v>9.9173553719008267E-2</v>
      </c>
      <c r="H141" s="18">
        <v>21</v>
      </c>
      <c r="I141" s="17">
        <f>G141*H141/100</f>
        <v>2.0826446280991739E-2</v>
      </c>
      <c r="J141" s="17">
        <f>G141</f>
        <v>9.9173553719008267E-2</v>
      </c>
      <c r="K141" s="18">
        <v>0</v>
      </c>
      <c r="L141" s="17">
        <f>J141*K141/100</f>
        <v>0</v>
      </c>
      <c r="M141" s="19">
        <v>0.12</v>
      </c>
      <c r="N141" s="38"/>
    </row>
    <row r="142" spans="1:19" x14ac:dyDescent="0.35">
      <c r="A142" s="4">
        <v>45630</v>
      </c>
      <c r="B142" s="25" t="s">
        <v>1015</v>
      </c>
      <c r="C142" s="25" t="s">
        <v>167</v>
      </c>
      <c r="D142" s="25" t="s">
        <v>1016</v>
      </c>
      <c r="E142" s="25" t="s">
        <v>1017</v>
      </c>
      <c r="F142" s="5" t="str">
        <f t="shared" si="175"/>
        <v>45724/701032472 APK81 APARCAMIENTOS S.L.</v>
      </c>
      <c r="G142" s="17">
        <f>M142/(1-K142/100+H142/100)</f>
        <v>8.5950413223140494</v>
      </c>
      <c r="H142" s="18">
        <v>21</v>
      </c>
      <c r="I142" s="17">
        <f>G142*H142/100</f>
        <v>1.8049586776859505</v>
      </c>
      <c r="J142" s="17">
        <f>G142</f>
        <v>8.5950413223140494</v>
      </c>
      <c r="K142" s="18">
        <v>0</v>
      </c>
      <c r="L142" s="17">
        <f>J142*K142/100</f>
        <v>0</v>
      </c>
      <c r="M142" s="19">
        <v>10.4</v>
      </c>
      <c r="N142" s="38"/>
    </row>
    <row r="143" spans="1:19" x14ac:dyDescent="0.35">
      <c r="A143" s="4">
        <v>45630</v>
      </c>
      <c r="B143" s="2" t="s">
        <v>1014</v>
      </c>
      <c r="C143" s="2" t="s">
        <v>167</v>
      </c>
      <c r="D143" s="2" t="s">
        <v>1012</v>
      </c>
      <c r="E143" s="2" t="s">
        <v>1013</v>
      </c>
      <c r="F143" s="5" t="str">
        <f t="shared" si="175"/>
        <v>PM24/148138779 EMT MADRID SA</v>
      </c>
      <c r="G143" s="17">
        <f t="shared" ref="G143:G144" si="183">M143/(1-K143/100+H143/100)</f>
        <v>6.8595041322314056</v>
      </c>
      <c r="H143" s="18">
        <v>21</v>
      </c>
      <c r="I143" s="17">
        <f t="shared" ref="I143:I144" si="184">G143*H143/100</f>
        <v>1.4404958677685951</v>
      </c>
      <c r="J143" s="17">
        <f t="shared" ref="J143:J144" si="185">G143</f>
        <v>6.8595041322314056</v>
      </c>
      <c r="K143" s="18">
        <v>0</v>
      </c>
      <c r="L143" s="17">
        <f t="shared" ref="L143:L144" si="186">J143*K143/100</f>
        <v>0</v>
      </c>
      <c r="M143" s="19">
        <v>8.3000000000000007</v>
      </c>
      <c r="N143" s="38"/>
    </row>
    <row r="144" spans="1:19" x14ac:dyDescent="0.35">
      <c r="A144" s="4">
        <v>45631</v>
      </c>
      <c r="B144" s="2" t="s">
        <v>1030</v>
      </c>
      <c r="C144" s="2" t="s">
        <v>111</v>
      </c>
      <c r="D144" s="2" t="s">
        <v>230</v>
      </c>
      <c r="E144" s="2" t="s">
        <v>231</v>
      </c>
      <c r="F144" s="5" t="str">
        <f t="shared" si="175"/>
        <v>S/F 09241205010027736 CURENERGÍA COMERCIALIZADOR DE ÚLTIMO RECURSO S.A.U.</v>
      </c>
      <c r="G144" s="17">
        <f t="shared" si="183"/>
        <v>22.881818181818183</v>
      </c>
      <c r="H144">
        <v>10</v>
      </c>
      <c r="I144" s="5">
        <f t="shared" si="184"/>
        <v>2.2881818181818181</v>
      </c>
      <c r="J144" s="17">
        <f t="shared" si="185"/>
        <v>22.881818181818183</v>
      </c>
      <c r="K144">
        <v>0</v>
      </c>
      <c r="L144" s="17">
        <f t="shared" si="186"/>
        <v>0</v>
      </c>
      <c r="M144" s="8">
        <v>25.17</v>
      </c>
      <c r="S144" t="s">
        <v>19</v>
      </c>
    </row>
    <row r="145" spans="1:19" x14ac:dyDescent="0.35">
      <c r="A145" s="4">
        <v>45633</v>
      </c>
      <c r="B145" s="2" t="s">
        <v>901</v>
      </c>
      <c r="C145" s="2" t="s">
        <v>479</v>
      </c>
      <c r="E145" s="2" t="s">
        <v>902</v>
      </c>
      <c r="F145" s="5" t="str">
        <f t="shared" si="175"/>
        <v>020511046534212241255 AYUNTAMIENTO DE MADRID</v>
      </c>
      <c r="G145" s="17">
        <f t="shared" si="1"/>
        <v>0.85</v>
      </c>
      <c r="H145" s="18">
        <v>0</v>
      </c>
      <c r="I145" s="17">
        <f t="shared" si="36"/>
        <v>0</v>
      </c>
      <c r="J145" s="17">
        <f t="shared" si="37"/>
        <v>0.85</v>
      </c>
      <c r="K145" s="18">
        <v>0</v>
      </c>
      <c r="L145" s="17">
        <f t="shared" si="38"/>
        <v>0</v>
      </c>
      <c r="M145" s="19">
        <v>0.85</v>
      </c>
      <c r="N145" s="38"/>
    </row>
    <row r="146" spans="1:19" x14ac:dyDescent="0.35">
      <c r="A146" s="4">
        <v>45635</v>
      </c>
      <c r="B146" s="25" t="s">
        <v>877</v>
      </c>
      <c r="C146" s="25" t="s">
        <v>111</v>
      </c>
      <c r="D146" s="49" t="s">
        <v>124</v>
      </c>
      <c r="E146" s="16" t="s">
        <v>125</v>
      </c>
      <c r="F146" s="5" t="str">
        <f t="shared" si="175"/>
        <v>116885831451 APPLE DISTRIBUTION INTERNATIONAL LTD.</v>
      </c>
      <c r="G146" s="17">
        <f t="shared" si="1"/>
        <v>2.4710743801652897</v>
      </c>
      <c r="H146" s="18">
        <v>21</v>
      </c>
      <c r="I146" s="17">
        <f t="shared" si="36"/>
        <v>0.51892561983471086</v>
      </c>
      <c r="J146" s="17">
        <f t="shared" si="37"/>
        <v>2.4710743801652897</v>
      </c>
      <c r="K146" s="18">
        <v>0</v>
      </c>
      <c r="L146" s="17">
        <f t="shared" si="38"/>
        <v>0</v>
      </c>
      <c r="M146" s="19">
        <v>2.99</v>
      </c>
      <c r="N146" s="35"/>
    </row>
    <row r="147" spans="1:19" x14ac:dyDescent="0.35">
      <c r="A147" s="4">
        <v>45636</v>
      </c>
      <c r="B147" s="2" t="s">
        <v>899</v>
      </c>
      <c r="C147" s="25" t="s">
        <v>167</v>
      </c>
      <c r="D147" s="25" t="s">
        <v>287</v>
      </c>
      <c r="E147" s="16" t="s">
        <v>288</v>
      </c>
      <c r="F147" s="5" t="str">
        <f t="shared" si="175"/>
        <v>0273622 INMOBILIARIA PARIS, S.A.</v>
      </c>
      <c r="G147" s="5">
        <f t="shared" si="1"/>
        <v>4.5867768595041323</v>
      </c>
      <c r="H147" s="18">
        <v>21</v>
      </c>
      <c r="I147" s="17">
        <f>G147*H147/100</f>
        <v>0.96322314049586777</v>
      </c>
      <c r="J147" s="17">
        <f>G147</f>
        <v>4.5867768595041323</v>
      </c>
      <c r="K147" s="18">
        <v>0</v>
      </c>
      <c r="L147" s="17">
        <f>J147*K147/100</f>
        <v>0</v>
      </c>
      <c r="M147" s="19">
        <v>5.55</v>
      </c>
      <c r="N147" s="38"/>
    </row>
    <row r="148" spans="1:19" x14ac:dyDescent="0.35">
      <c r="A148" s="4">
        <v>45636</v>
      </c>
      <c r="B148" s="25" t="s">
        <v>893</v>
      </c>
      <c r="C148" s="25" t="s">
        <v>167</v>
      </c>
      <c r="D148" s="16" t="s">
        <v>168</v>
      </c>
      <c r="E148" s="16" t="s">
        <v>169</v>
      </c>
      <c r="F148" s="5" t="str">
        <f t="shared" ref="F148:F156" si="187">CONCATENATE(S148,B148," ",E148)</f>
        <v>70124FE000004269 SANTIAGO Y LYDIA DIAZ, S.L.</v>
      </c>
      <c r="G148" s="17">
        <f t="shared" ref="G148:G156" si="188">M148/(1-K148/100+H148/100)</f>
        <v>55.36363636363636</v>
      </c>
      <c r="H148" s="18">
        <v>21</v>
      </c>
      <c r="I148" s="17">
        <f t="shared" si="36"/>
        <v>11.626363636363635</v>
      </c>
      <c r="J148" s="17">
        <f t="shared" si="37"/>
        <v>55.36363636363636</v>
      </c>
      <c r="K148" s="18">
        <v>0</v>
      </c>
      <c r="L148" s="17">
        <f t="shared" si="38"/>
        <v>0</v>
      </c>
      <c r="M148" s="19">
        <v>66.989999999999995</v>
      </c>
      <c r="N148" s="38"/>
    </row>
    <row r="149" spans="1:19" x14ac:dyDescent="0.35">
      <c r="A149" s="4">
        <v>45636</v>
      </c>
      <c r="B149" s="2" t="s">
        <v>1026</v>
      </c>
      <c r="C149" s="2" t="s">
        <v>111</v>
      </c>
      <c r="D149" s="2" t="s">
        <v>220</v>
      </c>
      <c r="E149" s="2" t="s">
        <v>221</v>
      </c>
      <c r="F149" s="5" t="str">
        <f t="shared" si="187"/>
        <v>S/F FE24137028231811 Comercializadora Regulada, Gas &amp; Power, S.A.</v>
      </c>
      <c r="G149" s="5">
        <f t="shared" si="188"/>
        <v>15.263636363636362</v>
      </c>
      <c r="H149" s="18">
        <v>10</v>
      </c>
      <c r="I149" s="5">
        <f t="shared" si="36"/>
        <v>1.5263636363636364</v>
      </c>
      <c r="J149" s="5">
        <f t="shared" si="37"/>
        <v>15.263636363636362</v>
      </c>
      <c r="K149" s="18">
        <v>0</v>
      </c>
      <c r="L149" s="5">
        <f t="shared" si="38"/>
        <v>0</v>
      </c>
      <c r="M149" s="8">
        <v>16.79</v>
      </c>
      <c r="S149" t="s">
        <v>19</v>
      </c>
    </row>
    <row r="150" spans="1:19" x14ac:dyDescent="0.35">
      <c r="A150" s="4">
        <v>45636</v>
      </c>
      <c r="B150" s="2" t="s">
        <v>1034</v>
      </c>
      <c r="C150" s="25" t="s">
        <v>167</v>
      </c>
      <c r="D150" s="25" t="s">
        <v>206</v>
      </c>
      <c r="E150" s="16" t="s">
        <v>207</v>
      </c>
      <c r="F150" s="5" t="str">
        <f t="shared" si="187"/>
        <v>RC EOS ES2024/40794752 MAKSU ESPAÑA S.L.</v>
      </c>
      <c r="G150" s="5">
        <f t="shared" si="188"/>
        <v>2.8</v>
      </c>
      <c r="H150" s="18">
        <v>0</v>
      </c>
      <c r="I150" s="17">
        <f t="shared" si="36"/>
        <v>0</v>
      </c>
      <c r="J150" s="17">
        <f t="shared" si="37"/>
        <v>2.8</v>
      </c>
      <c r="K150" s="18">
        <v>0</v>
      </c>
      <c r="L150" s="17">
        <f t="shared" si="38"/>
        <v>0</v>
      </c>
      <c r="M150" s="19">
        <v>2.8</v>
      </c>
      <c r="N150" s="38"/>
    </row>
    <row r="151" spans="1:19" x14ac:dyDescent="0.35">
      <c r="A151" s="4">
        <v>45636</v>
      </c>
      <c r="B151" s="2" t="s">
        <v>1035</v>
      </c>
      <c r="C151" s="25" t="s">
        <v>167</v>
      </c>
      <c r="D151" s="25" t="s">
        <v>206</v>
      </c>
      <c r="E151" s="16" t="s">
        <v>207</v>
      </c>
      <c r="F151" s="5" t="str">
        <f t="shared" si="187"/>
        <v>FT EOS ES2024/2334055 MAKSU ESPAÑA S.L.</v>
      </c>
      <c r="G151" s="5">
        <f t="shared" si="188"/>
        <v>0.27272727272727276</v>
      </c>
      <c r="H151" s="18">
        <v>21</v>
      </c>
      <c r="I151" s="17">
        <f>G151*H151/100</f>
        <v>5.7272727272727281E-2</v>
      </c>
      <c r="J151" s="17">
        <f>G151</f>
        <v>0.27272727272727276</v>
      </c>
      <c r="K151" s="18">
        <v>0</v>
      </c>
      <c r="L151" s="17">
        <f>J151*K151/100</f>
        <v>0</v>
      </c>
      <c r="M151" s="19">
        <v>0.33</v>
      </c>
      <c r="N151" s="38"/>
    </row>
    <row r="152" spans="1:19" x14ac:dyDescent="0.35">
      <c r="A152" s="4">
        <v>45636</v>
      </c>
      <c r="B152" s="2" t="s">
        <v>1049</v>
      </c>
      <c r="C152" s="25" t="s">
        <v>167</v>
      </c>
      <c r="D152" s="25" t="s">
        <v>206</v>
      </c>
      <c r="E152" s="16" t="s">
        <v>207</v>
      </c>
      <c r="F152" s="5" t="str">
        <f t="shared" si="187"/>
        <v>RC EOS ES2024/40724970 MAKSU ESPAÑA S.L.</v>
      </c>
      <c r="G152" s="5">
        <f t="shared" si="188"/>
        <v>1</v>
      </c>
      <c r="H152" s="18">
        <v>0</v>
      </c>
      <c r="I152" s="17">
        <f t="shared" ref="I152" si="189">G152*H152/100</f>
        <v>0</v>
      </c>
      <c r="J152" s="17">
        <f t="shared" ref="J152" si="190">G152</f>
        <v>1</v>
      </c>
      <c r="K152" s="18">
        <v>0</v>
      </c>
      <c r="L152" s="17">
        <f t="shared" ref="L152" si="191">J152*K152/100</f>
        <v>0</v>
      </c>
      <c r="M152" s="19">
        <v>1</v>
      </c>
      <c r="N152" s="38"/>
    </row>
    <row r="153" spans="1:19" x14ac:dyDescent="0.35">
      <c r="A153" s="4">
        <v>45636</v>
      </c>
      <c r="B153" s="2" t="s">
        <v>1050</v>
      </c>
      <c r="C153" s="25" t="s">
        <v>167</v>
      </c>
      <c r="D153" s="25" t="s">
        <v>206</v>
      </c>
      <c r="E153" s="16" t="s">
        <v>207</v>
      </c>
      <c r="F153" s="5" t="str">
        <f t="shared" si="187"/>
        <v>FT EOS ES2024/2330376 MAKSU ESPAÑA S.L.</v>
      </c>
      <c r="G153" s="5">
        <f t="shared" si="188"/>
        <v>9.9173553719008267E-2</v>
      </c>
      <c r="H153" s="18">
        <v>21</v>
      </c>
      <c r="I153" s="17">
        <f>G153*H153/100</f>
        <v>2.0826446280991739E-2</v>
      </c>
      <c r="J153" s="17">
        <f>G153</f>
        <v>9.9173553719008267E-2</v>
      </c>
      <c r="K153" s="18">
        <v>0</v>
      </c>
      <c r="L153" s="17">
        <f>J153*K153/100</f>
        <v>0</v>
      </c>
      <c r="M153" s="19">
        <v>0.12</v>
      </c>
      <c r="N153" s="38"/>
    </row>
    <row r="154" spans="1:19" x14ac:dyDescent="0.35">
      <c r="A154" s="4">
        <v>45637</v>
      </c>
      <c r="B154" s="2" t="s">
        <v>1043</v>
      </c>
      <c r="C154" s="25" t="s">
        <v>167</v>
      </c>
      <c r="D154" s="25" t="s">
        <v>206</v>
      </c>
      <c r="E154" s="16" t="s">
        <v>207</v>
      </c>
      <c r="F154" s="5" t="str">
        <f t="shared" si="187"/>
        <v>RC EOS ES2024/40901972 MAKSU ESPAÑA S.L.</v>
      </c>
      <c r="G154" s="5">
        <f t="shared" si="188"/>
        <v>0.25</v>
      </c>
      <c r="H154" s="18">
        <v>0</v>
      </c>
      <c r="I154" s="17">
        <f t="shared" ref="I154" si="192">G154*H154/100</f>
        <v>0</v>
      </c>
      <c r="J154" s="17">
        <f t="shared" ref="J154" si="193">G154</f>
        <v>0.25</v>
      </c>
      <c r="K154" s="18">
        <v>0</v>
      </c>
      <c r="L154" s="17">
        <f t="shared" ref="L154" si="194">J154*K154/100</f>
        <v>0</v>
      </c>
      <c r="M154" s="19">
        <v>0.25</v>
      </c>
      <c r="N154" s="38"/>
    </row>
    <row r="155" spans="1:19" x14ac:dyDescent="0.35">
      <c r="A155" s="4">
        <v>45637</v>
      </c>
      <c r="B155" s="2" t="s">
        <v>1044</v>
      </c>
      <c r="C155" s="25" t="s">
        <v>167</v>
      </c>
      <c r="D155" s="25" t="s">
        <v>206</v>
      </c>
      <c r="E155" s="16" t="s">
        <v>207</v>
      </c>
      <c r="F155" s="5" t="str">
        <f t="shared" si="187"/>
        <v>FT EOS ES2024/2340637 MAKSU ESPAÑA S.L.</v>
      </c>
      <c r="G155" s="5">
        <f t="shared" si="188"/>
        <v>2.4793388429752067E-2</v>
      </c>
      <c r="H155" s="18">
        <v>21</v>
      </c>
      <c r="I155" s="17">
        <f>G155*H155/100</f>
        <v>5.2066115702479347E-3</v>
      </c>
      <c r="J155" s="17">
        <f>G155</f>
        <v>2.4793388429752067E-2</v>
      </c>
      <c r="K155" s="18">
        <v>0</v>
      </c>
      <c r="L155" s="17">
        <f>J155*K155/100</f>
        <v>0</v>
      </c>
      <c r="M155" s="19">
        <v>0.03</v>
      </c>
      <c r="N155" s="38"/>
    </row>
    <row r="156" spans="1:19" x14ac:dyDescent="0.35">
      <c r="A156" s="4">
        <v>45638</v>
      </c>
      <c r="B156" s="2" t="s">
        <v>1025</v>
      </c>
      <c r="C156" s="2" t="s">
        <v>111</v>
      </c>
      <c r="D156" s="2" t="s">
        <v>215</v>
      </c>
      <c r="E156" s="2" t="s">
        <v>216</v>
      </c>
      <c r="F156" s="5" t="str">
        <f t="shared" si="187"/>
        <v>61057010164 Repsol Comercializadora de Electricidad y Gas, S.L.U.</v>
      </c>
      <c r="G156" s="5">
        <f t="shared" si="188"/>
        <v>40.872727272727268</v>
      </c>
      <c r="H156" s="18">
        <v>10</v>
      </c>
      <c r="I156" s="5">
        <f t="shared" si="36"/>
        <v>4.0872727272727269</v>
      </c>
      <c r="J156" s="5">
        <f t="shared" si="37"/>
        <v>40.872727272727268</v>
      </c>
      <c r="K156" s="18">
        <v>0</v>
      </c>
      <c r="L156" s="5">
        <f t="shared" si="38"/>
        <v>0</v>
      </c>
      <c r="M156" s="8">
        <v>44.96</v>
      </c>
    </row>
    <row r="157" spans="1:19" x14ac:dyDescent="0.35">
      <c r="A157" s="4">
        <v>45638</v>
      </c>
      <c r="B157" s="2" t="s">
        <v>876</v>
      </c>
      <c r="C157" s="2" t="s">
        <v>137</v>
      </c>
      <c r="D157" s="2" t="s">
        <v>570</v>
      </c>
      <c r="E157" s="2" t="s">
        <v>568</v>
      </c>
      <c r="F157" s="5" t="str">
        <f t="shared" ref="F157:F163" si="195">CONCATENATE(S157,B157," ",E157)</f>
        <v>1166545016 Berner Montaje y Fijación, S. L.</v>
      </c>
      <c r="G157" s="17">
        <f t="shared" si="1"/>
        <v>38.041322314049587</v>
      </c>
      <c r="H157" s="18">
        <v>21</v>
      </c>
      <c r="I157" s="17">
        <f>G157*H157/100</f>
        <v>7.9886776859504129</v>
      </c>
      <c r="J157" s="17">
        <f>G157</f>
        <v>38.041322314049587</v>
      </c>
      <c r="K157" s="18">
        <v>0</v>
      </c>
      <c r="L157" s="17">
        <f>J157*K157/100</f>
        <v>0</v>
      </c>
      <c r="M157" s="19">
        <v>46.03</v>
      </c>
      <c r="N157" s="38"/>
    </row>
    <row r="158" spans="1:19" x14ac:dyDescent="0.35">
      <c r="A158" s="4">
        <v>45638</v>
      </c>
      <c r="B158" s="25" t="s">
        <v>920</v>
      </c>
      <c r="C158" s="25" t="s">
        <v>167</v>
      </c>
      <c r="D158" s="25" t="s">
        <v>189</v>
      </c>
      <c r="E158" s="25" t="s">
        <v>190</v>
      </c>
      <c r="F158" s="5" t="str">
        <f t="shared" si="195"/>
        <v>018-0012-779126 BRICOLAJE BRICOMAN, S.L.U.</v>
      </c>
      <c r="G158" s="17">
        <f>M158/(1-K158/100+H158/100)</f>
        <v>38.264462809917354</v>
      </c>
      <c r="H158" s="18">
        <v>21</v>
      </c>
      <c r="I158" s="17">
        <f>G158*H158/100</f>
        <v>8.0355371900826444</v>
      </c>
      <c r="J158" s="17">
        <f>G158</f>
        <v>38.264462809917354</v>
      </c>
      <c r="K158" s="18">
        <v>0</v>
      </c>
      <c r="L158" s="17">
        <f>J158*K158/100</f>
        <v>0</v>
      </c>
      <c r="M158" s="19">
        <v>46.3</v>
      </c>
      <c r="N158" s="38" t="s">
        <v>27</v>
      </c>
    </row>
    <row r="159" spans="1:19" x14ac:dyDescent="0.35">
      <c r="A159" s="4">
        <v>45639</v>
      </c>
      <c r="B159" s="25" t="s">
        <v>921</v>
      </c>
      <c r="C159" s="25" t="s">
        <v>167</v>
      </c>
      <c r="D159" s="16" t="s">
        <v>904</v>
      </c>
      <c r="E159" s="16" t="s">
        <v>905</v>
      </c>
      <c r="F159" s="5" t="str">
        <f t="shared" si="195"/>
        <v>007-0012-478724 LEROY MERLIN ESPAÑA, SLU</v>
      </c>
      <c r="G159" s="17">
        <f t="shared" ref="G159" si="196">M159/(1-K159/100+H159/100)</f>
        <v>19.504132231404959</v>
      </c>
      <c r="H159" s="18">
        <v>21</v>
      </c>
      <c r="I159" s="17">
        <f t="shared" ref="I159" si="197">G159*H159/100</f>
        <v>4.0958677685950411</v>
      </c>
      <c r="J159" s="17">
        <f t="shared" ref="J159" si="198">G159</f>
        <v>19.504132231404959</v>
      </c>
      <c r="K159" s="18">
        <v>0</v>
      </c>
      <c r="L159" s="17">
        <f t="shared" ref="L159" si="199">J159*K159/100</f>
        <v>0</v>
      </c>
      <c r="M159" s="19">
        <v>23.6</v>
      </c>
      <c r="N159" s="38"/>
    </row>
    <row r="160" spans="1:19" x14ac:dyDescent="0.35">
      <c r="A160" s="4">
        <v>45639</v>
      </c>
      <c r="B160" s="25" t="s">
        <v>894</v>
      </c>
      <c r="C160" s="25" t="s">
        <v>167</v>
      </c>
      <c r="D160" s="16" t="s">
        <v>168</v>
      </c>
      <c r="E160" s="16" t="s">
        <v>169</v>
      </c>
      <c r="F160" s="5" t="str">
        <f t="shared" si="195"/>
        <v>70124FE000004318 SANTIAGO Y LYDIA DIAZ, S.L.</v>
      </c>
      <c r="G160" s="17">
        <f t="shared" si="1"/>
        <v>53.049586776859506</v>
      </c>
      <c r="H160" s="18">
        <v>21</v>
      </c>
      <c r="I160" s="17">
        <f t="shared" ref="I160" si="200">G160*H160/100</f>
        <v>11.140413223140497</v>
      </c>
      <c r="J160" s="17">
        <f t="shared" ref="J160" si="201">G160</f>
        <v>53.049586776859506</v>
      </c>
      <c r="K160" s="18">
        <v>0</v>
      </c>
      <c r="L160" s="17">
        <f t="shared" ref="L160" si="202">J160*K160/100</f>
        <v>0</v>
      </c>
      <c r="M160" s="19">
        <v>64.19</v>
      </c>
      <c r="N160" s="38"/>
    </row>
    <row r="161" spans="1:19" x14ac:dyDescent="0.35">
      <c r="A161" s="4">
        <v>45639</v>
      </c>
      <c r="B161" s="25" t="s">
        <v>1027</v>
      </c>
      <c r="C161" s="25" t="s">
        <v>111</v>
      </c>
      <c r="D161" s="16" t="s">
        <v>223</v>
      </c>
      <c r="E161" s="16" t="s">
        <v>224</v>
      </c>
      <c r="F161" s="5" t="str">
        <f t="shared" si="195"/>
        <v>FMDVALH0047764 TELEFONICA DE ESPAÑA S.A.U.</v>
      </c>
      <c r="G161" s="17">
        <f>M161/(1-K161/100+H161/100)</f>
        <v>17.685950413223139</v>
      </c>
      <c r="H161" s="18">
        <v>21</v>
      </c>
      <c r="I161" s="17">
        <f>G161*H161/100</f>
        <v>3.7140495867768597</v>
      </c>
      <c r="J161" s="17">
        <f>G161</f>
        <v>17.685950413223139</v>
      </c>
      <c r="K161" s="18">
        <v>0</v>
      </c>
      <c r="L161" s="17">
        <f>J161*K161/100</f>
        <v>0</v>
      </c>
      <c r="M161" s="19">
        <v>21.4</v>
      </c>
      <c r="N161" s="38"/>
    </row>
    <row r="162" spans="1:19" x14ac:dyDescent="0.35">
      <c r="A162" s="4">
        <v>45639</v>
      </c>
      <c r="B162" s="20" t="s">
        <v>1029</v>
      </c>
      <c r="C162" s="25" t="s">
        <v>111</v>
      </c>
      <c r="D162" s="25" t="s">
        <v>225</v>
      </c>
      <c r="E162" s="25" t="s">
        <v>226</v>
      </c>
      <c r="F162" s="5" t="str">
        <f t="shared" si="195"/>
        <v>MMDVALH0018866 TELEFÓNICA MÓVILES ESPAÑA, S.A.</v>
      </c>
      <c r="G162" s="5">
        <f t="shared" ref="G162:G163" si="203">M162/(1-K162/100+H162/100)</f>
        <v>26.033057851239668</v>
      </c>
      <c r="H162" s="18">
        <v>21</v>
      </c>
      <c r="I162" s="17">
        <f t="shared" ref="I162:I163" si="204">G162*H162/100</f>
        <v>5.4669421487603298</v>
      </c>
      <c r="J162" s="17">
        <f t="shared" ref="J162:J163" si="205">G162</f>
        <v>26.033057851239668</v>
      </c>
      <c r="K162" s="18">
        <v>0</v>
      </c>
      <c r="L162" s="17">
        <f t="shared" ref="L162:L163" si="206">J162*K162/100</f>
        <v>0</v>
      </c>
      <c r="M162" s="19">
        <v>31.5</v>
      </c>
      <c r="N162" s="38"/>
    </row>
    <row r="163" spans="1:19" x14ac:dyDescent="0.35">
      <c r="A163" s="4">
        <v>45639</v>
      </c>
      <c r="B163" s="20" t="s">
        <v>1028</v>
      </c>
      <c r="C163" s="25" t="s">
        <v>111</v>
      </c>
      <c r="D163" s="25" t="s">
        <v>225</v>
      </c>
      <c r="E163" s="25" t="s">
        <v>226</v>
      </c>
      <c r="F163" s="5" t="str">
        <f t="shared" si="195"/>
        <v>MMDVALH0018867 TELEFÓNICA MÓVILES ESPAÑA, S.A.</v>
      </c>
      <c r="G163" s="5">
        <f t="shared" si="203"/>
        <v>23.099173553719009</v>
      </c>
      <c r="H163" s="18">
        <v>21</v>
      </c>
      <c r="I163" s="17">
        <f t="shared" si="204"/>
        <v>4.8508264462809914</v>
      </c>
      <c r="J163" s="17">
        <f t="shared" si="205"/>
        <v>23.099173553719009</v>
      </c>
      <c r="K163" s="18">
        <v>0</v>
      </c>
      <c r="L163" s="17">
        <f t="shared" si="206"/>
        <v>0</v>
      </c>
      <c r="M163" s="19">
        <v>27.95</v>
      </c>
      <c r="N163" s="38"/>
    </row>
    <row r="164" spans="1:19" x14ac:dyDescent="0.35">
      <c r="A164" s="4">
        <v>45641</v>
      </c>
      <c r="B164" s="25" t="s">
        <v>873</v>
      </c>
      <c r="C164" s="25" t="s">
        <v>111</v>
      </c>
      <c r="D164" s="25" t="s">
        <v>112</v>
      </c>
      <c r="E164" s="25" t="s">
        <v>113</v>
      </c>
      <c r="F164" s="5" t="str">
        <f t="shared" ref="F164:F167" si="207">CONCATENATE(S164,B164," ",E164)</f>
        <v>H4F12959 HIPER ANTENA, S.A.</v>
      </c>
      <c r="G164" s="17">
        <f t="shared" si="1"/>
        <v>214.27272727272725</v>
      </c>
      <c r="H164" s="18">
        <v>21</v>
      </c>
      <c r="I164" s="17">
        <f t="shared" si="36"/>
        <v>44.997272727272723</v>
      </c>
      <c r="J164" s="17">
        <f t="shared" si="37"/>
        <v>214.27272727272725</v>
      </c>
      <c r="K164" s="18">
        <v>0</v>
      </c>
      <c r="L164" s="17">
        <f t="shared" si="38"/>
        <v>0</v>
      </c>
      <c r="M164" s="19">
        <v>259.27</v>
      </c>
      <c r="N164" s="38"/>
    </row>
    <row r="165" spans="1:19" x14ac:dyDescent="0.35">
      <c r="A165" s="4">
        <v>45641</v>
      </c>
      <c r="B165" s="2" t="s">
        <v>874</v>
      </c>
      <c r="C165" s="2" t="s">
        <v>111</v>
      </c>
      <c r="D165" s="2" t="s">
        <v>114</v>
      </c>
      <c r="E165" s="2" t="s">
        <v>115</v>
      </c>
      <c r="F165" s="5" t="str">
        <f t="shared" si="207"/>
        <v>S/F FR366796 ELECTRO MERCANTIL LEGANES D.A.M.,S.L.U.</v>
      </c>
      <c r="G165" s="17">
        <f t="shared" si="1"/>
        <v>1572.7438016528927</v>
      </c>
      <c r="H165" s="18">
        <v>21</v>
      </c>
      <c r="I165" s="5">
        <f t="shared" si="36"/>
        <v>330.27619834710748</v>
      </c>
      <c r="J165" s="17">
        <f t="shared" si="37"/>
        <v>1572.7438016528927</v>
      </c>
      <c r="K165" s="18">
        <v>0</v>
      </c>
      <c r="L165" s="17">
        <f t="shared" si="38"/>
        <v>0</v>
      </c>
      <c r="M165" s="19">
        <v>1903.02</v>
      </c>
      <c r="S165" t="s">
        <v>19</v>
      </c>
    </row>
    <row r="166" spans="1:19" x14ac:dyDescent="0.35">
      <c r="A166" s="4">
        <v>45642</v>
      </c>
      <c r="B166" s="2" t="s">
        <v>1045</v>
      </c>
      <c r="C166" s="25" t="s">
        <v>167</v>
      </c>
      <c r="D166" s="25" t="s">
        <v>206</v>
      </c>
      <c r="E166" s="16" t="s">
        <v>207</v>
      </c>
      <c r="F166" s="5" t="str">
        <f t="shared" si="207"/>
        <v>RC EOS ES2024/41338520 MAKSU ESPAÑA S.L.</v>
      </c>
      <c r="G166" s="5">
        <f t="shared" si="1"/>
        <v>0.35</v>
      </c>
      <c r="H166" s="18">
        <v>0</v>
      </c>
      <c r="I166" s="17">
        <f t="shared" si="36"/>
        <v>0</v>
      </c>
      <c r="J166" s="17">
        <f t="shared" si="37"/>
        <v>0.35</v>
      </c>
      <c r="K166" s="18">
        <v>0</v>
      </c>
      <c r="L166" s="17">
        <f t="shared" si="38"/>
        <v>0</v>
      </c>
      <c r="M166" s="19">
        <v>0.35</v>
      </c>
      <c r="N166" s="38"/>
    </row>
    <row r="167" spans="1:19" x14ac:dyDescent="0.35">
      <c r="A167" s="4">
        <v>45642</v>
      </c>
      <c r="B167" s="2" t="s">
        <v>1046</v>
      </c>
      <c r="C167" s="25" t="s">
        <v>167</v>
      </c>
      <c r="D167" s="25" t="s">
        <v>206</v>
      </c>
      <c r="E167" s="16" t="s">
        <v>207</v>
      </c>
      <c r="F167" s="5" t="str">
        <f t="shared" si="207"/>
        <v>FT EOS ES2024/2366082 MAKSU ESPAÑA S.L.</v>
      </c>
      <c r="G167" s="5">
        <f t="shared" si="1"/>
        <v>3.3057851239669422E-2</v>
      </c>
      <c r="H167" s="18">
        <v>21</v>
      </c>
      <c r="I167" s="17">
        <f>G167*H167/100</f>
        <v>6.9421487603305784E-3</v>
      </c>
      <c r="J167" s="17">
        <f>G167</f>
        <v>3.3057851239669422E-2</v>
      </c>
      <c r="K167" s="18">
        <v>0</v>
      </c>
      <c r="L167" s="17">
        <f>J167*K167/100</f>
        <v>0</v>
      </c>
      <c r="M167" s="19">
        <v>0.04</v>
      </c>
      <c r="N167" s="38"/>
    </row>
    <row r="168" spans="1:19" x14ac:dyDescent="0.35">
      <c r="A168" s="4">
        <v>45643</v>
      </c>
      <c r="B168" s="2" t="s">
        <v>1032</v>
      </c>
      <c r="C168" s="25" t="s">
        <v>167</v>
      </c>
      <c r="D168" s="25" t="s">
        <v>206</v>
      </c>
      <c r="E168" s="16" t="s">
        <v>207</v>
      </c>
      <c r="F168" s="5" t="str">
        <f t="shared" ref="F168:F169" si="208">CONCATENATE(S168,B168," ",E168)</f>
        <v>RC EOS ES2024/41525181 MAKSU ESPAÑA S.L.</v>
      </c>
      <c r="G168" s="5">
        <f t="shared" si="1"/>
        <v>2.9</v>
      </c>
      <c r="H168" s="18">
        <v>0</v>
      </c>
      <c r="I168" s="17">
        <f t="shared" ref="I168" si="209">G168*H168/100</f>
        <v>0</v>
      </c>
      <c r="J168" s="17">
        <f t="shared" ref="J168" si="210">G168</f>
        <v>2.9</v>
      </c>
      <c r="K168" s="18">
        <v>0</v>
      </c>
      <c r="L168" s="17">
        <f t="shared" ref="L168" si="211">J168*K168/100</f>
        <v>0</v>
      </c>
      <c r="M168" s="19">
        <v>2.9</v>
      </c>
      <c r="N168" s="38"/>
    </row>
    <row r="169" spans="1:19" x14ac:dyDescent="0.35">
      <c r="A169" s="4">
        <v>45643</v>
      </c>
      <c r="B169" s="2" t="s">
        <v>1033</v>
      </c>
      <c r="C169" s="25" t="s">
        <v>167</v>
      </c>
      <c r="D169" s="25" t="s">
        <v>206</v>
      </c>
      <c r="E169" s="16" t="s">
        <v>207</v>
      </c>
      <c r="F169" s="5" t="str">
        <f t="shared" si="208"/>
        <v>FT EOS ES2024/2376875 MAKSU ESPAÑA S.L.</v>
      </c>
      <c r="G169" s="5">
        <f t="shared" si="1"/>
        <v>0.28925619834710742</v>
      </c>
      <c r="H169" s="18">
        <v>21</v>
      </c>
      <c r="I169" s="17">
        <f>G169*H169/100</f>
        <v>6.074380165289256E-2</v>
      </c>
      <c r="J169" s="17">
        <f>G169</f>
        <v>0.28925619834710742</v>
      </c>
      <c r="K169" s="18">
        <v>0</v>
      </c>
      <c r="L169" s="17">
        <f>J169*K169/100</f>
        <v>0</v>
      </c>
      <c r="M169" s="19">
        <v>0.35</v>
      </c>
      <c r="N169" s="38"/>
    </row>
    <row r="170" spans="1:19" x14ac:dyDescent="0.35">
      <c r="A170" s="4">
        <v>45644</v>
      </c>
      <c r="B170" s="25" t="s">
        <v>895</v>
      </c>
      <c r="C170" s="25" t="s">
        <v>167</v>
      </c>
      <c r="D170" s="16" t="s">
        <v>168</v>
      </c>
      <c r="E170" s="16" t="s">
        <v>169</v>
      </c>
      <c r="F170" s="5" t="str">
        <f t="shared" ref="F170:F172" si="212">CONCATENATE(S170,B170," ",E170)</f>
        <v>70124FE000004374 SANTIAGO Y LYDIA DIAZ, S.L.</v>
      </c>
      <c r="G170" s="17">
        <f t="shared" ref="G170:G171" si="213">M170/(1-K170/100+H170/100)</f>
        <v>42.099173553719005</v>
      </c>
      <c r="H170" s="18">
        <v>21</v>
      </c>
      <c r="I170" s="17">
        <f t="shared" si="36"/>
        <v>8.8408264462809925</v>
      </c>
      <c r="J170" s="17">
        <f t="shared" si="37"/>
        <v>42.099173553719005</v>
      </c>
      <c r="K170" s="18">
        <v>0</v>
      </c>
      <c r="L170" s="17">
        <f t="shared" si="38"/>
        <v>0</v>
      </c>
      <c r="M170" s="19">
        <v>50.94</v>
      </c>
      <c r="N170" s="38"/>
    </row>
    <row r="171" spans="1:19" x14ac:dyDescent="0.35">
      <c r="A171" s="4">
        <v>45645</v>
      </c>
      <c r="B171" s="2" t="s">
        <v>1022</v>
      </c>
      <c r="C171" s="2" t="s">
        <v>167</v>
      </c>
      <c r="D171" s="2" t="s">
        <v>304</v>
      </c>
      <c r="E171" s="2" t="s">
        <v>305</v>
      </c>
      <c r="F171" s="5" t="str">
        <f t="shared" si="212"/>
        <v>S/F 096383/A/24/008069 Repsol Comercial de Productos Petrolíferos, S.A.</v>
      </c>
      <c r="G171" s="5">
        <f t="shared" si="213"/>
        <v>53.297520661157023</v>
      </c>
      <c r="H171" s="18">
        <v>21</v>
      </c>
      <c r="I171" s="5">
        <f t="shared" si="36"/>
        <v>11.192479338842976</v>
      </c>
      <c r="J171" s="5">
        <f t="shared" si="37"/>
        <v>53.297520661157023</v>
      </c>
      <c r="K171" s="18">
        <v>0</v>
      </c>
      <c r="L171" s="5">
        <f t="shared" si="38"/>
        <v>0</v>
      </c>
      <c r="M171" s="8">
        <v>64.489999999999995</v>
      </c>
      <c r="S171" t="s">
        <v>19</v>
      </c>
    </row>
    <row r="172" spans="1:19" x14ac:dyDescent="0.35">
      <c r="A172" s="4">
        <v>45645</v>
      </c>
      <c r="B172" s="2" t="s">
        <v>922</v>
      </c>
      <c r="C172" s="2" t="s">
        <v>167</v>
      </c>
      <c r="D172" s="2" t="s">
        <v>923</v>
      </c>
      <c r="E172" s="2" t="s">
        <v>924</v>
      </c>
      <c r="F172" s="5" t="str">
        <f t="shared" si="212"/>
        <v>S/F E223-102/00581423 MEDIA MARKT SATURN S.A.U.</v>
      </c>
      <c r="G172" s="17">
        <f t="shared" si="1"/>
        <v>25.611570247933884</v>
      </c>
      <c r="H172" s="18">
        <v>21</v>
      </c>
      <c r="I172" s="5">
        <f t="shared" si="36"/>
        <v>5.3784297520661148</v>
      </c>
      <c r="J172" s="5">
        <f t="shared" si="37"/>
        <v>25.611570247933884</v>
      </c>
      <c r="K172" s="18">
        <v>0</v>
      </c>
      <c r="L172" s="5">
        <f t="shared" si="38"/>
        <v>0</v>
      </c>
      <c r="M172" s="19">
        <v>30.99</v>
      </c>
      <c r="S172" t="s">
        <v>19</v>
      </c>
    </row>
    <row r="173" spans="1:19" x14ac:dyDescent="0.35">
      <c r="A173" s="4">
        <v>45649</v>
      </c>
      <c r="B173" s="2" t="s">
        <v>1036</v>
      </c>
      <c r="C173" s="25" t="s">
        <v>167</v>
      </c>
      <c r="D173" s="25" t="s">
        <v>206</v>
      </c>
      <c r="E173" s="16" t="s">
        <v>207</v>
      </c>
      <c r="F173" s="5" t="str">
        <f t="shared" ref="F173:F176" si="214">CONCATENATE(S173,B173," ",E173)</f>
        <v>RC EOS ES2024/42201861 MAKSU ESPAÑA S.L.</v>
      </c>
      <c r="G173" s="5">
        <f t="shared" si="1"/>
        <v>1</v>
      </c>
      <c r="H173" s="18">
        <v>0</v>
      </c>
      <c r="I173" s="17">
        <f t="shared" ref="I173" si="215">G173*H173/100</f>
        <v>0</v>
      </c>
      <c r="J173" s="17">
        <f t="shared" ref="J173" si="216">G173</f>
        <v>1</v>
      </c>
      <c r="K173" s="18">
        <v>0</v>
      </c>
      <c r="L173" s="17">
        <f t="shared" ref="L173" si="217">J173*K173/100</f>
        <v>0</v>
      </c>
      <c r="M173" s="19">
        <v>1</v>
      </c>
      <c r="N173" s="38"/>
    </row>
    <row r="174" spans="1:19" x14ac:dyDescent="0.35">
      <c r="A174" s="4">
        <v>45649</v>
      </c>
      <c r="B174" s="2" t="s">
        <v>1037</v>
      </c>
      <c r="C174" s="25" t="s">
        <v>167</v>
      </c>
      <c r="D174" s="25" t="s">
        <v>206</v>
      </c>
      <c r="E174" s="16" t="s">
        <v>207</v>
      </c>
      <c r="F174" s="5" t="str">
        <f t="shared" si="214"/>
        <v>FT EOS ES2024/2416457 MAKSU ESPAÑA S.L.</v>
      </c>
      <c r="G174" s="5">
        <f t="shared" si="1"/>
        <v>9.9173553719008267E-2</v>
      </c>
      <c r="H174" s="18">
        <v>21</v>
      </c>
      <c r="I174" s="17">
        <f>G174*H174/100</f>
        <v>2.0826446280991739E-2</v>
      </c>
      <c r="J174" s="17">
        <f>G174</f>
        <v>9.9173553719008267E-2</v>
      </c>
      <c r="K174" s="18">
        <v>0</v>
      </c>
      <c r="L174" s="17">
        <f>J174*K174/100</f>
        <v>0</v>
      </c>
      <c r="M174" s="19">
        <v>0.12</v>
      </c>
      <c r="N174" s="38"/>
    </row>
    <row r="175" spans="1:19" x14ac:dyDescent="0.35">
      <c r="A175" s="4">
        <v>45650</v>
      </c>
      <c r="B175" s="2" t="s">
        <v>1047</v>
      </c>
      <c r="C175" s="25" t="s">
        <v>167</v>
      </c>
      <c r="D175" s="25" t="s">
        <v>206</v>
      </c>
      <c r="E175" s="16" t="s">
        <v>207</v>
      </c>
      <c r="F175" s="5" t="str">
        <f t="shared" si="214"/>
        <v>RC EOS ES2024/42342623 MAKSU ESPAÑA S.L.</v>
      </c>
      <c r="G175" s="5">
        <f t="shared" ref="G175:G176" si="218">M175/(1-K175/100+H175/100)</f>
        <v>1</v>
      </c>
      <c r="H175" s="18">
        <v>0</v>
      </c>
      <c r="I175" s="17">
        <f t="shared" ref="I175" si="219">G175*H175/100</f>
        <v>0</v>
      </c>
      <c r="J175" s="17">
        <f t="shared" ref="J175" si="220">G175</f>
        <v>1</v>
      </c>
      <c r="K175" s="18">
        <v>0</v>
      </c>
      <c r="L175" s="17">
        <f t="shared" ref="L175" si="221">J175*K175/100</f>
        <v>0</v>
      </c>
      <c r="M175" s="19">
        <v>1</v>
      </c>
      <c r="N175" s="38"/>
    </row>
    <row r="176" spans="1:19" x14ac:dyDescent="0.35">
      <c r="A176" s="4">
        <v>45650</v>
      </c>
      <c r="B176" s="2" t="s">
        <v>1048</v>
      </c>
      <c r="C176" s="25" t="s">
        <v>167</v>
      </c>
      <c r="D176" s="25" t="s">
        <v>206</v>
      </c>
      <c r="E176" s="16" t="s">
        <v>207</v>
      </c>
      <c r="F176" s="5" t="str">
        <f t="shared" si="214"/>
        <v>FT EOS ES2024/2423475 MAKSU ESPAÑA S.L.</v>
      </c>
      <c r="G176" s="5">
        <f t="shared" si="218"/>
        <v>9.9173553719008267E-2</v>
      </c>
      <c r="H176" s="18">
        <v>21</v>
      </c>
      <c r="I176" s="17">
        <f>G176*H176/100</f>
        <v>2.0826446280991739E-2</v>
      </c>
      <c r="J176" s="17">
        <f>G176</f>
        <v>9.9173553719008267E-2</v>
      </c>
      <c r="K176" s="18">
        <v>0</v>
      </c>
      <c r="L176" s="17">
        <f>J176*K176/100</f>
        <v>0</v>
      </c>
      <c r="M176" s="19">
        <v>0.12</v>
      </c>
      <c r="N176" s="38"/>
    </row>
    <row r="177" spans="1:19" x14ac:dyDescent="0.35">
      <c r="A177" s="4">
        <v>45650</v>
      </c>
      <c r="B177" s="2" t="s">
        <v>1006</v>
      </c>
      <c r="C177" s="25" t="s">
        <v>167</v>
      </c>
      <c r="D177" s="25" t="s">
        <v>287</v>
      </c>
      <c r="E177" s="16" t="s">
        <v>288</v>
      </c>
      <c r="F177" s="5" t="str">
        <f t="shared" ref="F177" si="222">CONCATENATE(S177,B177," ",E177)</f>
        <v>0278102 INMOBILIARIA PARIS, S.A.</v>
      </c>
      <c r="G177" s="5">
        <f t="shared" si="1"/>
        <v>0.41322314049586778</v>
      </c>
      <c r="H177" s="18">
        <v>21</v>
      </c>
      <c r="I177" s="17">
        <f>G177*H177/100</f>
        <v>8.6776859504132234E-2</v>
      </c>
      <c r="J177" s="17">
        <f>G177</f>
        <v>0.41322314049586778</v>
      </c>
      <c r="K177" s="18">
        <v>0</v>
      </c>
      <c r="L177" s="17">
        <f>J177*K177/100</f>
        <v>0</v>
      </c>
      <c r="M177" s="19">
        <v>0.5</v>
      </c>
      <c r="N177" s="38"/>
    </row>
    <row r="178" spans="1:19" x14ac:dyDescent="0.35">
      <c r="A178" s="4">
        <v>45652</v>
      </c>
      <c r="B178" s="25" t="s">
        <v>896</v>
      </c>
      <c r="C178" s="25" t="s">
        <v>167</v>
      </c>
      <c r="D178" s="16" t="s">
        <v>168</v>
      </c>
      <c r="E178" s="16" t="s">
        <v>169</v>
      </c>
      <c r="F178" s="5" t="str">
        <f t="shared" ref="F178:F181" si="223">CONCATENATE(S178,B178," ",E178)</f>
        <v>70124FE000004445 SANTIAGO Y LYDIA DIAZ, S.L.</v>
      </c>
      <c r="G178" s="17">
        <f t="shared" si="1"/>
        <v>55.851239669421489</v>
      </c>
      <c r="H178" s="18">
        <v>21</v>
      </c>
      <c r="I178" s="17">
        <f t="shared" ref="I178" si="224">G178*H178/100</f>
        <v>11.728760330578512</v>
      </c>
      <c r="J178" s="17">
        <f t="shared" ref="J178" si="225">G178</f>
        <v>55.851239669421489</v>
      </c>
      <c r="K178" s="18">
        <v>0</v>
      </c>
      <c r="L178" s="17">
        <f t="shared" ref="L178" si="226">J178*K178/100</f>
        <v>0</v>
      </c>
      <c r="M178" s="19">
        <v>67.58</v>
      </c>
      <c r="N178" s="38"/>
    </row>
    <row r="179" spans="1:19" x14ac:dyDescent="0.35">
      <c r="A179" s="4">
        <v>45652</v>
      </c>
      <c r="B179" s="25" t="s">
        <v>1024</v>
      </c>
      <c r="C179" s="25" t="s">
        <v>111</v>
      </c>
      <c r="D179" s="25" t="s">
        <v>235</v>
      </c>
      <c r="E179" s="25" t="s">
        <v>236</v>
      </c>
      <c r="F179" s="5" t="str">
        <f>CONCATENATE(S179,B179," ",E179)</f>
        <v>B5011224-00007704 ORANGE ESPAÑA VIRTUAL, S.L.U.</v>
      </c>
      <c r="G179" s="5">
        <f t="shared" ref="G179:G180" si="227">M179/(1-K179/100+H179/100)</f>
        <v>12.396694214876034</v>
      </c>
      <c r="H179" s="18">
        <v>21</v>
      </c>
      <c r="I179" s="17">
        <f>G179*H179/100</f>
        <v>2.6033057851239669</v>
      </c>
      <c r="J179" s="17">
        <f>G179</f>
        <v>12.396694214876034</v>
      </c>
      <c r="K179" s="18">
        <v>0</v>
      </c>
      <c r="L179" s="17">
        <f>J179*K179/100</f>
        <v>0</v>
      </c>
      <c r="M179" s="19">
        <v>15</v>
      </c>
      <c r="N179" s="35"/>
    </row>
    <row r="180" spans="1:19" x14ac:dyDescent="0.35">
      <c r="A180" s="4">
        <v>45653</v>
      </c>
      <c r="B180" s="2" t="s">
        <v>1031</v>
      </c>
      <c r="C180" s="2" t="s">
        <v>111</v>
      </c>
      <c r="D180" s="2" t="s">
        <v>260</v>
      </c>
      <c r="E180" s="2" t="s">
        <v>261</v>
      </c>
      <c r="F180" s="5" t="str">
        <f t="shared" ref="F180" si="228">CONCATENATE(S180,B180," ",E180)</f>
        <v>240009265693 Canal de Isabel II, S.A.</v>
      </c>
      <c r="G180" s="5">
        <f t="shared" si="227"/>
        <v>22.18181818181818</v>
      </c>
      <c r="H180" s="18">
        <v>10</v>
      </c>
      <c r="I180" s="5">
        <f t="shared" ref="I180" si="229">G180*H180/100</f>
        <v>2.2181818181818183</v>
      </c>
      <c r="J180" s="5">
        <f t="shared" ref="J180" si="230">G180</f>
        <v>22.18181818181818</v>
      </c>
      <c r="K180" s="18">
        <v>0</v>
      </c>
      <c r="L180" s="5">
        <f t="shared" ref="L180" si="231">J180*K180/100</f>
        <v>0</v>
      </c>
      <c r="M180" s="8">
        <v>24.4</v>
      </c>
    </row>
    <row r="181" spans="1:19" x14ac:dyDescent="0.35">
      <c r="A181" s="4">
        <v>45653</v>
      </c>
      <c r="B181" s="2" t="s">
        <v>1011</v>
      </c>
      <c r="C181" s="2" t="s">
        <v>167</v>
      </c>
      <c r="D181" s="2" t="s">
        <v>1012</v>
      </c>
      <c r="E181" s="2" t="s">
        <v>1013</v>
      </c>
      <c r="F181" s="5" t="str">
        <f t="shared" si="223"/>
        <v>PM24/148148951 EMT MADRID SA</v>
      </c>
      <c r="G181" s="17">
        <f t="shared" ref="G181:G190" si="232">M181/(1-K181/100+H181/100)</f>
        <v>9.5867768595041323</v>
      </c>
      <c r="H181" s="18">
        <v>21</v>
      </c>
      <c r="I181" s="17">
        <f t="shared" ref="I181" si="233">G181*H181/100</f>
        <v>2.0132231404958678</v>
      </c>
      <c r="J181" s="17">
        <f t="shared" ref="J181" si="234">G181</f>
        <v>9.5867768595041323</v>
      </c>
      <c r="K181" s="18">
        <v>0</v>
      </c>
      <c r="L181" s="17">
        <f t="shared" ref="L181" si="235">J181*K181/100</f>
        <v>0</v>
      </c>
      <c r="M181" s="19">
        <v>11.6</v>
      </c>
      <c r="N181" s="38"/>
    </row>
    <row r="182" spans="1:19" x14ac:dyDescent="0.35">
      <c r="A182" s="4">
        <v>45656</v>
      </c>
      <c r="B182" s="25" t="s">
        <v>998</v>
      </c>
      <c r="C182" s="2" t="s">
        <v>137</v>
      </c>
      <c r="D182" s="2" t="s">
        <v>999</v>
      </c>
      <c r="E182" s="2" t="s">
        <v>1000</v>
      </c>
      <c r="F182" s="5" t="str">
        <f t="shared" ref="F182:F185" si="236">CONCATENATE(S182,B182," ",E182)</f>
        <v>S/F 2 0 2 4 1 2 3 0 R 4 3 5 1 2 3 3 5 7 2 Apple Retail Spain, S.L.U.</v>
      </c>
      <c r="G182" s="17">
        <f t="shared" si="232"/>
        <v>900</v>
      </c>
      <c r="H182">
        <v>21</v>
      </c>
      <c r="I182" s="5">
        <f t="shared" ref="I182:I184" si="237">G182*H182/100</f>
        <v>189</v>
      </c>
      <c r="J182" s="5">
        <f t="shared" ref="J182:J184" si="238">G182</f>
        <v>900</v>
      </c>
      <c r="K182">
        <v>0</v>
      </c>
      <c r="L182" s="5">
        <f t="shared" ref="L182:L184" si="239">J182*K182/100</f>
        <v>0</v>
      </c>
      <c r="M182" s="19">
        <v>1089</v>
      </c>
      <c r="S182" t="s">
        <v>19</v>
      </c>
    </row>
    <row r="183" spans="1:19" x14ac:dyDescent="0.35">
      <c r="A183" s="4">
        <v>45656</v>
      </c>
      <c r="B183" s="25" t="s">
        <v>897</v>
      </c>
      <c r="C183" s="25" t="s">
        <v>167</v>
      </c>
      <c r="D183" s="16" t="s">
        <v>168</v>
      </c>
      <c r="E183" s="16" t="s">
        <v>169</v>
      </c>
      <c r="F183" s="5" t="str">
        <f t="shared" si="236"/>
        <v>70124FE000004498 SANTIAGO Y LYDIA DIAZ, S.L.</v>
      </c>
      <c r="G183" s="17">
        <f t="shared" si="232"/>
        <v>48.727272727272727</v>
      </c>
      <c r="H183" s="18">
        <v>21</v>
      </c>
      <c r="I183" s="17">
        <f t="shared" si="237"/>
        <v>10.232727272727272</v>
      </c>
      <c r="J183" s="17">
        <f t="shared" si="238"/>
        <v>48.727272727272727</v>
      </c>
      <c r="K183" s="18">
        <v>0</v>
      </c>
      <c r="L183" s="17">
        <f t="shared" si="239"/>
        <v>0</v>
      </c>
      <c r="M183" s="19">
        <v>58.96</v>
      </c>
      <c r="N183" s="38"/>
    </row>
    <row r="184" spans="1:19" x14ac:dyDescent="0.35">
      <c r="A184" s="4">
        <v>45656</v>
      </c>
      <c r="B184" s="2" t="s">
        <v>1038</v>
      </c>
      <c r="C184" s="25" t="s">
        <v>167</v>
      </c>
      <c r="D184" s="25" t="s">
        <v>206</v>
      </c>
      <c r="E184" s="16" t="s">
        <v>207</v>
      </c>
      <c r="F184" s="5" t="str">
        <f t="shared" si="236"/>
        <v>RC EOS ES2024/42750621 MAKSU ESPAÑA S.L.</v>
      </c>
      <c r="G184" s="5">
        <f t="shared" si="232"/>
        <v>7.4</v>
      </c>
      <c r="H184" s="18">
        <v>0</v>
      </c>
      <c r="I184" s="17">
        <f t="shared" si="237"/>
        <v>0</v>
      </c>
      <c r="J184" s="17">
        <f t="shared" si="238"/>
        <v>7.4</v>
      </c>
      <c r="K184" s="18">
        <v>0</v>
      </c>
      <c r="L184" s="17">
        <f t="shared" si="239"/>
        <v>0</v>
      </c>
      <c r="M184" s="19">
        <v>7.4</v>
      </c>
      <c r="N184" s="38"/>
    </row>
    <row r="185" spans="1:19" x14ac:dyDescent="0.35">
      <c r="A185" s="4">
        <v>45656</v>
      </c>
      <c r="B185" s="2" t="s">
        <v>1039</v>
      </c>
      <c r="C185" s="25" t="s">
        <v>167</v>
      </c>
      <c r="D185" s="25" t="s">
        <v>206</v>
      </c>
      <c r="E185" s="16" t="s">
        <v>207</v>
      </c>
      <c r="F185" s="5" t="str">
        <f t="shared" si="236"/>
        <v>FT EOS ES2024/2445885 MAKSU ESPAÑA S.L.</v>
      </c>
      <c r="G185" s="5">
        <f t="shared" si="232"/>
        <v>0.74380165289256206</v>
      </c>
      <c r="H185" s="18">
        <v>21</v>
      </c>
      <c r="I185" s="17">
        <f>G185*H185/100</f>
        <v>0.15619834710743802</v>
      </c>
      <c r="J185" s="17">
        <f>G185</f>
        <v>0.74380165289256206</v>
      </c>
      <c r="K185" s="18">
        <v>0</v>
      </c>
      <c r="L185" s="17">
        <f>J185*K185/100</f>
        <v>0</v>
      </c>
      <c r="M185" s="19">
        <v>0.9</v>
      </c>
      <c r="N185" s="38"/>
    </row>
    <row r="186" spans="1:19" x14ac:dyDescent="0.35">
      <c r="A186" s="4">
        <v>45657</v>
      </c>
      <c r="B186" s="2" t="s">
        <v>883</v>
      </c>
      <c r="C186" s="2" t="s">
        <v>111</v>
      </c>
      <c r="D186" s="2" t="s">
        <v>114</v>
      </c>
      <c r="E186" s="2" t="s">
        <v>115</v>
      </c>
      <c r="F186" s="5" t="str">
        <f t="shared" ref="F186" si="240">CONCATENATE(S186,B186," ",E186)</f>
        <v>S/F FR367307 ELECTRO MERCANTIL LEGANES D.A.M.,S.L.U.</v>
      </c>
      <c r="G186" s="17">
        <f t="shared" si="232"/>
        <v>3576.1735537190084</v>
      </c>
      <c r="H186" s="18">
        <v>21</v>
      </c>
      <c r="I186" s="5">
        <f t="shared" ref="I186" si="241">G186*H186/100</f>
        <v>750.99644628099179</v>
      </c>
      <c r="J186" s="17">
        <f t="shared" ref="J186" si="242">G186</f>
        <v>3576.1735537190084</v>
      </c>
      <c r="K186" s="18">
        <v>0</v>
      </c>
      <c r="L186" s="17">
        <f t="shared" ref="L186" si="243">J186*K186/100</f>
        <v>0</v>
      </c>
      <c r="M186" s="19">
        <v>4327.17</v>
      </c>
      <c r="S186" t="s">
        <v>19</v>
      </c>
    </row>
    <row r="187" spans="1:19" x14ac:dyDescent="0.35">
      <c r="A187" s="4">
        <v>45657</v>
      </c>
      <c r="B187" s="25" t="s">
        <v>875</v>
      </c>
      <c r="C187" s="25" t="s">
        <v>111</v>
      </c>
      <c r="D187" s="25" t="s">
        <v>127</v>
      </c>
      <c r="E187" s="25" t="s">
        <v>128</v>
      </c>
      <c r="F187" s="5" t="str">
        <f t="shared" ref="F187:F189" si="244">CONCATENATE(S187,B187," ",E187)</f>
        <v>F244806 CONTAMAR S.L.</v>
      </c>
      <c r="G187" s="17">
        <f t="shared" si="232"/>
        <v>254.79338842975207</v>
      </c>
      <c r="H187" s="18">
        <v>21</v>
      </c>
      <c r="I187" s="17">
        <f t="shared" ref="I187:I188" si="245">G187*H187/100</f>
        <v>53.506611570247934</v>
      </c>
      <c r="J187" s="17">
        <f t="shared" ref="J187:J188" si="246">G187</f>
        <v>254.79338842975207</v>
      </c>
      <c r="K187" s="18">
        <v>0</v>
      </c>
      <c r="L187" s="17">
        <f t="shared" ref="L187:L188" si="247">J187*K187/100</f>
        <v>0</v>
      </c>
      <c r="M187" s="19">
        <v>308.3</v>
      </c>
      <c r="N187" s="38"/>
    </row>
    <row r="188" spans="1:19" x14ac:dyDescent="0.35">
      <c r="A188" s="4">
        <v>45657</v>
      </c>
      <c r="B188" s="2" t="s">
        <v>1051</v>
      </c>
      <c r="C188" s="25" t="s">
        <v>167</v>
      </c>
      <c r="D188" s="25" t="s">
        <v>206</v>
      </c>
      <c r="E188" s="16" t="s">
        <v>207</v>
      </c>
      <c r="F188" s="5" t="str">
        <f t="shared" si="244"/>
        <v>RC EOS ES2024/42873627 MAKSU ESPAÑA S.L.</v>
      </c>
      <c r="G188" s="5">
        <f t="shared" ref="G188:G189" si="248">M188/(1-K188/100+H188/100)</f>
        <v>7.4</v>
      </c>
      <c r="H188" s="18">
        <v>0</v>
      </c>
      <c r="I188" s="17">
        <f t="shared" si="245"/>
        <v>0</v>
      </c>
      <c r="J188" s="17">
        <f t="shared" si="246"/>
        <v>7.4</v>
      </c>
      <c r="K188" s="18">
        <v>0</v>
      </c>
      <c r="L188" s="17">
        <f t="shared" si="247"/>
        <v>0</v>
      </c>
      <c r="M188" s="19">
        <v>7.4</v>
      </c>
      <c r="N188" s="38"/>
    </row>
    <row r="189" spans="1:19" x14ac:dyDescent="0.35">
      <c r="A189" s="4">
        <v>45657</v>
      </c>
      <c r="B189" s="2" t="s">
        <v>1052</v>
      </c>
      <c r="C189" s="25" t="s">
        <v>167</v>
      </c>
      <c r="D189" s="25" t="s">
        <v>206</v>
      </c>
      <c r="E189" s="16" t="s">
        <v>207</v>
      </c>
      <c r="F189" s="5" t="str">
        <f t="shared" si="244"/>
        <v>FT EOS ES2024/2452083 MAKSU ESPAÑA S.L.</v>
      </c>
      <c r="G189" s="5">
        <f t="shared" si="248"/>
        <v>0.74380165289256206</v>
      </c>
      <c r="H189" s="18">
        <v>21</v>
      </c>
      <c r="I189" s="17">
        <f>G189*H189/100</f>
        <v>0.15619834710743802</v>
      </c>
      <c r="J189" s="17">
        <f>G189</f>
        <v>0.74380165289256206</v>
      </c>
      <c r="K189" s="18">
        <v>0</v>
      </c>
      <c r="L189" s="17">
        <f>J189*K189/100</f>
        <v>0</v>
      </c>
      <c r="M189" s="19">
        <v>0.9</v>
      </c>
      <c r="N189" s="38"/>
    </row>
    <row r="190" spans="1:19" x14ac:dyDescent="0.35">
      <c r="G190" s="17">
        <f t="shared" si="232"/>
        <v>0</v>
      </c>
      <c r="H190" s="18">
        <v>21</v>
      </c>
      <c r="I190" s="17">
        <f>G190*H190/100</f>
        <v>0</v>
      </c>
      <c r="J190" s="17">
        <f>G190</f>
        <v>0</v>
      </c>
      <c r="K190" s="18">
        <v>0</v>
      </c>
      <c r="L190" s="17">
        <f>J190*K190/100</f>
        <v>0</v>
      </c>
      <c r="M190" s="19"/>
      <c r="N190" s="38" t="s">
        <v>27</v>
      </c>
    </row>
    <row r="191" spans="1:19" x14ac:dyDescent="0.35">
      <c r="S191" t="s">
        <v>19</v>
      </c>
    </row>
    <row r="192" spans="1:19" x14ac:dyDescent="0.35">
      <c r="S192" t="s">
        <v>19</v>
      </c>
    </row>
    <row r="193" spans="7:19" x14ac:dyDescent="0.35">
      <c r="G193" s="46">
        <f>SUM(G2:G190)</f>
        <v>24897.387603305786</v>
      </c>
      <c r="H193" s="47"/>
      <c r="I193" s="46">
        <f>SUM(I2:I190)</f>
        <v>5169.4623966942154</v>
      </c>
      <c r="J193" s="46">
        <f>SUM(J2:J190)</f>
        <v>24897.387603305786</v>
      </c>
      <c r="K193" s="47"/>
      <c r="L193" s="46">
        <f>SUM(L2:L190)</f>
        <v>783.75</v>
      </c>
      <c r="M193" s="60">
        <f>SUM(M2:M190)</f>
        <v>29283.100000000002</v>
      </c>
      <c r="S193" t="s">
        <v>19</v>
      </c>
    </row>
    <row r="194" spans="7:19" x14ac:dyDescent="0.35">
      <c r="S194" t="s">
        <v>19</v>
      </c>
    </row>
    <row r="195" spans="7:19" x14ac:dyDescent="0.35">
      <c r="S195" t="s">
        <v>19</v>
      </c>
    </row>
    <row r="196" spans="7:19" x14ac:dyDescent="0.35">
      <c r="S196" t="s">
        <v>19</v>
      </c>
    </row>
    <row r="197" spans="7:19" x14ac:dyDescent="0.35">
      <c r="S197" t="s">
        <v>19</v>
      </c>
    </row>
    <row r="198" spans="7:19" x14ac:dyDescent="0.35">
      <c r="S198" t="s">
        <v>19</v>
      </c>
    </row>
    <row r="199" spans="7:19" x14ac:dyDescent="0.35">
      <c r="S199" t="s">
        <v>19</v>
      </c>
    </row>
    <row r="200" spans="7:19" x14ac:dyDescent="0.35">
      <c r="S200" t="s">
        <v>19</v>
      </c>
    </row>
    <row r="201" spans="7:19" x14ac:dyDescent="0.35">
      <c r="S201" t="s">
        <v>19</v>
      </c>
    </row>
    <row r="202" spans="7:19" x14ac:dyDescent="0.35">
      <c r="S202" t="s">
        <v>19</v>
      </c>
    </row>
    <row r="203" spans="7:19" x14ac:dyDescent="0.35">
      <c r="S203" t="s">
        <v>19</v>
      </c>
    </row>
    <row r="204" spans="7:19" x14ac:dyDescent="0.35">
      <c r="S204" t="s">
        <v>19</v>
      </c>
    </row>
    <row r="205" spans="7:19" x14ac:dyDescent="0.35">
      <c r="S205" t="s">
        <v>19</v>
      </c>
    </row>
    <row r="206" spans="7:19" x14ac:dyDescent="0.35">
      <c r="S206" t="s">
        <v>19</v>
      </c>
    </row>
    <row r="207" spans="7:19" x14ac:dyDescent="0.35">
      <c r="S207" t="s">
        <v>19</v>
      </c>
    </row>
    <row r="208" spans="7:19" x14ac:dyDescent="0.35">
      <c r="S208" t="s">
        <v>19</v>
      </c>
    </row>
    <row r="209" spans="19:19" x14ac:dyDescent="0.35">
      <c r="S209" t="s">
        <v>19</v>
      </c>
    </row>
    <row r="210" spans="19:19" x14ac:dyDescent="0.35">
      <c r="S210" t="s">
        <v>19</v>
      </c>
    </row>
    <row r="211" spans="19:19" x14ac:dyDescent="0.35">
      <c r="S211" t="s">
        <v>19</v>
      </c>
    </row>
    <row r="212" spans="19:19" x14ac:dyDescent="0.35">
      <c r="S212" t="s">
        <v>19</v>
      </c>
    </row>
    <row r="213" spans="19:19" x14ac:dyDescent="0.35">
      <c r="S213" t="s">
        <v>19</v>
      </c>
    </row>
    <row r="214" spans="19:19" x14ac:dyDescent="0.35">
      <c r="S214" t="s">
        <v>19</v>
      </c>
    </row>
    <row r="215" spans="19:19" x14ac:dyDescent="0.35">
      <c r="S215" t="s">
        <v>19</v>
      </c>
    </row>
    <row r="216" spans="19:19" x14ac:dyDescent="0.35">
      <c r="S216" t="s">
        <v>19</v>
      </c>
    </row>
    <row r="217" spans="19:19" x14ac:dyDescent="0.35">
      <c r="S217" t="s">
        <v>19</v>
      </c>
    </row>
    <row r="218" spans="19:19" x14ac:dyDescent="0.35">
      <c r="S218" t="s">
        <v>19</v>
      </c>
    </row>
    <row r="219" spans="19:19" x14ac:dyDescent="0.35">
      <c r="S219" t="s">
        <v>19</v>
      </c>
    </row>
    <row r="220" spans="19:19" x14ac:dyDescent="0.35">
      <c r="S220" t="s">
        <v>19</v>
      </c>
    </row>
    <row r="221" spans="19:19" x14ac:dyDescent="0.35">
      <c r="S221" t="s">
        <v>19</v>
      </c>
    </row>
    <row r="222" spans="19:19" x14ac:dyDescent="0.35">
      <c r="S222" t="s">
        <v>19</v>
      </c>
    </row>
    <row r="223" spans="19:19" x14ac:dyDescent="0.35">
      <c r="S223" t="s">
        <v>19</v>
      </c>
    </row>
    <row r="224" spans="19:19" x14ac:dyDescent="0.35">
      <c r="S224" t="s">
        <v>19</v>
      </c>
    </row>
    <row r="225" spans="19:19" x14ac:dyDescent="0.35">
      <c r="S225" t="s">
        <v>19</v>
      </c>
    </row>
    <row r="226" spans="19:19" x14ac:dyDescent="0.35">
      <c r="S226" t="s">
        <v>19</v>
      </c>
    </row>
    <row r="227" spans="19:19" x14ac:dyDescent="0.35">
      <c r="S227" t="s">
        <v>19</v>
      </c>
    </row>
    <row r="228" spans="19:19" x14ac:dyDescent="0.35">
      <c r="S228" t="s">
        <v>19</v>
      </c>
    </row>
    <row r="229" spans="19:19" x14ac:dyDescent="0.35">
      <c r="S229" t="s">
        <v>19</v>
      </c>
    </row>
    <row r="230" spans="19:19" x14ac:dyDescent="0.35">
      <c r="S230" t="s">
        <v>19</v>
      </c>
    </row>
    <row r="231" spans="19:19" x14ac:dyDescent="0.35">
      <c r="S231" t="s">
        <v>19</v>
      </c>
    </row>
    <row r="232" spans="19:19" x14ac:dyDescent="0.35">
      <c r="S232" t="s">
        <v>19</v>
      </c>
    </row>
    <row r="233" spans="19:19" x14ac:dyDescent="0.35">
      <c r="S233" t="s">
        <v>19</v>
      </c>
    </row>
    <row r="234" spans="19:19" x14ac:dyDescent="0.35">
      <c r="S234" t="s">
        <v>19</v>
      </c>
    </row>
    <row r="235" spans="19:19" x14ac:dyDescent="0.35">
      <c r="S235" t="s">
        <v>19</v>
      </c>
    </row>
    <row r="236" spans="19:19" x14ac:dyDescent="0.35">
      <c r="S236" t="s">
        <v>19</v>
      </c>
    </row>
    <row r="237" spans="19:19" x14ac:dyDescent="0.35">
      <c r="S237" t="s">
        <v>19</v>
      </c>
    </row>
    <row r="238" spans="19:19" x14ac:dyDescent="0.35">
      <c r="S238" t="s">
        <v>19</v>
      </c>
    </row>
    <row r="239" spans="19:19" x14ac:dyDescent="0.35">
      <c r="S239" t="s">
        <v>19</v>
      </c>
    </row>
    <row r="240" spans="19:19" x14ac:dyDescent="0.35">
      <c r="S240" t="s">
        <v>19</v>
      </c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6"/>
  <sheetViews>
    <sheetView workbookViewId="0">
      <pane ySplit="1" topLeftCell="A2" activePane="bottomLeft" state="frozen"/>
      <selection pane="bottomLeft" activeCell="D20" sqref="D20:E20"/>
    </sheetView>
  </sheetViews>
  <sheetFormatPr baseColWidth="10" defaultRowHeight="14.5" x14ac:dyDescent="0.35"/>
  <cols>
    <col min="1" max="1" width="11.36328125" customWidth="1"/>
    <col min="2" max="2" width="7.1796875" style="2" customWidth="1"/>
    <col min="3" max="3" width="4.453125" style="2" customWidth="1"/>
    <col min="4" max="4" width="13.1796875" style="2" customWidth="1"/>
    <col min="5" max="5" width="42.90625" style="2" customWidth="1"/>
    <col min="6" max="6" width="26.08984375" style="5" customWidth="1"/>
    <col min="7" max="7" width="11.54296875" style="5" customWidth="1"/>
    <col min="8" max="8" width="5.6328125" bestFit="1" customWidth="1"/>
    <col min="9" max="9" width="13.36328125" style="5" customWidth="1"/>
    <col min="10" max="10" width="11.6328125" style="5" customWidth="1"/>
    <col min="11" max="11" width="6.08984375" customWidth="1"/>
    <col min="12" max="12" width="8.54296875" style="5" customWidth="1"/>
    <col min="13" max="13" width="10.6328125" style="8" customWidth="1"/>
    <col min="14" max="14" width="14.90625" style="3" bestFit="1" customWidth="1"/>
    <col min="15" max="16" width="11.453125" style="3" customWidth="1"/>
    <col min="17" max="17" width="12.54296875" style="2" customWidth="1"/>
    <col min="18" max="18" width="14.08984375" customWidth="1"/>
  </cols>
  <sheetData>
    <row r="1" spans="1:18" s="1" customFormat="1" ht="30" customHeigh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4" t="s">
        <v>6</v>
      </c>
      <c r="H1" s="12" t="s">
        <v>7</v>
      </c>
      <c r="I1" s="14" t="s">
        <v>8</v>
      </c>
      <c r="J1" s="14" t="s">
        <v>9</v>
      </c>
      <c r="K1" s="12" t="s">
        <v>10</v>
      </c>
      <c r="L1" s="14" t="s">
        <v>11</v>
      </c>
      <c r="M1" s="1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35">
      <c r="A2" s="30" t="s">
        <v>47</v>
      </c>
      <c r="B2" s="30" t="s">
        <v>46</v>
      </c>
      <c r="C2" s="30"/>
      <c r="D2" s="2" t="s">
        <v>42</v>
      </c>
      <c r="E2" s="2" t="s">
        <v>43</v>
      </c>
      <c r="F2" s="17" t="str">
        <f>CONCATENATE(S2,B2," ",E2)</f>
        <v>001/24 FEDERACIÓN MADRILEÑA DE NATACIÓN</v>
      </c>
      <c r="G2" s="27">
        <f>M2/(1-K2/100+H2/100)</f>
        <v>108.74380165289257</v>
      </c>
      <c r="H2" s="33">
        <v>21</v>
      </c>
      <c r="I2" s="27">
        <f>G2*H2/100</f>
        <v>22.836198347107437</v>
      </c>
      <c r="J2" s="27">
        <f>G2</f>
        <v>108.74380165289257</v>
      </c>
      <c r="K2" s="18"/>
      <c r="L2" s="17">
        <f>J2*K2/100</f>
        <v>0</v>
      </c>
      <c r="M2" s="32">
        <v>131.58000000000001</v>
      </c>
      <c r="N2" s="24"/>
    </row>
    <row r="3" spans="1:18" x14ac:dyDescent="0.35">
      <c r="A3" s="30" t="s">
        <v>47</v>
      </c>
      <c r="B3" s="30" t="s">
        <v>52</v>
      </c>
      <c r="C3" s="21"/>
      <c r="D3" s="2" t="s">
        <v>63</v>
      </c>
      <c r="E3" s="31" t="s">
        <v>64</v>
      </c>
      <c r="F3" s="17" t="str">
        <f t="shared" ref="F3:F39" si="0">CONCATENATE(S3,B3," ",E3)</f>
        <v>002/24 RUBEN HERNANDEZ DIAZ</v>
      </c>
      <c r="G3" s="27">
        <f t="shared" ref="G3:G39" si="1">M3/(1-K3/100+H3/100)</f>
        <v>68.446280991735534</v>
      </c>
      <c r="H3" s="34">
        <v>21</v>
      </c>
      <c r="I3" s="27">
        <f>G3*H3/100</f>
        <v>14.373719008264461</v>
      </c>
      <c r="J3" s="27">
        <f>G3</f>
        <v>68.446280991735534</v>
      </c>
      <c r="K3" s="18"/>
      <c r="L3" s="17">
        <f>J3*K3/100</f>
        <v>0</v>
      </c>
      <c r="M3" s="32">
        <v>82.82</v>
      </c>
      <c r="N3" s="24"/>
    </row>
    <row r="4" spans="1:18" x14ac:dyDescent="0.35">
      <c r="A4" s="30" t="s">
        <v>47</v>
      </c>
      <c r="B4" s="30" t="s">
        <v>53</v>
      </c>
      <c r="C4" s="21"/>
      <c r="D4" s="2" t="s">
        <v>24</v>
      </c>
      <c r="E4" s="31" t="s">
        <v>22</v>
      </c>
      <c r="F4" s="17" t="str">
        <f t="shared" si="0"/>
        <v>003/24 CONVER FORMAT 98, S.L.</v>
      </c>
      <c r="G4" s="27">
        <f t="shared" si="1"/>
        <v>135.36363636363637</v>
      </c>
      <c r="H4" s="34">
        <v>21</v>
      </c>
      <c r="I4" s="27">
        <f>G4*H4/100</f>
        <v>28.426363636363639</v>
      </c>
      <c r="J4" s="27">
        <f>G4</f>
        <v>135.36363636363637</v>
      </c>
      <c r="K4" s="18"/>
      <c r="L4" s="17">
        <f>J4*K4/100</f>
        <v>0</v>
      </c>
      <c r="M4" s="32">
        <v>163.79</v>
      </c>
      <c r="N4" s="24"/>
    </row>
    <row r="5" spans="1:18" x14ac:dyDescent="0.35">
      <c r="A5" s="30" t="s">
        <v>47</v>
      </c>
      <c r="B5" s="2" t="s">
        <v>54</v>
      </c>
      <c r="D5" s="2" t="s">
        <v>65</v>
      </c>
      <c r="E5" s="2" t="s">
        <v>66</v>
      </c>
      <c r="F5" s="17" t="str">
        <f t="shared" si="0"/>
        <v>004/24 AHOSMA</v>
      </c>
      <c r="G5" s="27">
        <f t="shared" si="1"/>
        <v>213.04132231404958</v>
      </c>
      <c r="H5" s="34">
        <v>21</v>
      </c>
      <c r="I5" s="27">
        <f t="shared" ref="I5:I14" si="2">G5*H5/100</f>
        <v>44.738677685950414</v>
      </c>
      <c r="J5" s="27">
        <f t="shared" ref="J5:J14" si="3">G5</f>
        <v>213.04132231404958</v>
      </c>
      <c r="K5" s="18"/>
      <c r="L5" s="17">
        <f t="shared" ref="L5:L14" si="4">J5*K5/100</f>
        <v>0</v>
      </c>
      <c r="M5" s="32">
        <v>257.77999999999997</v>
      </c>
      <c r="N5" s="24"/>
    </row>
    <row r="6" spans="1:18" x14ac:dyDescent="0.35">
      <c r="A6" s="30" t="s">
        <v>48</v>
      </c>
      <c r="B6" s="30" t="s">
        <v>55</v>
      </c>
      <c r="C6" s="21"/>
      <c r="D6" s="2" t="s">
        <v>42</v>
      </c>
      <c r="E6" s="2" t="s">
        <v>43</v>
      </c>
      <c r="F6" s="17" t="str">
        <f t="shared" si="0"/>
        <v>005/24 FEDERACIÓN MADRILEÑA DE NATACIÓN</v>
      </c>
      <c r="G6" s="27">
        <f t="shared" si="1"/>
        <v>43.32231404958678</v>
      </c>
      <c r="H6" s="34">
        <v>21</v>
      </c>
      <c r="I6" s="27">
        <f t="shared" si="2"/>
        <v>9.0976859504132239</v>
      </c>
      <c r="J6" s="27">
        <f t="shared" si="3"/>
        <v>43.32231404958678</v>
      </c>
      <c r="K6" s="18"/>
      <c r="L6" s="17">
        <f t="shared" si="4"/>
        <v>0</v>
      </c>
      <c r="M6" s="32">
        <v>52.42</v>
      </c>
      <c r="N6" s="24"/>
    </row>
    <row r="7" spans="1:18" x14ac:dyDescent="0.35">
      <c r="A7" s="30" t="s">
        <v>49</v>
      </c>
      <c r="B7" s="25" t="s">
        <v>56</v>
      </c>
      <c r="C7" s="21"/>
      <c r="D7" s="30" t="s">
        <v>36</v>
      </c>
      <c r="E7" s="30" t="s">
        <v>37</v>
      </c>
      <c r="F7" s="17" t="str">
        <f t="shared" si="0"/>
        <v>006/24 LATAM AIRLINES GROUP S.A</v>
      </c>
      <c r="G7" s="27">
        <f t="shared" si="1"/>
        <v>4616.5041322314055</v>
      </c>
      <c r="H7" s="34">
        <v>21</v>
      </c>
      <c r="I7" s="27">
        <f t="shared" si="2"/>
        <v>969.46586776859522</v>
      </c>
      <c r="J7" s="27">
        <f t="shared" si="3"/>
        <v>4616.5041322314055</v>
      </c>
      <c r="K7" s="18"/>
      <c r="L7" s="17">
        <f t="shared" si="4"/>
        <v>0</v>
      </c>
      <c r="M7" s="32">
        <v>5585.97</v>
      </c>
      <c r="N7" s="24"/>
    </row>
    <row r="8" spans="1:18" x14ac:dyDescent="0.35">
      <c r="A8" s="30" t="s">
        <v>49</v>
      </c>
      <c r="B8" s="25" t="s">
        <v>57</v>
      </c>
      <c r="C8" s="21"/>
      <c r="D8" s="30" t="s">
        <v>36</v>
      </c>
      <c r="E8" s="30" t="s">
        <v>37</v>
      </c>
      <c r="F8" s="17" t="str">
        <f t="shared" si="0"/>
        <v>007/24 LATAM AIRLINES GROUP S.A</v>
      </c>
      <c r="G8" s="27">
        <f t="shared" si="1"/>
        <v>451.24793388429754</v>
      </c>
      <c r="H8" s="34">
        <v>21</v>
      </c>
      <c r="I8" s="27">
        <f t="shared" si="2"/>
        <v>94.762066115702495</v>
      </c>
      <c r="J8" s="27">
        <f t="shared" si="3"/>
        <v>451.24793388429754</v>
      </c>
      <c r="K8" s="18"/>
      <c r="L8" s="17">
        <f t="shared" si="4"/>
        <v>0</v>
      </c>
      <c r="M8" s="32">
        <v>546.01</v>
      </c>
      <c r="N8" s="24"/>
    </row>
    <row r="9" spans="1:18" x14ac:dyDescent="0.35">
      <c r="A9" s="30" t="s">
        <v>50</v>
      </c>
      <c r="B9" s="25" t="s">
        <v>58</v>
      </c>
      <c r="C9" s="21"/>
      <c r="D9" s="30" t="s">
        <v>36</v>
      </c>
      <c r="E9" s="30" t="s">
        <v>37</v>
      </c>
      <c r="F9" s="17" t="str">
        <f t="shared" si="0"/>
        <v>008/24 LATAM AIRLINES GROUP S.A</v>
      </c>
      <c r="G9" s="27">
        <f t="shared" si="1"/>
        <v>110.95867768595041</v>
      </c>
      <c r="H9" s="34">
        <v>21</v>
      </c>
      <c r="I9" s="27">
        <f t="shared" si="2"/>
        <v>23.301322314049585</v>
      </c>
      <c r="J9" s="27">
        <f t="shared" si="3"/>
        <v>110.95867768595041</v>
      </c>
      <c r="K9" s="18"/>
      <c r="L9" s="17">
        <f t="shared" si="4"/>
        <v>0</v>
      </c>
      <c r="M9" s="32">
        <v>134.26</v>
      </c>
      <c r="N9" s="24"/>
    </row>
    <row r="10" spans="1:18" x14ac:dyDescent="0.35">
      <c r="A10" s="30" t="s">
        <v>51</v>
      </c>
      <c r="B10" s="25" t="s">
        <v>59</v>
      </c>
      <c r="C10" s="21"/>
      <c r="D10" s="30" t="s">
        <v>35</v>
      </c>
      <c r="E10" s="30" t="s">
        <v>34</v>
      </c>
      <c r="F10" s="17" t="str">
        <f t="shared" si="0"/>
        <v>009/24 SPANISH TAPAS INVESTMENTS, S.L.</v>
      </c>
      <c r="G10" s="27">
        <f t="shared" si="1"/>
        <v>130.14876033057851</v>
      </c>
      <c r="H10" s="34">
        <v>21</v>
      </c>
      <c r="I10" s="27">
        <f t="shared" si="2"/>
        <v>27.331239669421489</v>
      </c>
      <c r="J10" s="27">
        <f t="shared" si="3"/>
        <v>130.14876033057851</v>
      </c>
      <c r="K10" s="18"/>
      <c r="L10" s="17">
        <f t="shared" si="4"/>
        <v>0</v>
      </c>
      <c r="M10" s="32">
        <v>157.47999999999999</v>
      </c>
      <c r="N10" s="24"/>
    </row>
    <row r="11" spans="1:18" x14ac:dyDescent="0.35">
      <c r="A11" s="30" t="s">
        <v>51</v>
      </c>
      <c r="B11" s="25" t="s">
        <v>60</v>
      </c>
      <c r="C11" s="21"/>
      <c r="D11" s="30" t="s">
        <v>25</v>
      </c>
      <c r="E11" s="2" t="s">
        <v>21</v>
      </c>
      <c r="F11" s="17" t="str">
        <f t="shared" si="0"/>
        <v>010/24 REAL CANOE NATACION CLUB</v>
      </c>
      <c r="G11" s="27">
        <f t="shared" si="1"/>
        <v>5798.5785123966944</v>
      </c>
      <c r="H11" s="34">
        <v>21</v>
      </c>
      <c r="I11" s="27">
        <f t="shared" si="2"/>
        <v>1217.7014876033058</v>
      </c>
      <c r="J11" s="27">
        <f t="shared" si="3"/>
        <v>5798.5785123966944</v>
      </c>
      <c r="K11" s="18"/>
      <c r="L11" s="17">
        <f t="shared" si="4"/>
        <v>0</v>
      </c>
      <c r="M11" s="32">
        <v>7016.28</v>
      </c>
      <c r="N11" s="24"/>
    </row>
    <row r="12" spans="1:18" x14ac:dyDescent="0.35">
      <c r="A12" s="30" t="s">
        <v>51</v>
      </c>
      <c r="B12" s="25" t="s">
        <v>61</v>
      </c>
      <c r="C12" s="21"/>
      <c r="D12" s="2" t="s">
        <v>26</v>
      </c>
      <c r="E12" s="2" t="s">
        <v>23</v>
      </c>
      <c r="F12" s="17" t="str">
        <f t="shared" si="0"/>
        <v>011/24 RESTAURANTE URRECHU CLUB, S.L.</v>
      </c>
      <c r="G12" s="27">
        <f t="shared" si="1"/>
        <v>117.09917355371901</v>
      </c>
      <c r="H12" s="34">
        <v>21</v>
      </c>
      <c r="I12" s="27">
        <f t="shared" si="2"/>
        <v>24.590826446280992</v>
      </c>
      <c r="J12" s="27">
        <f t="shared" si="3"/>
        <v>117.09917355371901</v>
      </c>
      <c r="K12" s="18"/>
      <c r="L12" s="17">
        <f t="shared" si="4"/>
        <v>0</v>
      </c>
      <c r="M12" s="32">
        <v>141.69</v>
      </c>
      <c r="N12" s="24"/>
    </row>
    <row r="13" spans="1:18" x14ac:dyDescent="0.35">
      <c r="A13" s="30" t="s">
        <v>51</v>
      </c>
      <c r="B13" s="25" t="s">
        <v>62</v>
      </c>
      <c r="C13" s="21"/>
      <c r="D13" s="2" t="s">
        <v>39</v>
      </c>
      <c r="E13" s="31" t="s">
        <v>38</v>
      </c>
      <c r="F13" s="17" t="str">
        <f t="shared" si="0"/>
        <v>012/24 ANTONIO SIGUERO S.L.</v>
      </c>
      <c r="G13" s="27">
        <f t="shared" si="1"/>
        <v>503.63636363636363</v>
      </c>
      <c r="H13" s="33">
        <v>21</v>
      </c>
      <c r="I13" s="27">
        <f t="shared" si="2"/>
        <v>105.76363636363637</v>
      </c>
      <c r="J13" s="27">
        <f t="shared" si="3"/>
        <v>503.63636363636363</v>
      </c>
      <c r="K13" s="18"/>
      <c r="L13" s="17">
        <f t="shared" si="4"/>
        <v>0</v>
      </c>
      <c r="M13" s="32">
        <v>609.4</v>
      </c>
      <c r="N13" s="24"/>
    </row>
    <row r="14" spans="1:18" x14ac:dyDescent="0.35">
      <c r="A14" s="30" t="s">
        <v>84</v>
      </c>
      <c r="B14" s="25" t="s">
        <v>67</v>
      </c>
      <c r="C14" s="21"/>
      <c r="D14" s="30" t="s">
        <v>25</v>
      </c>
      <c r="E14" s="2" t="s">
        <v>21</v>
      </c>
      <c r="F14" s="17" t="str">
        <f t="shared" si="0"/>
        <v>013/24 REAL CANOE NATACION CLUB</v>
      </c>
      <c r="G14" s="27">
        <f t="shared" si="1"/>
        <v>4083.0413223140495</v>
      </c>
      <c r="H14" s="34">
        <v>21</v>
      </c>
      <c r="I14" s="27">
        <f t="shared" si="2"/>
        <v>857.43867768595044</v>
      </c>
      <c r="J14" s="27">
        <f t="shared" si="3"/>
        <v>4083.0413223140495</v>
      </c>
      <c r="K14" s="18"/>
      <c r="L14" s="17">
        <f t="shared" si="4"/>
        <v>0</v>
      </c>
      <c r="M14" s="32">
        <v>4940.4799999999996</v>
      </c>
      <c r="N14" s="24"/>
    </row>
    <row r="15" spans="1:18" x14ac:dyDescent="0.35">
      <c r="A15" s="30" t="s">
        <v>85</v>
      </c>
      <c r="B15" s="25" t="s">
        <v>68</v>
      </c>
      <c r="C15" s="21"/>
      <c r="D15" s="2" t="s">
        <v>24</v>
      </c>
      <c r="E15" s="31" t="s">
        <v>22</v>
      </c>
      <c r="F15" s="17" t="str">
        <f t="shared" si="0"/>
        <v>014/24 CONVER FORMAT 98, S.L.</v>
      </c>
      <c r="G15" s="27">
        <f t="shared" si="1"/>
        <v>229.06611570247935</v>
      </c>
      <c r="H15" s="34">
        <v>21</v>
      </c>
      <c r="I15" s="27">
        <f>G15*H15/100</f>
        <v>48.103884297520665</v>
      </c>
      <c r="J15" s="27">
        <f>G15</f>
        <v>229.06611570247935</v>
      </c>
      <c r="K15" s="18"/>
      <c r="L15" s="17">
        <f>J15*K15/100</f>
        <v>0</v>
      </c>
      <c r="M15" s="32">
        <v>277.17</v>
      </c>
      <c r="N15" s="24"/>
    </row>
    <row r="16" spans="1:18" x14ac:dyDescent="0.35">
      <c r="A16" s="30" t="s">
        <v>85</v>
      </c>
      <c r="B16" s="25" t="s">
        <v>69</v>
      </c>
      <c r="C16" s="21"/>
      <c r="D16" s="2" t="s">
        <v>92</v>
      </c>
      <c r="E16" s="2" t="s">
        <v>93</v>
      </c>
      <c r="F16" s="17" t="str">
        <f t="shared" si="0"/>
        <v>015/24 PAFAIM S.L.</v>
      </c>
      <c r="G16" s="27">
        <f t="shared" si="1"/>
        <v>742.28925619834706</v>
      </c>
      <c r="H16" s="34">
        <v>21</v>
      </c>
      <c r="I16" s="27">
        <f>G16*H16/100</f>
        <v>155.88074380165287</v>
      </c>
      <c r="J16" s="27">
        <f>G16</f>
        <v>742.28925619834706</v>
      </c>
      <c r="K16" s="18"/>
      <c r="L16" s="17">
        <f>J16*K16/100</f>
        <v>0</v>
      </c>
      <c r="M16" s="32">
        <v>898.17</v>
      </c>
      <c r="N16" s="24"/>
    </row>
    <row r="17" spans="1:19" x14ac:dyDescent="0.35">
      <c r="A17" s="30" t="s">
        <v>86</v>
      </c>
      <c r="B17" s="25" t="s">
        <v>70</v>
      </c>
      <c r="C17" s="21"/>
      <c r="D17" s="2" t="s">
        <v>32</v>
      </c>
      <c r="E17" s="2" t="s">
        <v>33</v>
      </c>
      <c r="F17" s="17" t="str">
        <f t="shared" si="0"/>
        <v>016/24 INVERSIONES TERRENOS Y SERVICIOS, S.A.</v>
      </c>
      <c r="G17" s="27">
        <f t="shared" si="1"/>
        <v>500</v>
      </c>
      <c r="H17" s="34">
        <v>21</v>
      </c>
      <c r="I17" s="27">
        <f>G17*H17/100</f>
        <v>105</v>
      </c>
      <c r="J17" s="27">
        <f>G17</f>
        <v>500</v>
      </c>
      <c r="K17" s="18"/>
      <c r="L17" s="17">
        <f>J17*K17/100</f>
        <v>0</v>
      </c>
      <c r="M17" s="32">
        <v>605</v>
      </c>
      <c r="N17" s="24"/>
    </row>
    <row r="18" spans="1:19" x14ac:dyDescent="0.35">
      <c r="A18" s="30" t="s">
        <v>86</v>
      </c>
      <c r="B18" s="25" t="s">
        <v>71</v>
      </c>
      <c r="C18" s="21"/>
      <c r="D18" s="2" t="s">
        <v>32</v>
      </c>
      <c r="E18" s="2" t="s">
        <v>33</v>
      </c>
      <c r="F18" s="17" t="str">
        <f t="shared" si="0"/>
        <v>017/24 INVERSIONES TERRENOS Y SERVICIOS, S.A.</v>
      </c>
      <c r="G18" s="27">
        <f t="shared" si="1"/>
        <v>7489.280991735538</v>
      </c>
      <c r="H18" s="34">
        <v>21</v>
      </c>
      <c r="I18" s="27">
        <f t="shared" ref="I18:I23" si="5">G18*H18/100</f>
        <v>1572.7490082644631</v>
      </c>
      <c r="J18" s="27">
        <f t="shared" ref="J18:J23" si="6">G18</f>
        <v>7489.280991735538</v>
      </c>
      <c r="K18" s="18"/>
      <c r="L18" s="17">
        <f t="shared" ref="L18:L23" si="7">J18*K18/100</f>
        <v>0</v>
      </c>
      <c r="M18" s="32">
        <v>9062.0300000000007</v>
      </c>
      <c r="N18" s="24"/>
    </row>
    <row r="19" spans="1:19" x14ac:dyDescent="0.35">
      <c r="A19" s="30" t="s">
        <v>86</v>
      </c>
      <c r="B19" s="25" t="s">
        <v>73</v>
      </c>
      <c r="C19" s="21"/>
      <c r="D19" s="2" t="s">
        <v>45</v>
      </c>
      <c r="E19" s="2" t="s">
        <v>44</v>
      </c>
      <c r="F19" s="17" t="str">
        <f t="shared" si="0"/>
        <v>N/F 018/24 IBERIA TAPAS INVESTMENTS, S.L.</v>
      </c>
      <c r="G19" s="27">
        <f t="shared" si="1"/>
        <v>47.67768595041322</v>
      </c>
      <c r="H19">
        <v>21</v>
      </c>
      <c r="I19" s="5">
        <f t="shared" si="5"/>
        <v>10.012314049586777</v>
      </c>
      <c r="J19" s="5">
        <f t="shared" si="6"/>
        <v>47.67768595041322</v>
      </c>
      <c r="L19" s="5">
        <f t="shared" si="7"/>
        <v>0</v>
      </c>
      <c r="M19" s="32">
        <v>57.69</v>
      </c>
      <c r="S19" t="s">
        <v>20</v>
      </c>
    </row>
    <row r="20" spans="1:19" x14ac:dyDescent="0.35">
      <c r="A20" s="30" t="s">
        <v>86</v>
      </c>
      <c r="B20" s="25" t="s">
        <v>72</v>
      </c>
      <c r="C20" s="21"/>
      <c r="D20" s="2" t="s">
        <v>30</v>
      </c>
      <c r="E20" s="2" t="s">
        <v>31</v>
      </c>
      <c r="F20" s="17" t="str">
        <f t="shared" si="0"/>
        <v>019/24 COMUNIDAD DE PROPIETARIOS LA PINEDA II</v>
      </c>
      <c r="G20" s="27">
        <f t="shared" si="1"/>
        <v>252.50413223140495</v>
      </c>
      <c r="H20" s="34">
        <v>21</v>
      </c>
      <c r="I20" s="27">
        <f t="shared" si="5"/>
        <v>53.025867768595042</v>
      </c>
      <c r="J20" s="27">
        <f t="shared" si="6"/>
        <v>252.50413223140495</v>
      </c>
      <c r="K20" s="18"/>
      <c r="L20" s="17">
        <f t="shared" si="7"/>
        <v>0</v>
      </c>
      <c r="M20" s="32">
        <v>305.52999999999997</v>
      </c>
      <c r="N20" s="24"/>
    </row>
    <row r="21" spans="1:19" x14ac:dyDescent="0.35">
      <c r="A21" s="30" t="s">
        <v>87</v>
      </c>
      <c r="B21" s="25" t="s">
        <v>74</v>
      </c>
      <c r="C21" s="21"/>
      <c r="D21" s="2" t="s">
        <v>24</v>
      </c>
      <c r="E21" s="31" t="s">
        <v>22</v>
      </c>
      <c r="F21" s="17" t="str">
        <f t="shared" si="0"/>
        <v>020/24 CONVER FORMAT 98, S.L.</v>
      </c>
      <c r="G21" s="27">
        <f t="shared" si="1"/>
        <v>213.85950413223139</v>
      </c>
      <c r="H21" s="34">
        <v>21</v>
      </c>
      <c r="I21" s="27">
        <f t="shared" si="5"/>
        <v>44.910495867768596</v>
      </c>
      <c r="J21" s="27">
        <f t="shared" si="6"/>
        <v>213.85950413223139</v>
      </c>
      <c r="K21" s="18"/>
      <c r="L21" s="17">
        <f t="shared" si="7"/>
        <v>0</v>
      </c>
      <c r="M21" s="32">
        <v>258.77</v>
      </c>
      <c r="N21" s="24"/>
    </row>
    <row r="22" spans="1:19" x14ac:dyDescent="0.35">
      <c r="A22" s="30" t="s">
        <v>87</v>
      </c>
      <c r="B22" s="25" t="s">
        <v>75</v>
      </c>
      <c r="C22" s="21"/>
      <c r="D22" s="31" t="s">
        <v>41</v>
      </c>
      <c r="E22" s="2" t="s">
        <v>40</v>
      </c>
      <c r="F22" s="17" t="str">
        <f t="shared" si="0"/>
        <v>021/24 TREVOLA, S.L.</v>
      </c>
      <c r="G22" s="27">
        <f t="shared" si="1"/>
        <v>250.22314049586777</v>
      </c>
      <c r="H22" s="34">
        <v>21</v>
      </c>
      <c r="I22" s="27">
        <f t="shared" si="5"/>
        <v>52.546859504132236</v>
      </c>
      <c r="J22" s="27">
        <f t="shared" si="6"/>
        <v>250.22314049586777</v>
      </c>
      <c r="K22" s="18"/>
      <c r="L22" s="17">
        <f t="shared" si="7"/>
        <v>0</v>
      </c>
      <c r="M22" s="32">
        <v>302.77</v>
      </c>
      <c r="N22" s="24"/>
    </row>
    <row r="23" spans="1:19" x14ac:dyDescent="0.35">
      <c r="A23" s="30" t="s">
        <v>88</v>
      </c>
      <c r="B23" s="25" t="s">
        <v>76</v>
      </c>
      <c r="C23" s="21"/>
      <c r="D23" s="30" t="s">
        <v>36</v>
      </c>
      <c r="E23" s="30" t="s">
        <v>37</v>
      </c>
      <c r="F23" s="17" t="str">
        <f t="shared" si="0"/>
        <v>022/24 LATAM AIRLINES GROUP S.A</v>
      </c>
      <c r="G23" s="27">
        <f t="shared" si="1"/>
        <v>350.39669421487605</v>
      </c>
      <c r="H23" s="34">
        <v>21</v>
      </c>
      <c r="I23" s="27">
        <f t="shared" si="5"/>
        <v>73.583305785123969</v>
      </c>
      <c r="J23" s="27">
        <f t="shared" si="6"/>
        <v>350.39669421487605</v>
      </c>
      <c r="K23" s="18"/>
      <c r="L23" s="17">
        <f t="shared" si="7"/>
        <v>0</v>
      </c>
      <c r="M23" s="32">
        <v>423.98</v>
      </c>
      <c r="N23" s="24"/>
    </row>
    <row r="24" spans="1:19" x14ac:dyDescent="0.35">
      <c r="A24" s="30" t="s">
        <v>89</v>
      </c>
      <c r="B24" s="25" t="s">
        <v>77</v>
      </c>
      <c r="C24" s="21"/>
      <c r="D24" s="30" t="s">
        <v>36</v>
      </c>
      <c r="E24" s="30" t="s">
        <v>37</v>
      </c>
      <c r="F24" s="17" t="str">
        <f t="shared" si="0"/>
        <v>023/24 LATAM AIRLINES GROUP S.A</v>
      </c>
      <c r="G24" s="27">
        <f t="shared" si="1"/>
        <v>697.09917355371908</v>
      </c>
      <c r="H24" s="34">
        <v>21</v>
      </c>
      <c r="I24" s="27">
        <f t="shared" ref="I24:I39" si="8">G24*H24/100</f>
        <v>146.39082644628101</v>
      </c>
      <c r="J24" s="27">
        <f t="shared" ref="J24:J39" si="9">G24</f>
        <v>697.09917355371908</v>
      </c>
      <c r="K24" s="18"/>
      <c r="L24" s="17">
        <f t="shared" ref="L24:L39" si="10">J24*K24/100</f>
        <v>0</v>
      </c>
      <c r="M24" s="32">
        <v>843.49</v>
      </c>
      <c r="N24" s="24"/>
    </row>
    <row r="25" spans="1:19" x14ac:dyDescent="0.35">
      <c r="A25" s="30" t="s">
        <v>90</v>
      </c>
      <c r="B25" s="25" t="s">
        <v>78</v>
      </c>
      <c r="C25" s="21"/>
      <c r="D25" s="2" t="s">
        <v>32</v>
      </c>
      <c r="E25" s="2" t="s">
        <v>33</v>
      </c>
      <c r="F25" s="17" t="str">
        <f t="shared" si="0"/>
        <v>024/24 INVERSIONES TERRENOS Y SERVICIOS, S.A.</v>
      </c>
      <c r="G25" s="27">
        <f t="shared" si="1"/>
        <v>527.14876033057851</v>
      </c>
      <c r="H25" s="34">
        <v>21</v>
      </c>
      <c r="I25" s="27">
        <f t="shared" si="8"/>
        <v>110.70123966942148</v>
      </c>
      <c r="J25" s="27">
        <f t="shared" si="9"/>
        <v>527.14876033057851</v>
      </c>
      <c r="K25" s="18"/>
      <c r="L25" s="17">
        <f t="shared" si="10"/>
        <v>0</v>
      </c>
      <c r="M25" s="32">
        <v>637.85</v>
      </c>
      <c r="N25" s="24"/>
    </row>
    <row r="26" spans="1:19" x14ac:dyDescent="0.35">
      <c r="A26" s="30" t="s">
        <v>91</v>
      </c>
      <c r="B26" s="25" t="s">
        <v>79</v>
      </c>
      <c r="C26" s="21"/>
      <c r="D26" s="2" t="s">
        <v>26</v>
      </c>
      <c r="E26" s="2" t="s">
        <v>23</v>
      </c>
      <c r="F26" s="17" t="str">
        <f t="shared" si="0"/>
        <v>025/24 RESTAURANTE URRECHU CLUB, S.L.</v>
      </c>
      <c r="G26" s="27">
        <f t="shared" si="1"/>
        <v>708.01652892561992</v>
      </c>
      <c r="H26" s="34">
        <v>21</v>
      </c>
      <c r="I26" s="27">
        <f t="shared" si="8"/>
        <v>148.68347107438018</v>
      </c>
      <c r="J26" s="27">
        <f t="shared" si="9"/>
        <v>708.01652892561992</v>
      </c>
      <c r="K26" s="18"/>
      <c r="L26" s="17">
        <f t="shared" si="10"/>
        <v>0</v>
      </c>
      <c r="M26" s="32">
        <v>856.7</v>
      </c>
      <c r="N26" s="24"/>
    </row>
    <row r="27" spans="1:19" x14ac:dyDescent="0.35">
      <c r="A27" s="30" t="s">
        <v>91</v>
      </c>
      <c r="B27" s="25" t="s">
        <v>80</v>
      </c>
      <c r="C27" s="21"/>
      <c r="D27" s="2" t="s">
        <v>29</v>
      </c>
      <c r="E27" s="2" t="s">
        <v>28</v>
      </c>
      <c r="F27" s="17" t="str">
        <f t="shared" si="0"/>
        <v>N/F 026/24 EL CIELO DE URRECHU, S.L.</v>
      </c>
      <c r="G27" s="27">
        <f t="shared" si="1"/>
        <v>106.68595041322315</v>
      </c>
      <c r="H27">
        <v>21</v>
      </c>
      <c r="I27" s="5">
        <f t="shared" si="8"/>
        <v>22.404049586776864</v>
      </c>
      <c r="J27" s="5">
        <f t="shared" si="9"/>
        <v>106.68595041322315</v>
      </c>
      <c r="L27" s="5">
        <f t="shared" si="10"/>
        <v>0</v>
      </c>
      <c r="M27" s="32">
        <v>129.09</v>
      </c>
      <c r="S27" t="s">
        <v>20</v>
      </c>
    </row>
    <row r="28" spans="1:19" x14ac:dyDescent="0.35">
      <c r="A28" s="30" t="s">
        <v>91</v>
      </c>
      <c r="B28" s="25" t="s">
        <v>81</v>
      </c>
      <c r="C28" s="21"/>
      <c r="D28" s="30" t="s">
        <v>25</v>
      </c>
      <c r="E28" s="2" t="s">
        <v>21</v>
      </c>
      <c r="F28" s="17" t="str">
        <f t="shared" si="0"/>
        <v>027/24 REAL CANOE NATACION CLUB</v>
      </c>
      <c r="G28" s="27">
        <f t="shared" si="1"/>
        <v>11318.859504132231</v>
      </c>
      <c r="H28" s="33">
        <v>21</v>
      </c>
      <c r="I28" s="27">
        <f t="shared" si="8"/>
        <v>2376.9604958677683</v>
      </c>
      <c r="J28" s="27">
        <f t="shared" si="9"/>
        <v>11318.859504132231</v>
      </c>
      <c r="K28" s="18"/>
      <c r="L28" s="17">
        <f t="shared" si="10"/>
        <v>0</v>
      </c>
      <c r="M28" s="32">
        <v>13695.82</v>
      </c>
      <c r="N28" s="24"/>
    </row>
    <row r="29" spans="1:19" x14ac:dyDescent="0.35">
      <c r="A29" s="30" t="s">
        <v>91</v>
      </c>
      <c r="B29" s="25" t="s">
        <v>82</v>
      </c>
      <c r="C29" s="21"/>
      <c r="D29" s="2" t="s">
        <v>39</v>
      </c>
      <c r="E29" s="31" t="s">
        <v>38</v>
      </c>
      <c r="F29" s="17" t="str">
        <f t="shared" si="0"/>
        <v>028/24 ANTONIO SIGUERO S.L.</v>
      </c>
      <c r="G29" s="27">
        <f t="shared" si="1"/>
        <v>960.66115702479351</v>
      </c>
      <c r="H29" s="34">
        <v>21</v>
      </c>
      <c r="I29" s="27">
        <f t="shared" si="8"/>
        <v>201.73884297520664</v>
      </c>
      <c r="J29" s="27">
        <f t="shared" si="9"/>
        <v>960.66115702479351</v>
      </c>
      <c r="K29" s="18"/>
      <c r="L29" s="17">
        <f t="shared" si="10"/>
        <v>0</v>
      </c>
      <c r="M29" s="32">
        <v>1162.4000000000001</v>
      </c>
      <c r="N29" s="24"/>
    </row>
    <row r="30" spans="1:19" s="34" customFormat="1" x14ac:dyDescent="0.35">
      <c r="A30" s="48">
        <v>45373</v>
      </c>
      <c r="B30" s="25" t="s">
        <v>83</v>
      </c>
      <c r="C30" s="21"/>
      <c r="D30" s="2" t="s">
        <v>99</v>
      </c>
      <c r="E30" s="2" t="s">
        <v>98</v>
      </c>
      <c r="F30" s="17" t="str">
        <f t="shared" si="0"/>
        <v>029/24 DUTTI TRANS SL</v>
      </c>
      <c r="G30" s="27">
        <f t="shared" si="1"/>
        <v>905</v>
      </c>
      <c r="H30" s="34">
        <v>21</v>
      </c>
      <c r="I30" s="41">
        <f t="shared" si="8"/>
        <v>190.05</v>
      </c>
      <c r="J30" s="41">
        <f t="shared" si="9"/>
        <v>905</v>
      </c>
      <c r="K30" s="33"/>
      <c r="L30" s="40">
        <f t="shared" si="10"/>
        <v>0</v>
      </c>
      <c r="M30" s="32">
        <v>1095.05</v>
      </c>
      <c r="N30" s="42"/>
      <c r="O30" s="43"/>
      <c r="P30" s="43"/>
      <c r="Q30" s="39"/>
    </row>
    <row r="31" spans="1:19" s="34" customFormat="1" x14ac:dyDescent="0.35">
      <c r="A31" s="48">
        <v>45373</v>
      </c>
      <c r="B31" s="25" t="s">
        <v>94</v>
      </c>
      <c r="C31" s="21"/>
      <c r="D31" s="31" t="s">
        <v>41</v>
      </c>
      <c r="E31" s="2" t="s">
        <v>40</v>
      </c>
      <c r="F31" s="17" t="str">
        <f t="shared" si="0"/>
        <v>030/24 TREVOLA, S.L.</v>
      </c>
      <c r="G31" s="27">
        <f t="shared" si="1"/>
        <v>334.04132231404958</v>
      </c>
      <c r="H31" s="34">
        <v>21</v>
      </c>
      <c r="I31" s="41">
        <f t="shared" si="8"/>
        <v>70.148677685950418</v>
      </c>
      <c r="J31" s="41">
        <f t="shared" si="9"/>
        <v>334.04132231404958</v>
      </c>
      <c r="K31" s="33"/>
      <c r="L31" s="40">
        <f t="shared" si="10"/>
        <v>0</v>
      </c>
      <c r="M31" s="32">
        <v>404.19</v>
      </c>
      <c r="N31" s="42"/>
      <c r="O31" s="43"/>
      <c r="P31" s="43"/>
      <c r="Q31" s="39"/>
    </row>
    <row r="32" spans="1:19" s="34" customFormat="1" x14ac:dyDescent="0.35">
      <c r="A32" s="48">
        <v>45373</v>
      </c>
      <c r="B32" s="25" t="s">
        <v>95</v>
      </c>
      <c r="C32" s="21"/>
      <c r="D32" s="2" t="s">
        <v>32</v>
      </c>
      <c r="E32" s="2" t="s">
        <v>33</v>
      </c>
      <c r="F32" s="17" t="str">
        <f t="shared" si="0"/>
        <v>031/24 INVERSIONES TERRENOS Y SERVICIOS, S.A.</v>
      </c>
      <c r="G32" s="27">
        <f t="shared" si="1"/>
        <v>556.19008264462809</v>
      </c>
      <c r="H32" s="34">
        <v>21</v>
      </c>
      <c r="I32" s="41">
        <f t="shared" si="8"/>
        <v>116.7999173553719</v>
      </c>
      <c r="J32" s="41">
        <f t="shared" si="9"/>
        <v>556.19008264462809</v>
      </c>
      <c r="K32" s="33"/>
      <c r="L32" s="40">
        <f t="shared" si="10"/>
        <v>0</v>
      </c>
      <c r="M32" s="32">
        <v>672.99</v>
      </c>
      <c r="N32" s="42"/>
      <c r="O32" s="43"/>
      <c r="P32" s="43"/>
      <c r="Q32" s="39"/>
    </row>
    <row r="33" spans="1:19" s="34" customFormat="1" x14ac:dyDescent="0.35">
      <c r="A33" s="48">
        <v>45373</v>
      </c>
      <c r="B33" s="25" t="s">
        <v>96</v>
      </c>
      <c r="C33" s="21"/>
      <c r="D33" s="2" t="s">
        <v>100</v>
      </c>
      <c r="E33" s="2" t="s">
        <v>101</v>
      </c>
      <c r="F33" s="17" t="str">
        <f t="shared" si="0"/>
        <v>032/24 GIUDECCA RESTAURANTS S.L.U.</v>
      </c>
      <c r="G33" s="27">
        <f t="shared" si="1"/>
        <v>200.5619834710744</v>
      </c>
      <c r="H33" s="34">
        <v>21</v>
      </c>
      <c r="I33" s="41">
        <f t="shared" si="8"/>
        <v>42.118016528925629</v>
      </c>
      <c r="J33" s="41">
        <f t="shared" si="9"/>
        <v>200.5619834710744</v>
      </c>
      <c r="K33" s="33"/>
      <c r="L33" s="40">
        <f t="shared" si="10"/>
        <v>0</v>
      </c>
      <c r="M33" s="32">
        <v>242.68</v>
      </c>
      <c r="N33" s="42"/>
      <c r="O33" s="43"/>
      <c r="P33" s="43"/>
      <c r="Q33" s="39"/>
    </row>
    <row r="34" spans="1:19" s="34" customFormat="1" x14ac:dyDescent="0.35">
      <c r="A34" s="48">
        <v>45373</v>
      </c>
      <c r="B34" s="25" t="s">
        <v>97</v>
      </c>
      <c r="C34" s="21"/>
      <c r="D34" s="2" t="s">
        <v>35</v>
      </c>
      <c r="E34" s="2" t="s">
        <v>34</v>
      </c>
      <c r="F34" s="17" t="str">
        <f t="shared" si="0"/>
        <v>033/24 SPANISH TAPAS INVESTMENTS, S.L.</v>
      </c>
      <c r="G34" s="27">
        <f t="shared" si="1"/>
        <v>120.51239669421487</v>
      </c>
      <c r="H34" s="34">
        <v>21</v>
      </c>
      <c r="I34" s="41">
        <f t="shared" si="8"/>
        <v>25.307603305785122</v>
      </c>
      <c r="J34" s="41">
        <f t="shared" si="9"/>
        <v>120.51239669421487</v>
      </c>
      <c r="K34" s="33"/>
      <c r="L34" s="40">
        <f t="shared" si="10"/>
        <v>0</v>
      </c>
      <c r="M34" s="32">
        <v>145.82</v>
      </c>
      <c r="N34" s="42"/>
      <c r="O34" s="43"/>
      <c r="P34" s="43"/>
      <c r="Q34" s="39"/>
    </row>
    <row r="35" spans="1:19" x14ac:dyDescent="0.35">
      <c r="A35" s="20">
        <v>45382</v>
      </c>
      <c r="B35" s="25" t="s">
        <v>102</v>
      </c>
      <c r="C35" s="25"/>
      <c r="D35" s="2" t="s">
        <v>39</v>
      </c>
      <c r="E35" s="31" t="s">
        <v>38</v>
      </c>
      <c r="F35" s="17" t="str">
        <f t="shared" si="0"/>
        <v>034/24 ANTONIO SIGUERO S.L.</v>
      </c>
      <c r="G35" s="27">
        <f t="shared" si="1"/>
        <v>7696.1900826446281</v>
      </c>
      <c r="H35" s="34">
        <v>21</v>
      </c>
      <c r="I35" s="27">
        <f t="shared" si="8"/>
        <v>1616.1999173553718</v>
      </c>
      <c r="J35" s="27">
        <f t="shared" si="9"/>
        <v>7696.1900826446281</v>
      </c>
      <c r="K35" s="18"/>
      <c r="L35" s="17">
        <f t="shared" si="10"/>
        <v>0</v>
      </c>
      <c r="M35" s="32">
        <v>9312.39</v>
      </c>
      <c r="N35" s="24"/>
    </row>
    <row r="36" spans="1:19" x14ac:dyDescent="0.35">
      <c r="A36" s="20">
        <v>45382</v>
      </c>
      <c r="B36" s="25" t="s">
        <v>103</v>
      </c>
      <c r="C36" s="25"/>
      <c r="D36" s="25" t="s">
        <v>108</v>
      </c>
      <c r="E36" s="25" t="s">
        <v>107</v>
      </c>
      <c r="F36" s="17" t="str">
        <f t="shared" si="0"/>
        <v>035/24 PERFECT VIEWS S.L.</v>
      </c>
      <c r="G36" s="27">
        <f t="shared" si="1"/>
        <v>265.43801652892563</v>
      </c>
      <c r="H36" s="33">
        <v>21</v>
      </c>
      <c r="I36" s="27">
        <f t="shared" si="8"/>
        <v>55.741983471074384</v>
      </c>
      <c r="J36" s="27">
        <f t="shared" si="9"/>
        <v>265.43801652892563</v>
      </c>
      <c r="K36" s="18"/>
      <c r="L36" s="17">
        <f t="shared" si="10"/>
        <v>0</v>
      </c>
      <c r="M36" s="32">
        <v>321.18</v>
      </c>
      <c r="N36" s="24"/>
    </row>
    <row r="37" spans="1:19" x14ac:dyDescent="0.35">
      <c r="A37" s="20">
        <v>45382</v>
      </c>
      <c r="B37" s="25" t="s">
        <v>104</v>
      </c>
      <c r="C37" s="25"/>
      <c r="D37" s="2" t="s">
        <v>26</v>
      </c>
      <c r="E37" s="2" t="s">
        <v>23</v>
      </c>
      <c r="F37" s="17" t="str">
        <f t="shared" si="0"/>
        <v>036/24 RESTAURANTE URRECHU CLUB, S.L.</v>
      </c>
      <c r="G37" s="27">
        <f t="shared" si="1"/>
        <v>176.08264462809919</v>
      </c>
      <c r="H37" s="33">
        <v>21</v>
      </c>
      <c r="I37" s="27">
        <f t="shared" si="8"/>
        <v>36.977355371900828</v>
      </c>
      <c r="J37" s="27">
        <f t="shared" si="9"/>
        <v>176.08264462809919</v>
      </c>
      <c r="K37" s="18"/>
      <c r="L37" s="17">
        <f t="shared" si="10"/>
        <v>0</v>
      </c>
      <c r="M37" s="32">
        <v>213.06</v>
      </c>
      <c r="N37" s="24"/>
    </row>
    <row r="38" spans="1:19" x14ac:dyDescent="0.35">
      <c r="A38" s="20">
        <v>45382</v>
      </c>
      <c r="B38" s="25" t="s">
        <v>105</v>
      </c>
      <c r="C38" s="25"/>
      <c r="D38" s="30" t="s">
        <v>25</v>
      </c>
      <c r="E38" s="2" t="s">
        <v>21</v>
      </c>
      <c r="F38" s="17" t="str">
        <f t="shared" si="0"/>
        <v>037/24 REAL CANOE NATACION CLUB</v>
      </c>
      <c r="G38" s="27">
        <f t="shared" si="1"/>
        <v>8317.6198347107438</v>
      </c>
      <c r="H38" s="33">
        <v>21</v>
      </c>
      <c r="I38" s="27">
        <f t="shared" si="8"/>
        <v>1746.7001652892563</v>
      </c>
      <c r="J38" s="27">
        <f t="shared" si="9"/>
        <v>8317.6198347107438</v>
      </c>
      <c r="K38" s="18"/>
      <c r="L38" s="17">
        <f t="shared" si="10"/>
        <v>0</v>
      </c>
      <c r="M38" s="32">
        <v>10064.32</v>
      </c>
      <c r="N38" s="24"/>
    </row>
    <row r="39" spans="1:19" x14ac:dyDescent="0.35">
      <c r="A39" s="20">
        <v>45382</v>
      </c>
      <c r="B39" s="25" t="s">
        <v>106</v>
      </c>
      <c r="C39" s="25"/>
      <c r="D39" s="25" t="s">
        <v>110</v>
      </c>
      <c r="E39" s="25" t="s">
        <v>109</v>
      </c>
      <c r="F39" s="17" t="str">
        <f t="shared" si="0"/>
        <v>N/F 038/24 UZ LA FINCA S.L.</v>
      </c>
      <c r="G39" s="27">
        <f t="shared" si="1"/>
        <v>180.7685950413223</v>
      </c>
      <c r="H39">
        <v>21</v>
      </c>
      <c r="I39" s="27">
        <f t="shared" si="8"/>
        <v>37.961404958677683</v>
      </c>
      <c r="J39" s="5">
        <f t="shared" si="9"/>
        <v>180.7685950413223</v>
      </c>
      <c r="L39" s="5">
        <f t="shared" si="10"/>
        <v>0</v>
      </c>
      <c r="M39" s="32">
        <v>218.73</v>
      </c>
      <c r="S39" t="s">
        <v>20</v>
      </c>
    </row>
    <row r="40" spans="1:19" x14ac:dyDescent="0.35">
      <c r="A40" s="23"/>
      <c r="B40" s="21"/>
      <c r="C40" s="21"/>
      <c r="D40" s="21"/>
      <c r="E40" s="21"/>
      <c r="F40" s="17"/>
      <c r="G40" s="27"/>
      <c r="H40" s="34"/>
      <c r="I40" s="27"/>
      <c r="J40" s="27"/>
      <c r="K40" s="18"/>
      <c r="L40" s="17"/>
      <c r="M40" s="28"/>
      <c r="N40" s="24"/>
    </row>
    <row r="41" spans="1:19" ht="15" thickBot="1" x14ac:dyDescent="0.4">
      <c r="A41" s="23"/>
      <c r="B41" s="21"/>
      <c r="C41" s="21"/>
      <c r="D41" s="21"/>
      <c r="E41" s="21"/>
      <c r="F41" s="17"/>
      <c r="G41" s="27"/>
      <c r="H41" s="18"/>
      <c r="I41" s="27"/>
      <c r="J41" s="27"/>
      <c r="K41" s="18"/>
      <c r="L41" s="17"/>
      <c r="M41" s="28"/>
      <c r="N41" s="24"/>
    </row>
    <row r="42" spans="1:19" ht="15" thickBot="1" x14ac:dyDescent="0.4">
      <c r="A42" s="23"/>
      <c r="B42" s="21"/>
      <c r="C42" s="21"/>
      <c r="D42" s="21"/>
      <c r="E42" s="21"/>
      <c r="G42" s="26">
        <f>SUM(G2:G41)</f>
        <v>59526.305785123965</v>
      </c>
      <c r="I42" s="26">
        <f>SUM(I2:I41)</f>
        <v>12500.524214876035</v>
      </c>
      <c r="J42" s="27"/>
      <c r="K42" s="18"/>
      <c r="L42" s="17"/>
      <c r="M42" s="26">
        <f>SUM(M2:M41)</f>
        <v>72026.829999999973</v>
      </c>
      <c r="N42" s="2"/>
      <c r="Q42"/>
    </row>
    <row r="43" spans="1:19" x14ac:dyDescent="0.35">
      <c r="A43" s="23"/>
      <c r="B43" s="21"/>
      <c r="C43" s="21"/>
      <c r="D43" s="21"/>
      <c r="E43" s="21"/>
      <c r="F43" s="17"/>
      <c r="G43" s="27"/>
      <c r="H43" s="18"/>
      <c r="I43" s="27"/>
      <c r="J43" s="22"/>
      <c r="K43" s="23"/>
      <c r="L43" s="22"/>
      <c r="M43" s="28"/>
      <c r="N43" s="24"/>
    </row>
    <row r="44" spans="1:19" x14ac:dyDescent="0.35">
      <c r="A44" s="23"/>
      <c r="B44" s="21"/>
      <c r="C44" s="21"/>
      <c r="D44" s="21"/>
      <c r="E44" s="21"/>
      <c r="F44" s="22"/>
      <c r="G44" s="22"/>
      <c r="H44" s="23"/>
      <c r="I44" s="22"/>
      <c r="J44" s="22"/>
      <c r="K44" s="23"/>
      <c r="L44" s="22"/>
      <c r="M44" s="28"/>
      <c r="N44" s="24"/>
      <c r="S44" t="s">
        <v>20</v>
      </c>
    </row>
    <row r="45" spans="1:19" x14ac:dyDescent="0.35">
      <c r="A45" s="23"/>
      <c r="B45" s="21"/>
      <c r="C45" s="21"/>
      <c r="D45" s="21"/>
      <c r="E45" s="21"/>
      <c r="F45" s="22"/>
      <c r="G45" s="22"/>
      <c r="H45" s="23"/>
      <c r="I45" s="22"/>
      <c r="J45" s="22"/>
      <c r="K45" s="23"/>
      <c r="L45" s="22"/>
      <c r="M45" s="28"/>
      <c r="N45" s="24"/>
      <c r="S45" t="s">
        <v>20</v>
      </c>
    </row>
    <row r="46" spans="1:19" x14ac:dyDescent="0.35">
      <c r="A46" s="23"/>
      <c r="B46" s="21"/>
      <c r="C46" s="21"/>
      <c r="D46" s="21"/>
      <c r="E46" s="21"/>
      <c r="F46" s="22"/>
      <c r="G46" s="22"/>
      <c r="H46" s="23"/>
      <c r="I46" s="22"/>
      <c r="J46" s="22"/>
      <c r="K46" s="23"/>
      <c r="L46" s="22"/>
      <c r="M46" s="28"/>
      <c r="N46" s="24"/>
      <c r="S46" t="s">
        <v>20</v>
      </c>
    </row>
    <row r="47" spans="1:19" x14ac:dyDescent="0.35">
      <c r="A47" s="23"/>
      <c r="B47" s="21"/>
      <c r="C47" s="21"/>
      <c r="D47" s="21"/>
      <c r="E47" s="21"/>
      <c r="F47" s="22"/>
      <c r="G47" s="22"/>
      <c r="H47" s="23"/>
      <c r="I47" s="22"/>
      <c r="J47" s="22"/>
      <c r="K47" s="23"/>
      <c r="L47" s="22"/>
      <c r="M47" s="28"/>
      <c r="N47" s="24"/>
      <c r="S47" t="s">
        <v>20</v>
      </c>
    </row>
    <row r="48" spans="1:19" x14ac:dyDescent="0.35">
      <c r="A48" s="23"/>
      <c r="B48" s="21"/>
      <c r="C48" s="21"/>
      <c r="D48" s="21"/>
      <c r="E48" s="21"/>
      <c r="F48" s="22"/>
      <c r="G48" s="22"/>
      <c r="H48" s="23"/>
      <c r="I48" s="22"/>
      <c r="J48" s="22"/>
      <c r="K48" s="23"/>
      <c r="L48" s="22"/>
      <c r="M48" s="28"/>
      <c r="N48" s="24"/>
      <c r="S48" t="s">
        <v>20</v>
      </c>
    </row>
    <row r="49" spans="1:19" x14ac:dyDescent="0.35">
      <c r="A49" s="23"/>
      <c r="B49" s="21"/>
      <c r="C49" s="21"/>
      <c r="D49" s="21"/>
      <c r="E49" s="21"/>
      <c r="F49" s="22"/>
      <c r="G49" s="22"/>
      <c r="H49" s="23"/>
      <c r="I49" s="22"/>
      <c r="J49" s="22"/>
      <c r="K49" s="23"/>
      <c r="L49" s="22"/>
      <c r="M49" s="28"/>
      <c r="N49" s="24"/>
      <c r="S49" t="s">
        <v>20</v>
      </c>
    </row>
    <row r="50" spans="1:19" x14ac:dyDescent="0.35">
      <c r="A50" s="23"/>
      <c r="B50" s="21"/>
      <c r="C50" s="21"/>
      <c r="D50" s="21"/>
      <c r="E50" s="21"/>
      <c r="F50" s="22"/>
      <c r="G50" s="22"/>
      <c r="H50" s="23"/>
      <c r="I50" s="22"/>
      <c r="J50" s="22"/>
      <c r="K50" s="23"/>
      <c r="L50" s="22"/>
      <c r="M50" s="28"/>
      <c r="N50" s="24"/>
      <c r="S50" t="s">
        <v>20</v>
      </c>
    </row>
    <row r="51" spans="1:19" x14ac:dyDescent="0.35">
      <c r="A51" s="23"/>
      <c r="B51" s="21"/>
      <c r="C51" s="21"/>
      <c r="D51" s="21"/>
      <c r="E51" s="21"/>
      <c r="F51" s="22"/>
      <c r="G51" s="22"/>
      <c r="H51" s="23"/>
      <c r="I51" s="22"/>
      <c r="J51" s="22"/>
      <c r="K51" s="23"/>
      <c r="L51" s="22"/>
      <c r="M51" s="28"/>
      <c r="N51" s="24"/>
      <c r="S51" t="s">
        <v>20</v>
      </c>
    </row>
    <row r="52" spans="1:19" x14ac:dyDescent="0.35">
      <c r="A52" s="23"/>
      <c r="B52" s="21"/>
      <c r="C52" s="21"/>
      <c r="D52" s="21"/>
      <c r="E52" s="21"/>
      <c r="F52" s="22"/>
      <c r="G52" s="22"/>
      <c r="H52" s="23"/>
      <c r="I52" s="22"/>
      <c r="J52" s="22"/>
      <c r="K52" s="23"/>
      <c r="L52" s="22"/>
      <c r="M52" s="28"/>
      <c r="N52" s="24"/>
      <c r="S52" t="s">
        <v>20</v>
      </c>
    </row>
    <row r="53" spans="1:19" x14ac:dyDescent="0.35">
      <c r="A53" s="23"/>
      <c r="B53" s="21"/>
      <c r="C53" s="21"/>
      <c r="D53" s="21"/>
      <c r="E53" s="21"/>
      <c r="F53" s="22"/>
      <c r="G53" s="22"/>
      <c r="H53" s="23"/>
      <c r="I53" s="22"/>
      <c r="J53" s="22"/>
      <c r="K53" s="23"/>
      <c r="L53" s="22"/>
      <c r="M53" s="28"/>
      <c r="N53" s="24"/>
      <c r="S53" t="s">
        <v>20</v>
      </c>
    </row>
    <row r="54" spans="1:19" x14ac:dyDescent="0.35">
      <c r="A54" s="23"/>
      <c r="B54" s="21"/>
      <c r="C54" s="21"/>
      <c r="D54" s="21"/>
      <c r="E54" s="21"/>
      <c r="F54" s="22"/>
      <c r="G54" s="22"/>
      <c r="H54" s="23"/>
      <c r="I54" s="22"/>
      <c r="J54" s="22"/>
      <c r="K54" s="23"/>
      <c r="L54" s="22"/>
      <c r="M54" s="28"/>
      <c r="N54" s="24"/>
      <c r="S54" t="s">
        <v>20</v>
      </c>
    </row>
    <row r="55" spans="1:19" x14ac:dyDescent="0.35">
      <c r="A55" s="23"/>
      <c r="B55" s="21"/>
      <c r="C55" s="21"/>
      <c r="D55" s="21"/>
      <c r="E55" s="21"/>
      <c r="F55" s="22"/>
      <c r="G55" s="22"/>
      <c r="H55" s="23"/>
      <c r="I55" s="22"/>
      <c r="J55" s="22"/>
      <c r="K55" s="23"/>
      <c r="L55" s="22"/>
      <c r="M55" s="28"/>
      <c r="N55" s="24"/>
      <c r="S55" t="s">
        <v>20</v>
      </c>
    </row>
    <row r="56" spans="1:19" x14ac:dyDescent="0.35">
      <c r="A56" s="23"/>
      <c r="B56" s="21"/>
      <c r="C56" s="21"/>
      <c r="D56" s="21"/>
      <c r="E56" s="21"/>
      <c r="F56" s="22"/>
      <c r="G56" s="22"/>
      <c r="H56" s="23"/>
      <c r="I56" s="22"/>
      <c r="J56" s="22"/>
      <c r="K56" s="23"/>
      <c r="L56" s="22"/>
      <c r="M56" s="28"/>
      <c r="N56" s="24"/>
      <c r="S56" t="s">
        <v>20</v>
      </c>
    </row>
    <row r="57" spans="1:19" x14ac:dyDescent="0.35">
      <c r="F57" s="22"/>
      <c r="G57" s="22"/>
      <c r="H57" s="23"/>
      <c r="I57" s="22"/>
      <c r="J57" s="22"/>
      <c r="K57" s="23"/>
      <c r="L57" s="22"/>
      <c r="M57" s="29"/>
      <c r="N57" s="24"/>
      <c r="S57" t="s">
        <v>20</v>
      </c>
    </row>
    <row r="58" spans="1:19" x14ac:dyDescent="0.35">
      <c r="F58" s="22"/>
      <c r="G58" s="22"/>
      <c r="H58" s="23"/>
      <c r="I58" s="22"/>
      <c r="J58" s="22"/>
      <c r="K58" s="23"/>
      <c r="L58" s="22"/>
      <c r="M58" s="29"/>
      <c r="N58" s="24"/>
      <c r="S58" t="s">
        <v>20</v>
      </c>
    </row>
    <row r="59" spans="1:19" x14ac:dyDescent="0.35">
      <c r="F59" s="22"/>
      <c r="G59" s="22"/>
      <c r="H59" s="23"/>
      <c r="I59" s="22"/>
      <c r="J59" s="22"/>
      <c r="K59" s="23"/>
      <c r="L59" s="22"/>
      <c r="M59" s="29"/>
      <c r="N59" s="24"/>
      <c r="S59" t="s">
        <v>20</v>
      </c>
    </row>
    <row r="60" spans="1:19" x14ac:dyDescent="0.35">
      <c r="F60" s="22"/>
      <c r="G60" s="22"/>
      <c r="H60" s="23"/>
      <c r="I60" s="22"/>
      <c r="J60" s="22"/>
      <c r="K60" s="23"/>
      <c r="L60" s="22"/>
      <c r="M60" s="29"/>
      <c r="N60" s="24"/>
      <c r="S60" t="s">
        <v>20</v>
      </c>
    </row>
    <row r="61" spans="1:19" x14ac:dyDescent="0.35">
      <c r="F61" s="22"/>
      <c r="G61" s="22"/>
      <c r="H61" s="23"/>
      <c r="I61" s="22"/>
      <c r="J61" s="22"/>
      <c r="K61" s="23"/>
      <c r="L61" s="22"/>
      <c r="M61" s="29"/>
      <c r="N61" s="24"/>
      <c r="S61" t="s">
        <v>20</v>
      </c>
    </row>
    <row r="62" spans="1:19" x14ac:dyDescent="0.35">
      <c r="F62" s="22"/>
      <c r="G62" s="22"/>
      <c r="H62" s="23"/>
      <c r="I62" s="22"/>
      <c r="J62" s="22"/>
      <c r="K62" s="23"/>
      <c r="L62" s="22"/>
      <c r="M62" s="29"/>
      <c r="N62" s="24"/>
      <c r="S62" t="s">
        <v>20</v>
      </c>
    </row>
    <row r="63" spans="1:19" x14ac:dyDescent="0.35">
      <c r="F63" s="22"/>
      <c r="G63" s="22"/>
      <c r="H63" s="23"/>
      <c r="I63" s="22"/>
      <c r="J63" s="22"/>
      <c r="K63" s="23"/>
      <c r="L63" s="22"/>
      <c r="M63" s="29"/>
      <c r="N63" s="24"/>
      <c r="S63" t="s">
        <v>20</v>
      </c>
    </row>
    <row r="64" spans="1:19" x14ac:dyDescent="0.35">
      <c r="F64" s="22"/>
      <c r="G64" s="22"/>
      <c r="H64" s="23"/>
      <c r="I64" s="22"/>
      <c r="J64" s="22"/>
      <c r="K64" s="23"/>
      <c r="L64" s="22"/>
      <c r="M64" s="29"/>
      <c r="N64" s="24"/>
      <c r="S64" t="s">
        <v>20</v>
      </c>
    </row>
    <row r="65" spans="6:19" x14ac:dyDescent="0.35">
      <c r="F65" s="22"/>
      <c r="G65" s="22"/>
      <c r="H65" s="23"/>
      <c r="I65" s="22"/>
      <c r="J65" s="22"/>
      <c r="K65" s="23"/>
      <c r="L65" s="22"/>
      <c r="N65" s="24"/>
      <c r="S65" t="s">
        <v>20</v>
      </c>
    </row>
    <row r="66" spans="6:19" x14ac:dyDescent="0.35">
      <c r="F66" s="22"/>
      <c r="G66" s="22"/>
      <c r="H66" s="23"/>
      <c r="I66" s="22"/>
      <c r="J66" s="22"/>
      <c r="K66" s="23"/>
      <c r="L66" s="22"/>
      <c r="N66" s="24"/>
      <c r="S66" t="s">
        <v>20</v>
      </c>
    </row>
    <row r="67" spans="6:19" x14ac:dyDescent="0.35">
      <c r="F67" s="22"/>
      <c r="G67" s="22"/>
      <c r="H67" s="23"/>
      <c r="I67" s="22"/>
      <c r="J67" s="22"/>
      <c r="K67" s="23"/>
      <c r="L67" s="22"/>
      <c r="N67" s="24"/>
      <c r="S67" t="s">
        <v>20</v>
      </c>
    </row>
    <row r="68" spans="6:19" x14ac:dyDescent="0.35">
      <c r="F68" s="22"/>
      <c r="G68" s="22"/>
      <c r="H68" s="23"/>
      <c r="I68" s="22"/>
      <c r="J68" s="22"/>
      <c r="K68" s="23"/>
      <c r="L68" s="22"/>
      <c r="N68" s="24"/>
      <c r="S68" t="s">
        <v>20</v>
      </c>
    </row>
    <row r="69" spans="6:19" x14ac:dyDescent="0.35">
      <c r="F69" s="22"/>
      <c r="G69" s="22"/>
      <c r="H69" s="23"/>
      <c r="I69" s="22"/>
      <c r="J69" s="22"/>
      <c r="K69" s="23"/>
      <c r="L69" s="22"/>
      <c r="N69" s="24"/>
      <c r="S69" t="s">
        <v>20</v>
      </c>
    </row>
    <row r="70" spans="6:19" x14ac:dyDescent="0.35">
      <c r="F70" s="22"/>
      <c r="G70" s="22"/>
      <c r="H70" s="23"/>
      <c r="I70" s="22"/>
      <c r="J70" s="22"/>
      <c r="K70" s="23"/>
      <c r="L70" s="22"/>
      <c r="N70" s="24"/>
      <c r="S70" t="s">
        <v>20</v>
      </c>
    </row>
    <row r="71" spans="6:19" x14ac:dyDescent="0.35">
      <c r="F71" s="22"/>
      <c r="G71" s="22"/>
      <c r="H71" s="23"/>
      <c r="I71" s="22"/>
      <c r="J71" s="22"/>
      <c r="K71" s="23"/>
      <c r="L71" s="22"/>
      <c r="N71" s="24"/>
      <c r="S71" t="s">
        <v>20</v>
      </c>
    </row>
    <row r="72" spans="6:19" x14ac:dyDescent="0.35">
      <c r="F72" s="22"/>
      <c r="G72" s="22"/>
      <c r="H72" s="23"/>
      <c r="I72" s="22"/>
      <c r="J72" s="22"/>
      <c r="K72" s="23"/>
      <c r="L72" s="22"/>
      <c r="N72" s="24"/>
      <c r="S72" t="s">
        <v>20</v>
      </c>
    </row>
    <row r="73" spans="6:19" x14ac:dyDescent="0.35">
      <c r="F73" s="22"/>
      <c r="G73" s="22"/>
      <c r="H73" s="23"/>
      <c r="I73" s="22"/>
      <c r="J73" s="22"/>
      <c r="K73" s="23"/>
      <c r="L73" s="22"/>
      <c r="N73" s="24"/>
      <c r="S73" t="s">
        <v>20</v>
      </c>
    </row>
    <row r="74" spans="6:19" x14ac:dyDescent="0.35">
      <c r="F74" s="22"/>
      <c r="G74" s="22"/>
      <c r="H74" s="23"/>
      <c r="I74" s="22"/>
      <c r="J74" s="22"/>
      <c r="K74" s="23"/>
      <c r="L74" s="22"/>
      <c r="N74" s="24"/>
      <c r="S74" t="s">
        <v>20</v>
      </c>
    </row>
    <row r="75" spans="6:19" x14ac:dyDescent="0.35">
      <c r="F75" s="22"/>
      <c r="G75" s="22"/>
      <c r="H75" s="23"/>
      <c r="I75" s="22"/>
      <c r="J75" s="22"/>
      <c r="K75" s="23"/>
      <c r="L75" s="22"/>
      <c r="N75" s="24"/>
      <c r="S75" t="s">
        <v>20</v>
      </c>
    </row>
    <row r="76" spans="6:19" x14ac:dyDescent="0.35">
      <c r="F76" s="22"/>
      <c r="G76" s="22"/>
      <c r="H76" s="23"/>
      <c r="I76" s="22"/>
      <c r="J76" s="22"/>
      <c r="K76" s="23"/>
      <c r="L76" s="22"/>
      <c r="N76" s="24"/>
      <c r="S76" t="s">
        <v>20</v>
      </c>
    </row>
    <row r="77" spans="6:19" x14ac:dyDescent="0.35">
      <c r="F77" s="22"/>
      <c r="G77" s="22"/>
      <c r="H77" s="23"/>
      <c r="I77" s="22"/>
      <c r="J77" s="22"/>
      <c r="K77" s="23"/>
      <c r="L77" s="22"/>
      <c r="N77" s="24"/>
      <c r="S77" t="s">
        <v>20</v>
      </c>
    </row>
    <row r="78" spans="6:19" x14ac:dyDescent="0.35">
      <c r="F78" s="22"/>
      <c r="G78" s="22"/>
      <c r="H78" s="23"/>
      <c r="I78" s="22"/>
      <c r="J78" s="22"/>
      <c r="K78" s="23"/>
      <c r="L78" s="22"/>
      <c r="N78" s="24"/>
      <c r="S78" t="s">
        <v>20</v>
      </c>
    </row>
    <row r="79" spans="6:19" x14ac:dyDescent="0.35">
      <c r="F79" s="22"/>
      <c r="G79" s="22"/>
      <c r="H79" s="23"/>
      <c r="I79" s="22"/>
      <c r="J79" s="22"/>
      <c r="K79" s="23"/>
      <c r="L79" s="22"/>
      <c r="N79" s="24"/>
      <c r="S79" t="s">
        <v>20</v>
      </c>
    </row>
    <row r="80" spans="6:19" x14ac:dyDescent="0.35">
      <c r="F80" s="22"/>
      <c r="G80" s="22"/>
      <c r="H80" s="23"/>
      <c r="I80" s="22"/>
      <c r="J80" s="22"/>
      <c r="K80" s="23"/>
      <c r="L80" s="22"/>
      <c r="N80" s="24"/>
      <c r="S80" t="s">
        <v>20</v>
      </c>
    </row>
    <row r="81" spans="6:19" x14ac:dyDescent="0.35">
      <c r="F81" s="22"/>
      <c r="G81" s="22"/>
      <c r="H81" s="23"/>
      <c r="I81" s="22"/>
      <c r="J81" s="22"/>
      <c r="K81" s="23"/>
      <c r="L81" s="22"/>
      <c r="N81" s="24"/>
      <c r="S81" t="s">
        <v>20</v>
      </c>
    </row>
    <row r="82" spans="6:19" x14ac:dyDescent="0.35">
      <c r="F82" s="22"/>
      <c r="G82" s="22"/>
      <c r="H82" s="23"/>
      <c r="I82" s="22"/>
      <c r="J82" s="22"/>
      <c r="K82" s="23"/>
      <c r="L82" s="22"/>
      <c r="N82" s="24"/>
      <c r="S82" t="s">
        <v>20</v>
      </c>
    </row>
    <row r="83" spans="6:19" x14ac:dyDescent="0.35">
      <c r="F83" s="22"/>
      <c r="G83" s="22"/>
      <c r="H83" s="23"/>
      <c r="I83" s="22"/>
      <c r="J83" s="22"/>
      <c r="K83" s="23"/>
      <c r="L83" s="22"/>
      <c r="N83" s="24"/>
      <c r="S83" t="s">
        <v>20</v>
      </c>
    </row>
    <row r="84" spans="6:19" x14ac:dyDescent="0.35">
      <c r="F84" s="22"/>
      <c r="G84" s="22"/>
      <c r="H84" s="23"/>
      <c r="I84" s="22"/>
      <c r="J84" s="22"/>
      <c r="K84" s="23"/>
      <c r="L84" s="22"/>
      <c r="N84" s="24"/>
      <c r="S84" t="s">
        <v>20</v>
      </c>
    </row>
    <row r="85" spans="6:19" x14ac:dyDescent="0.35">
      <c r="F85" s="22"/>
      <c r="G85" s="22"/>
      <c r="H85" s="23"/>
      <c r="I85" s="22"/>
      <c r="J85" s="22"/>
      <c r="K85" s="23"/>
      <c r="L85" s="22"/>
      <c r="N85" s="24"/>
      <c r="S85" t="s">
        <v>20</v>
      </c>
    </row>
    <row r="86" spans="6:19" x14ac:dyDescent="0.35">
      <c r="F86" s="22"/>
      <c r="G86" s="22"/>
      <c r="H86" s="23"/>
      <c r="I86" s="22"/>
      <c r="J86" s="22"/>
      <c r="K86" s="23"/>
      <c r="L86" s="22"/>
      <c r="N86" s="24"/>
      <c r="S86" t="s">
        <v>20</v>
      </c>
    </row>
    <row r="87" spans="6:19" x14ac:dyDescent="0.35">
      <c r="F87" s="22"/>
      <c r="G87" s="22"/>
      <c r="H87" s="23"/>
      <c r="I87" s="22"/>
      <c r="J87" s="22"/>
      <c r="K87" s="23"/>
      <c r="L87" s="22"/>
      <c r="N87" s="24"/>
      <c r="S87" t="s">
        <v>20</v>
      </c>
    </row>
    <row r="88" spans="6:19" x14ac:dyDescent="0.35">
      <c r="F88" s="22"/>
      <c r="G88" s="22"/>
      <c r="H88" s="23"/>
      <c r="I88" s="22"/>
      <c r="N88" s="24"/>
      <c r="S88" t="s">
        <v>20</v>
      </c>
    </row>
    <row r="89" spans="6:19" x14ac:dyDescent="0.35">
      <c r="S89" t="s">
        <v>20</v>
      </c>
    </row>
    <row r="90" spans="6:19" x14ac:dyDescent="0.35">
      <c r="S90" t="s">
        <v>20</v>
      </c>
    </row>
    <row r="91" spans="6:19" x14ac:dyDescent="0.35">
      <c r="S91" t="s">
        <v>20</v>
      </c>
    </row>
    <row r="92" spans="6:19" x14ac:dyDescent="0.35">
      <c r="S92" t="s">
        <v>20</v>
      </c>
    </row>
    <row r="93" spans="6:19" x14ac:dyDescent="0.35">
      <c r="S93" t="s">
        <v>20</v>
      </c>
    </row>
    <row r="94" spans="6:19" x14ac:dyDescent="0.35">
      <c r="S94" t="s">
        <v>20</v>
      </c>
    </row>
    <row r="95" spans="6:19" x14ac:dyDescent="0.35">
      <c r="S95" t="s">
        <v>20</v>
      </c>
    </row>
    <row r="96" spans="6:19" x14ac:dyDescent="0.35">
      <c r="S96" t="s">
        <v>20</v>
      </c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89"/>
  <sheetViews>
    <sheetView topLeftCell="A5" workbookViewId="0">
      <selection activeCell="D23" sqref="D23:E23"/>
    </sheetView>
  </sheetViews>
  <sheetFormatPr baseColWidth="10" defaultRowHeight="14.5" x14ac:dyDescent="0.35"/>
  <cols>
    <col min="1" max="1" width="11.54296875" bestFit="1" customWidth="1"/>
    <col min="2" max="2" width="6.6328125" style="2" bestFit="1" customWidth="1"/>
    <col min="3" max="3" width="4.26953125" style="2" customWidth="1"/>
    <col min="4" max="4" width="10.6328125" style="2" bestFit="1" customWidth="1"/>
    <col min="5" max="5" width="38.26953125" style="2" bestFit="1" customWidth="1"/>
    <col min="6" max="6" width="26.08984375" style="5" customWidth="1"/>
    <col min="7" max="7" width="11.54296875" style="5" customWidth="1"/>
    <col min="8" max="8" width="5.6328125" bestFit="1" customWidth="1"/>
    <col min="9" max="9" width="13.36328125" style="5" customWidth="1"/>
    <col min="10" max="10" width="11.6328125" style="5" customWidth="1"/>
    <col min="11" max="11" width="6.08984375" customWidth="1"/>
    <col min="12" max="12" width="8.54296875" style="5" customWidth="1"/>
    <col min="13" max="13" width="10.6328125" style="8" customWidth="1"/>
    <col min="14" max="14" width="14.90625" style="3" bestFit="1" customWidth="1"/>
    <col min="15" max="16" width="11.453125" style="3" customWidth="1"/>
    <col min="17" max="17" width="12.54296875" style="2" customWidth="1"/>
    <col min="18" max="18" width="14.08984375" customWidth="1"/>
  </cols>
  <sheetData>
    <row r="1" spans="1:19" s="1" customFormat="1" ht="30" customHeight="1" x14ac:dyDescent="0.35">
      <c r="A1" s="12" t="s">
        <v>0</v>
      </c>
      <c r="B1" s="13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1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54">
        <v>45392</v>
      </c>
      <c r="B2" s="55" t="s">
        <v>318</v>
      </c>
      <c r="D2" s="2" t="s">
        <v>24</v>
      </c>
      <c r="E2" s="31" t="s">
        <v>22</v>
      </c>
      <c r="F2" s="5" t="str">
        <f>CONCATENATE(S2,B2," ",E2)</f>
        <v>N/F 039/24 CONVER FORMAT 98, S.L.</v>
      </c>
      <c r="G2" s="5">
        <f>M2/(1-K2/100+H2/100)</f>
        <v>325.37190082644628</v>
      </c>
      <c r="H2">
        <v>21</v>
      </c>
      <c r="I2" s="5">
        <f>G2*H2/100</f>
        <v>68.328099173553724</v>
      </c>
      <c r="J2" s="5">
        <f>G2</f>
        <v>325.37190082644628</v>
      </c>
      <c r="K2">
        <v>0</v>
      </c>
      <c r="L2" s="5">
        <f>J2*K2/100</f>
        <v>0</v>
      </c>
      <c r="M2" s="57">
        <v>393.7</v>
      </c>
      <c r="S2" t="s">
        <v>20</v>
      </c>
    </row>
    <row r="3" spans="1:19" x14ac:dyDescent="0.35">
      <c r="A3" s="54">
        <v>45392</v>
      </c>
      <c r="B3" s="55" t="s">
        <v>319</v>
      </c>
      <c r="D3" s="2" t="s">
        <v>35</v>
      </c>
      <c r="E3" s="2" t="s">
        <v>34</v>
      </c>
      <c r="F3" s="5" t="str">
        <f t="shared" ref="F3:F44" si="0">CONCATENATE(S3,B3," ",E3)</f>
        <v>N/F 040/24 SPANISH TAPAS INVESTMENTS, S.L.</v>
      </c>
      <c r="G3" s="5">
        <f t="shared" ref="G3:G44" si="1">M3/(1-K3/100+H3/100)</f>
        <v>85.512396694214871</v>
      </c>
      <c r="H3">
        <v>21</v>
      </c>
      <c r="I3" s="5">
        <f>G3*H3/100</f>
        <v>17.957603305785124</v>
      </c>
      <c r="J3" s="5">
        <f>G3</f>
        <v>85.512396694214871</v>
      </c>
      <c r="K3">
        <v>0</v>
      </c>
      <c r="L3" s="5">
        <f>J3*K3/100</f>
        <v>0</v>
      </c>
      <c r="M3" s="57">
        <v>103.47</v>
      </c>
      <c r="S3" t="s">
        <v>20</v>
      </c>
    </row>
    <row r="4" spans="1:19" x14ac:dyDescent="0.35">
      <c r="A4" s="54">
        <v>45397</v>
      </c>
      <c r="B4" s="55" t="s">
        <v>320</v>
      </c>
      <c r="D4" s="2" t="s">
        <v>24</v>
      </c>
      <c r="E4" s="31" t="s">
        <v>22</v>
      </c>
      <c r="F4" s="5" t="str">
        <f t="shared" si="0"/>
        <v>N/F 041/24 CONVER FORMAT 98, S.L.</v>
      </c>
      <c r="G4" s="5">
        <f t="shared" si="1"/>
        <v>238.27272727272728</v>
      </c>
      <c r="H4">
        <v>21</v>
      </c>
      <c r="I4" s="5">
        <f t="shared" ref="I4:I44" si="2">G4*H4/100</f>
        <v>50.037272727272729</v>
      </c>
      <c r="J4" s="5">
        <f t="shared" ref="J4:J44" si="3">G4</f>
        <v>238.27272727272728</v>
      </c>
      <c r="K4">
        <v>0</v>
      </c>
      <c r="L4" s="5">
        <f t="shared" ref="L4:L44" si="4">J4*K4/100</f>
        <v>0</v>
      </c>
      <c r="M4" s="57">
        <v>288.31</v>
      </c>
      <c r="S4" t="s">
        <v>20</v>
      </c>
    </row>
    <row r="5" spans="1:19" x14ac:dyDescent="0.35">
      <c r="A5" s="54">
        <v>45400</v>
      </c>
      <c r="B5" s="55" t="s">
        <v>321</v>
      </c>
      <c r="D5" s="2" t="s">
        <v>24</v>
      </c>
      <c r="E5" s="31" t="s">
        <v>22</v>
      </c>
      <c r="F5" s="5" t="str">
        <f t="shared" si="0"/>
        <v>N/F 042/24 CONVER FORMAT 98, S.L.</v>
      </c>
      <c r="G5" s="5">
        <f t="shared" si="1"/>
        <v>1862</v>
      </c>
      <c r="H5">
        <v>21</v>
      </c>
      <c r="I5" s="5">
        <f t="shared" si="2"/>
        <v>391.02</v>
      </c>
      <c r="J5" s="5">
        <f t="shared" si="3"/>
        <v>1862</v>
      </c>
      <c r="K5">
        <v>0</v>
      </c>
      <c r="L5" s="5">
        <f t="shared" si="4"/>
        <v>0</v>
      </c>
      <c r="M5" s="57">
        <v>2253.02</v>
      </c>
      <c r="S5" t="s">
        <v>20</v>
      </c>
    </row>
    <row r="6" spans="1:19" x14ac:dyDescent="0.35">
      <c r="A6" s="54">
        <v>45401</v>
      </c>
      <c r="B6" s="55" t="s">
        <v>322</v>
      </c>
      <c r="D6" s="2" t="s">
        <v>330</v>
      </c>
      <c r="E6" s="2" t="s">
        <v>329</v>
      </c>
      <c r="F6" s="5" t="str">
        <f t="shared" si="0"/>
        <v>N/F 043/24 EFEGETE RESTAURANTS S.L.U.</v>
      </c>
      <c r="G6" s="5">
        <f t="shared" si="1"/>
        <v>68.537190082644642</v>
      </c>
      <c r="H6">
        <v>21</v>
      </c>
      <c r="I6" s="5">
        <f t="shared" si="2"/>
        <v>14.392809917355375</v>
      </c>
      <c r="J6" s="5">
        <f t="shared" si="3"/>
        <v>68.537190082644642</v>
      </c>
      <c r="K6">
        <v>0</v>
      </c>
      <c r="L6" s="5">
        <f t="shared" si="4"/>
        <v>0</v>
      </c>
      <c r="M6" s="57">
        <v>82.93</v>
      </c>
      <c r="S6" t="s">
        <v>20</v>
      </c>
    </row>
    <row r="7" spans="1:19" x14ac:dyDescent="0.35">
      <c r="A7" s="54">
        <v>45407</v>
      </c>
      <c r="B7" s="55" t="s">
        <v>323</v>
      </c>
      <c r="D7" s="2" t="s">
        <v>110</v>
      </c>
      <c r="E7" s="2" t="s">
        <v>109</v>
      </c>
      <c r="F7" s="5" t="str">
        <f t="shared" si="0"/>
        <v>N/F 044/24 UZ LA FINCA S.L.</v>
      </c>
      <c r="G7" s="5">
        <f t="shared" si="1"/>
        <v>3369.1487603305786</v>
      </c>
      <c r="H7">
        <v>21</v>
      </c>
      <c r="I7" s="5">
        <f t="shared" si="2"/>
        <v>707.52123966942145</v>
      </c>
      <c r="J7" s="5">
        <f t="shared" si="3"/>
        <v>3369.1487603305786</v>
      </c>
      <c r="K7">
        <v>0</v>
      </c>
      <c r="L7" s="5">
        <f t="shared" si="4"/>
        <v>0</v>
      </c>
      <c r="M7" s="57">
        <v>4076.67</v>
      </c>
      <c r="S7" t="s">
        <v>20</v>
      </c>
    </row>
    <row r="8" spans="1:19" x14ac:dyDescent="0.35">
      <c r="A8" s="54">
        <v>45412</v>
      </c>
      <c r="B8" s="55" t="s">
        <v>324</v>
      </c>
      <c r="D8" s="2" t="s">
        <v>332</v>
      </c>
      <c r="E8" s="2" t="s">
        <v>331</v>
      </c>
      <c r="F8" s="5" t="str">
        <f t="shared" si="0"/>
        <v>N/F 045/24 ELOTUR, S.A.</v>
      </c>
      <c r="G8" s="5">
        <f t="shared" si="1"/>
        <v>76.107438016528931</v>
      </c>
      <c r="H8">
        <v>21</v>
      </c>
      <c r="I8" s="5">
        <f t="shared" si="2"/>
        <v>15.982561983471076</v>
      </c>
      <c r="J8" s="5">
        <f t="shared" si="3"/>
        <v>76.107438016528931</v>
      </c>
      <c r="K8">
        <v>0</v>
      </c>
      <c r="L8" s="5">
        <f t="shared" si="4"/>
        <v>0</v>
      </c>
      <c r="M8" s="57">
        <v>92.09</v>
      </c>
      <c r="S8" t="s">
        <v>20</v>
      </c>
    </row>
    <row r="9" spans="1:19" x14ac:dyDescent="0.35">
      <c r="A9" s="54">
        <v>45412</v>
      </c>
      <c r="B9" s="55" t="s">
        <v>325</v>
      </c>
      <c r="D9" s="2" t="s">
        <v>45</v>
      </c>
      <c r="E9" s="2" t="s">
        <v>44</v>
      </c>
      <c r="F9" s="5" t="str">
        <f t="shared" si="0"/>
        <v>N/F 046/24 IBERIA TAPAS INVESTMENTS, S.L.</v>
      </c>
      <c r="G9" s="5">
        <f t="shared" si="1"/>
        <v>68.67768595041322</v>
      </c>
      <c r="H9">
        <v>21</v>
      </c>
      <c r="I9" s="5">
        <f t="shared" si="2"/>
        <v>14.422314049586776</v>
      </c>
      <c r="J9" s="5">
        <f t="shared" si="3"/>
        <v>68.67768595041322</v>
      </c>
      <c r="K9">
        <v>0</v>
      </c>
      <c r="L9" s="5">
        <f t="shared" si="4"/>
        <v>0</v>
      </c>
      <c r="M9" s="57">
        <v>83.1</v>
      </c>
      <c r="S9" t="s">
        <v>20</v>
      </c>
    </row>
    <row r="10" spans="1:19" x14ac:dyDescent="0.35">
      <c r="A10" s="54">
        <v>45412</v>
      </c>
      <c r="B10" s="56" t="s">
        <v>326</v>
      </c>
      <c r="D10" s="2" t="s">
        <v>35</v>
      </c>
      <c r="E10" s="2" t="s">
        <v>34</v>
      </c>
      <c r="F10" s="5" t="str">
        <f t="shared" si="0"/>
        <v>N/F 047/24 SPANISH TAPAS INVESTMENTS, S.L.</v>
      </c>
      <c r="G10" s="5">
        <f t="shared" si="1"/>
        <v>107.6115702479339</v>
      </c>
      <c r="H10">
        <v>21</v>
      </c>
      <c r="I10" s="5">
        <f t="shared" si="2"/>
        <v>22.598429752066117</v>
      </c>
      <c r="J10" s="5">
        <f t="shared" si="3"/>
        <v>107.6115702479339</v>
      </c>
      <c r="K10">
        <v>0</v>
      </c>
      <c r="L10" s="5">
        <f t="shared" si="4"/>
        <v>0</v>
      </c>
      <c r="M10" s="57">
        <v>130.21</v>
      </c>
      <c r="S10" t="s">
        <v>20</v>
      </c>
    </row>
    <row r="11" spans="1:19" x14ac:dyDescent="0.35">
      <c r="A11" s="54">
        <v>45412</v>
      </c>
      <c r="B11" s="56" t="s">
        <v>327</v>
      </c>
      <c r="D11" s="2" t="s">
        <v>39</v>
      </c>
      <c r="E11" s="31" t="s">
        <v>38</v>
      </c>
      <c r="F11" s="5" t="str">
        <f t="shared" si="0"/>
        <v>N/F 048/24 ANTONIO SIGUERO S.L.</v>
      </c>
      <c r="G11" s="5">
        <f t="shared" si="1"/>
        <v>628.19834710743805</v>
      </c>
      <c r="H11">
        <v>21</v>
      </c>
      <c r="I11" s="5">
        <f t="shared" si="2"/>
        <v>131.92165289256201</v>
      </c>
      <c r="J11" s="5">
        <f t="shared" si="3"/>
        <v>628.19834710743805</v>
      </c>
      <c r="K11">
        <v>0</v>
      </c>
      <c r="L11" s="5">
        <f t="shared" si="4"/>
        <v>0</v>
      </c>
      <c r="M11" s="57">
        <v>760.12</v>
      </c>
      <c r="S11" t="s">
        <v>20</v>
      </c>
    </row>
    <row r="12" spans="1:19" x14ac:dyDescent="0.35">
      <c r="A12" s="54">
        <v>45412</v>
      </c>
      <c r="B12" s="56" t="s">
        <v>328</v>
      </c>
      <c r="D12" s="30" t="s">
        <v>25</v>
      </c>
      <c r="E12" s="2" t="s">
        <v>21</v>
      </c>
      <c r="F12" s="5" t="str">
        <f t="shared" si="0"/>
        <v>N/F 049/24 REAL CANOE NATACION CLUB</v>
      </c>
      <c r="G12" s="5">
        <f>M12/(1-K12/100+H12/100)</f>
        <v>9769.4214876033056</v>
      </c>
      <c r="H12">
        <v>21</v>
      </c>
      <c r="I12" s="5">
        <f t="shared" si="2"/>
        <v>2051.5785123966944</v>
      </c>
      <c r="J12" s="5">
        <f t="shared" si="3"/>
        <v>9769.4214876033056</v>
      </c>
      <c r="K12">
        <v>0</v>
      </c>
      <c r="L12" s="5">
        <f t="shared" si="4"/>
        <v>0</v>
      </c>
      <c r="M12" s="57">
        <v>11821</v>
      </c>
      <c r="S12" t="s">
        <v>20</v>
      </c>
    </row>
    <row r="13" spans="1:19" x14ac:dyDescent="0.35">
      <c r="A13" s="54">
        <v>45412</v>
      </c>
      <c r="B13" s="55" t="s">
        <v>333</v>
      </c>
      <c r="D13" s="2" t="s">
        <v>26</v>
      </c>
      <c r="E13" s="2" t="s">
        <v>23</v>
      </c>
      <c r="F13" s="5" t="str">
        <f t="shared" si="0"/>
        <v>N/F 050/24 RESTAURANTE URRECHU CLUB, S.L.</v>
      </c>
      <c r="G13" s="5">
        <f t="shared" si="1"/>
        <v>433.28099173553721</v>
      </c>
      <c r="H13">
        <v>21</v>
      </c>
      <c r="I13" s="5">
        <f t="shared" si="2"/>
        <v>90.989008264462811</v>
      </c>
      <c r="J13" s="5">
        <f t="shared" si="3"/>
        <v>433.28099173553721</v>
      </c>
      <c r="K13">
        <v>0</v>
      </c>
      <c r="L13" s="5">
        <f t="shared" si="4"/>
        <v>0</v>
      </c>
      <c r="M13" s="57">
        <v>524.27</v>
      </c>
      <c r="S13" t="s">
        <v>20</v>
      </c>
    </row>
    <row r="14" spans="1:19" x14ac:dyDescent="0.35">
      <c r="A14" s="54">
        <v>45412</v>
      </c>
      <c r="B14" s="55" t="s">
        <v>334</v>
      </c>
      <c r="D14" s="2" t="s">
        <v>366</v>
      </c>
      <c r="E14" s="2" t="s">
        <v>365</v>
      </c>
      <c r="F14" s="5" t="str">
        <f t="shared" si="0"/>
        <v>N/F 051/24 RESTAURANTES ITALIANOS ROMANO S.L.</v>
      </c>
      <c r="G14" s="5">
        <f t="shared" si="1"/>
        <v>126.47107438016529</v>
      </c>
      <c r="H14">
        <v>21</v>
      </c>
      <c r="I14" s="5">
        <f t="shared" si="2"/>
        <v>26.558925619834714</v>
      </c>
      <c r="J14" s="5">
        <f t="shared" si="3"/>
        <v>126.47107438016529</v>
      </c>
      <c r="K14">
        <v>0</v>
      </c>
      <c r="L14" s="5">
        <f t="shared" si="4"/>
        <v>0</v>
      </c>
      <c r="M14" s="57">
        <v>153.03</v>
      </c>
      <c r="S14" t="s">
        <v>20</v>
      </c>
    </row>
    <row r="15" spans="1:19" x14ac:dyDescent="0.35">
      <c r="A15" s="54">
        <v>45422</v>
      </c>
      <c r="B15" s="55" t="s">
        <v>335</v>
      </c>
      <c r="D15" s="2" t="s">
        <v>108</v>
      </c>
      <c r="E15" s="2" t="s">
        <v>107</v>
      </c>
      <c r="F15" s="5" t="str">
        <f t="shared" si="0"/>
        <v>N/F 052/24 PERFECT VIEWS S.L.</v>
      </c>
      <c r="G15" s="5">
        <f t="shared" si="1"/>
        <v>166.42148760330579</v>
      </c>
      <c r="H15">
        <v>21</v>
      </c>
      <c r="I15" s="5">
        <f t="shared" si="2"/>
        <v>34.94851239669422</v>
      </c>
      <c r="J15" s="5">
        <f t="shared" si="3"/>
        <v>166.42148760330579</v>
      </c>
      <c r="K15">
        <v>0</v>
      </c>
      <c r="L15" s="5">
        <f t="shared" si="4"/>
        <v>0</v>
      </c>
      <c r="M15" s="57">
        <v>201.37</v>
      </c>
      <c r="S15" t="s">
        <v>20</v>
      </c>
    </row>
    <row r="16" spans="1:19" x14ac:dyDescent="0.35">
      <c r="A16" s="54">
        <v>45422</v>
      </c>
      <c r="B16" s="55" t="s">
        <v>336</v>
      </c>
      <c r="D16" s="31" t="s">
        <v>41</v>
      </c>
      <c r="E16" s="2" t="s">
        <v>40</v>
      </c>
      <c r="F16" s="5" t="str">
        <f t="shared" si="0"/>
        <v>N/F 053/24 TREVOLA, S.L.</v>
      </c>
      <c r="G16" s="5">
        <f t="shared" si="1"/>
        <v>134.801652892562</v>
      </c>
      <c r="H16">
        <v>21</v>
      </c>
      <c r="I16" s="5">
        <f t="shared" si="2"/>
        <v>28.308347107438021</v>
      </c>
      <c r="J16" s="5">
        <f t="shared" si="3"/>
        <v>134.801652892562</v>
      </c>
      <c r="K16">
        <v>0</v>
      </c>
      <c r="L16" s="5">
        <f t="shared" si="4"/>
        <v>0</v>
      </c>
      <c r="M16" s="57">
        <v>163.11000000000001</v>
      </c>
      <c r="S16" t="s">
        <v>20</v>
      </c>
    </row>
    <row r="17" spans="1:19" x14ac:dyDescent="0.35">
      <c r="A17" s="54">
        <v>45422</v>
      </c>
      <c r="B17" s="55" t="s">
        <v>337</v>
      </c>
      <c r="D17" s="2" t="s">
        <v>24</v>
      </c>
      <c r="E17" s="31" t="s">
        <v>22</v>
      </c>
      <c r="F17" s="5" t="str">
        <f t="shared" si="0"/>
        <v>N/F 054/24 CONVER FORMAT 98, S.L.</v>
      </c>
      <c r="G17" s="5">
        <f t="shared" si="1"/>
        <v>47.057851239669418</v>
      </c>
      <c r="H17">
        <v>21</v>
      </c>
      <c r="I17" s="5">
        <f t="shared" si="2"/>
        <v>9.882148760330578</v>
      </c>
      <c r="J17" s="5">
        <f t="shared" si="3"/>
        <v>47.057851239669418</v>
      </c>
      <c r="K17">
        <v>0</v>
      </c>
      <c r="L17" s="5">
        <f t="shared" si="4"/>
        <v>0</v>
      </c>
      <c r="M17" s="57">
        <v>56.94</v>
      </c>
      <c r="S17" t="s">
        <v>20</v>
      </c>
    </row>
    <row r="18" spans="1:19" x14ac:dyDescent="0.35">
      <c r="A18" s="54">
        <v>45434</v>
      </c>
      <c r="B18" s="55" t="s">
        <v>338</v>
      </c>
      <c r="D18" s="2" t="s">
        <v>24</v>
      </c>
      <c r="E18" s="31" t="s">
        <v>22</v>
      </c>
      <c r="F18" s="5" t="str">
        <f t="shared" si="0"/>
        <v>N/F 055/24 CONVER FORMAT 98, S.L.</v>
      </c>
      <c r="G18" s="5">
        <f t="shared" si="1"/>
        <v>1959.504132231405</v>
      </c>
      <c r="H18">
        <v>21</v>
      </c>
      <c r="I18" s="5">
        <f t="shared" si="2"/>
        <v>411.49586776859508</v>
      </c>
      <c r="J18" s="5">
        <f t="shared" si="3"/>
        <v>1959.504132231405</v>
      </c>
      <c r="K18">
        <v>0</v>
      </c>
      <c r="L18" s="5">
        <f t="shared" si="4"/>
        <v>0</v>
      </c>
      <c r="M18" s="57">
        <v>2371</v>
      </c>
      <c r="S18" t="s">
        <v>20</v>
      </c>
    </row>
    <row r="19" spans="1:19" x14ac:dyDescent="0.35">
      <c r="A19" s="54">
        <v>45434</v>
      </c>
      <c r="B19" s="55" t="s">
        <v>339</v>
      </c>
      <c r="D19" s="2" t="s">
        <v>110</v>
      </c>
      <c r="E19" s="2" t="s">
        <v>109</v>
      </c>
      <c r="F19" s="5" t="str">
        <f t="shared" si="0"/>
        <v>N/F 056/24 UZ LA FINCA S.L.</v>
      </c>
      <c r="G19" s="5">
        <f t="shared" si="1"/>
        <v>3369.1487603305786</v>
      </c>
      <c r="H19">
        <v>21</v>
      </c>
      <c r="I19" s="5">
        <f t="shared" si="2"/>
        <v>707.52123966942145</v>
      </c>
      <c r="J19" s="5">
        <f t="shared" si="3"/>
        <v>3369.1487603305786</v>
      </c>
      <c r="K19">
        <v>0</v>
      </c>
      <c r="L19" s="5">
        <f t="shared" si="4"/>
        <v>0</v>
      </c>
      <c r="M19" s="57">
        <v>4076.67</v>
      </c>
      <c r="S19" t="s">
        <v>20</v>
      </c>
    </row>
    <row r="20" spans="1:19" x14ac:dyDescent="0.35">
      <c r="A20" s="54">
        <v>45443</v>
      </c>
      <c r="B20" s="55" t="s">
        <v>340</v>
      </c>
      <c r="D20" s="30" t="s">
        <v>25</v>
      </c>
      <c r="E20" s="2" t="s">
        <v>21</v>
      </c>
      <c r="F20" s="5" t="str">
        <f t="shared" si="0"/>
        <v>N/F 057/24 REAL CANOE NATACION CLUB</v>
      </c>
      <c r="G20" s="5">
        <f t="shared" si="1"/>
        <v>1819.7603305785124</v>
      </c>
      <c r="H20">
        <v>21</v>
      </c>
      <c r="I20" s="5">
        <f t="shared" si="2"/>
        <v>382.14966942148766</v>
      </c>
      <c r="J20" s="5">
        <f t="shared" si="3"/>
        <v>1819.7603305785124</v>
      </c>
      <c r="K20">
        <v>0</v>
      </c>
      <c r="L20" s="5">
        <f t="shared" si="4"/>
        <v>0</v>
      </c>
      <c r="M20" s="57">
        <v>2201.91</v>
      </c>
      <c r="S20" t="s">
        <v>20</v>
      </c>
    </row>
    <row r="21" spans="1:19" x14ac:dyDescent="0.35">
      <c r="A21" s="54">
        <v>45443</v>
      </c>
      <c r="B21" s="55" t="s">
        <v>341</v>
      </c>
      <c r="D21" s="2" t="s">
        <v>110</v>
      </c>
      <c r="E21" s="2" t="s">
        <v>109</v>
      </c>
      <c r="F21" s="5" t="str">
        <f t="shared" si="0"/>
        <v>N/F 058/24 UZ LA FINCA S.L.</v>
      </c>
      <c r="G21" s="5">
        <f t="shared" si="1"/>
        <v>228.12396694214874</v>
      </c>
      <c r="H21">
        <v>21</v>
      </c>
      <c r="I21" s="5">
        <f t="shared" si="2"/>
        <v>47.906033057851239</v>
      </c>
      <c r="J21" s="5">
        <f t="shared" si="3"/>
        <v>228.12396694214874</v>
      </c>
      <c r="K21">
        <v>0</v>
      </c>
      <c r="L21" s="5">
        <f t="shared" si="4"/>
        <v>0</v>
      </c>
      <c r="M21" s="57">
        <v>276.02999999999997</v>
      </c>
      <c r="S21" t="s">
        <v>20</v>
      </c>
    </row>
    <row r="22" spans="1:19" x14ac:dyDescent="0.35">
      <c r="A22" s="54">
        <v>45443</v>
      </c>
      <c r="B22" s="55" t="s">
        <v>342</v>
      </c>
      <c r="D22" s="2" t="s">
        <v>366</v>
      </c>
      <c r="E22" s="2" t="s">
        <v>365</v>
      </c>
      <c r="F22" s="5" t="str">
        <f t="shared" si="0"/>
        <v>N/F 059/24 RESTAURANTES ITALIANOS ROMANO S.L.</v>
      </c>
      <c r="G22" s="5">
        <f t="shared" si="1"/>
        <v>177.58677685950414</v>
      </c>
      <c r="H22">
        <v>21</v>
      </c>
      <c r="I22" s="5">
        <f t="shared" si="2"/>
        <v>37.293223140495869</v>
      </c>
      <c r="J22" s="5">
        <f t="shared" si="3"/>
        <v>177.58677685950414</v>
      </c>
      <c r="K22">
        <v>0</v>
      </c>
      <c r="L22" s="5">
        <f t="shared" si="4"/>
        <v>0</v>
      </c>
      <c r="M22" s="57">
        <v>214.88</v>
      </c>
      <c r="S22" t="s">
        <v>20</v>
      </c>
    </row>
    <row r="23" spans="1:19" x14ac:dyDescent="0.35">
      <c r="A23" s="54">
        <v>45443</v>
      </c>
      <c r="B23" s="55" t="s">
        <v>343</v>
      </c>
      <c r="D23" s="2" t="s">
        <v>29</v>
      </c>
      <c r="E23" s="2" t="s">
        <v>28</v>
      </c>
      <c r="F23" s="5" t="str">
        <f t="shared" si="0"/>
        <v>N/F 060/24 EL CIELO DE URRECHU, S.L.</v>
      </c>
      <c r="G23" s="5">
        <f t="shared" si="1"/>
        <v>38.421487603305785</v>
      </c>
      <c r="H23">
        <v>21</v>
      </c>
      <c r="I23" s="5">
        <f t="shared" si="2"/>
        <v>8.0685123966942154</v>
      </c>
      <c r="J23" s="5">
        <f t="shared" si="3"/>
        <v>38.421487603305785</v>
      </c>
      <c r="K23">
        <v>0</v>
      </c>
      <c r="L23" s="5">
        <f t="shared" si="4"/>
        <v>0</v>
      </c>
      <c r="M23" s="57">
        <v>46.49</v>
      </c>
      <c r="S23" t="s">
        <v>20</v>
      </c>
    </row>
    <row r="24" spans="1:19" x14ac:dyDescent="0.35">
      <c r="A24" s="54">
        <v>45443</v>
      </c>
      <c r="B24" s="55" t="s">
        <v>344</v>
      </c>
      <c r="D24" s="31" t="s">
        <v>41</v>
      </c>
      <c r="E24" s="2" t="s">
        <v>40</v>
      </c>
      <c r="F24" s="5" t="str">
        <f t="shared" si="0"/>
        <v>N/F 061/24 TREVOLA, S.L.</v>
      </c>
      <c r="G24" s="5">
        <f t="shared" si="1"/>
        <v>345.38016528925624</v>
      </c>
      <c r="H24">
        <v>21</v>
      </c>
      <c r="I24" s="5">
        <f t="shared" si="2"/>
        <v>72.529834710743813</v>
      </c>
      <c r="J24" s="5">
        <f t="shared" si="3"/>
        <v>345.38016528925624</v>
      </c>
      <c r="K24">
        <v>0</v>
      </c>
      <c r="L24" s="5">
        <f t="shared" si="4"/>
        <v>0</v>
      </c>
      <c r="M24" s="57">
        <v>417.91</v>
      </c>
      <c r="S24" t="s">
        <v>20</v>
      </c>
    </row>
    <row r="25" spans="1:19" x14ac:dyDescent="0.35">
      <c r="A25" s="54">
        <v>45443</v>
      </c>
      <c r="B25" s="55" t="s">
        <v>345</v>
      </c>
      <c r="D25" s="2" t="s">
        <v>24</v>
      </c>
      <c r="E25" s="31" t="s">
        <v>22</v>
      </c>
      <c r="F25" s="5" t="str">
        <f t="shared" si="0"/>
        <v>N/F 062/24 CONVER FORMAT 98, S.L.</v>
      </c>
      <c r="G25" s="5">
        <f t="shared" si="1"/>
        <v>107.5702479338843</v>
      </c>
      <c r="H25">
        <v>21</v>
      </c>
      <c r="I25" s="5">
        <f t="shared" si="2"/>
        <v>22.589752066115704</v>
      </c>
      <c r="J25" s="5">
        <f t="shared" si="3"/>
        <v>107.5702479338843</v>
      </c>
      <c r="K25">
        <v>0</v>
      </c>
      <c r="L25" s="5">
        <f t="shared" si="4"/>
        <v>0</v>
      </c>
      <c r="M25" s="57">
        <v>130.16</v>
      </c>
      <c r="S25" t="s">
        <v>20</v>
      </c>
    </row>
    <row r="26" spans="1:19" x14ac:dyDescent="0.35">
      <c r="A26" s="54">
        <v>45443</v>
      </c>
      <c r="B26" s="55" t="s">
        <v>346</v>
      </c>
      <c r="D26" s="2" t="s">
        <v>39</v>
      </c>
      <c r="E26" s="31" t="s">
        <v>38</v>
      </c>
      <c r="F26" s="5" t="str">
        <f t="shared" si="0"/>
        <v>N/F 063/24 ANTONIO SIGUERO S.L.</v>
      </c>
      <c r="G26" s="5">
        <f t="shared" si="1"/>
        <v>222.85950413223142</v>
      </c>
      <c r="H26">
        <v>21</v>
      </c>
      <c r="I26" s="5">
        <f t="shared" si="2"/>
        <v>46.800495867768596</v>
      </c>
      <c r="J26" s="5">
        <f t="shared" si="3"/>
        <v>222.85950413223142</v>
      </c>
      <c r="K26">
        <v>0</v>
      </c>
      <c r="L26" s="5">
        <f t="shared" si="4"/>
        <v>0</v>
      </c>
      <c r="M26" s="57">
        <v>269.66000000000003</v>
      </c>
      <c r="S26" t="s">
        <v>20</v>
      </c>
    </row>
    <row r="27" spans="1:19" x14ac:dyDescent="0.35">
      <c r="A27" s="54">
        <v>45443</v>
      </c>
      <c r="B27" s="55" t="s">
        <v>347</v>
      </c>
      <c r="D27" s="2" t="s">
        <v>26</v>
      </c>
      <c r="E27" s="2" t="s">
        <v>23</v>
      </c>
      <c r="F27" s="5" t="str">
        <f t="shared" si="0"/>
        <v>N/F 064/24 RESTAURANTE URRECHU CLUB, S.L.</v>
      </c>
      <c r="G27" s="5">
        <f t="shared" si="1"/>
        <v>32.66115702479339</v>
      </c>
      <c r="H27">
        <v>21</v>
      </c>
      <c r="I27" s="5">
        <f t="shared" si="2"/>
        <v>6.8588429752066125</v>
      </c>
      <c r="J27" s="5">
        <f t="shared" si="3"/>
        <v>32.66115702479339</v>
      </c>
      <c r="K27">
        <v>0</v>
      </c>
      <c r="L27" s="5">
        <f t="shared" si="4"/>
        <v>0</v>
      </c>
      <c r="M27" s="57">
        <v>39.520000000000003</v>
      </c>
      <c r="S27" t="s">
        <v>20</v>
      </c>
    </row>
    <row r="28" spans="1:19" x14ac:dyDescent="0.35">
      <c r="A28" s="54">
        <v>45443</v>
      </c>
      <c r="B28" s="55" t="s">
        <v>348</v>
      </c>
      <c r="D28" s="2" t="s">
        <v>30</v>
      </c>
      <c r="E28" s="2" t="s">
        <v>31</v>
      </c>
      <c r="F28" s="5" t="str">
        <f t="shared" si="0"/>
        <v>N/F 065/24 COMUNIDAD DE PROPIETARIOS LA PINEDA II</v>
      </c>
      <c r="G28" s="5">
        <f t="shared" si="1"/>
        <v>157.95867768595042</v>
      </c>
      <c r="H28">
        <v>21</v>
      </c>
      <c r="I28" s="5">
        <f t="shared" si="2"/>
        <v>33.17132231404959</v>
      </c>
      <c r="J28" s="5">
        <f t="shared" si="3"/>
        <v>157.95867768595042</v>
      </c>
      <c r="K28">
        <v>0</v>
      </c>
      <c r="L28" s="5">
        <f t="shared" si="4"/>
        <v>0</v>
      </c>
      <c r="M28" s="57">
        <v>191.13</v>
      </c>
      <c r="S28" t="s">
        <v>20</v>
      </c>
    </row>
    <row r="29" spans="1:19" x14ac:dyDescent="0.35">
      <c r="A29" s="54">
        <v>45443</v>
      </c>
      <c r="B29" s="55" t="s">
        <v>349</v>
      </c>
      <c r="D29" s="2" t="s">
        <v>35</v>
      </c>
      <c r="E29" s="2" t="s">
        <v>34</v>
      </c>
      <c r="F29" s="5" t="str">
        <f t="shared" si="0"/>
        <v>N/F 066/24 SPANISH TAPAS INVESTMENTS, S.L.</v>
      </c>
      <c r="G29" s="5">
        <f t="shared" si="1"/>
        <v>81.057851239669418</v>
      </c>
      <c r="H29">
        <v>21</v>
      </c>
      <c r="I29" s="5">
        <f t="shared" si="2"/>
        <v>17.02214876033058</v>
      </c>
      <c r="J29" s="5">
        <f t="shared" si="3"/>
        <v>81.057851239669418</v>
      </c>
      <c r="K29">
        <v>0</v>
      </c>
      <c r="L29" s="5">
        <f t="shared" si="4"/>
        <v>0</v>
      </c>
      <c r="M29" s="57">
        <v>98.08</v>
      </c>
      <c r="S29" t="s">
        <v>20</v>
      </c>
    </row>
    <row r="30" spans="1:19" x14ac:dyDescent="0.35">
      <c r="A30" s="54">
        <v>45443</v>
      </c>
      <c r="B30" s="55" t="s">
        <v>350</v>
      </c>
      <c r="D30" s="2" t="s">
        <v>108</v>
      </c>
      <c r="E30" s="2" t="s">
        <v>107</v>
      </c>
      <c r="F30" s="5" t="str">
        <f t="shared" si="0"/>
        <v>N/F 067/24 PERFECT VIEWS S.L.</v>
      </c>
      <c r="G30" s="5">
        <f t="shared" si="1"/>
        <v>101.17355371900827</v>
      </c>
      <c r="H30">
        <v>21</v>
      </c>
      <c r="I30" s="5">
        <f t="shared" si="2"/>
        <v>21.246446280991737</v>
      </c>
      <c r="J30" s="5">
        <f t="shared" si="3"/>
        <v>101.17355371900827</v>
      </c>
      <c r="K30">
        <v>0</v>
      </c>
      <c r="L30" s="5">
        <f t="shared" si="4"/>
        <v>0</v>
      </c>
      <c r="M30" s="57">
        <v>122.42</v>
      </c>
      <c r="S30" t="s">
        <v>20</v>
      </c>
    </row>
    <row r="31" spans="1:19" x14ac:dyDescent="0.35">
      <c r="A31" s="54">
        <v>45443</v>
      </c>
      <c r="B31" s="55" t="s">
        <v>351</v>
      </c>
      <c r="D31" s="2" t="s">
        <v>24</v>
      </c>
      <c r="E31" s="31" t="s">
        <v>22</v>
      </c>
      <c r="F31" s="5" t="str">
        <f t="shared" si="0"/>
        <v>N/F 068/24 CONVER FORMAT 98, S.L.</v>
      </c>
      <c r="G31" s="5">
        <f t="shared" si="1"/>
        <v>67.314049586776861</v>
      </c>
      <c r="H31">
        <v>21</v>
      </c>
      <c r="I31" s="5">
        <f t="shared" si="2"/>
        <v>14.13595041322314</v>
      </c>
      <c r="J31" s="5">
        <f t="shared" si="3"/>
        <v>67.314049586776861</v>
      </c>
      <c r="K31">
        <v>0</v>
      </c>
      <c r="L31" s="5">
        <f t="shared" si="4"/>
        <v>0</v>
      </c>
      <c r="M31" s="57">
        <v>81.45</v>
      </c>
      <c r="S31" t="s">
        <v>20</v>
      </c>
    </row>
    <row r="32" spans="1:19" x14ac:dyDescent="0.35">
      <c r="A32" s="54">
        <v>45455</v>
      </c>
      <c r="B32" s="55" t="s">
        <v>352</v>
      </c>
      <c r="D32" s="2" t="s">
        <v>24</v>
      </c>
      <c r="E32" s="31" t="s">
        <v>22</v>
      </c>
      <c r="F32" s="5" t="str">
        <f t="shared" si="0"/>
        <v>N/F 069/24 CONVER FORMAT 98, S.L.</v>
      </c>
      <c r="G32" s="5">
        <f t="shared" si="1"/>
        <v>2100</v>
      </c>
      <c r="H32">
        <v>21</v>
      </c>
      <c r="I32" s="5">
        <f t="shared" si="2"/>
        <v>441</v>
      </c>
      <c r="J32" s="5">
        <f t="shared" si="3"/>
        <v>2100</v>
      </c>
      <c r="K32">
        <v>0</v>
      </c>
      <c r="L32" s="5">
        <f t="shared" si="4"/>
        <v>0</v>
      </c>
      <c r="M32" s="57">
        <v>2541</v>
      </c>
      <c r="S32" t="s">
        <v>20</v>
      </c>
    </row>
    <row r="33" spans="1:19" x14ac:dyDescent="0.35">
      <c r="A33" s="54">
        <v>45461</v>
      </c>
      <c r="B33" s="55" t="s">
        <v>353</v>
      </c>
      <c r="D33" s="2" t="s">
        <v>24</v>
      </c>
      <c r="E33" s="31" t="s">
        <v>22</v>
      </c>
      <c r="F33" s="5" t="str">
        <f t="shared" si="0"/>
        <v>N/F 070/24 CONVER FORMAT 98, S.L.</v>
      </c>
      <c r="G33" s="5">
        <f t="shared" si="1"/>
        <v>80.768595041322314</v>
      </c>
      <c r="H33">
        <v>21</v>
      </c>
      <c r="I33" s="5">
        <f t="shared" si="2"/>
        <v>16.961404958677686</v>
      </c>
      <c r="J33" s="5">
        <f t="shared" si="3"/>
        <v>80.768595041322314</v>
      </c>
      <c r="K33">
        <v>0</v>
      </c>
      <c r="L33" s="5">
        <f t="shared" si="4"/>
        <v>0</v>
      </c>
      <c r="M33" s="57">
        <v>97.73</v>
      </c>
      <c r="S33" t="s">
        <v>20</v>
      </c>
    </row>
    <row r="34" spans="1:19" x14ac:dyDescent="0.35">
      <c r="A34" s="54">
        <v>45461</v>
      </c>
      <c r="B34" s="55" t="s">
        <v>354</v>
      </c>
      <c r="D34" s="2" t="s">
        <v>42</v>
      </c>
      <c r="E34" s="2" t="s">
        <v>43</v>
      </c>
      <c r="F34" s="5" t="str">
        <f t="shared" si="0"/>
        <v>N/F 071/24 FEDERACIÓN MADRILEÑA DE NATACIÓN</v>
      </c>
      <c r="G34" s="5">
        <f t="shared" si="1"/>
        <v>70.223140495867767</v>
      </c>
      <c r="H34">
        <v>21</v>
      </c>
      <c r="I34" s="5">
        <f t="shared" si="2"/>
        <v>14.74685950413223</v>
      </c>
      <c r="J34" s="5">
        <f t="shared" si="3"/>
        <v>70.223140495867767</v>
      </c>
      <c r="K34">
        <v>0</v>
      </c>
      <c r="L34" s="5">
        <f t="shared" si="4"/>
        <v>0</v>
      </c>
      <c r="M34" s="57">
        <v>84.97</v>
      </c>
      <c r="S34" t="s">
        <v>20</v>
      </c>
    </row>
    <row r="35" spans="1:19" x14ac:dyDescent="0.35">
      <c r="A35" s="54">
        <v>45463</v>
      </c>
      <c r="B35" s="55" t="s">
        <v>355</v>
      </c>
      <c r="D35" s="30" t="s">
        <v>36</v>
      </c>
      <c r="E35" s="30" t="s">
        <v>37</v>
      </c>
      <c r="F35" s="5" t="str">
        <f t="shared" si="0"/>
        <v>N/F 072/24 LATAM AIRLINES GROUP S.A</v>
      </c>
      <c r="G35" s="5">
        <f t="shared" si="1"/>
        <v>407.95867768595042</v>
      </c>
      <c r="H35">
        <v>21</v>
      </c>
      <c r="I35" s="5">
        <f t="shared" si="2"/>
        <v>85.67132231404959</v>
      </c>
      <c r="J35" s="5">
        <f t="shared" si="3"/>
        <v>407.95867768595042</v>
      </c>
      <c r="K35">
        <v>0</v>
      </c>
      <c r="L35" s="5">
        <f t="shared" si="4"/>
        <v>0</v>
      </c>
      <c r="M35" s="57">
        <v>493.63</v>
      </c>
      <c r="S35" t="s">
        <v>20</v>
      </c>
    </row>
    <row r="36" spans="1:19" x14ac:dyDescent="0.35">
      <c r="A36" s="54">
        <v>45464</v>
      </c>
      <c r="B36" s="55" t="s">
        <v>356</v>
      </c>
      <c r="D36" s="30" t="s">
        <v>25</v>
      </c>
      <c r="E36" s="2" t="s">
        <v>21</v>
      </c>
      <c r="F36" s="5" t="str">
        <f t="shared" si="0"/>
        <v>N/F 073/24 REAL CANOE NATACION CLUB</v>
      </c>
      <c r="G36" s="5">
        <f t="shared" si="1"/>
        <v>1644</v>
      </c>
      <c r="H36">
        <v>21</v>
      </c>
      <c r="I36" s="5">
        <f t="shared" si="2"/>
        <v>345.24</v>
      </c>
      <c r="J36" s="5">
        <f t="shared" si="3"/>
        <v>1644</v>
      </c>
      <c r="K36">
        <v>0</v>
      </c>
      <c r="L36" s="5">
        <f t="shared" si="4"/>
        <v>0</v>
      </c>
      <c r="M36" s="57">
        <v>1989.24</v>
      </c>
      <c r="S36" t="s">
        <v>20</v>
      </c>
    </row>
    <row r="37" spans="1:19" x14ac:dyDescent="0.35">
      <c r="A37" s="54">
        <v>45470</v>
      </c>
      <c r="B37" s="55" t="s">
        <v>357</v>
      </c>
      <c r="D37" s="2" t="s">
        <v>108</v>
      </c>
      <c r="E37" s="2" t="s">
        <v>107</v>
      </c>
      <c r="F37" s="5" t="str">
        <f t="shared" si="0"/>
        <v>N/F 074/24 PERFECT VIEWS S.L.</v>
      </c>
      <c r="G37" s="5">
        <f t="shared" si="1"/>
        <v>2113.5371900826449</v>
      </c>
      <c r="H37">
        <v>21</v>
      </c>
      <c r="I37" s="5">
        <f t="shared" si="2"/>
        <v>443.8428099173554</v>
      </c>
      <c r="J37" s="5">
        <f t="shared" si="3"/>
        <v>2113.5371900826449</v>
      </c>
      <c r="K37">
        <v>0</v>
      </c>
      <c r="L37" s="5">
        <f t="shared" si="4"/>
        <v>0</v>
      </c>
      <c r="M37" s="57">
        <v>2557.38</v>
      </c>
      <c r="S37" t="s">
        <v>20</v>
      </c>
    </row>
    <row r="38" spans="1:19" x14ac:dyDescent="0.35">
      <c r="A38" s="54">
        <v>45473</v>
      </c>
      <c r="B38" s="55" t="s">
        <v>358</v>
      </c>
      <c r="D38" s="2" t="s">
        <v>26</v>
      </c>
      <c r="E38" s="2" t="s">
        <v>23</v>
      </c>
      <c r="F38" s="5" t="str">
        <f t="shared" si="0"/>
        <v>075/24 RESTAURANTE URRECHU CLUB, S.L.</v>
      </c>
      <c r="G38" s="5">
        <f t="shared" si="1"/>
        <v>65.32231404958678</v>
      </c>
      <c r="H38">
        <v>21</v>
      </c>
      <c r="I38" s="5">
        <f t="shared" si="2"/>
        <v>13.717685950413225</v>
      </c>
      <c r="J38" s="5">
        <f t="shared" si="3"/>
        <v>65.32231404958678</v>
      </c>
      <c r="K38">
        <v>0</v>
      </c>
      <c r="L38" s="5">
        <f t="shared" si="4"/>
        <v>0</v>
      </c>
      <c r="M38" s="57">
        <v>79.040000000000006</v>
      </c>
    </row>
    <row r="39" spans="1:19" x14ac:dyDescent="0.35">
      <c r="A39" s="54">
        <v>45473</v>
      </c>
      <c r="B39" s="55" t="s">
        <v>359</v>
      </c>
      <c r="D39" s="2" t="s">
        <v>39</v>
      </c>
      <c r="E39" s="31" t="s">
        <v>38</v>
      </c>
      <c r="F39" s="5" t="str">
        <f t="shared" si="0"/>
        <v>076/24 ANTONIO SIGUERO S.L.</v>
      </c>
      <c r="G39" s="5">
        <f t="shared" si="1"/>
        <v>1785.5785123966944</v>
      </c>
      <c r="H39">
        <v>21</v>
      </c>
      <c r="I39" s="5">
        <f t="shared" si="2"/>
        <v>374.97148760330577</v>
      </c>
      <c r="J39" s="5">
        <f t="shared" si="3"/>
        <v>1785.5785123966944</v>
      </c>
      <c r="K39">
        <v>0</v>
      </c>
      <c r="L39" s="5">
        <f t="shared" si="4"/>
        <v>0</v>
      </c>
      <c r="M39" s="57">
        <v>2160.5500000000002</v>
      </c>
    </row>
    <row r="40" spans="1:19" x14ac:dyDescent="0.35">
      <c r="A40" s="54">
        <v>45473</v>
      </c>
      <c r="B40" s="55" t="s">
        <v>360</v>
      </c>
      <c r="D40" s="2" t="s">
        <v>29</v>
      </c>
      <c r="E40" s="2" t="s">
        <v>28</v>
      </c>
      <c r="F40" s="5" t="str">
        <f t="shared" si="0"/>
        <v>077/24 EL CIELO DE URRECHU, S.L.</v>
      </c>
      <c r="G40" s="5">
        <f t="shared" si="1"/>
        <v>406.89256198347107</v>
      </c>
      <c r="H40">
        <v>21</v>
      </c>
      <c r="I40" s="5">
        <f t="shared" si="2"/>
        <v>85.44743801652892</v>
      </c>
      <c r="J40" s="5">
        <f t="shared" si="3"/>
        <v>406.89256198347107</v>
      </c>
      <c r="K40">
        <v>0</v>
      </c>
      <c r="L40" s="5">
        <f t="shared" si="4"/>
        <v>0</v>
      </c>
      <c r="M40" s="57">
        <v>492.34</v>
      </c>
    </row>
    <row r="41" spans="1:19" x14ac:dyDescent="0.35">
      <c r="A41" s="54">
        <v>45473</v>
      </c>
      <c r="B41" s="55" t="s">
        <v>361</v>
      </c>
      <c r="D41" s="30" t="s">
        <v>25</v>
      </c>
      <c r="E41" s="2" t="s">
        <v>21</v>
      </c>
      <c r="F41" s="5" t="str">
        <f t="shared" si="0"/>
        <v>078/24 REAL CANOE NATACION CLUB</v>
      </c>
      <c r="G41" s="5">
        <f t="shared" si="1"/>
        <v>4914.3305785123966</v>
      </c>
      <c r="H41">
        <v>21</v>
      </c>
      <c r="I41" s="5">
        <f t="shared" si="2"/>
        <v>1032.0094214876033</v>
      </c>
      <c r="J41" s="5">
        <f t="shared" si="3"/>
        <v>4914.3305785123966</v>
      </c>
      <c r="K41">
        <v>0</v>
      </c>
      <c r="L41" s="5">
        <f t="shared" si="4"/>
        <v>0</v>
      </c>
      <c r="M41" s="57">
        <v>5946.34</v>
      </c>
    </row>
    <row r="42" spans="1:19" x14ac:dyDescent="0.35">
      <c r="A42" s="54">
        <v>45473</v>
      </c>
      <c r="B42" s="55" t="s">
        <v>362</v>
      </c>
      <c r="D42" s="2" t="s">
        <v>332</v>
      </c>
      <c r="E42" s="2" t="s">
        <v>331</v>
      </c>
      <c r="F42" s="5" t="str">
        <f t="shared" si="0"/>
        <v>079/24 ELOTUR, S.A.</v>
      </c>
      <c r="G42" s="5">
        <f t="shared" si="1"/>
        <v>31.702479338842977</v>
      </c>
      <c r="H42">
        <v>21</v>
      </c>
      <c r="I42" s="5">
        <f t="shared" si="2"/>
        <v>6.657520661157025</v>
      </c>
      <c r="J42" s="5">
        <f t="shared" si="3"/>
        <v>31.702479338842977</v>
      </c>
      <c r="K42">
        <v>0</v>
      </c>
      <c r="L42" s="5">
        <f t="shared" si="4"/>
        <v>0</v>
      </c>
      <c r="M42" s="57">
        <v>38.36</v>
      </c>
    </row>
    <row r="43" spans="1:19" x14ac:dyDescent="0.35">
      <c r="A43" s="54">
        <v>45473</v>
      </c>
      <c r="B43" s="55" t="s">
        <v>363</v>
      </c>
      <c r="D43" s="2" t="s">
        <v>35</v>
      </c>
      <c r="E43" s="2" t="s">
        <v>34</v>
      </c>
      <c r="F43" s="5" t="str">
        <f t="shared" si="0"/>
        <v>080/24 SPANISH TAPAS INVESTMENTS, S.L.</v>
      </c>
      <c r="G43" s="5">
        <f t="shared" si="1"/>
        <v>61.256198347107443</v>
      </c>
      <c r="H43">
        <v>21</v>
      </c>
      <c r="I43" s="5">
        <f t="shared" si="2"/>
        <v>12.863801652892562</v>
      </c>
      <c r="J43" s="5">
        <f t="shared" si="3"/>
        <v>61.256198347107443</v>
      </c>
      <c r="K43">
        <v>0</v>
      </c>
      <c r="L43" s="5">
        <f t="shared" si="4"/>
        <v>0</v>
      </c>
      <c r="M43" s="57">
        <v>74.12</v>
      </c>
    </row>
    <row r="44" spans="1:19" x14ac:dyDescent="0.35">
      <c r="A44" s="54">
        <v>45473</v>
      </c>
      <c r="B44" s="55" t="s">
        <v>364</v>
      </c>
      <c r="D44" s="2" t="s">
        <v>24</v>
      </c>
      <c r="E44" s="31" t="s">
        <v>22</v>
      </c>
      <c r="F44" s="5" t="str">
        <f t="shared" si="0"/>
        <v>081/24 CONVER FORMAT 98, S.L.</v>
      </c>
      <c r="G44" s="5">
        <f t="shared" si="1"/>
        <v>31.066115702479344</v>
      </c>
      <c r="H44">
        <v>21</v>
      </c>
      <c r="I44" s="5">
        <f t="shared" si="2"/>
        <v>6.523884297520663</v>
      </c>
      <c r="J44" s="5">
        <f t="shared" si="3"/>
        <v>31.066115702479344</v>
      </c>
      <c r="K44">
        <v>0</v>
      </c>
      <c r="L44" s="5">
        <f t="shared" si="4"/>
        <v>0</v>
      </c>
      <c r="M44" s="57">
        <v>37.590000000000003</v>
      </c>
    </row>
    <row r="45" spans="1:19" x14ac:dyDescent="0.35">
      <c r="M45" s="29"/>
    </row>
    <row r="46" spans="1:19" x14ac:dyDescent="0.35">
      <c r="M46" s="29"/>
    </row>
    <row r="47" spans="1:19" x14ac:dyDescent="0.35">
      <c r="G47" s="44">
        <f>SUM(G2:G44)</f>
        <v>39928.04958677687</v>
      </c>
      <c r="H47" s="45"/>
      <c r="I47" s="44">
        <f>SUM(I2:I44)</f>
        <v>8384.8904132231401</v>
      </c>
      <c r="J47" s="44">
        <f>SUM(J2:J44)</f>
        <v>39928.04958677687</v>
      </c>
      <c r="K47" s="45"/>
      <c r="L47" s="45"/>
      <c r="M47" s="53">
        <f>SUM(M2:M44)</f>
        <v>48312.94000000001</v>
      </c>
    </row>
    <row r="48" spans="1:19" x14ac:dyDescent="0.35">
      <c r="M48" s="29"/>
    </row>
    <row r="49" spans="13:13" x14ac:dyDescent="0.35">
      <c r="M49" s="29"/>
    </row>
    <row r="50" spans="13:13" x14ac:dyDescent="0.35">
      <c r="M50" s="29"/>
    </row>
    <row r="51" spans="13:13" x14ac:dyDescent="0.35">
      <c r="M51" s="29"/>
    </row>
    <row r="52" spans="13:13" x14ac:dyDescent="0.35">
      <c r="M52" s="29"/>
    </row>
    <row r="53" spans="13:13" x14ac:dyDescent="0.35">
      <c r="M53" s="29"/>
    </row>
    <row r="54" spans="13:13" x14ac:dyDescent="0.35">
      <c r="M54" s="29"/>
    </row>
    <row r="55" spans="13:13" x14ac:dyDescent="0.35">
      <c r="M55" s="29"/>
    </row>
    <row r="56" spans="13:13" x14ac:dyDescent="0.35">
      <c r="M56" s="29"/>
    </row>
    <row r="57" spans="13:13" x14ac:dyDescent="0.35">
      <c r="M57" s="29"/>
    </row>
    <row r="58" spans="13:13" x14ac:dyDescent="0.35">
      <c r="M58" s="29"/>
    </row>
    <row r="59" spans="13:13" x14ac:dyDescent="0.35">
      <c r="M59" s="29"/>
    </row>
    <row r="60" spans="13:13" x14ac:dyDescent="0.35">
      <c r="M60" s="29"/>
    </row>
    <row r="61" spans="13:13" x14ac:dyDescent="0.35">
      <c r="M61" s="29"/>
    </row>
    <row r="62" spans="13:13" x14ac:dyDescent="0.35">
      <c r="M62" s="29"/>
    </row>
    <row r="63" spans="13:13" x14ac:dyDescent="0.35">
      <c r="M63" s="29"/>
    </row>
    <row r="64" spans="13:13" x14ac:dyDescent="0.35">
      <c r="M64" s="29"/>
    </row>
    <row r="65" spans="13:13" x14ac:dyDescent="0.35">
      <c r="M65" s="29"/>
    </row>
    <row r="66" spans="13:13" x14ac:dyDescent="0.35">
      <c r="M66" s="29"/>
    </row>
    <row r="67" spans="13:13" x14ac:dyDescent="0.35">
      <c r="M67" s="29"/>
    </row>
    <row r="68" spans="13:13" x14ac:dyDescent="0.35">
      <c r="M68" s="29"/>
    </row>
    <row r="69" spans="13:13" x14ac:dyDescent="0.35">
      <c r="M69" s="29"/>
    </row>
    <row r="70" spans="13:13" x14ac:dyDescent="0.35">
      <c r="M70" s="29"/>
    </row>
    <row r="71" spans="13:13" x14ac:dyDescent="0.35">
      <c r="M71" s="29"/>
    </row>
    <row r="72" spans="13:13" x14ac:dyDescent="0.35">
      <c r="M72" s="29"/>
    </row>
    <row r="73" spans="13:13" x14ac:dyDescent="0.35">
      <c r="M73" s="29"/>
    </row>
    <row r="74" spans="13:13" x14ac:dyDescent="0.35">
      <c r="M74" s="29"/>
    </row>
    <row r="75" spans="13:13" x14ac:dyDescent="0.35">
      <c r="M75" s="29"/>
    </row>
    <row r="76" spans="13:13" x14ac:dyDescent="0.35">
      <c r="M76" s="29"/>
    </row>
    <row r="77" spans="13:13" x14ac:dyDescent="0.35">
      <c r="M77" s="29"/>
    </row>
    <row r="78" spans="13:13" x14ac:dyDescent="0.35">
      <c r="M78" s="29"/>
    </row>
    <row r="79" spans="13:13" x14ac:dyDescent="0.35">
      <c r="M79" s="29"/>
    </row>
    <row r="80" spans="13:13" x14ac:dyDescent="0.35">
      <c r="M80" s="29"/>
    </row>
    <row r="81" spans="13:13" x14ac:dyDescent="0.35">
      <c r="M81" s="29"/>
    </row>
    <row r="82" spans="13:13" x14ac:dyDescent="0.35">
      <c r="M82" s="29"/>
    </row>
    <row r="83" spans="13:13" x14ac:dyDescent="0.35">
      <c r="M83" s="29"/>
    </row>
    <row r="84" spans="13:13" x14ac:dyDescent="0.35">
      <c r="M84" s="29"/>
    </row>
    <row r="85" spans="13:13" x14ac:dyDescent="0.35">
      <c r="M85" s="29"/>
    </row>
    <row r="86" spans="13:13" x14ac:dyDescent="0.35">
      <c r="M86" s="29"/>
    </row>
    <row r="87" spans="13:13" x14ac:dyDescent="0.35">
      <c r="M87" s="29"/>
    </row>
    <row r="88" spans="13:13" x14ac:dyDescent="0.35">
      <c r="M88" s="29"/>
    </row>
    <row r="89" spans="13:13" x14ac:dyDescent="0.35">
      <c r="M89" s="29"/>
    </row>
    <row r="90" spans="13:13" x14ac:dyDescent="0.35">
      <c r="M90" s="29"/>
    </row>
    <row r="91" spans="13:13" x14ac:dyDescent="0.35">
      <c r="M91" s="29"/>
    </row>
    <row r="92" spans="13:13" x14ac:dyDescent="0.35">
      <c r="M92" s="29"/>
    </row>
    <row r="93" spans="13:13" x14ac:dyDescent="0.35">
      <c r="M93" s="29"/>
    </row>
    <row r="94" spans="13:13" x14ac:dyDescent="0.35">
      <c r="M94" s="29"/>
    </row>
    <row r="95" spans="13:13" x14ac:dyDescent="0.35">
      <c r="M95" s="29"/>
    </row>
    <row r="96" spans="13:13" x14ac:dyDescent="0.35">
      <c r="M96" s="29"/>
    </row>
    <row r="97" spans="13:13" x14ac:dyDescent="0.35">
      <c r="M97" s="29"/>
    </row>
    <row r="98" spans="13:13" x14ac:dyDescent="0.35">
      <c r="M98" s="29"/>
    </row>
    <row r="99" spans="13:13" x14ac:dyDescent="0.35">
      <c r="M99" s="29"/>
    </row>
    <row r="100" spans="13:13" x14ac:dyDescent="0.35">
      <c r="M100" s="29"/>
    </row>
    <row r="101" spans="13:13" x14ac:dyDescent="0.35">
      <c r="M101" s="29"/>
    </row>
    <row r="102" spans="13:13" x14ac:dyDescent="0.35">
      <c r="M102" s="29"/>
    </row>
    <row r="103" spans="13:13" x14ac:dyDescent="0.35">
      <c r="M103" s="29"/>
    </row>
    <row r="104" spans="13:13" x14ac:dyDescent="0.35">
      <c r="M104" s="29"/>
    </row>
    <row r="105" spans="13:13" x14ac:dyDescent="0.35">
      <c r="M105" s="29"/>
    </row>
    <row r="106" spans="13:13" x14ac:dyDescent="0.35">
      <c r="M106" s="29"/>
    </row>
    <row r="107" spans="13:13" x14ac:dyDescent="0.35">
      <c r="M107" s="29"/>
    </row>
    <row r="108" spans="13:13" x14ac:dyDescent="0.35">
      <c r="M108" s="29"/>
    </row>
    <row r="109" spans="13:13" x14ac:dyDescent="0.35">
      <c r="M109" s="29"/>
    </row>
    <row r="110" spans="13:13" x14ac:dyDescent="0.35">
      <c r="M110" s="29"/>
    </row>
    <row r="111" spans="13:13" x14ac:dyDescent="0.35">
      <c r="M111" s="29"/>
    </row>
    <row r="112" spans="13:13" x14ac:dyDescent="0.35">
      <c r="M112" s="29"/>
    </row>
    <row r="113" spans="13:13" x14ac:dyDescent="0.35">
      <c r="M113" s="29"/>
    </row>
    <row r="114" spans="13:13" x14ac:dyDescent="0.35">
      <c r="M114" s="29"/>
    </row>
    <row r="115" spans="13:13" x14ac:dyDescent="0.35">
      <c r="M115" s="29"/>
    </row>
    <row r="116" spans="13:13" x14ac:dyDescent="0.35">
      <c r="M116" s="29"/>
    </row>
    <row r="117" spans="13:13" x14ac:dyDescent="0.35">
      <c r="M117" s="29"/>
    </row>
    <row r="118" spans="13:13" x14ac:dyDescent="0.35">
      <c r="M118" s="29"/>
    </row>
    <row r="119" spans="13:13" x14ac:dyDescent="0.35">
      <c r="M119" s="29"/>
    </row>
    <row r="120" spans="13:13" x14ac:dyDescent="0.35">
      <c r="M120" s="29"/>
    </row>
    <row r="121" spans="13:13" x14ac:dyDescent="0.35">
      <c r="M121" s="29"/>
    </row>
    <row r="122" spans="13:13" x14ac:dyDescent="0.35">
      <c r="M122" s="29"/>
    </row>
    <row r="123" spans="13:13" x14ac:dyDescent="0.35">
      <c r="M123" s="29"/>
    </row>
    <row r="124" spans="13:13" x14ac:dyDescent="0.35">
      <c r="M124" s="29"/>
    </row>
    <row r="125" spans="13:13" x14ac:dyDescent="0.35">
      <c r="M125" s="29"/>
    </row>
    <row r="126" spans="13:13" x14ac:dyDescent="0.35">
      <c r="M126" s="29"/>
    </row>
    <row r="127" spans="13:13" x14ac:dyDescent="0.35">
      <c r="M127" s="29"/>
    </row>
    <row r="128" spans="13:13" x14ac:dyDescent="0.35">
      <c r="M128" s="29"/>
    </row>
    <row r="129" spans="13:13" x14ac:dyDescent="0.35">
      <c r="M129" s="29"/>
    </row>
    <row r="130" spans="13:13" x14ac:dyDescent="0.35">
      <c r="M130" s="29"/>
    </row>
    <row r="131" spans="13:13" x14ac:dyDescent="0.35">
      <c r="M131" s="29"/>
    </row>
    <row r="132" spans="13:13" x14ac:dyDescent="0.35">
      <c r="M132" s="29"/>
    </row>
    <row r="133" spans="13:13" x14ac:dyDescent="0.35">
      <c r="M133" s="29"/>
    </row>
    <row r="134" spans="13:13" x14ac:dyDescent="0.35">
      <c r="M134" s="29"/>
    </row>
    <row r="135" spans="13:13" x14ac:dyDescent="0.35">
      <c r="M135" s="29"/>
    </row>
    <row r="136" spans="13:13" x14ac:dyDescent="0.35">
      <c r="M136" s="29"/>
    </row>
    <row r="137" spans="13:13" x14ac:dyDescent="0.35">
      <c r="M137" s="29"/>
    </row>
    <row r="138" spans="13:13" x14ac:dyDescent="0.35">
      <c r="M138" s="29"/>
    </row>
    <row r="139" spans="13:13" x14ac:dyDescent="0.35">
      <c r="M139" s="29"/>
    </row>
    <row r="140" spans="13:13" x14ac:dyDescent="0.35">
      <c r="M140" s="29"/>
    </row>
    <row r="141" spans="13:13" x14ac:dyDescent="0.35">
      <c r="M141" s="29"/>
    </row>
    <row r="142" spans="13:13" x14ac:dyDescent="0.35">
      <c r="M142" s="29"/>
    </row>
    <row r="143" spans="13:13" x14ac:dyDescent="0.35">
      <c r="M143" s="29"/>
    </row>
    <row r="144" spans="13:13" x14ac:dyDescent="0.35">
      <c r="M144" s="29"/>
    </row>
    <row r="145" spans="13:13" x14ac:dyDescent="0.35">
      <c r="M145" s="29"/>
    </row>
    <row r="146" spans="13:13" x14ac:dyDescent="0.35">
      <c r="M146" s="29"/>
    </row>
    <row r="147" spans="13:13" x14ac:dyDescent="0.35">
      <c r="M147" s="29"/>
    </row>
    <row r="148" spans="13:13" x14ac:dyDescent="0.35">
      <c r="M148" s="29"/>
    </row>
    <row r="149" spans="13:13" x14ac:dyDescent="0.35">
      <c r="M149" s="29"/>
    </row>
    <row r="150" spans="13:13" x14ac:dyDescent="0.35">
      <c r="M150" s="29"/>
    </row>
    <row r="151" spans="13:13" x14ac:dyDescent="0.35">
      <c r="M151" s="29"/>
    </row>
    <row r="152" spans="13:13" x14ac:dyDescent="0.35">
      <c r="M152" s="29"/>
    </row>
    <row r="153" spans="13:13" x14ac:dyDescent="0.35">
      <c r="M153" s="29"/>
    </row>
    <row r="154" spans="13:13" x14ac:dyDescent="0.35">
      <c r="M154" s="29"/>
    </row>
    <row r="155" spans="13:13" x14ac:dyDescent="0.35">
      <c r="M155" s="29"/>
    </row>
    <row r="156" spans="13:13" x14ac:dyDescent="0.35">
      <c r="M156" s="29"/>
    </row>
    <row r="157" spans="13:13" x14ac:dyDescent="0.35">
      <c r="M157" s="29"/>
    </row>
    <row r="158" spans="13:13" x14ac:dyDescent="0.35">
      <c r="M158" s="29"/>
    </row>
    <row r="159" spans="13:13" x14ac:dyDescent="0.35">
      <c r="M159" s="29"/>
    </row>
    <row r="160" spans="13:13" x14ac:dyDescent="0.35">
      <c r="M160" s="29"/>
    </row>
    <row r="161" spans="13:13" x14ac:dyDescent="0.35">
      <c r="M161" s="29"/>
    </row>
    <row r="162" spans="13:13" x14ac:dyDescent="0.35">
      <c r="M162" s="29"/>
    </row>
    <row r="163" spans="13:13" x14ac:dyDescent="0.35">
      <c r="M163" s="29"/>
    </row>
    <row r="164" spans="13:13" x14ac:dyDescent="0.35">
      <c r="M164" s="29"/>
    </row>
    <row r="165" spans="13:13" x14ac:dyDescent="0.35">
      <c r="M165" s="29"/>
    </row>
    <row r="166" spans="13:13" x14ac:dyDescent="0.35">
      <c r="M166" s="29"/>
    </row>
    <row r="167" spans="13:13" x14ac:dyDescent="0.35">
      <c r="M167" s="29"/>
    </row>
    <row r="168" spans="13:13" x14ac:dyDescent="0.35">
      <c r="M168" s="29"/>
    </row>
    <row r="169" spans="13:13" x14ac:dyDescent="0.35">
      <c r="M169" s="29"/>
    </row>
    <row r="170" spans="13:13" x14ac:dyDescent="0.35">
      <c r="M170" s="29"/>
    </row>
    <row r="171" spans="13:13" x14ac:dyDescent="0.35">
      <c r="M171" s="29"/>
    </row>
    <row r="172" spans="13:13" x14ac:dyDescent="0.35">
      <c r="M172" s="29"/>
    </row>
    <row r="173" spans="13:13" x14ac:dyDescent="0.35">
      <c r="M173" s="29"/>
    </row>
    <row r="174" spans="13:13" x14ac:dyDescent="0.35">
      <c r="M174" s="29"/>
    </row>
    <row r="175" spans="13:13" x14ac:dyDescent="0.35">
      <c r="M175" s="29"/>
    </row>
    <row r="176" spans="13:13" x14ac:dyDescent="0.35">
      <c r="M176" s="29"/>
    </row>
    <row r="177" spans="13:13" x14ac:dyDescent="0.35">
      <c r="M177" s="29"/>
    </row>
    <row r="178" spans="13:13" x14ac:dyDescent="0.35">
      <c r="M178" s="29"/>
    </row>
    <row r="179" spans="13:13" x14ac:dyDescent="0.35">
      <c r="M179" s="29"/>
    </row>
    <row r="180" spans="13:13" x14ac:dyDescent="0.35">
      <c r="M180" s="29"/>
    </row>
    <row r="181" spans="13:13" x14ac:dyDescent="0.35">
      <c r="M181" s="29"/>
    </row>
    <row r="182" spans="13:13" x14ac:dyDescent="0.35">
      <c r="M182" s="29"/>
    </row>
    <row r="183" spans="13:13" x14ac:dyDescent="0.35">
      <c r="M183" s="29"/>
    </row>
    <row r="184" spans="13:13" x14ac:dyDescent="0.35">
      <c r="M184" s="29"/>
    </row>
    <row r="185" spans="13:13" x14ac:dyDescent="0.35">
      <c r="M185" s="29"/>
    </row>
    <row r="186" spans="13:13" x14ac:dyDescent="0.35">
      <c r="M186" s="29"/>
    </row>
    <row r="187" spans="13:13" x14ac:dyDescent="0.35">
      <c r="M187" s="29"/>
    </row>
    <row r="188" spans="13:13" x14ac:dyDescent="0.35">
      <c r="M188" s="29"/>
    </row>
    <row r="189" spans="13:13" x14ac:dyDescent="0.35">
      <c r="M189" s="29"/>
    </row>
    <row r="190" spans="13:13" x14ac:dyDescent="0.35">
      <c r="M190" s="29"/>
    </row>
    <row r="191" spans="13:13" x14ac:dyDescent="0.35">
      <c r="M191" s="29"/>
    </row>
    <row r="192" spans="13:13" x14ac:dyDescent="0.35">
      <c r="M192" s="29"/>
    </row>
    <row r="193" spans="13:13" x14ac:dyDescent="0.35">
      <c r="M193" s="29"/>
    </row>
    <row r="194" spans="13:13" x14ac:dyDescent="0.35">
      <c r="M194" s="29"/>
    </row>
    <row r="195" spans="13:13" x14ac:dyDescent="0.35">
      <c r="M195" s="29"/>
    </row>
    <row r="196" spans="13:13" x14ac:dyDescent="0.35">
      <c r="M196" s="29"/>
    </row>
    <row r="197" spans="13:13" x14ac:dyDescent="0.35">
      <c r="M197" s="29"/>
    </row>
    <row r="198" spans="13:13" x14ac:dyDescent="0.35">
      <c r="M198" s="29"/>
    </row>
    <row r="199" spans="13:13" x14ac:dyDescent="0.35">
      <c r="M199" s="29"/>
    </row>
    <row r="200" spans="13:13" x14ac:dyDescent="0.35">
      <c r="M200" s="29"/>
    </row>
    <row r="201" spans="13:13" x14ac:dyDescent="0.35">
      <c r="M201" s="29"/>
    </row>
    <row r="202" spans="13:13" x14ac:dyDescent="0.35">
      <c r="M202" s="29"/>
    </row>
    <row r="203" spans="13:13" x14ac:dyDescent="0.35">
      <c r="M203" s="29"/>
    </row>
    <row r="204" spans="13:13" x14ac:dyDescent="0.35">
      <c r="M204" s="29"/>
    </row>
    <row r="205" spans="13:13" x14ac:dyDescent="0.35">
      <c r="M205" s="29"/>
    </row>
    <row r="206" spans="13:13" x14ac:dyDescent="0.35">
      <c r="M206" s="29"/>
    </row>
    <row r="207" spans="13:13" x14ac:dyDescent="0.35">
      <c r="M207" s="29"/>
    </row>
    <row r="208" spans="13:13" x14ac:dyDescent="0.35">
      <c r="M208" s="29"/>
    </row>
    <row r="209" spans="13:13" x14ac:dyDescent="0.35">
      <c r="M209" s="29"/>
    </row>
    <row r="210" spans="13:13" x14ac:dyDescent="0.35">
      <c r="M210" s="29"/>
    </row>
    <row r="211" spans="13:13" x14ac:dyDescent="0.35">
      <c r="M211" s="29"/>
    </row>
    <row r="212" spans="13:13" x14ac:dyDescent="0.35">
      <c r="M212" s="29"/>
    </row>
    <row r="213" spans="13:13" x14ac:dyDescent="0.35">
      <c r="M213" s="29"/>
    </row>
    <row r="214" spans="13:13" x14ac:dyDescent="0.35">
      <c r="M214" s="29"/>
    </row>
    <row r="215" spans="13:13" x14ac:dyDescent="0.35">
      <c r="M215" s="29"/>
    </row>
    <row r="216" spans="13:13" x14ac:dyDescent="0.35">
      <c r="M216" s="29"/>
    </row>
    <row r="217" spans="13:13" x14ac:dyDescent="0.35">
      <c r="M217" s="29"/>
    </row>
    <row r="218" spans="13:13" x14ac:dyDescent="0.35">
      <c r="M218" s="29"/>
    </row>
    <row r="219" spans="13:13" x14ac:dyDescent="0.35">
      <c r="M219" s="29"/>
    </row>
    <row r="220" spans="13:13" x14ac:dyDescent="0.35">
      <c r="M220" s="29"/>
    </row>
    <row r="221" spans="13:13" x14ac:dyDescent="0.35">
      <c r="M221" s="29"/>
    </row>
    <row r="222" spans="13:13" x14ac:dyDescent="0.35">
      <c r="M222" s="29"/>
    </row>
    <row r="223" spans="13:13" x14ac:dyDescent="0.35">
      <c r="M223" s="29"/>
    </row>
    <row r="224" spans="13:13" x14ac:dyDescent="0.35">
      <c r="M224" s="29"/>
    </row>
    <row r="225" spans="13:13" x14ac:dyDescent="0.35">
      <c r="M225" s="29"/>
    </row>
    <row r="226" spans="13:13" x14ac:dyDescent="0.35">
      <c r="M226" s="29"/>
    </row>
    <row r="227" spans="13:13" x14ac:dyDescent="0.35">
      <c r="M227" s="29"/>
    </row>
    <row r="228" spans="13:13" x14ac:dyDescent="0.35">
      <c r="M228" s="29"/>
    </row>
    <row r="229" spans="13:13" x14ac:dyDescent="0.35">
      <c r="M229" s="29"/>
    </row>
    <row r="230" spans="13:13" x14ac:dyDescent="0.35">
      <c r="M230" s="29"/>
    </row>
    <row r="231" spans="13:13" x14ac:dyDescent="0.35">
      <c r="M231" s="29"/>
    </row>
    <row r="232" spans="13:13" x14ac:dyDescent="0.35">
      <c r="M232" s="29"/>
    </row>
    <row r="233" spans="13:13" x14ac:dyDescent="0.35">
      <c r="M233" s="29"/>
    </row>
    <row r="234" spans="13:13" x14ac:dyDescent="0.35">
      <c r="M234" s="29"/>
    </row>
    <row r="235" spans="13:13" x14ac:dyDescent="0.35">
      <c r="M235" s="29"/>
    </row>
    <row r="236" spans="13:13" x14ac:dyDescent="0.35">
      <c r="M236" s="29"/>
    </row>
    <row r="237" spans="13:13" x14ac:dyDescent="0.35">
      <c r="M237" s="29"/>
    </row>
    <row r="238" spans="13:13" x14ac:dyDescent="0.35">
      <c r="M238" s="29"/>
    </row>
    <row r="239" spans="13:13" x14ac:dyDescent="0.35">
      <c r="M239" s="29"/>
    </row>
    <row r="240" spans="13:13" x14ac:dyDescent="0.35">
      <c r="M240" s="29"/>
    </row>
    <row r="241" spans="13:13" x14ac:dyDescent="0.35">
      <c r="M241" s="29"/>
    </row>
    <row r="242" spans="13:13" x14ac:dyDescent="0.35">
      <c r="M242" s="29"/>
    </row>
    <row r="243" spans="13:13" x14ac:dyDescent="0.35">
      <c r="M243" s="29"/>
    </row>
    <row r="244" spans="13:13" x14ac:dyDescent="0.35">
      <c r="M244" s="29"/>
    </row>
    <row r="245" spans="13:13" x14ac:dyDescent="0.35">
      <c r="M245" s="29"/>
    </row>
    <row r="246" spans="13:13" x14ac:dyDescent="0.35">
      <c r="M246" s="29"/>
    </row>
    <row r="247" spans="13:13" x14ac:dyDescent="0.35">
      <c r="M247" s="29"/>
    </row>
    <row r="248" spans="13:13" x14ac:dyDescent="0.35">
      <c r="M248" s="29"/>
    </row>
    <row r="249" spans="13:13" x14ac:dyDescent="0.35">
      <c r="M249" s="29"/>
    </row>
    <row r="250" spans="13:13" x14ac:dyDescent="0.35">
      <c r="M250" s="29"/>
    </row>
    <row r="251" spans="13:13" x14ac:dyDescent="0.35">
      <c r="M251" s="29"/>
    </row>
    <row r="252" spans="13:13" x14ac:dyDescent="0.35">
      <c r="M252" s="29"/>
    </row>
    <row r="253" spans="13:13" x14ac:dyDescent="0.35">
      <c r="M253" s="29"/>
    </row>
    <row r="254" spans="13:13" x14ac:dyDescent="0.35">
      <c r="M254" s="29"/>
    </row>
    <row r="255" spans="13:13" x14ac:dyDescent="0.35">
      <c r="M255" s="29"/>
    </row>
    <row r="256" spans="13:13" x14ac:dyDescent="0.35">
      <c r="M256" s="29"/>
    </row>
    <row r="257" spans="13:13" x14ac:dyDescent="0.35">
      <c r="M257" s="29"/>
    </row>
    <row r="258" spans="13:13" x14ac:dyDescent="0.35">
      <c r="M258" s="29"/>
    </row>
    <row r="259" spans="13:13" x14ac:dyDescent="0.35">
      <c r="M259" s="29"/>
    </row>
    <row r="260" spans="13:13" x14ac:dyDescent="0.35">
      <c r="M260" s="29"/>
    </row>
    <row r="261" spans="13:13" x14ac:dyDescent="0.35">
      <c r="M261" s="29"/>
    </row>
    <row r="262" spans="13:13" x14ac:dyDescent="0.35">
      <c r="M262" s="29"/>
    </row>
    <row r="263" spans="13:13" x14ac:dyDescent="0.35">
      <c r="M263" s="29"/>
    </row>
    <row r="264" spans="13:13" x14ac:dyDescent="0.35">
      <c r="M264" s="29"/>
    </row>
    <row r="265" spans="13:13" x14ac:dyDescent="0.35">
      <c r="M265" s="29"/>
    </row>
    <row r="266" spans="13:13" x14ac:dyDescent="0.35">
      <c r="M266" s="29"/>
    </row>
    <row r="267" spans="13:13" x14ac:dyDescent="0.35">
      <c r="M267" s="29"/>
    </row>
    <row r="268" spans="13:13" x14ac:dyDescent="0.35">
      <c r="M268" s="29"/>
    </row>
    <row r="269" spans="13:13" x14ac:dyDescent="0.35">
      <c r="M269" s="29"/>
    </row>
    <row r="270" spans="13:13" x14ac:dyDescent="0.35">
      <c r="M270" s="29"/>
    </row>
    <row r="271" spans="13:13" x14ac:dyDescent="0.35">
      <c r="M271" s="29"/>
    </row>
    <row r="272" spans="13:13" x14ac:dyDescent="0.35">
      <c r="M272" s="29"/>
    </row>
    <row r="273" spans="13:13" x14ac:dyDescent="0.35">
      <c r="M273" s="29"/>
    </row>
    <row r="274" spans="13:13" x14ac:dyDescent="0.35">
      <c r="M274" s="29"/>
    </row>
    <row r="275" spans="13:13" x14ac:dyDescent="0.35">
      <c r="M275" s="29"/>
    </row>
    <row r="276" spans="13:13" x14ac:dyDescent="0.35">
      <c r="M276" s="29"/>
    </row>
    <row r="277" spans="13:13" x14ac:dyDescent="0.35">
      <c r="M277" s="29"/>
    </row>
    <row r="278" spans="13:13" x14ac:dyDescent="0.35">
      <c r="M278" s="29"/>
    </row>
    <row r="279" spans="13:13" x14ac:dyDescent="0.35">
      <c r="M279" s="29"/>
    </row>
    <row r="280" spans="13:13" x14ac:dyDescent="0.35">
      <c r="M280" s="29"/>
    </row>
    <row r="281" spans="13:13" x14ac:dyDescent="0.35">
      <c r="M281" s="29"/>
    </row>
    <row r="282" spans="13:13" x14ac:dyDescent="0.35">
      <c r="M282" s="29"/>
    </row>
    <row r="283" spans="13:13" x14ac:dyDescent="0.35">
      <c r="M283" s="29"/>
    </row>
    <row r="284" spans="13:13" x14ac:dyDescent="0.35">
      <c r="M284" s="29"/>
    </row>
    <row r="285" spans="13:13" x14ac:dyDescent="0.35">
      <c r="M285" s="29"/>
    </row>
    <row r="286" spans="13:13" x14ac:dyDescent="0.35">
      <c r="M286" s="29"/>
    </row>
    <row r="287" spans="13:13" x14ac:dyDescent="0.35">
      <c r="M287" s="29"/>
    </row>
    <row r="288" spans="13:13" x14ac:dyDescent="0.35">
      <c r="M288" s="29"/>
    </row>
    <row r="289" spans="13:13" x14ac:dyDescent="0.35">
      <c r="M289" s="29"/>
    </row>
    <row r="290" spans="13:13" x14ac:dyDescent="0.35">
      <c r="M290" s="29"/>
    </row>
    <row r="291" spans="13:13" x14ac:dyDescent="0.35">
      <c r="M291" s="29"/>
    </row>
    <row r="292" spans="13:13" x14ac:dyDescent="0.35">
      <c r="M292" s="29"/>
    </row>
    <row r="293" spans="13:13" x14ac:dyDescent="0.35">
      <c r="M293" s="29"/>
    </row>
    <row r="294" spans="13:13" x14ac:dyDescent="0.35">
      <c r="M294" s="29"/>
    </row>
    <row r="295" spans="13:13" x14ac:dyDescent="0.35">
      <c r="M295" s="29"/>
    </row>
    <row r="296" spans="13:13" x14ac:dyDescent="0.35">
      <c r="M296" s="29"/>
    </row>
    <row r="297" spans="13:13" x14ac:dyDescent="0.35">
      <c r="M297" s="29"/>
    </row>
    <row r="298" spans="13:13" x14ac:dyDescent="0.35">
      <c r="M298" s="29"/>
    </row>
    <row r="299" spans="13:13" x14ac:dyDescent="0.35">
      <c r="M299" s="29"/>
    </row>
    <row r="300" spans="13:13" x14ac:dyDescent="0.35">
      <c r="M300" s="29"/>
    </row>
    <row r="301" spans="13:13" x14ac:dyDescent="0.35">
      <c r="M301" s="29"/>
    </row>
    <row r="302" spans="13:13" x14ac:dyDescent="0.35">
      <c r="M302" s="29"/>
    </row>
    <row r="303" spans="13:13" x14ac:dyDescent="0.35">
      <c r="M303" s="29"/>
    </row>
    <row r="304" spans="13:13" x14ac:dyDescent="0.35">
      <c r="M304" s="29"/>
    </row>
    <row r="305" spans="13:13" x14ac:dyDescent="0.35">
      <c r="M305" s="29"/>
    </row>
    <row r="306" spans="13:13" x14ac:dyDescent="0.35">
      <c r="M306" s="29"/>
    </row>
    <row r="307" spans="13:13" x14ac:dyDescent="0.35">
      <c r="M307" s="29"/>
    </row>
    <row r="308" spans="13:13" x14ac:dyDescent="0.35">
      <c r="M308" s="29"/>
    </row>
    <row r="309" spans="13:13" x14ac:dyDescent="0.35">
      <c r="M309" s="29"/>
    </row>
    <row r="310" spans="13:13" x14ac:dyDescent="0.35">
      <c r="M310" s="29"/>
    </row>
    <row r="311" spans="13:13" x14ac:dyDescent="0.35">
      <c r="M311" s="29"/>
    </row>
    <row r="312" spans="13:13" x14ac:dyDescent="0.35">
      <c r="M312" s="29"/>
    </row>
    <row r="313" spans="13:13" x14ac:dyDescent="0.35">
      <c r="M313" s="29"/>
    </row>
    <row r="314" spans="13:13" x14ac:dyDescent="0.35">
      <c r="M314" s="29"/>
    </row>
    <row r="315" spans="13:13" x14ac:dyDescent="0.35">
      <c r="M315" s="29"/>
    </row>
    <row r="316" spans="13:13" x14ac:dyDescent="0.35">
      <c r="M316" s="29"/>
    </row>
    <row r="317" spans="13:13" x14ac:dyDescent="0.35">
      <c r="M317" s="29"/>
    </row>
    <row r="318" spans="13:13" x14ac:dyDescent="0.35">
      <c r="M318" s="29"/>
    </row>
    <row r="319" spans="13:13" x14ac:dyDescent="0.35">
      <c r="M319" s="29"/>
    </row>
    <row r="320" spans="13:13" x14ac:dyDescent="0.35">
      <c r="M320" s="29"/>
    </row>
    <row r="321" spans="13:13" x14ac:dyDescent="0.35">
      <c r="M321" s="29"/>
    </row>
    <row r="322" spans="13:13" x14ac:dyDescent="0.35">
      <c r="M322" s="29"/>
    </row>
    <row r="323" spans="13:13" x14ac:dyDescent="0.35">
      <c r="M323" s="29"/>
    </row>
    <row r="324" spans="13:13" x14ac:dyDescent="0.35">
      <c r="M324" s="29"/>
    </row>
    <row r="325" spans="13:13" x14ac:dyDescent="0.35">
      <c r="M325" s="29"/>
    </row>
    <row r="326" spans="13:13" x14ac:dyDescent="0.35">
      <c r="M326" s="29"/>
    </row>
    <row r="327" spans="13:13" x14ac:dyDescent="0.35">
      <c r="M327" s="29"/>
    </row>
    <row r="328" spans="13:13" x14ac:dyDescent="0.35">
      <c r="M328" s="29"/>
    </row>
    <row r="329" spans="13:13" x14ac:dyDescent="0.35">
      <c r="M329" s="29"/>
    </row>
    <row r="330" spans="13:13" x14ac:dyDescent="0.35">
      <c r="M330" s="29"/>
    </row>
    <row r="331" spans="13:13" x14ac:dyDescent="0.35">
      <c r="M331" s="29"/>
    </row>
    <row r="332" spans="13:13" x14ac:dyDescent="0.35">
      <c r="M332" s="29"/>
    </row>
    <row r="333" spans="13:13" x14ac:dyDescent="0.35">
      <c r="M333" s="29"/>
    </row>
    <row r="334" spans="13:13" x14ac:dyDescent="0.35">
      <c r="M334" s="29"/>
    </row>
    <row r="335" spans="13:13" x14ac:dyDescent="0.35">
      <c r="M335" s="29"/>
    </row>
    <row r="336" spans="13:13" x14ac:dyDescent="0.35">
      <c r="M336" s="29"/>
    </row>
    <row r="337" spans="13:13" x14ac:dyDescent="0.35">
      <c r="M337" s="29"/>
    </row>
    <row r="338" spans="13:13" x14ac:dyDescent="0.35">
      <c r="M338" s="29"/>
    </row>
    <row r="339" spans="13:13" x14ac:dyDescent="0.35">
      <c r="M339" s="29"/>
    </row>
    <row r="340" spans="13:13" x14ac:dyDescent="0.35">
      <c r="M340" s="29"/>
    </row>
    <row r="341" spans="13:13" x14ac:dyDescent="0.35">
      <c r="M341" s="29"/>
    </row>
    <row r="342" spans="13:13" x14ac:dyDescent="0.35">
      <c r="M342" s="29"/>
    </row>
    <row r="343" spans="13:13" x14ac:dyDescent="0.35">
      <c r="M343" s="29"/>
    </row>
    <row r="344" spans="13:13" x14ac:dyDescent="0.35">
      <c r="M344" s="29"/>
    </row>
    <row r="345" spans="13:13" x14ac:dyDescent="0.35">
      <c r="M345" s="29"/>
    </row>
    <row r="346" spans="13:13" x14ac:dyDescent="0.35">
      <c r="M346" s="29"/>
    </row>
    <row r="347" spans="13:13" x14ac:dyDescent="0.35">
      <c r="M347" s="29"/>
    </row>
    <row r="348" spans="13:13" x14ac:dyDescent="0.35">
      <c r="M348" s="29"/>
    </row>
    <row r="349" spans="13:13" x14ac:dyDescent="0.35">
      <c r="M349" s="29"/>
    </row>
    <row r="350" spans="13:13" x14ac:dyDescent="0.35">
      <c r="M350" s="29"/>
    </row>
    <row r="351" spans="13:13" x14ac:dyDescent="0.35">
      <c r="M351" s="29"/>
    </row>
    <row r="352" spans="13:13" x14ac:dyDescent="0.35">
      <c r="M352" s="29"/>
    </row>
    <row r="353" spans="13:13" x14ac:dyDescent="0.35">
      <c r="M353" s="29"/>
    </row>
    <row r="354" spans="13:13" x14ac:dyDescent="0.35">
      <c r="M354" s="29"/>
    </row>
    <row r="355" spans="13:13" x14ac:dyDescent="0.35">
      <c r="M355" s="29"/>
    </row>
    <row r="356" spans="13:13" x14ac:dyDescent="0.35">
      <c r="M356" s="29"/>
    </row>
    <row r="357" spans="13:13" x14ac:dyDescent="0.35">
      <c r="M357" s="29"/>
    </row>
    <row r="358" spans="13:13" x14ac:dyDescent="0.35">
      <c r="M358" s="29"/>
    </row>
    <row r="359" spans="13:13" x14ac:dyDescent="0.35">
      <c r="M359" s="29"/>
    </row>
    <row r="360" spans="13:13" x14ac:dyDescent="0.35">
      <c r="M360" s="29"/>
    </row>
    <row r="361" spans="13:13" x14ac:dyDescent="0.35">
      <c r="M361" s="29"/>
    </row>
    <row r="362" spans="13:13" x14ac:dyDescent="0.35">
      <c r="M362" s="29"/>
    </row>
    <row r="363" spans="13:13" x14ac:dyDescent="0.35">
      <c r="M363" s="29"/>
    </row>
    <row r="364" spans="13:13" x14ac:dyDescent="0.35">
      <c r="M364" s="29"/>
    </row>
    <row r="365" spans="13:13" x14ac:dyDescent="0.35">
      <c r="M365" s="29"/>
    </row>
    <row r="366" spans="13:13" x14ac:dyDescent="0.35">
      <c r="M366" s="29"/>
    </row>
    <row r="367" spans="13:13" x14ac:dyDescent="0.35">
      <c r="M367" s="29"/>
    </row>
    <row r="368" spans="13:13" x14ac:dyDescent="0.35">
      <c r="M368" s="29"/>
    </row>
    <row r="369" spans="13:13" x14ac:dyDescent="0.35">
      <c r="M369" s="29"/>
    </row>
    <row r="370" spans="13:13" x14ac:dyDescent="0.35">
      <c r="M370" s="29"/>
    </row>
    <row r="371" spans="13:13" x14ac:dyDescent="0.35">
      <c r="M371" s="29"/>
    </row>
    <row r="372" spans="13:13" x14ac:dyDescent="0.35">
      <c r="M372" s="29"/>
    </row>
    <row r="373" spans="13:13" x14ac:dyDescent="0.35">
      <c r="M373" s="29"/>
    </row>
    <row r="374" spans="13:13" x14ac:dyDescent="0.35">
      <c r="M374" s="29"/>
    </row>
    <row r="375" spans="13:13" x14ac:dyDescent="0.35">
      <c r="M375" s="29"/>
    </row>
    <row r="376" spans="13:13" x14ac:dyDescent="0.35">
      <c r="M376" s="29"/>
    </row>
    <row r="377" spans="13:13" x14ac:dyDescent="0.35">
      <c r="M377" s="29"/>
    </row>
    <row r="378" spans="13:13" x14ac:dyDescent="0.35">
      <c r="M378" s="29"/>
    </row>
    <row r="379" spans="13:13" x14ac:dyDescent="0.35">
      <c r="M379" s="29"/>
    </row>
    <row r="380" spans="13:13" x14ac:dyDescent="0.35">
      <c r="M380" s="29"/>
    </row>
    <row r="381" spans="13:13" x14ac:dyDescent="0.35">
      <c r="M381" s="29"/>
    </row>
    <row r="382" spans="13:13" x14ac:dyDescent="0.35">
      <c r="M382" s="29"/>
    </row>
    <row r="383" spans="13:13" x14ac:dyDescent="0.35">
      <c r="M383" s="29"/>
    </row>
    <row r="384" spans="13:13" x14ac:dyDescent="0.35">
      <c r="M384" s="29"/>
    </row>
    <row r="385" spans="13:13" x14ac:dyDescent="0.35">
      <c r="M385" s="29"/>
    </row>
    <row r="386" spans="13:13" x14ac:dyDescent="0.35">
      <c r="M386" s="29"/>
    </row>
    <row r="387" spans="13:13" x14ac:dyDescent="0.35">
      <c r="M387" s="29"/>
    </row>
    <row r="388" spans="13:13" x14ac:dyDescent="0.35">
      <c r="M388" s="29"/>
    </row>
    <row r="389" spans="13:13" x14ac:dyDescent="0.35">
      <c r="M389" s="29"/>
    </row>
    <row r="390" spans="13:13" x14ac:dyDescent="0.35">
      <c r="M390" s="29"/>
    </row>
    <row r="391" spans="13:13" x14ac:dyDescent="0.35">
      <c r="M391" s="29"/>
    </row>
    <row r="392" spans="13:13" x14ac:dyDescent="0.35">
      <c r="M392" s="29"/>
    </row>
    <row r="393" spans="13:13" x14ac:dyDescent="0.35">
      <c r="M393" s="29"/>
    </row>
    <row r="394" spans="13:13" x14ac:dyDescent="0.35">
      <c r="M394" s="29"/>
    </row>
    <row r="395" spans="13:13" x14ac:dyDescent="0.35">
      <c r="M395" s="29"/>
    </row>
    <row r="396" spans="13:13" x14ac:dyDescent="0.35">
      <c r="M396" s="29"/>
    </row>
    <row r="397" spans="13:13" x14ac:dyDescent="0.35">
      <c r="M397" s="29"/>
    </row>
    <row r="398" spans="13:13" x14ac:dyDescent="0.35">
      <c r="M398" s="29"/>
    </row>
    <row r="399" spans="13:13" x14ac:dyDescent="0.35">
      <c r="M399" s="29"/>
    </row>
    <row r="400" spans="13:13" x14ac:dyDescent="0.35">
      <c r="M400" s="29"/>
    </row>
    <row r="401" spans="13:13" x14ac:dyDescent="0.35">
      <c r="M401" s="29"/>
    </row>
    <row r="402" spans="13:13" x14ac:dyDescent="0.35">
      <c r="M402" s="29"/>
    </row>
    <row r="403" spans="13:13" x14ac:dyDescent="0.35">
      <c r="M403" s="29"/>
    </row>
    <row r="404" spans="13:13" x14ac:dyDescent="0.35">
      <c r="M404" s="29"/>
    </row>
    <row r="405" spans="13:13" x14ac:dyDescent="0.35">
      <c r="M405" s="29"/>
    </row>
    <row r="406" spans="13:13" x14ac:dyDescent="0.35">
      <c r="M406" s="29"/>
    </row>
    <row r="407" spans="13:13" x14ac:dyDescent="0.35">
      <c r="M407" s="29"/>
    </row>
    <row r="408" spans="13:13" x14ac:dyDescent="0.35">
      <c r="M408" s="29"/>
    </row>
    <row r="409" spans="13:13" x14ac:dyDescent="0.35">
      <c r="M409" s="29"/>
    </row>
    <row r="410" spans="13:13" x14ac:dyDescent="0.35">
      <c r="M410" s="29"/>
    </row>
    <row r="411" spans="13:13" x14ac:dyDescent="0.35">
      <c r="M411" s="29"/>
    </row>
    <row r="412" spans="13:13" x14ac:dyDescent="0.35">
      <c r="M412" s="29"/>
    </row>
    <row r="413" spans="13:13" x14ac:dyDescent="0.35">
      <c r="M413" s="29"/>
    </row>
    <row r="414" spans="13:13" x14ac:dyDescent="0.35">
      <c r="M414" s="29"/>
    </row>
    <row r="415" spans="13:13" x14ac:dyDescent="0.35">
      <c r="M415" s="29"/>
    </row>
    <row r="416" spans="13:13" x14ac:dyDescent="0.35">
      <c r="M416" s="29"/>
    </row>
    <row r="417" spans="13:13" x14ac:dyDescent="0.35">
      <c r="M417" s="29"/>
    </row>
    <row r="418" spans="13:13" x14ac:dyDescent="0.35">
      <c r="M418" s="29"/>
    </row>
    <row r="419" spans="13:13" x14ac:dyDescent="0.35">
      <c r="M419" s="29"/>
    </row>
    <row r="420" spans="13:13" x14ac:dyDescent="0.35">
      <c r="M420" s="29"/>
    </row>
    <row r="421" spans="13:13" x14ac:dyDescent="0.35">
      <c r="M421" s="29"/>
    </row>
    <row r="422" spans="13:13" x14ac:dyDescent="0.35">
      <c r="M422" s="29"/>
    </row>
    <row r="423" spans="13:13" x14ac:dyDescent="0.35">
      <c r="M423" s="29"/>
    </row>
    <row r="424" spans="13:13" x14ac:dyDescent="0.35">
      <c r="M424" s="29"/>
    </row>
    <row r="425" spans="13:13" x14ac:dyDescent="0.35">
      <c r="M425" s="29"/>
    </row>
    <row r="426" spans="13:13" x14ac:dyDescent="0.35">
      <c r="M426" s="29"/>
    </row>
    <row r="427" spans="13:13" x14ac:dyDescent="0.35">
      <c r="M427" s="29"/>
    </row>
    <row r="428" spans="13:13" x14ac:dyDescent="0.35">
      <c r="M428" s="29"/>
    </row>
    <row r="429" spans="13:13" x14ac:dyDescent="0.35">
      <c r="M429" s="29"/>
    </row>
    <row r="430" spans="13:13" x14ac:dyDescent="0.35">
      <c r="M430" s="29"/>
    </row>
    <row r="431" spans="13:13" x14ac:dyDescent="0.35">
      <c r="M431" s="29"/>
    </row>
    <row r="432" spans="13:13" x14ac:dyDescent="0.35">
      <c r="M432" s="29"/>
    </row>
    <row r="433" spans="13:13" x14ac:dyDescent="0.35">
      <c r="M433" s="29"/>
    </row>
    <row r="434" spans="13:13" x14ac:dyDescent="0.35">
      <c r="M434" s="29"/>
    </row>
    <row r="435" spans="13:13" x14ac:dyDescent="0.35">
      <c r="M435" s="29"/>
    </row>
    <row r="436" spans="13:13" x14ac:dyDescent="0.35">
      <c r="M436" s="29"/>
    </row>
    <row r="437" spans="13:13" x14ac:dyDescent="0.35">
      <c r="M437" s="29"/>
    </row>
    <row r="438" spans="13:13" x14ac:dyDescent="0.35">
      <c r="M438" s="29"/>
    </row>
    <row r="439" spans="13:13" x14ac:dyDescent="0.35">
      <c r="M439" s="29"/>
    </row>
    <row r="440" spans="13:13" x14ac:dyDescent="0.35">
      <c r="M440" s="29"/>
    </row>
    <row r="441" spans="13:13" x14ac:dyDescent="0.35">
      <c r="M441" s="29"/>
    </row>
    <row r="442" spans="13:13" x14ac:dyDescent="0.35">
      <c r="M442" s="29"/>
    </row>
    <row r="443" spans="13:13" x14ac:dyDescent="0.35">
      <c r="M443" s="29"/>
    </row>
    <row r="444" spans="13:13" x14ac:dyDescent="0.35">
      <c r="M444" s="29"/>
    </row>
    <row r="445" spans="13:13" x14ac:dyDescent="0.35">
      <c r="M445" s="29"/>
    </row>
    <row r="446" spans="13:13" x14ac:dyDescent="0.35">
      <c r="M446" s="29"/>
    </row>
    <row r="447" spans="13:13" x14ac:dyDescent="0.35">
      <c r="M447" s="29"/>
    </row>
    <row r="448" spans="13:13" x14ac:dyDescent="0.35">
      <c r="M448" s="29"/>
    </row>
    <row r="449" spans="13:13" x14ac:dyDescent="0.35">
      <c r="M449" s="29"/>
    </row>
    <row r="450" spans="13:13" x14ac:dyDescent="0.35">
      <c r="M450" s="29"/>
    </row>
    <row r="451" spans="13:13" x14ac:dyDescent="0.35">
      <c r="M451" s="29"/>
    </row>
    <row r="452" spans="13:13" x14ac:dyDescent="0.35">
      <c r="M452" s="29"/>
    </row>
    <row r="453" spans="13:13" x14ac:dyDescent="0.35">
      <c r="M453" s="29"/>
    </row>
    <row r="454" spans="13:13" x14ac:dyDescent="0.35">
      <c r="M454" s="29"/>
    </row>
    <row r="455" spans="13:13" x14ac:dyDescent="0.35">
      <c r="M455" s="29"/>
    </row>
    <row r="456" spans="13:13" x14ac:dyDescent="0.35">
      <c r="M456" s="29"/>
    </row>
    <row r="457" spans="13:13" x14ac:dyDescent="0.35">
      <c r="M457" s="29"/>
    </row>
    <row r="458" spans="13:13" x14ac:dyDescent="0.35">
      <c r="M458" s="29"/>
    </row>
    <row r="459" spans="13:13" x14ac:dyDescent="0.35">
      <c r="M459" s="29"/>
    </row>
    <row r="460" spans="13:13" x14ac:dyDescent="0.35">
      <c r="M460" s="29"/>
    </row>
    <row r="461" spans="13:13" x14ac:dyDescent="0.35">
      <c r="M461" s="29"/>
    </row>
    <row r="462" spans="13:13" x14ac:dyDescent="0.35">
      <c r="M462" s="29"/>
    </row>
    <row r="463" spans="13:13" x14ac:dyDescent="0.35">
      <c r="M463" s="29"/>
    </row>
    <row r="464" spans="13:13" x14ac:dyDescent="0.35">
      <c r="M464" s="29"/>
    </row>
    <row r="465" spans="13:13" x14ac:dyDescent="0.35">
      <c r="M465" s="29"/>
    </row>
    <row r="466" spans="13:13" x14ac:dyDescent="0.35">
      <c r="M466" s="29"/>
    </row>
    <row r="467" spans="13:13" x14ac:dyDescent="0.35">
      <c r="M467" s="29"/>
    </row>
    <row r="468" spans="13:13" x14ac:dyDescent="0.35">
      <c r="M468" s="29"/>
    </row>
    <row r="469" spans="13:13" x14ac:dyDescent="0.35">
      <c r="M469" s="29"/>
    </row>
    <row r="470" spans="13:13" x14ac:dyDescent="0.35">
      <c r="M470" s="29"/>
    </row>
    <row r="471" spans="13:13" x14ac:dyDescent="0.35">
      <c r="M471" s="29"/>
    </row>
    <row r="472" spans="13:13" x14ac:dyDescent="0.35">
      <c r="M472" s="29"/>
    </row>
    <row r="473" spans="13:13" x14ac:dyDescent="0.35">
      <c r="M473" s="29"/>
    </row>
    <row r="474" spans="13:13" x14ac:dyDescent="0.35">
      <c r="M474" s="29"/>
    </row>
    <row r="475" spans="13:13" x14ac:dyDescent="0.35">
      <c r="M475" s="29"/>
    </row>
    <row r="476" spans="13:13" x14ac:dyDescent="0.35">
      <c r="M476" s="29"/>
    </row>
    <row r="477" spans="13:13" x14ac:dyDescent="0.35">
      <c r="M477" s="29"/>
    </row>
    <row r="478" spans="13:13" x14ac:dyDescent="0.35">
      <c r="M478" s="29"/>
    </row>
    <row r="479" spans="13:13" x14ac:dyDescent="0.35">
      <c r="M479" s="29"/>
    </row>
    <row r="480" spans="13:13" x14ac:dyDescent="0.35">
      <c r="M480" s="29"/>
    </row>
    <row r="481" spans="13:13" x14ac:dyDescent="0.35">
      <c r="M481" s="29"/>
    </row>
    <row r="482" spans="13:13" x14ac:dyDescent="0.35">
      <c r="M482" s="29"/>
    </row>
    <row r="483" spans="13:13" x14ac:dyDescent="0.35">
      <c r="M483" s="29"/>
    </row>
    <row r="484" spans="13:13" x14ac:dyDescent="0.35">
      <c r="M484" s="29"/>
    </row>
    <row r="485" spans="13:13" x14ac:dyDescent="0.35">
      <c r="M485" s="29"/>
    </row>
    <row r="486" spans="13:13" x14ac:dyDescent="0.35">
      <c r="M486" s="29"/>
    </row>
    <row r="487" spans="13:13" x14ac:dyDescent="0.35">
      <c r="M487" s="29"/>
    </row>
    <row r="488" spans="13:13" x14ac:dyDescent="0.35">
      <c r="M488" s="29"/>
    </row>
    <row r="489" spans="13:13" x14ac:dyDescent="0.35">
      <c r="M489" s="29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5"/>
  <sheetViews>
    <sheetView workbookViewId="0">
      <selection activeCell="D13" sqref="D13:E13"/>
    </sheetView>
  </sheetViews>
  <sheetFormatPr baseColWidth="10" defaultRowHeight="14.5" x14ac:dyDescent="0.35"/>
  <cols>
    <col min="1" max="1" width="11.54296875" bestFit="1" customWidth="1"/>
    <col min="2" max="2" width="6.6328125" style="2" bestFit="1" customWidth="1"/>
    <col min="3" max="3" width="4.81640625" style="2" customWidth="1"/>
    <col min="4" max="4" width="15.90625" style="2" bestFit="1" customWidth="1"/>
    <col min="5" max="5" width="30.453125" style="2" customWidth="1"/>
    <col min="6" max="6" width="26.08984375" style="5" customWidth="1"/>
    <col min="7" max="7" width="11.54296875" style="5" customWidth="1"/>
    <col min="8" max="8" width="5.6328125" bestFit="1" customWidth="1"/>
    <col min="9" max="9" width="13.36328125" style="5" customWidth="1"/>
    <col min="10" max="10" width="11.6328125" style="5" customWidth="1"/>
    <col min="11" max="11" width="6.08984375" customWidth="1"/>
    <col min="12" max="12" width="8.54296875" style="5" customWidth="1"/>
    <col min="13" max="13" width="10.6328125" style="8" customWidth="1"/>
    <col min="14" max="14" width="14.90625" style="3" bestFit="1" customWidth="1"/>
    <col min="15" max="16" width="11.453125" style="3" customWidth="1"/>
    <col min="17" max="17" width="12.54296875" style="2" customWidth="1"/>
    <col min="18" max="18" width="14.08984375" customWidth="1"/>
  </cols>
  <sheetData>
    <row r="1" spans="1:19" s="1" customFormat="1" ht="30" customHeight="1" x14ac:dyDescent="0.35">
      <c r="A1" s="12" t="s">
        <v>0</v>
      </c>
      <c r="B1" s="13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56">
        <v>45489</v>
      </c>
      <c r="B2" s="55" t="s">
        <v>498</v>
      </c>
      <c r="D2" s="2" t="s">
        <v>24</v>
      </c>
      <c r="E2" s="31" t="s">
        <v>22</v>
      </c>
      <c r="F2" s="5" t="str">
        <f>CONCATENATE(S2,B2," ",E2)</f>
        <v>N/F 082/24 CONVER FORMAT 98, S.L.</v>
      </c>
      <c r="G2" s="5">
        <f>M2/(1-K2/100+H2/100)</f>
        <v>3400</v>
      </c>
      <c r="H2">
        <v>21</v>
      </c>
      <c r="I2" s="5">
        <f>G2*H2/100</f>
        <v>714</v>
      </c>
      <c r="J2" s="5">
        <f>G2</f>
        <v>3400</v>
      </c>
      <c r="L2" s="5">
        <f>J2*K2/100</f>
        <v>0</v>
      </c>
      <c r="M2" s="8">
        <v>4114</v>
      </c>
      <c r="S2" t="s">
        <v>20</v>
      </c>
    </row>
    <row r="3" spans="1:19" x14ac:dyDescent="0.35">
      <c r="A3" s="56">
        <v>45499</v>
      </c>
      <c r="B3" s="55" t="s">
        <v>499</v>
      </c>
      <c r="D3" s="2" t="s">
        <v>100</v>
      </c>
      <c r="E3" s="2" t="s">
        <v>101</v>
      </c>
      <c r="F3" s="5" t="str">
        <f t="shared" ref="F3:F37" si="0">CONCATENATE(S3,B3," ",E3)</f>
        <v>N/F 083/24 GIUDECCA RESTAURANTS S.L.U.</v>
      </c>
      <c r="G3" s="5">
        <f t="shared" ref="G3:G37" si="1">M3/(1-K3/100+H3/100)</f>
        <v>37.462809917355372</v>
      </c>
      <c r="H3">
        <v>21</v>
      </c>
      <c r="I3" s="5">
        <f>G3*H3/100</f>
        <v>7.8671900826446279</v>
      </c>
      <c r="J3" s="5">
        <f>G3</f>
        <v>37.462809917355372</v>
      </c>
      <c r="L3" s="5">
        <f t="shared" ref="L3:L26" si="2">J3*K3/100</f>
        <v>0</v>
      </c>
      <c r="M3" s="8">
        <v>45.33</v>
      </c>
      <c r="S3" t="s">
        <v>20</v>
      </c>
    </row>
    <row r="4" spans="1:19" x14ac:dyDescent="0.35">
      <c r="A4" s="56">
        <v>45502</v>
      </c>
      <c r="B4" s="55" t="s">
        <v>500</v>
      </c>
      <c r="D4" s="30" t="s">
        <v>25</v>
      </c>
      <c r="E4" s="2" t="s">
        <v>21</v>
      </c>
      <c r="F4" s="5" t="str">
        <f t="shared" si="0"/>
        <v>N/F 084/24 REAL CANOE NATACION CLUB</v>
      </c>
      <c r="G4" s="5">
        <f t="shared" si="1"/>
        <v>3380.6033057851241</v>
      </c>
      <c r="H4">
        <v>21</v>
      </c>
      <c r="I4" s="5">
        <f t="shared" ref="I4:I37" si="3">G4*H4/100</f>
        <v>709.92669421487608</v>
      </c>
      <c r="J4" s="5">
        <f t="shared" ref="J4:J37" si="4">G4</f>
        <v>3380.6033057851241</v>
      </c>
      <c r="L4" s="5">
        <f t="shared" si="2"/>
        <v>0</v>
      </c>
      <c r="M4" s="8">
        <v>4090.53</v>
      </c>
      <c r="S4" t="s">
        <v>20</v>
      </c>
    </row>
    <row r="5" spans="1:19" x14ac:dyDescent="0.35">
      <c r="A5" s="56">
        <v>45502</v>
      </c>
      <c r="B5" s="55" t="s">
        <v>501</v>
      </c>
      <c r="D5" s="2" t="s">
        <v>42</v>
      </c>
      <c r="E5" s="2" t="s">
        <v>43</v>
      </c>
      <c r="F5" s="5" t="str">
        <f t="shared" si="0"/>
        <v>N/F 085/24 FEDERACIÓN MADRILEÑA DE NATACIÓN</v>
      </c>
      <c r="G5" s="5">
        <f t="shared" si="1"/>
        <v>43.32231404958678</v>
      </c>
      <c r="H5">
        <v>21</v>
      </c>
      <c r="I5" s="5">
        <f t="shared" si="3"/>
        <v>9.0976859504132239</v>
      </c>
      <c r="J5" s="5">
        <f t="shared" si="4"/>
        <v>43.32231404958678</v>
      </c>
      <c r="L5" s="5">
        <f t="shared" si="2"/>
        <v>0</v>
      </c>
      <c r="M5" s="8">
        <v>52.42</v>
      </c>
      <c r="S5" t="s">
        <v>20</v>
      </c>
    </row>
    <row r="6" spans="1:19" x14ac:dyDescent="0.35">
      <c r="A6" s="56">
        <v>45502</v>
      </c>
      <c r="B6" s="55" t="s">
        <v>502</v>
      </c>
      <c r="D6" s="2" t="s">
        <v>24</v>
      </c>
      <c r="E6" s="31" t="s">
        <v>22</v>
      </c>
      <c r="F6" s="5" t="str">
        <f t="shared" si="0"/>
        <v>N/F 086/24 CONVER FORMAT 98, S.L.</v>
      </c>
      <c r="G6" s="5">
        <f t="shared" si="1"/>
        <v>165.2396694214876</v>
      </c>
      <c r="H6">
        <v>21</v>
      </c>
      <c r="I6" s="5">
        <f t="shared" si="3"/>
        <v>34.7003305785124</v>
      </c>
      <c r="J6" s="5">
        <f t="shared" si="4"/>
        <v>165.2396694214876</v>
      </c>
      <c r="L6" s="5">
        <f t="shared" si="2"/>
        <v>0</v>
      </c>
      <c r="M6" s="8">
        <v>199.94</v>
      </c>
      <c r="S6" t="s">
        <v>20</v>
      </c>
    </row>
    <row r="7" spans="1:19" x14ac:dyDescent="0.35">
      <c r="A7" s="56">
        <v>45504</v>
      </c>
      <c r="B7" s="55" t="s">
        <v>503</v>
      </c>
      <c r="D7" s="2" t="s">
        <v>110</v>
      </c>
      <c r="E7" s="2" t="s">
        <v>109</v>
      </c>
      <c r="F7" s="5" t="str">
        <f t="shared" si="0"/>
        <v>N/F 087/24 UZ LA FINCA S.L.</v>
      </c>
      <c r="G7" s="5">
        <f t="shared" si="1"/>
        <v>1961.5537190082646</v>
      </c>
      <c r="H7">
        <v>21</v>
      </c>
      <c r="I7" s="5">
        <f t="shared" si="3"/>
        <v>411.92628099173555</v>
      </c>
      <c r="J7" s="5">
        <f t="shared" si="4"/>
        <v>1961.5537190082646</v>
      </c>
      <c r="L7" s="5">
        <f t="shared" si="2"/>
        <v>0</v>
      </c>
      <c r="M7" s="8">
        <v>2373.48</v>
      </c>
      <c r="S7" t="s">
        <v>20</v>
      </c>
    </row>
    <row r="8" spans="1:19" x14ac:dyDescent="0.35">
      <c r="A8" s="56">
        <v>45504</v>
      </c>
      <c r="B8" s="55" t="s">
        <v>504</v>
      </c>
      <c r="D8" s="30" t="s">
        <v>25</v>
      </c>
      <c r="E8" s="2" t="s">
        <v>21</v>
      </c>
      <c r="F8" s="5" t="str">
        <f t="shared" si="0"/>
        <v>N/F 088/24 REAL CANOE NATACION CLUB</v>
      </c>
      <c r="G8" s="5">
        <f t="shared" si="1"/>
        <v>5156.2479338842977</v>
      </c>
      <c r="H8">
        <v>21</v>
      </c>
      <c r="I8" s="5">
        <f t="shared" si="3"/>
        <v>1082.8120661157025</v>
      </c>
      <c r="J8" s="5">
        <f t="shared" si="4"/>
        <v>5156.2479338842977</v>
      </c>
      <c r="L8" s="5">
        <f t="shared" si="2"/>
        <v>0</v>
      </c>
      <c r="M8" s="8">
        <v>6239.06</v>
      </c>
      <c r="S8" t="s">
        <v>20</v>
      </c>
    </row>
    <row r="9" spans="1:19" x14ac:dyDescent="0.35">
      <c r="A9" s="56">
        <v>45504</v>
      </c>
      <c r="B9" s="55" t="s">
        <v>505</v>
      </c>
      <c r="D9" s="2" t="s">
        <v>26</v>
      </c>
      <c r="E9" s="2" t="s">
        <v>23</v>
      </c>
      <c r="F9" s="5" t="str">
        <f t="shared" si="0"/>
        <v>N/F 089/24 RESTAURANTE URRECHU CLUB, S.L.</v>
      </c>
      <c r="G9" s="5">
        <f t="shared" si="1"/>
        <v>32.66115702479339</v>
      </c>
      <c r="H9">
        <v>21</v>
      </c>
      <c r="I9" s="5">
        <f t="shared" si="3"/>
        <v>6.8588429752066125</v>
      </c>
      <c r="J9" s="5">
        <f t="shared" si="4"/>
        <v>32.66115702479339</v>
      </c>
      <c r="L9" s="5">
        <f t="shared" si="2"/>
        <v>0</v>
      </c>
      <c r="M9" s="8">
        <v>39.520000000000003</v>
      </c>
      <c r="S9" t="s">
        <v>20</v>
      </c>
    </row>
    <row r="10" spans="1:19" x14ac:dyDescent="0.35">
      <c r="A10" s="56">
        <v>45504</v>
      </c>
      <c r="B10" s="55" t="s">
        <v>506</v>
      </c>
      <c r="D10" s="2" t="s">
        <v>29</v>
      </c>
      <c r="E10" s="2" t="s">
        <v>28</v>
      </c>
      <c r="F10" s="5" t="str">
        <f t="shared" si="0"/>
        <v>N/F 090/24 EL CIELO DE URRECHU, S.L.</v>
      </c>
      <c r="G10" s="5">
        <f t="shared" si="1"/>
        <v>1553.4462809917356</v>
      </c>
      <c r="H10">
        <v>21</v>
      </c>
      <c r="I10" s="5">
        <f t="shared" si="3"/>
        <v>326.22371900826448</v>
      </c>
      <c r="J10" s="5">
        <f t="shared" si="4"/>
        <v>1553.4462809917356</v>
      </c>
      <c r="L10" s="5">
        <f t="shared" si="2"/>
        <v>0</v>
      </c>
      <c r="M10" s="8">
        <v>1879.67</v>
      </c>
      <c r="S10" t="s">
        <v>20</v>
      </c>
    </row>
    <row r="11" spans="1:19" x14ac:dyDescent="0.35">
      <c r="A11" s="56">
        <v>45504</v>
      </c>
      <c r="B11" s="55" t="s">
        <v>507</v>
      </c>
      <c r="D11" s="2" t="s">
        <v>39</v>
      </c>
      <c r="E11" s="31" t="s">
        <v>38</v>
      </c>
      <c r="F11" s="5" t="str">
        <f t="shared" si="0"/>
        <v>N/F 091/24 ANTONIO SIGUERO S.L.</v>
      </c>
      <c r="G11" s="5">
        <f t="shared" si="1"/>
        <v>276.6611570247934</v>
      </c>
      <c r="H11">
        <v>21</v>
      </c>
      <c r="I11" s="5">
        <f t="shared" si="3"/>
        <v>58.098842975206615</v>
      </c>
      <c r="J11" s="5">
        <f t="shared" si="4"/>
        <v>276.6611570247934</v>
      </c>
      <c r="L11" s="5">
        <f t="shared" si="2"/>
        <v>0</v>
      </c>
      <c r="M11" s="8">
        <v>334.76</v>
      </c>
      <c r="S11" t="s">
        <v>20</v>
      </c>
    </row>
    <row r="12" spans="1:19" x14ac:dyDescent="0.35">
      <c r="A12" s="56">
        <v>45504</v>
      </c>
      <c r="B12" s="55" t="s">
        <v>508</v>
      </c>
      <c r="D12" s="2" t="s">
        <v>366</v>
      </c>
      <c r="E12" s="2" t="s">
        <v>365</v>
      </c>
      <c r="F12" s="5" t="str">
        <f t="shared" si="0"/>
        <v>N/F 092/24 RESTAURANTES ITALIANOS ROMANO S.L.</v>
      </c>
      <c r="G12" s="5">
        <f t="shared" si="1"/>
        <v>364.56198347107437</v>
      </c>
      <c r="H12">
        <v>21</v>
      </c>
      <c r="I12" s="5">
        <f t="shared" si="3"/>
        <v>76.55801652892562</v>
      </c>
      <c r="J12" s="5">
        <f t="shared" si="4"/>
        <v>364.56198347107437</v>
      </c>
      <c r="L12" s="5">
        <f t="shared" si="2"/>
        <v>0</v>
      </c>
      <c r="M12" s="8">
        <v>441.12</v>
      </c>
      <c r="S12" t="s">
        <v>20</v>
      </c>
    </row>
    <row r="13" spans="1:19" x14ac:dyDescent="0.35">
      <c r="A13" s="56">
        <v>45504</v>
      </c>
      <c r="B13" s="55" t="s">
        <v>509</v>
      </c>
      <c r="D13" s="31" t="s">
        <v>41</v>
      </c>
      <c r="E13" s="2" t="s">
        <v>40</v>
      </c>
      <c r="F13" s="5" t="str">
        <f t="shared" si="0"/>
        <v>N/F 093/24 TREVOLA, S.L.</v>
      </c>
      <c r="G13" s="5">
        <f t="shared" si="1"/>
        <v>299.57851239669424</v>
      </c>
      <c r="H13">
        <v>21</v>
      </c>
      <c r="I13" s="5">
        <f t="shared" si="3"/>
        <v>62.911487603305787</v>
      </c>
      <c r="J13" s="5">
        <f t="shared" si="4"/>
        <v>299.57851239669424</v>
      </c>
      <c r="L13" s="5">
        <f t="shared" si="2"/>
        <v>0</v>
      </c>
      <c r="M13" s="8">
        <v>362.49</v>
      </c>
      <c r="S13" t="s">
        <v>20</v>
      </c>
    </row>
    <row r="14" spans="1:19" x14ac:dyDescent="0.35">
      <c r="A14" s="56">
        <v>45504</v>
      </c>
      <c r="B14" s="55" t="s">
        <v>510</v>
      </c>
      <c r="D14" s="2" t="s">
        <v>524</v>
      </c>
      <c r="E14" s="2" t="s">
        <v>523</v>
      </c>
      <c r="F14" s="5" t="str">
        <f t="shared" si="0"/>
        <v>N/F 094/24 PRIMER TRES ESTRELLAS 1987 S.L.</v>
      </c>
      <c r="G14" s="5">
        <f t="shared" si="1"/>
        <v>483.52892561983475</v>
      </c>
      <c r="H14">
        <v>21</v>
      </c>
      <c r="I14" s="5">
        <f t="shared" si="3"/>
        <v>101.5410743801653</v>
      </c>
      <c r="J14" s="5">
        <f t="shared" si="4"/>
        <v>483.52892561983475</v>
      </c>
      <c r="L14" s="5">
        <f t="shared" si="2"/>
        <v>0</v>
      </c>
      <c r="M14" s="8">
        <v>585.07000000000005</v>
      </c>
      <c r="S14" t="s">
        <v>20</v>
      </c>
    </row>
    <row r="15" spans="1:19" x14ac:dyDescent="0.35">
      <c r="A15" s="56">
        <v>45504</v>
      </c>
      <c r="B15" s="55" t="s">
        <v>511</v>
      </c>
      <c r="D15" s="2" t="s">
        <v>110</v>
      </c>
      <c r="E15" s="2" t="s">
        <v>109</v>
      </c>
      <c r="F15" s="5" t="str">
        <f t="shared" si="0"/>
        <v>N/F 095/24 UZ LA FINCA S.L.</v>
      </c>
      <c r="G15" s="5">
        <f t="shared" si="1"/>
        <v>144.04132231404958</v>
      </c>
      <c r="H15">
        <v>21</v>
      </c>
      <c r="I15" s="5">
        <f t="shared" si="3"/>
        <v>30.248677685950412</v>
      </c>
      <c r="J15" s="5">
        <f t="shared" si="4"/>
        <v>144.04132231404958</v>
      </c>
      <c r="L15" s="5">
        <f t="shared" si="2"/>
        <v>0</v>
      </c>
      <c r="M15" s="8">
        <v>174.29</v>
      </c>
      <c r="S15" t="s">
        <v>20</v>
      </c>
    </row>
    <row r="16" spans="1:19" x14ac:dyDescent="0.35">
      <c r="A16" s="56">
        <v>45535</v>
      </c>
      <c r="B16" s="55" t="s">
        <v>512</v>
      </c>
      <c r="D16" s="2" t="s">
        <v>29</v>
      </c>
      <c r="E16" s="2" t="s">
        <v>28</v>
      </c>
      <c r="F16" s="5" t="str">
        <f t="shared" si="0"/>
        <v>N/F 096/24 EL CIELO DE URRECHU, S.L.</v>
      </c>
      <c r="G16" s="5">
        <f t="shared" si="1"/>
        <v>970.3801652892563</v>
      </c>
      <c r="H16">
        <v>21</v>
      </c>
      <c r="I16" s="5">
        <f t="shared" si="3"/>
        <v>203.77983471074381</v>
      </c>
      <c r="J16" s="5">
        <f t="shared" si="4"/>
        <v>970.3801652892563</v>
      </c>
      <c r="L16" s="5">
        <f t="shared" si="2"/>
        <v>0</v>
      </c>
      <c r="M16" s="8">
        <v>1174.1600000000001</v>
      </c>
      <c r="S16" t="s">
        <v>20</v>
      </c>
    </row>
    <row r="17" spans="1:19" x14ac:dyDescent="0.35">
      <c r="A17" s="56">
        <v>45535</v>
      </c>
      <c r="B17" s="55" t="s">
        <v>513</v>
      </c>
      <c r="D17" s="30" t="s">
        <v>25</v>
      </c>
      <c r="E17" s="2" t="s">
        <v>21</v>
      </c>
      <c r="F17" s="5" t="str">
        <f t="shared" si="0"/>
        <v>N/F 097/24 REAL CANOE NATACION CLUB</v>
      </c>
      <c r="G17" s="5">
        <f t="shared" si="1"/>
        <v>6019.5867768595044</v>
      </c>
      <c r="H17">
        <v>21</v>
      </c>
      <c r="I17" s="5">
        <f t="shared" si="3"/>
        <v>1264.1132231404961</v>
      </c>
      <c r="J17" s="5">
        <f t="shared" si="4"/>
        <v>6019.5867768595044</v>
      </c>
      <c r="L17" s="5">
        <f t="shared" si="2"/>
        <v>0</v>
      </c>
      <c r="M17" s="8">
        <v>7283.7</v>
      </c>
      <c r="S17" t="s">
        <v>20</v>
      </c>
    </row>
    <row r="18" spans="1:19" x14ac:dyDescent="0.35">
      <c r="A18" s="56">
        <v>45535</v>
      </c>
      <c r="B18" s="55" t="s">
        <v>514</v>
      </c>
      <c r="D18" s="30" t="s">
        <v>25</v>
      </c>
      <c r="E18" s="2" t="s">
        <v>21</v>
      </c>
      <c r="F18" s="5" t="str">
        <f t="shared" si="0"/>
        <v>N/F 098/24 REAL CANOE NATACION CLUB</v>
      </c>
      <c r="G18" s="5">
        <f t="shared" si="1"/>
        <v>3289.9008264462814</v>
      </c>
      <c r="H18">
        <v>21</v>
      </c>
      <c r="I18" s="5">
        <f t="shared" si="3"/>
        <v>690.87917355371917</v>
      </c>
      <c r="J18" s="5">
        <f t="shared" si="4"/>
        <v>3289.9008264462814</v>
      </c>
      <c r="L18" s="5">
        <f t="shared" si="2"/>
        <v>0</v>
      </c>
      <c r="M18" s="8">
        <v>3980.78</v>
      </c>
      <c r="S18" t="s">
        <v>20</v>
      </c>
    </row>
    <row r="19" spans="1:19" x14ac:dyDescent="0.35">
      <c r="A19" s="56">
        <v>45535</v>
      </c>
      <c r="B19" s="55" t="s">
        <v>515</v>
      </c>
      <c r="D19" s="2" t="s">
        <v>26</v>
      </c>
      <c r="E19" s="2" t="s">
        <v>23</v>
      </c>
      <c r="F19" s="5" t="str">
        <f t="shared" si="0"/>
        <v>N/F 099/24 RESTAURANTE URRECHU CLUB, S.L.</v>
      </c>
      <c r="G19" s="5">
        <f t="shared" si="1"/>
        <v>782.01652892561981</v>
      </c>
      <c r="H19">
        <v>21</v>
      </c>
      <c r="I19" s="5">
        <f t="shared" si="3"/>
        <v>164.22347107438017</v>
      </c>
      <c r="J19" s="5">
        <f t="shared" si="4"/>
        <v>782.01652892561981</v>
      </c>
      <c r="L19" s="5">
        <f t="shared" si="2"/>
        <v>0</v>
      </c>
      <c r="M19" s="8">
        <v>946.24</v>
      </c>
      <c r="S19" t="s">
        <v>20</v>
      </c>
    </row>
    <row r="20" spans="1:19" x14ac:dyDescent="0.35">
      <c r="A20" s="56">
        <v>45535</v>
      </c>
      <c r="B20" s="55" t="s">
        <v>516</v>
      </c>
      <c r="D20" s="2" t="s">
        <v>110</v>
      </c>
      <c r="E20" s="2" t="s">
        <v>109</v>
      </c>
      <c r="F20" s="5" t="str">
        <f t="shared" si="0"/>
        <v>N/F 100/24 UZ LA FINCA S.L.</v>
      </c>
      <c r="G20" s="5">
        <f t="shared" si="1"/>
        <v>38.421487603305785</v>
      </c>
      <c r="H20">
        <v>21</v>
      </c>
      <c r="I20" s="5">
        <f t="shared" si="3"/>
        <v>8.0685123966942154</v>
      </c>
      <c r="J20" s="5">
        <f t="shared" si="4"/>
        <v>38.421487603305785</v>
      </c>
      <c r="L20" s="5">
        <f t="shared" si="2"/>
        <v>0</v>
      </c>
      <c r="M20" s="8">
        <v>46.49</v>
      </c>
      <c r="S20" t="s">
        <v>20</v>
      </c>
    </row>
    <row r="21" spans="1:19" x14ac:dyDescent="0.35">
      <c r="A21" s="56">
        <v>45535</v>
      </c>
      <c r="B21" s="55" t="s">
        <v>517</v>
      </c>
      <c r="D21" s="2" t="s">
        <v>24</v>
      </c>
      <c r="E21" s="31" t="s">
        <v>22</v>
      </c>
      <c r="F21" s="5" t="str">
        <f t="shared" si="0"/>
        <v>N/F 101/24 CONVER FORMAT 98, S.L.</v>
      </c>
      <c r="G21" s="5">
        <f t="shared" si="1"/>
        <v>228.61983471074382</v>
      </c>
      <c r="H21">
        <v>21</v>
      </c>
      <c r="I21" s="5">
        <f t="shared" si="3"/>
        <v>48.0101652892562</v>
      </c>
      <c r="J21" s="5">
        <f t="shared" si="4"/>
        <v>228.61983471074382</v>
      </c>
      <c r="L21" s="5">
        <f t="shared" si="2"/>
        <v>0</v>
      </c>
      <c r="M21" s="8">
        <v>276.63</v>
      </c>
      <c r="S21" t="s">
        <v>20</v>
      </c>
    </row>
    <row r="22" spans="1:19" x14ac:dyDescent="0.35">
      <c r="A22" s="56">
        <v>45535</v>
      </c>
      <c r="B22" s="55" t="s">
        <v>518</v>
      </c>
      <c r="D22" s="2" t="s">
        <v>39</v>
      </c>
      <c r="E22" s="31" t="s">
        <v>38</v>
      </c>
      <c r="F22" s="5" t="str">
        <f t="shared" si="0"/>
        <v>N/F 102/24 ANTONIO SIGUERO S.L.</v>
      </c>
      <c r="G22" s="5">
        <f t="shared" si="1"/>
        <v>312.63636363636368</v>
      </c>
      <c r="H22">
        <v>21</v>
      </c>
      <c r="I22" s="5">
        <f t="shared" si="3"/>
        <v>65.653636363636366</v>
      </c>
      <c r="J22" s="5">
        <f t="shared" si="4"/>
        <v>312.63636363636368</v>
      </c>
      <c r="L22" s="5">
        <f t="shared" si="2"/>
        <v>0</v>
      </c>
      <c r="M22" s="8">
        <v>378.29</v>
      </c>
      <c r="S22" t="s">
        <v>20</v>
      </c>
    </row>
    <row r="23" spans="1:19" x14ac:dyDescent="0.35">
      <c r="A23" s="56">
        <v>45535</v>
      </c>
      <c r="B23" s="55" t="s">
        <v>519</v>
      </c>
      <c r="D23" s="2" t="s">
        <v>526</v>
      </c>
      <c r="E23" s="2" t="s">
        <v>525</v>
      </c>
      <c r="F23" s="5" t="str">
        <f t="shared" si="0"/>
        <v>N/F 103/24 MARIA INES ROMILLO HERNAN</v>
      </c>
      <c r="G23" s="5">
        <f t="shared" si="1"/>
        <v>168.53719008264463</v>
      </c>
      <c r="H23">
        <v>21</v>
      </c>
      <c r="I23" s="5">
        <f t="shared" si="3"/>
        <v>35.392809917355372</v>
      </c>
      <c r="J23" s="5">
        <f t="shared" si="4"/>
        <v>168.53719008264463</v>
      </c>
      <c r="L23" s="5">
        <f t="shared" si="2"/>
        <v>0</v>
      </c>
      <c r="M23" s="8">
        <v>203.93</v>
      </c>
      <c r="S23" t="s">
        <v>20</v>
      </c>
    </row>
    <row r="24" spans="1:19" x14ac:dyDescent="0.35">
      <c r="A24" s="56">
        <v>45535</v>
      </c>
      <c r="B24" s="55" t="s">
        <v>520</v>
      </c>
      <c r="D24" s="2" t="s">
        <v>24</v>
      </c>
      <c r="E24" s="31" t="s">
        <v>22</v>
      </c>
      <c r="F24" s="5" t="str">
        <f t="shared" si="0"/>
        <v>N/F 104/24 CONVER FORMAT 98, S.L.</v>
      </c>
      <c r="G24" s="5">
        <f t="shared" si="1"/>
        <v>38.421487603305785</v>
      </c>
      <c r="H24">
        <v>21</v>
      </c>
      <c r="I24" s="5">
        <f t="shared" si="3"/>
        <v>8.0685123966942154</v>
      </c>
      <c r="J24" s="5">
        <f t="shared" si="4"/>
        <v>38.421487603305785</v>
      </c>
      <c r="L24" s="5">
        <f t="shared" si="2"/>
        <v>0</v>
      </c>
      <c r="M24" s="8">
        <v>46.49</v>
      </c>
      <c r="S24" t="s">
        <v>20</v>
      </c>
    </row>
    <row r="25" spans="1:19" x14ac:dyDescent="0.35">
      <c r="A25" s="56">
        <v>45535</v>
      </c>
      <c r="B25" s="55" t="s">
        <v>521</v>
      </c>
      <c r="D25" s="2" t="s">
        <v>24</v>
      </c>
      <c r="E25" s="31" t="s">
        <v>22</v>
      </c>
      <c r="F25" s="5" t="str">
        <f t="shared" si="0"/>
        <v>N/F 105/24 CONVER FORMAT 98, S.L.</v>
      </c>
      <c r="G25" s="5">
        <f t="shared" si="1"/>
        <v>30.743801652892564</v>
      </c>
      <c r="H25">
        <v>21</v>
      </c>
      <c r="I25" s="5">
        <f t="shared" si="3"/>
        <v>6.4561983471074385</v>
      </c>
      <c r="J25" s="5">
        <f t="shared" si="4"/>
        <v>30.743801652892564</v>
      </c>
      <c r="L25" s="5">
        <f t="shared" si="2"/>
        <v>0</v>
      </c>
      <c r="M25" s="8">
        <v>37.200000000000003</v>
      </c>
      <c r="S25" t="s">
        <v>20</v>
      </c>
    </row>
    <row r="26" spans="1:19" x14ac:dyDescent="0.35">
      <c r="A26" s="56">
        <v>45537</v>
      </c>
      <c r="B26" s="55" t="s">
        <v>522</v>
      </c>
      <c r="D26" s="30" t="s">
        <v>36</v>
      </c>
      <c r="E26" s="30" t="s">
        <v>37</v>
      </c>
      <c r="F26" s="5" t="str">
        <f t="shared" si="0"/>
        <v>N/F 106/24 LATAM AIRLINES GROUP S.A</v>
      </c>
      <c r="G26" s="5">
        <f t="shared" si="1"/>
        <v>1462.3471074380166</v>
      </c>
      <c r="H26">
        <v>21</v>
      </c>
      <c r="I26" s="5">
        <f t="shared" si="3"/>
        <v>307.09289256198349</v>
      </c>
      <c r="J26" s="5">
        <f t="shared" si="4"/>
        <v>1462.3471074380166</v>
      </c>
      <c r="L26" s="5">
        <f t="shared" si="2"/>
        <v>0</v>
      </c>
      <c r="M26" s="8">
        <v>1769.44</v>
      </c>
      <c r="S26" t="s">
        <v>20</v>
      </c>
    </row>
    <row r="27" spans="1:19" x14ac:dyDescent="0.35">
      <c r="A27" s="56">
        <v>45554</v>
      </c>
      <c r="B27" s="2" t="s">
        <v>527</v>
      </c>
      <c r="D27" s="2" t="s">
        <v>108</v>
      </c>
      <c r="E27" s="2" t="s">
        <v>107</v>
      </c>
      <c r="F27" s="5" t="str">
        <f t="shared" si="0"/>
        <v>N/F 107/24 PERFECT VIEWS S.L.</v>
      </c>
      <c r="G27" s="5">
        <f t="shared" si="1"/>
        <v>122.84297520661157</v>
      </c>
      <c r="H27">
        <v>21</v>
      </c>
      <c r="I27" s="5">
        <f t="shared" si="3"/>
        <v>25.797024793388427</v>
      </c>
      <c r="J27" s="5">
        <f t="shared" si="4"/>
        <v>122.84297520661157</v>
      </c>
      <c r="L27" s="5">
        <f t="shared" ref="L27:L37" si="5">J27*K27/100</f>
        <v>0</v>
      </c>
      <c r="M27" s="8">
        <v>148.63999999999999</v>
      </c>
      <c r="S27" t="s">
        <v>20</v>
      </c>
    </row>
    <row r="28" spans="1:19" x14ac:dyDescent="0.35">
      <c r="A28" s="56">
        <v>45565</v>
      </c>
      <c r="B28" s="2" t="s">
        <v>528</v>
      </c>
      <c r="D28" s="2" t="s">
        <v>110</v>
      </c>
      <c r="E28" s="2" t="s">
        <v>109</v>
      </c>
      <c r="F28" s="5" t="str">
        <f t="shared" si="0"/>
        <v>N/F 108/24 UZ LA FINCA S.L.</v>
      </c>
      <c r="G28" s="5">
        <f t="shared" si="1"/>
        <v>239.14049586776861</v>
      </c>
      <c r="H28">
        <v>21</v>
      </c>
      <c r="I28" s="5">
        <f t="shared" si="3"/>
        <v>50.219504132231407</v>
      </c>
      <c r="J28" s="5">
        <f t="shared" si="4"/>
        <v>239.14049586776861</v>
      </c>
      <c r="L28" s="5">
        <f t="shared" si="5"/>
        <v>0</v>
      </c>
      <c r="M28" s="8">
        <v>289.36</v>
      </c>
      <c r="S28" t="s">
        <v>20</v>
      </c>
    </row>
    <row r="29" spans="1:19" x14ac:dyDescent="0.35">
      <c r="A29" s="56">
        <v>45565</v>
      </c>
      <c r="B29" s="2" t="s">
        <v>529</v>
      </c>
      <c r="D29" s="30" t="s">
        <v>25</v>
      </c>
      <c r="E29" s="2" t="s">
        <v>21</v>
      </c>
      <c r="F29" s="5" t="str">
        <f t="shared" si="0"/>
        <v>N/F 109/24 REAL CANOE NATACION CLUB</v>
      </c>
      <c r="G29" s="5">
        <f t="shared" si="1"/>
        <v>2331.6280991735539</v>
      </c>
      <c r="H29">
        <v>21</v>
      </c>
      <c r="I29" s="5">
        <f t="shared" si="3"/>
        <v>489.64190082644632</v>
      </c>
      <c r="J29" s="5">
        <f t="shared" si="4"/>
        <v>2331.6280991735539</v>
      </c>
      <c r="L29" s="5">
        <f t="shared" si="5"/>
        <v>0</v>
      </c>
      <c r="M29" s="8">
        <v>2821.27</v>
      </c>
      <c r="S29" t="s">
        <v>20</v>
      </c>
    </row>
    <row r="30" spans="1:19" x14ac:dyDescent="0.35">
      <c r="A30" s="56">
        <v>45565</v>
      </c>
      <c r="B30" s="2" t="s">
        <v>530</v>
      </c>
      <c r="D30" s="2" t="s">
        <v>524</v>
      </c>
      <c r="E30" s="2" t="s">
        <v>523</v>
      </c>
      <c r="F30" s="5" t="str">
        <f t="shared" si="0"/>
        <v>N/F 110/24 PRIMER TRES ESTRELLAS 1987 S.L.</v>
      </c>
      <c r="G30" s="5">
        <f>M30/(1-K30/100+H30/100)</f>
        <v>246.9917355371901</v>
      </c>
      <c r="H30">
        <v>21</v>
      </c>
      <c r="I30" s="5">
        <f t="shared" si="3"/>
        <v>51.868264462809918</v>
      </c>
      <c r="J30" s="5">
        <f t="shared" si="4"/>
        <v>246.9917355371901</v>
      </c>
      <c r="L30" s="5">
        <f t="shared" si="5"/>
        <v>0</v>
      </c>
      <c r="M30" s="8">
        <v>298.86</v>
      </c>
      <c r="S30" t="s">
        <v>20</v>
      </c>
    </row>
    <row r="31" spans="1:19" x14ac:dyDescent="0.35">
      <c r="A31" s="56">
        <v>45565</v>
      </c>
      <c r="B31" s="2" t="s">
        <v>531</v>
      </c>
      <c r="D31" s="2" t="s">
        <v>24</v>
      </c>
      <c r="E31" s="31" t="s">
        <v>22</v>
      </c>
      <c r="F31" s="5" t="str">
        <f t="shared" si="0"/>
        <v>N/F 111/24 CONVER FORMAT 98, S.L.</v>
      </c>
      <c r="G31" s="5">
        <f t="shared" si="1"/>
        <v>87.413223140495873</v>
      </c>
      <c r="H31">
        <v>21</v>
      </c>
      <c r="I31" s="5">
        <f t="shared" si="3"/>
        <v>18.356776859504134</v>
      </c>
      <c r="J31" s="5">
        <f t="shared" si="4"/>
        <v>87.413223140495873</v>
      </c>
      <c r="L31" s="5">
        <f t="shared" si="5"/>
        <v>0</v>
      </c>
      <c r="M31" s="8">
        <v>105.77</v>
      </c>
      <c r="S31" t="s">
        <v>20</v>
      </c>
    </row>
    <row r="32" spans="1:19" x14ac:dyDescent="0.35">
      <c r="A32" s="56">
        <v>45565</v>
      </c>
      <c r="B32" s="2" t="s">
        <v>532</v>
      </c>
      <c r="D32" s="2" t="s">
        <v>39</v>
      </c>
      <c r="E32" s="31" t="s">
        <v>38</v>
      </c>
      <c r="F32" s="5" t="str">
        <f t="shared" si="0"/>
        <v>N/F 112/24 ANTONIO SIGUERO S.L.</v>
      </c>
      <c r="G32" s="5">
        <f t="shared" si="1"/>
        <v>644.53719008264466</v>
      </c>
      <c r="H32">
        <v>21</v>
      </c>
      <c r="I32" s="5">
        <f t="shared" si="3"/>
        <v>135.35280991735536</v>
      </c>
      <c r="J32" s="5">
        <f t="shared" si="4"/>
        <v>644.53719008264466</v>
      </c>
      <c r="L32" s="5">
        <f t="shared" si="5"/>
        <v>0</v>
      </c>
      <c r="M32" s="8">
        <v>779.89</v>
      </c>
      <c r="S32" t="s">
        <v>20</v>
      </c>
    </row>
    <row r="33" spans="1:19" x14ac:dyDescent="0.35">
      <c r="A33" s="56">
        <v>45565</v>
      </c>
      <c r="B33" s="2" t="s">
        <v>533</v>
      </c>
      <c r="D33" s="2" t="s">
        <v>29</v>
      </c>
      <c r="E33" s="2" t="s">
        <v>28</v>
      </c>
      <c r="F33" s="5" t="str">
        <f t="shared" si="0"/>
        <v>N/F 113/24 EL CIELO DE URRECHU, S.L.</v>
      </c>
      <c r="G33" s="5">
        <f t="shared" si="1"/>
        <v>98.15702479338843</v>
      </c>
      <c r="H33">
        <v>21</v>
      </c>
      <c r="I33" s="5">
        <f t="shared" si="3"/>
        <v>20.612975206611573</v>
      </c>
      <c r="J33" s="5">
        <f t="shared" si="4"/>
        <v>98.15702479338843</v>
      </c>
      <c r="L33" s="5">
        <f t="shared" si="5"/>
        <v>0</v>
      </c>
      <c r="M33" s="8">
        <v>118.77</v>
      </c>
      <c r="S33" t="s">
        <v>20</v>
      </c>
    </row>
    <row r="34" spans="1:19" x14ac:dyDescent="0.35">
      <c r="A34" s="56">
        <v>45565</v>
      </c>
      <c r="B34" s="2" t="s">
        <v>534</v>
      </c>
      <c r="D34" s="2" t="s">
        <v>26</v>
      </c>
      <c r="E34" s="2" t="s">
        <v>23</v>
      </c>
      <c r="F34" s="5" t="str">
        <f t="shared" si="0"/>
        <v>N/F 114/24 RESTAURANTE URRECHU CLUB, S.L.</v>
      </c>
      <c r="G34" s="5">
        <f t="shared" si="1"/>
        <v>185.65289256198346</v>
      </c>
      <c r="H34">
        <v>21</v>
      </c>
      <c r="I34" s="5">
        <f t="shared" si="3"/>
        <v>38.98710743801653</v>
      </c>
      <c r="J34" s="5">
        <f t="shared" si="4"/>
        <v>185.65289256198346</v>
      </c>
      <c r="L34" s="5">
        <f t="shared" si="5"/>
        <v>0</v>
      </c>
      <c r="M34" s="8">
        <v>224.64</v>
      </c>
      <c r="S34" t="s">
        <v>20</v>
      </c>
    </row>
    <row r="35" spans="1:19" x14ac:dyDescent="0.35">
      <c r="A35" s="56">
        <v>45565</v>
      </c>
      <c r="B35" s="2" t="s">
        <v>535</v>
      </c>
      <c r="D35" s="2" t="s">
        <v>332</v>
      </c>
      <c r="E35" s="2" t="s">
        <v>331</v>
      </c>
      <c r="F35" s="5" t="str">
        <f t="shared" si="0"/>
        <v>N/F 115/24 ELOTUR, S.A.</v>
      </c>
      <c r="G35" s="5">
        <f t="shared" si="1"/>
        <v>32.32231404958678</v>
      </c>
      <c r="H35">
        <v>21</v>
      </c>
      <c r="I35" s="5">
        <f t="shared" si="3"/>
        <v>6.7876859504132234</v>
      </c>
      <c r="J35" s="5">
        <f t="shared" si="4"/>
        <v>32.32231404958678</v>
      </c>
      <c r="L35" s="5">
        <f t="shared" si="5"/>
        <v>0</v>
      </c>
      <c r="M35" s="8">
        <v>39.11</v>
      </c>
      <c r="S35" t="s">
        <v>20</v>
      </c>
    </row>
    <row r="36" spans="1:19" x14ac:dyDescent="0.35">
      <c r="A36" s="56">
        <v>45565</v>
      </c>
      <c r="B36" s="2" t="s">
        <v>796</v>
      </c>
      <c r="D36" s="2" t="s">
        <v>110</v>
      </c>
      <c r="E36" s="2" t="s">
        <v>109</v>
      </c>
      <c r="F36" s="5" t="str">
        <f t="shared" si="0"/>
        <v>N/F 116/24 UZ LA FINCA S.L.</v>
      </c>
      <c r="G36" s="5">
        <f t="shared" si="1"/>
        <v>4799.6198347107438</v>
      </c>
      <c r="H36">
        <v>21</v>
      </c>
      <c r="I36" s="5">
        <f t="shared" si="3"/>
        <v>1007.9201652892563</v>
      </c>
      <c r="J36" s="5">
        <f t="shared" si="4"/>
        <v>4799.6198347107438</v>
      </c>
      <c r="L36" s="5">
        <f t="shared" si="5"/>
        <v>0</v>
      </c>
      <c r="M36" s="8">
        <v>5807.54</v>
      </c>
      <c r="S36" t="s">
        <v>20</v>
      </c>
    </row>
    <row r="37" spans="1:19" x14ac:dyDescent="0.35">
      <c r="A37" s="56">
        <v>45565</v>
      </c>
      <c r="B37" s="2" t="s">
        <v>797</v>
      </c>
      <c r="D37" s="2" t="s">
        <v>798</v>
      </c>
      <c r="E37" s="2" t="s">
        <v>799</v>
      </c>
      <c r="F37" s="5" t="str">
        <f t="shared" si="0"/>
        <v>N/F 117/24 DESARROLLOS EMPRESARIALES FAMASA, SL.</v>
      </c>
      <c r="G37" s="5">
        <f t="shared" si="1"/>
        <v>118.74380165289257</v>
      </c>
      <c r="H37">
        <v>21</v>
      </c>
      <c r="I37" s="5">
        <f t="shared" si="3"/>
        <v>24.936198347107439</v>
      </c>
      <c r="J37" s="5">
        <f t="shared" si="4"/>
        <v>118.74380165289257</v>
      </c>
      <c r="L37" s="5">
        <f t="shared" si="5"/>
        <v>0</v>
      </c>
      <c r="M37" s="8">
        <v>143.68</v>
      </c>
      <c r="S37" t="s">
        <v>20</v>
      </c>
    </row>
    <row r="38" spans="1:19" x14ac:dyDescent="0.35">
      <c r="M38" s="29"/>
    </row>
    <row r="39" spans="1:19" x14ac:dyDescent="0.35">
      <c r="M39" s="29"/>
    </row>
    <row r="40" spans="1:19" x14ac:dyDescent="0.35">
      <c r="G40" s="44">
        <f>SUM(G2:G37)</f>
        <v>39547.57024793388</v>
      </c>
      <c r="H40" s="5"/>
      <c r="I40" s="44">
        <f>SUM(I2:I37)</f>
        <v>8304.9897520661161</v>
      </c>
      <c r="J40" s="44">
        <f>SUM(J2:J37)</f>
        <v>39547.57024793388</v>
      </c>
      <c r="K40" s="5"/>
      <c r="M40" s="53">
        <f>SUM(M2:M37)</f>
        <v>47852.55999999999</v>
      </c>
    </row>
    <row r="41" spans="1:19" x14ac:dyDescent="0.35">
      <c r="M41" s="29"/>
    </row>
    <row r="42" spans="1:19" x14ac:dyDescent="0.35">
      <c r="M42" s="29"/>
    </row>
    <row r="43" spans="1:19" x14ac:dyDescent="0.35">
      <c r="M43" s="29"/>
    </row>
    <row r="44" spans="1:19" x14ac:dyDescent="0.35">
      <c r="M44" s="29"/>
    </row>
    <row r="45" spans="1:19" x14ac:dyDescent="0.35">
      <c r="M45" s="29"/>
    </row>
    <row r="46" spans="1:19" x14ac:dyDescent="0.35">
      <c r="M46" s="29"/>
    </row>
    <row r="47" spans="1:19" x14ac:dyDescent="0.35">
      <c r="M47" s="29"/>
    </row>
    <row r="48" spans="1:19" x14ac:dyDescent="0.35">
      <c r="M48" s="29"/>
    </row>
    <row r="49" spans="13:13" x14ac:dyDescent="0.35">
      <c r="M49" s="29"/>
    </row>
    <row r="50" spans="13:13" x14ac:dyDescent="0.35">
      <c r="M50" s="29"/>
    </row>
    <row r="51" spans="13:13" x14ac:dyDescent="0.35">
      <c r="M51" s="29"/>
    </row>
    <row r="52" spans="13:13" x14ac:dyDescent="0.35">
      <c r="M52" s="29"/>
    </row>
    <row r="53" spans="13:13" x14ac:dyDescent="0.35">
      <c r="M53" s="29"/>
    </row>
    <row r="54" spans="13:13" x14ac:dyDescent="0.35">
      <c r="M54" s="29"/>
    </row>
    <row r="55" spans="13:13" x14ac:dyDescent="0.35">
      <c r="M55" s="29"/>
    </row>
    <row r="56" spans="13:13" x14ac:dyDescent="0.35">
      <c r="M56" s="29"/>
    </row>
    <row r="57" spans="13:13" x14ac:dyDescent="0.35">
      <c r="M57" s="29"/>
    </row>
    <row r="58" spans="13:13" x14ac:dyDescent="0.35">
      <c r="M58" s="29"/>
    </row>
    <row r="59" spans="13:13" x14ac:dyDescent="0.35">
      <c r="M59" s="29"/>
    </row>
    <row r="60" spans="13:13" x14ac:dyDescent="0.35">
      <c r="M60" s="29"/>
    </row>
    <row r="61" spans="13:13" x14ac:dyDescent="0.35">
      <c r="M61" s="29"/>
    </row>
    <row r="62" spans="13:13" x14ac:dyDescent="0.35">
      <c r="M62" s="29"/>
    </row>
    <row r="63" spans="13:13" x14ac:dyDescent="0.35">
      <c r="M63" s="29"/>
    </row>
    <row r="64" spans="13:13" x14ac:dyDescent="0.35">
      <c r="M64" s="29"/>
    </row>
    <row r="65" spans="13:13" x14ac:dyDescent="0.35">
      <c r="M65" s="29"/>
    </row>
    <row r="66" spans="13:13" x14ac:dyDescent="0.35">
      <c r="M66" s="29"/>
    </row>
    <row r="67" spans="13:13" x14ac:dyDescent="0.35">
      <c r="M67" s="29"/>
    </row>
    <row r="68" spans="13:13" x14ac:dyDescent="0.35">
      <c r="M68" s="29"/>
    </row>
    <row r="69" spans="13:13" x14ac:dyDescent="0.35">
      <c r="M69" s="29"/>
    </row>
    <row r="70" spans="13:13" x14ac:dyDescent="0.35">
      <c r="M70" s="29"/>
    </row>
    <row r="71" spans="13:13" x14ac:dyDescent="0.35">
      <c r="M71" s="29"/>
    </row>
    <row r="72" spans="13:13" x14ac:dyDescent="0.35">
      <c r="M72" s="29"/>
    </row>
    <row r="73" spans="13:13" x14ac:dyDescent="0.35">
      <c r="M73" s="29"/>
    </row>
    <row r="74" spans="13:13" x14ac:dyDescent="0.35">
      <c r="M74" s="29"/>
    </row>
    <row r="75" spans="13:13" x14ac:dyDescent="0.35">
      <c r="M75" s="29"/>
    </row>
    <row r="76" spans="13:13" x14ac:dyDescent="0.35">
      <c r="M76" s="29"/>
    </row>
    <row r="77" spans="13:13" x14ac:dyDescent="0.35">
      <c r="M77" s="29"/>
    </row>
    <row r="78" spans="13:13" x14ac:dyDescent="0.35">
      <c r="M78" s="29"/>
    </row>
    <row r="79" spans="13:13" x14ac:dyDescent="0.35">
      <c r="M79" s="29"/>
    </row>
    <row r="80" spans="13:13" x14ac:dyDescent="0.35">
      <c r="M80" s="29"/>
    </row>
    <row r="81" spans="13:13" x14ac:dyDescent="0.35">
      <c r="M81" s="29"/>
    </row>
    <row r="82" spans="13:13" x14ac:dyDescent="0.35">
      <c r="M82" s="29"/>
    </row>
    <row r="83" spans="13:13" x14ac:dyDescent="0.35">
      <c r="M83" s="29"/>
    </row>
    <row r="84" spans="13:13" x14ac:dyDescent="0.35">
      <c r="M84" s="29"/>
    </row>
    <row r="85" spans="13:13" x14ac:dyDescent="0.35">
      <c r="M85" s="29"/>
    </row>
    <row r="86" spans="13:13" x14ac:dyDescent="0.35">
      <c r="M86" s="29"/>
    </row>
    <row r="87" spans="13:13" x14ac:dyDescent="0.35">
      <c r="M87" s="29"/>
    </row>
    <row r="88" spans="13:13" x14ac:dyDescent="0.35">
      <c r="M88" s="29"/>
    </row>
    <row r="89" spans="13:13" x14ac:dyDescent="0.35">
      <c r="M89" s="29"/>
    </row>
    <row r="90" spans="13:13" x14ac:dyDescent="0.35">
      <c r="M90" s="29"/>
    </row>
    <row r="91" spans="13:13" x14ac:dyDescent="0.35">
      <c r="M91" s="29"/>
    </row>
    <row r="92" spans="13:13" x14ac:dyDescent="0.35">
      <c r="M92" s="29"/>
    </row>
    <row r="93" spans="13:13" x14ac:dyDescent="0.35">
      <c r="M93" s="29"/>
    </row>
    <row r="94" spans="13:13" x14ac:dyDescent="0.35">
      <c r="M94" s="29"/>
    </row>
    <row r="95" spans="13:13" x14ac:dyDescent="0.35">
      <c r="M95" s="29"/>
    </row>
    <row r="96" spans="13:13" x14ac:dyDescent="0.35">
      <c r="M96" s="29"/>
    </row>
    <row r="97" spans="13:13" x14ac:dyDescent="0.35">
      <c r="M97" s="29"/>
    </row>
    <row r="98" spans="13:13" x14ac:dyDescent="0.35">
      <c r="M98" s="29"/>
    </row>
    <row r="99" spans="13:13" x14ac:dyDescent="0.35">
      <c r="M99" s="29"/>
    </row>
    <row r="100" spans="13:13" x14ac:dyDescent="0.35">
      <c r="M100" s="29"/>
    </row>
    <row r="101" spans="13:13" x14ac:dyDescent="0.35">
      <c r="M101" s="29"/>
    </row>
    <row r="102" spans="13:13" x14ac:dyDescent="0.35">
      <c r="M102" s="29"/>
    </row>
    <row r="103" spans="13:13" x14ac:dyDescent="0.35">
      <c r="M103" s="29"/>
    </row>
    <row r="104" spans="13:13" x14ac:dyDescent="0.35">
      <c r="M104" s="29"/>
    </row>
    <row r="105" spans="13:13" x14ac:dyDescent="0.35">
      <c r="M105" s="29"/>
    </row>
    <row r="106" spans="13:13" x14ac:dyDescent="0.35">
      <c r="M106" s="29"/>
    </row>
    <row r="107" spans="13:13" x14ac:dyDescent="0.35">
      <c r="M107" s="29"/>
    </row>
    <row r="108" spans="13:13" x14ac:dyDescent="0.35">
      <c r="M108" s="29"/>
    </row>
    <row r="109" spans="13:13" x14ac:dyDescent="0.35">
      <c r="M109" s="29"/>
    </row>
    <row r="110" spans="13:13" x14ac:dyDescent="0.35">
      <c r="M110" s="29"/>
    </row>
    <row r="111" spans="13:13" x14ac:dyDescent="0.35">
      <c r="M111" s="29"/>
    </row>
    <row r="112" spans="13:13" x14ac:dyDescent="0.35">
      <c r="M112" s="29"/>
    </row>
    <row r="113" spans="13:13" x14ac:dyDescent="0.35">
      <c r="M113" s="29"/>
    </row>
    <row r="114" spans="13:13" x14ac:dyDescent="0.35">
      <c r="M114" s="29"/>
    </row>
    <row r="115" spans="13:13" x14ac:dyDescent="0.35">
      <c r="M115" s="29"/>
    </row>
    <row r="116" spans="13:13" x14ac:dyDescent="0.35">
      <c r="M116" s="29"/>
    </row>
    <row r="117" spans="13:13" x14ac:dyDescent="0.35">
      <c r="M117" s="29"/>
    </row>
    <row r="118" spans="13:13" x14ac:dyDescent="0.35">
      <c r="M118" s="29"/>
    </row>
    <row r="119" spans="13:13" x14ac:dyDescent="0.35">
      <c r="M119" s="29"/>
    </row>
    <row r="120" spans="13:13" x14ac:dyDescent="0.35">
      <c r="M120" s="29"/>
    </row>
    <row r="121" spans="13:13" x14ac:dyDescent="0.35">
      <c r="M121" s="29"/>
    </row>
    <row r="122" spans="13:13" x14ac:dyDescent="0.35">
      <c r="M122" s="29"/>
    </row>
    <row r="123" spans="13:13" x14ac:dyDescent="0.35">
      <c r="M123" s="29"/>
    </row>
    <row r="124" spans="13:13" x14ac:dyDescent="0.35">
      <c r="M124" s="29"/>
    </row>
    <row r="125" spans="13:13" x14ac:dyDescent="0.35">
      <c r="M125" s="29"/>
    </row>
    <row r="126" spans="13:13" x14ac:dyDescent="0.35">
      <c r="M126" s="29"/>
    </row>
    <row r="127" spans="13:13" x14ac:dyDescent="0.35">
      <c r="M127" s="29"/>
    </row>
    <row r="128" spans="13:13" x14ac:dyDescent="0.35">
      <c r="M128" s="29"/>
    </row>
    <row r="129" spans="13:13" x14ac:dyDescent="0.35">
      <c r="M129" s="29"/>
    </row>
    <row r="130" spans="13:13" x14ac:dyDescent="0.35">
      <c r="M130" s="29"/>
    </row>
    <row r="131" spans="13:13" x14ac:dyDescent="0.35">
      <c r="M131" s="29"/>
    </row>
    <row r="132" spans="13:13" x14ac:dyDescent="0.35">
      <c r="M132" s="29"/>
    </row>
    <row r="133" spans="13:13" x14ac:dyDescent="0.35">
      <c r="M133" s="29"/>
    </row>
    <row r="134" spans="13:13" x14ac:dyDescent="0.35">
      <c r="M134" s="29"/>
    </row>
    <row r="135" spans="13:13" x14ac:dyDescent="0.35">
      <c r="M135" s="29"/>
    </row>
    <row r="136" spans="13:13" x14ac:dyDescent="0.35">
      <c r="M136" s="29"/>
    </row>
    <row r="137" spans="13:13" x14ac:dyDescent="0.35">
      <c r="M137" s="29"/>
    </row>
    <row r="138" spans="13:13" x14ac:dyDescent="0.35">
      <c r="M138" s="29"/>
    </row>
    <row r="139" spans="13:13" x14ac:dyDescent="0.35">
      <c r="M139" s="29"/>
    </row>
    <row r="140" spans="13:13" x14ac:dyDescent="0.35">
      <c r="M140" s="29"/>
    </row>
    <row r="141" spans="13:13" x14ac:dyDescent="0.35">
      <c r="M141" s="29"/>
    </row>
    <row r="142" spans="13:13" x14ac:dyDescent="0.35">
      <c r="M142" s="29"/>
    </row>
    <row r="143" spans="13:13" x14ac:dyDescent="0.35">
      <c r="M143" s="29"/>
    </row>
    <row r="144" spans="13:13" x14ac:dyDescent="0.35">
      <c r="M144" s="29"/>
    </row>
    <row r="145" spans="13:13" x14ac:dyDescent="0.35">
      <c r="M145" s="29"/>
    </row>
    <row r="146" spans="13:13" x14ac:dyDescent="0.35">
      <c r="M146" s="29"/>
    </row>
    <row r="147" spans="13:13" x14ac:dyDescent="0.35">
      <c r="M147" s="29"/>
    </row>
    <row r="148" spans="13:13" x14ac:dyDescent="0.35">
      <c r="M148" s="29"/>
    </row>
    <row r="149" spans="13:13" x14ac:dyDescent="0.35">
      <c r="M149" s="29"/>
    </row>
    <row r="150" spans="13:13" x14ac:dyDescent="0.35">
      <c r="M150" s="29"/>
    </row>
    <row r="151" spans="13:13" x14ac:dyDescent="0.35">
      <c r="M151" s="29"/>
    </row>
    <row r="152" spans="13:13" x14ac:dyDescent="0.35">
      <c r="M152" s="29"/>
    </row>
    <row r="153" spans="13:13" x14ac:dyDescent="0.35">
      <c r="M153" s="29"/>
    </row>
    <row r="154" spans="13:13" x14ac:dyDescent="0.35">
      <c r="M154" s="29"/>
    </row>
    <row r="155" spans="13:13" x14ac:dyDescent="0.35">
      <c r="M155" s="29"/>
    </row>
    <row r="156" spans="13:13" x14ac:dyDescent="0.35">
      <c r="M156" s="29"/>
    </row>
    <row r="157" spans="13:13" x14ac:dyDescent="0.35">
      <c r="M157" s="29"/>
    </row>
    <row r="158" spans="13:13" x14ac:dyDescent="0.35">
      <c r="M158" s="29"/>
    </row>
    <row r="159" spans="13:13" x14ac:dyDescent="0.35">
      <c r="M159" s="29"/>
    </row>
    <row r="160" spans="13:13" x14ac:dyDescent="0.35">
      <c r="M160" s="29"/>
    </row>
    <row r="161" spans="13:13" x14ac:dyDescent="0.35">
      <c r="M161" s="29"/>
    </row>
    <row r="162" spans="13:13" x14ac:dyDescent="0.35">
      <c r="M162" s="29"/>
    </row>
    <row r="163" spans="13:13" x14ac:dyDescent="0.35">
      <c r="M163" s="29"/>
    </row>
    <row r="164" spans="13:13" x14ac:dyDescent="0.35">
      <c r="M164" s="29"/>
    </row>
    <row r="165" spans="13:13" x14ac:dyDescent="0.35">
      <c r="M165" s="29"/>
    </row>
    <row r="166" spans="13:13" x14ac:dyDescent="0.35">
      <c r="M166" s="29"/>
    </row>
    <row r="167" spans="13:13" x14ac:dyDescent="0.35">
      <c r="M167" s="29"/>
    </row>
    <row r="168" spans="13:13" x14ac:dyDescent="0.35">
      <c r="M168" s="29"/>
    </row>
    <row r="169" spans="13:13" x14ac:dyDescent="0.35">
      <c r="M169" s="29"/>
    </row>
    <row r="170" spans="13:13" x14ac:dyDescent="0.35">
      <c r="M170" s="29"/>
    </row>
    <row r="171" spans="13:13" x14ac:dyDescent="0.35">
      <c r="M171" s="29"/>
    </row>
    <row r="172" spans="13:13" x14ac:dyDescent="0.35">
      <c r="M172" s="29"/>
    </row>
    <row r="173" spans="13:13" x14ac:dyDescent="0.35">
      <c r="M173" s="29"/>
    </row>
    <row r="174" spans="13:13" x14ac:dyDescent="0.35">
      <c r="M174" s="29"/>
    </row>
    <row r="175" spans="13:13" x14ac:dyDescent="0.35">
      <c r="M175" s="29"/>
    </row>
    <row r="176" spans="13:13" x14ac:dyDescent="0.35">
      <c r="M176" s="29"/>
    </row>
    <row r="177" spans="13:13" x14ac:dyDescent="0.35">
      <c r="M177" s="29"/>
    </row>
    <row r="178" spans="13:13" x14ac:dyDescent="0.35">
      <c r="M178" s="29"/>
    </row>
    <row r="179" spans="13:13" x14ac:dyDescent="0.35">
      <c r="M179" s="29"/>
    </row>
    <row r="180" spans="13:13" x14ac:dyDescent="0.35">
      <c r="M180" s="29"/>
    </row>
    <row r="181" spans="13:13" x14ac:dyDescent="0.35">
      <c r="M181" s="29"/>
    </row>
    <row r="182" spans="13:13" x14ac:dyDescent="0.35">
      <c r="M182" s="29"/>
    </row>
    <row r="183" spans="13:13" x14ac:dyDescent="0.35">
      <c r="M183" s="29"/>
    </row>
    <row r="184" spans="13:13" x14ac:dyDescent="0.35">
      <c r="M184" s="29"/>
    </row>
    <row r="185" spans="13:13" x14ac:dyDescent="0.35">
      <c r="M185" s="29"/>
    </row>
    <row r="186" spans="13:13" x14ac:dyDescent="0.35">
      <c r="M186" s="29"/>
    </row>
    <row r="187" spans="13:13" x14ac:dyDescent="0.35">
      <c r="M187" s="29"/>
    </row>
    <row r="188" spans="13:13" x14ac:dyDescent="0.35">
      <c r="M188" s="29"/>
    </row>
    <row r="189" spans="13:13" x14ac:dyDescent="0.35">
      <c r="M189" s="29"/>
    </row>
    <row r="190" spans="13:13" x14ac:dyDescent="0.35">
      <c r="M190" s="29"/>
    </row>
    <row r="191" spans="13:13" x14ac:dyDescent="0.35">
      <c r="M191" s="29"/>
    </row>
    <row r="192" spans="13:13" x14ac:dyDescent="0.35">
      <c r="M192" s="29"/>
    </row>
    <row r="193" spans="13:13" x14ac:dyDescent="0.35">
      <c r="M193" s="29"/>
    </row>
    <row r="194" spans="13:13" x14ac:dyDescent="0.35">
      <c r="M194" s="29"/>
    </row>
    <row r="195" spans="13:13" x14ac:dyDescent="0.35">
      <c r="M195" s="29"/>
    </row>
    <row r="196" spans="13:13" x14ac:dyDescent="0.35">
      <c r="M196" s="29"/>
    </row>
    <row r="197" spans="13:13" x14ac:dyDescent="0.35">
      <c r="M197" s="29"/>
    </row>
    <row r="198" spans="13:13" x14ac:dyDescent="0.35">
      <c r="M198" s="29"/>
    </row>
    <row r="199" spans="13:13" x14ac:dyDescent="0.35">
      <c r="M199" s="29"/>
    </row>
    <row r="200" spans="13:13" x14ac:dyDescent="0.35">
      <c r="M200" s="29"/>
    </row>
    <row r="201" spans="13:13" x14ac:dyDescent="0.35">
      <c r="M201" s="29"/>
    </row>
    <row r="202" spans="13:13" x14ac:dyDescent="0.35">
      <c r="M202" s="29"/>
    </row>
    <row r="203" spans="13:13" x14ac:dyDescent="0.35">
      <c r="M203" s="29"/>
    </row>
    <row r="204" spans="13:13" x14ac:dyDescent="0.35">
      <c r="M204" s="29"/>
    </row>
    <row r="205" spans="13:13" x14ac:dyDescent="0.35">
      <c r="M205" s="29"/>
    </row>
    <row r="206" spans="13:13" x14ac:dyDescent="0.35">
      <c r="M206" s="29"/>
    </row>
    <row r="207" spans="13:13" x14ac:dyDescent="0.35">
      <c r="M207" s="29"/>
    </row>
    <row r="208" spans="13:13" x14ac:dyDescent="0.35">
      <c r="M208" s="29"/>
    </row>
    <row r="209" spans="13:13" x14ac:dyDescent="0.35">
      <c r="M209" s="29"/>
    </row>
    <row r="210" spans="13:13" x14ac:dyDescent="0.35">
      <c r="M210" s="29"/>
    </row>
    <row r="211" spans="13:13" x14ac:dyDescent="0.35">
      <c r="M211" s="29"/>
    </row>
    <row r="212" spans="13:13" x14ac:dyDescent="0.35">
      <c r="M212" s="29"/>
    </row>
    <row r="213" spans="13:13" x14ac:dyDescent="0.35">
      <c r="M213" s="29"/>
    </row>
    <row r="214" spans="13:13" x14ac:dyDescent="0.35">
      <c r="M214" s="29"/>
    </row>
    <row r="215" spans="13:13" x14ac:dyDescent="0.35">
      <c r="M215" s="29"/>
    </row>
    <row r="216" spans="13:13" x14ac:dyDescent="0.35">
      <c r="M216" s="29"/>
    </row>
    <row r="217" spans="13:13" x14ac:dyDescent="0.35">
      <c r="M217" s="29"/>
    </row>
    <row r="218" spans="13:13" x14ac:dyDescent="0.35">
      <c r="M218" s="29"/>
    </row>
    <row r="219" spans="13:13" x14ac:dyDescent="0.35">
      <c r="M219" s="29"/>
    </row>
    <row r="220" spans="13:13" x14ac:dyDescent="0.35">
      <c r="M220" s="29"/>
    </row>
    <row r="221" spans="13:13" x14ac:dyDescent="0.35">
      <c r="M221" s="29"/>
    </row>
    <row r="222" spans="13:13" x14ac:dyDescent="0.35">
      <c r="M222" s="29"/>
    </row>
    <row r="223" spans="13:13" x14ac:dyDescent="0.35">
      <c r="M223" s="29"/>
    </row>
    <row r="224" spans="13:13" x14ac:dyDescent="0.35">
      <c r="M224" s="29"/>
    </row>
    <row r="225" spans="13:13" x14ac:dyDescent="0.35">
      <c r="M225" s="29"/>
    </row>
    <row r="226" spans="13:13" x14ac:dyDescent="0.35">
      <c r="M226" s="29"/>
    </row>
    <row r="227" spans="13:13" x14ac:dyDescent="0.35">
      <c r="M227" s="29"/>
    </row>
    <row r="228" spans="13:13" x14ac:dyDescent="0.35">
      <c r="M228" s="29"/>
    </row>
    <row r="229" spans="13:13" x14ac:dyDescent="0.35">
      <c r="M229" s="29"/>
    </row>
    <row r="230" spans="13:13" x14ac:dyDescent="0.35">
      <c r="M230" s="29"/>
    </row>
    <row r="231" spans="13:13" x14ac:dyDescent="0.35">
      <c r="M231" s="29"/>
    </row>
    <row r="232" spans="13:13" x14ac:dyDescent="0.35">
      <c r="M232" s="29"/>
    </row>
    <row r="233" spans="13:13" x14ac:dyDescent="0.35">
      <c r="M233" s="29"/>
    </row>
    <row r="234" spans="13:13" x14ac:dyDescent="0.35">
      <c r="M234" s="29"/>
    </row>
    <row r="235" spans="13:13" x14ac:dyDescent="0.35">
      <c r="M235" s="29"/>
    </row>
    <row r="236" spans="13:13" x14ac:dyDescent="0.35">
      <c r="M236" s="29"/>
    </row>
    <row r="237" spans="13:13" x14ac:dyDescent="0.35">
      <c r="M237" s="29"/>
    </row>
    <row r="238" spans="13:13" x14ac:dyDescent="0.35">
      <c r="M238" s="29"/>
    </row>
    <row r="239" spans="13:13" x14ac:dyDescent="0.35">
      <c r="M239" s="29"/>
    </row>
    <row r="240" spans="13:13" x14ac:dyDescent="0.35">
      <c r="M240" s="29"/>
    </row>
    <row r="241" spans="13:13" x14ac:dyDescent="0.35">
      <c r="M241" s="29"/>
    </row>
    <row r="242" spans="13:13" x14ac:dyDescent="0.35">
      <c r="M242" s="29"/>
    </row>
    <row r="243" spans="13:13" x14ac:dyDescent="0.35">
      <c r="M243" s="29"/>
    </row>
    <row r="244" spans="13:13" x14ac:dyDescent="0.35">
      <c r="M244" s="29"/>
    </row>
    <row r="245" spans="13:13" x14ac:dyDescent="0.35">
      <c r="M245" s="29"/>
    </row>
    <row r="246" spans="13:13" x14ac:dyDescent="0.35">
      <c r="M246" s="29"/>
    </row>
    <row r="247" spans="13:13" x14ac:dyDescent="0.35">
      <c r="M247" s="29"/>
    </row>
    <row r="248" spans="13:13" x14ac:dyDescent="0.35">
      <c r="M248" s="29"/>
    </row>
    <row r="249" spans="13:13" x14ac:dyDescent="0.35">
      <c r="M249" s="29"/>
    </row>
    <row r="250" spans="13:13" x14ac:dyDescent="0.35">
      <c r="M250" s="29"/>
    </row>
    <row r="251" spans="13:13" x14ac:dyDescent="0.35">
      <c r="M251" s="29"/>
    </row>
    <row r="252" spans="13:13" x14ac:dyDescent="0.35">
      <c r="M252" s="29"/>
    </row>
    <row r="253" spans="13:13" x14ac:dyDescent="0.35">
      <c r="M253" s="29"/>
    </row>
    <row r="254" spans="13:13" x14ac:dyDescent="0.35">
      <c r="M254" s="29"/>
    </row>
    <row r="255" spans="13:13" x14ac:dyDescent="0.35">
      <c r="M255" s="29"/>
    </row>
    <row r="256" spans="13:13" x14ac:dyDescent="0.35">
      <c r="M256" s="29"/>
    </row>
    <row r="257" spans="13:13" x14ac:dyDescent="0.35">
      <c r="M257" s="29"/>
    </row>
    <row r="258" spans="13:13" x14ac:dyDescent="0.35">
      <c r="M258" s="29"/>
    </row>
    <row r="259" spans="13:13" x14ac:dyDescent="0.35">
      <c r="M259" s="29"/>
    </row>
    <row r="260" spans="13:13" x14ac:dyDescent="0.35">
      <c r="M260" s="29"/>
    </row>
    <row r="261" spans="13:13" x14ac:dyDescent="0.35">
      <c r="M261" s="29"/>
    </row>
    <row r="262" spans="13:13" x14ac:dyDescent="0.35">
      <c r="M262" s="29"/>
    </row>
    <row r="263" spans="13:13" x14ac:dyDescent="0.35">
      <c r="M263" s="29"/>
    </row>
    <row r="264" spans="13:13" x14ac:dyDescent="0.35">
      <c r="M264" s="29"/>
    </row>
    <row r="265" spans="13:13" x14ac:dyDescent="0.35">
      <c r="M265" s="29"/>
    </row>
    <row r="266" spans="13:13" x14ac:dyDescent="0.35">
      <c r="M266" s="29"/>
    </row>
    <row r="267" spans="13:13" x14ac:dyDescent="0.35">
      <c r="M267" s="29"/>
    </row>
    <row r="268" spans="13:13" x14ac:dyDescent="0.35">
      <c r="M268" s="29"/>
    </row>
    <row r="269" spans="13:13" x14ac:dyDescent="0.35">
      <c r="M269" s="29"/>
    </row>
    <row r="270" spans="13:13" x14ac:dyDescent="0.35">
      <c r="M270" s="29"/>
    </row>
    <row r="271" spans="13:13" x14ac:dyDescent="0.35">
      <c r="M271" s="29"/>
    </row>
    <row r="272" spans="13:13" x14ac:dyDescent="0.35">
      <c r="M272" s="29"/>
    </row>
    <row r="273" spans="13:13" x14ac:dyDescent="0.35">
      <c r="M273" s="29"/>
    </row>
    <row r="274" spans="13:13" x14ac:dyDescent="0.35">
      <c r="M274" s="29"/>
    </row>
    <row r="275" spans="13:13" x14ac:dyDescent="0.35">
      <c r="M275" s="29"/>
    </row>
    <row r="276" spans="13:13" x14ac:dyDescent="0.35">
      <c r="M276" s="29"/>
    </row>
    <row r="277" spans="13:13" x14ac:dyDescent="0.35">
      <c r="M277" s="29"/>
    </row>
    <row r="278" spans="13:13" x14ac:dyDescent="0.35">
      <c r="M278" s="29"/>
    </row>
    <row r="279" spans="13:13" x14ac:dyDescent="0.35">
      <c r="M279" s="29"/>
    </row>
    <row r="280" spans="13:13" x14ac:dyDescent="0.35">
      <c r="M280" s="29"/>
    </row>
    <row r="281" spans="13:13" x14ac:dyDescent="0.35">
      <c r="M281" s="29"/>
    </row>
    <row r="282" spans="13:13" x14ac:dyDescent="0.35">
      <c r="M282" s="29"/>
    </row>
    <row r="283" spans="13:13" x14ac:dyDescent="0.35">
      <c r="M283" s="29"/>
    </row>
    <row r="284" spans="13:13" x14ac:dyDescent="0.35">
      <c r="M284" s="29"/>
    </row>
    <row r="285" spans="13:13" x14ac:dyDescent="0.35">
      <c r="M285" s="29"/>
    </row>
    <row r="286" spans="13:13" x14ac:dyDescent="0.35">
      <c r="M286" s="29"/>
    </row>
    <row r="287" spans="13:13" x14ac:dyDescent="0.35">
      <c r="M287" s="29"/>
    </row>
    <row r="288" spans="13:13" x14ac:dyDescent="0.35">
      <c r="M288" s="29"/>
    </row>
    <row r="289" spans="13:13" x14ac:dyDescent="0.35">
      <c r="M289" s="29"/>
    </row>
    <row r="290" spans="13:13" x14ac:dyDescent="0.35">
      <c r="M290" s="29"/>
    </row>
    <row r="291" spans="13:13" x14ac:dyDescent="0.35">
      <c r="M291" s="29"/>
    </row>
    <row r="292" spans="13:13" x14ac:dyDescent="0.35">
      <c r="M292" s="29"/>
    </row>
    <row r="293" spans="13:13" x14ac:dyDescent="0.35">
      <c r="M293" s="29"/>
    </row>
    <row r="294" spans="13:13" x14ac:dyDescent="0.35">
      <c r="M294" s="29"/>
    </row>
    <row r="295" spans="13:13" x14ac:dyDescent="0.35">
      <c r="M295" s="29"/>
    </row>
    <row r="296" spans="13:13" x14ac:dyDescent="0.35">
      <c r="M296" s="29"/>
    </row>
    <row r="297" spans="13:13" x14ac:dyDescent="0.35">
      <c r="M297" s="29"/>
    </row>
    <row r="298" spans="13:13" x14ac:dyDescent="0.35">
      <c r="M298" s="29"/>
    </row>
    <row r="299" spans="13:13" x14ac:dyDescent="0.35">
      <c r="M299" s="29"/>
    </row>
    <row r="300" spans="13:13" x14ac:dyDescent="0.35">
      <c r="M300" s="29"/>
    </row>
    <row r="301" spans="13:13" x14ac:dyDescent="0.35">
      <c r="M301" s="29"/>
    </row>
    <row r="302" spans="13:13" x14ac:dyDescent="0.35">
      <c r="M302" s="29"/>
    </row>
    <row r="303" spans="13:13" x14ac:dyDescent="0.35">
      <c r="M303" s="29"/>
    </row>
    <row r="304" spans="13:13" x14ac:dyDescent="0.35">
      <c r="M304" s="29"/>
    </row>
    <row r="305" spans="13:13" x14ac:dyDescent="0.35">
      <c r="M305" s="29"/>
    </row>
    <row r="306" spans="13:13" x14ac:dyDescent="0.35">
      <c r="M306" s="29"/>
    </row>
    <row r="307" spans="13:13" x14ac:dyDescent="0.35">
      <c r="M307" s="29"/>
    </row>
    <row r="308" spans="13:13" x14ac:dyDescent="0.35">
      <c r="M308" s="29"/>
    </row>
    <row r="309" spans="13:13" x14ac:dyDescent="0.35">
      <c r="M309" s="29"/>
    </row>
    <row r="310" spans="13:13" x14ac:dyDescent="0.35">
      <c r="M310" s="29"/>
    </row>
    <row r="311" spans="13:13" x14ac:dyDescent="0.35">
      <c r="M311" s="29"/>
    </row>
    <row r="312" spans="13:13" x14ac:dyDescent="0.35">
      <c r="M312" s="29"/>
    </row>
    <row r="313" spans="13:13" x14ac:dyDescent="0.35">
      <c r="M313" s="29"/>
    </row>
    <row r="314" spans="13:13" x14ac:dyDescent="0.35">
      <c r="M314" s="29"/>
    </row>
    <row r="315" spans="13:13" x14ac:dyDescent="0.35">
      <c r="M315" s="29"/>
    </row>
    <row r="316" spans="13:13" x14ac:dyDescent="0.35">
      <c r="M316" s="29"/>
    </row>
    <row r="317" spans="13:13" x14ac:dyDescent="0.35">
      <c r="M317" s="29"/>
    </row>
    <row r="318" spans="13:13" x14ac:dyDescent="0.35">
      <c r="M318" s="29"/>
    </row>
    <row r="319" spans="13:13" x14ac:dyDescent="0.35">
      <c r="M319" s="29"/>
    </row>
    <row r="320" spans="13:13" x14ac:dyDescent="0.35">
      <c r="M320" s="29"/>
    </row>
    <row r="321" spans="13:13" x14ac:dyDescent="0.35">
      <c r="M321" s="29"/>
    </row>
    <row r="322" spans="13:13" x14ac:dyDescent="0.35">
      <c r="M322" s="29"/>
    </row>
    <row r="323" spans="13:13" x14ac:dyDescent="0.35">
      <c r="M323" s="29"/>
    </row>
    <row r="324" spans="13:13" x14ac:dyDescent="0.35">
      <c r="M324" s="29"/>
    </row>
    <row r="325" spans="13:13" x14ac:dyDescent="0.35">
      <c r="M325" s="29"/>
    </row>
    <row r="326" spans="13:13" x14ac:dyDescent="0.35">
      <c r="M326" s="29"/>
    </row>
    <row r="327" spans="13:13" x14ac:dyDescent="0.35">
      <c r="M327" s="29"/>
    </row>
    <row r="328" spans="13:13" x14ac:dyDescent="0.35">
      <c r="M328" s="29"/>
    </row>
    <row r="329" spans="13:13" x14ac:dyDescent="0.35">
      <c r="M329" s="29"/>
    </row>
    <row r="330" spans="13:13" x14ac:dyDescent="0.35">
      <c r="M330" s="29"/>
    </row>
    <row r="331" spans="13:13" x14ac:dyDescent="0.35">
      <c r="M331" s="29"/>
    </row>
    <row r="332" spans="13:13" x14ac:dyDescent="0.35">
      <c r="M332" s="29"/>
    </row>
    <row r="333" spans="13:13" x14ac:dyDescent="0.35">
      <c r="M333" s="29"/>
    </row>
    <row r="334" spans="13:13" x14ac:dyDescent="0.35">
      <c r="M334" s="29"/>
    </row>
    <row r="335" spans="13:13" x14ac:dyDescent="0.35">
      <c r="M335" s="29"/>
    </row>
    <row r="336" spans="13:13" x14ac:dyDescent="0.35">
      <c r="M336" s="29"/>
    </row>
    <row r="337" spans="13:13" x14ac:dyDescent="0.35">
      <c r="M337" s="29"/>
    </row>
    <row r="338" spans="13:13" x14ac:dyDescent="0.35">
      <c r="M338" s="29"/>
    </row>
    <row r="339" spans="13:13" x14ac:dyDescent="0.35">
      <c r="M339" s="29"/>
    </row>
    <row r="340" spans="13:13" x14ac:dyDescent="0.35">
      <c r="M340" s="29"/>
    </row>
    <row r="341" spans="13:13" x14ac:dyDescent="0.35">
      <c r="M341" s="29"/>
    </row>
    <row r="342" spans="13:13" x14ac:dyDescent="0.35">
      <c r="M342" s="29"/>
    </row>
    <row r="343" spans="13:13" x14ac:dyDescent="0.35">
      <c r="M343" s="29"/>
    </row>
    <row r="344" spans="13:13" x14ac:dyDescent="0.35">
      <c r="M344" s="29"/>
    </row>
    <row r="345" spans="13:13" x14ac:dyDescent="0.35">
      <c r="M345" s="29"/>
    </row>
    <row r="346" spans="13:13" x14ac:dyDescent="0.35">
      <c r="M346" s="29"/>
    </row>
    <row r="347" spans="13:13" x14ac:dyDescent="0.35">
      <c r="M347" s="29"/>
    </row>
    <row r="348" spans="13:13" x14ac:dyDescent="0.35">
      <c r="M348" s="29"/>
    </row>
    <row r="349" spans="13:13" x14ac:dyDescent="0.35">
      <c r="M349" s="29"/>
    </row>
    <row r="350" spans="13:13" x14ac:dyDescent="0.35">
      <c r="M350" s="29"/>
    </row>
    <row r="351" spans="13:13" x14ac:dyDescent="0.35">
      <c r="M351" s="29"/>
    </row>
    <row r="352" spans="13:13" x14ac:dyDescent="0.35">
      <c r="M352" s="29"/>
    </row>
    <row r="353" spans="13:13" x14ac:dyDescent="0.35">
      <c r="M353" s="29"/>
    </row>
    <row r="354" spans="13:13" x14ac:dyDescent="0.35">
      <c r="M354" s="29"/>
    </row>
    <row r="355" spans="13:13" x14ac:dyDescent="0.35">
      <c r="M355" s="29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85"/>
  <sheetViews>
    <sheetView topLeftCell="A29" workbookViewId="0">
      <selection activeCell="E52" sqref="E52"/>
    </sheetView>
  </sheetViews>
  <sheetFormatPr baseColWidth="10" defaultRowHeight="14.5" x14ac:dyDescent="0.35"/>
  <cols>
    <col min="1" max="1" width="11.54296875" bestFit="1" customWidth="1"/>
    <col min="2" max="2" width="6.6328125" style="2" bestFit="1" customWidth="1"/>
    <col min="3" max="3" width="7.08984375" style="2" bestFit="1" customWidth="1"/>
    <col min="4" max="4" width="15.90625" style="2" bestFit="1" customWidth="1"/>
    <col min="5" max="5" width="29.81640625" style="2" bestFit="1" customWidth="1"/>
    <col min="6" max="6" width="26.08984375" style="5" customWidth="1"/>
    <col min="7" max="7" width="11.54296875" style="5" customWidth="1"/>
    <col min="8" max="8" width="5.6328125" bestFit="1" customWidth="1"/>
    <col min="9" max="9" width="13.36328125" style="5" customWidth="1"/>
    <col min="10" max="10" width="11.6328125" style="5" customWidth="1"/>
    <col min="11" max="11" width="6.08984375" customWidth="1"/>
    <col min="12" max="12" width="8.54296875" style="5" customWidth="1"/>
    <col min="13" max="13" width="10.6328125" style="8" customWidth="1"/>
    <col min="14" max="14" width="14.90625" style="3" bestFit="1" customWidth="1"/>
    <col min="15" max="16" width="11.453125" style="3" customWidth="1"/>
    <col min="17" max="17" width="12.54296875" style="2" customWidth="1"/>
    <col min="18" max="18" width="14.08984375" customWidth="1"/>
  </cols>
  <sheetData>
    <row r="1" spans="1:19" s="1" customFormat="1" ht="30" customHeigh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9" x14ac:dyDescent="0.35">
      <c r="A2" s="4">
        <v>45567</v>
      </c>
      <c r="B2" s="2" t="s">
        <v>800</v>
      </c>
      <c r="D2" s="30" t="s">
        <v>833</v>
      </c>
      <c r="E2" s="30" t="s">
        <v>832</v>
      </c>
      <c r="F2" s="5" t="str">
        <f>CONCATENATE(S2,B2," ",E2)</f>
        <v>N/F 118/24 CENTENO DISTRIBUCIONES, S.A.</v>
      </c>
      <c r="G2" s="5">
        <f>M2/(1-K2/100+H2/100)</f>
        <v>6357.909090909091</v>
      </c>
      <c r="H2">
        <v>21</v>
      </c>
      <c r="I2" s="5">
        <f>G2*H2/100</f>
        <v>1335.1609090909092</v>
      </c>
      <c r="J2" s="5">
        <f>G2</f>
        <v>6357.909090909091</v>
      </c>
      <c r="K2">
        <v>0</v>
      </c>
      <c r="L2" s="5">
        <f>J2*K2/100</f>
        <v>0</v>
      </c>
      <c r="M2" s="8">
        <v>7693.07</v>
      </c>
      <c r="S2" t="s">
        <v>20</v>
      </c>
    </row>
    <row r="3" spans="1:19" x14ac:dyDescent="0.35">
      <c r="A3" s="4">
        <v>45590</v>
      </c>
      <c r="B3" s="2" t="s">
        <v>801</v>
      </c>
      <c r="D3" s="2" t="s">
        <v>42</v>
      </c>
      <c r="E3" s="2" t="s">
        <v>43</v>
      </c>
      <c r="F3" s="5" t="str">
        <f t="shared" ref="F3:F40" si="0">CONCATENATE(S3,B3," ",E3)</f>
        <v>N/F 119/24 FEDERACIÓN MADRILEÑA DE NATACIÓN</v>
      </c>
      <c r="G3" s="5">
        <f t="shared" ref="G3:G40" si="1">M3/(1-K3/100+H3/100)</f>
        <v>43.32231404958678</v>
      </c>
      <c r="H3">
        <v>21</v>
      </c>
      <c r="I3" s="5">
        <f>G3*H3/100</f>
        <v>9.0976859504132239</v>
      </c>
      <c r="J3" s="5">
        <f>G3</f>
        <v>43.32231404958678</v>
      </c>
      <c r="K3">
        <v>0</v>
      </c>
      <c r="L3" s="5">
        <f>J3*K3/100</f>
        <v>0</v>
      </c>
      <c r="M3" s="8">
        <v>52.42</v>
      </c>
      <c r="S3" t="s">
        <v>20</v>
      </c>
    </row>
    <row r="4" spans="1:19" x14ac:dyDescent="0.35">
      <c r="A4" s="4">
        <v>45590</v>
      </c>
      <c r="B4" s="2" t="s">
        <v>802</v>
      </c>
      <c r="D4" s="2" t="s">
        <v>798</v>
      </c>
      <c r="E4" s="2" t="s">
        <v>799</v>
      </c>
      <c r="F4" s="5" t="str">
        <f t="shared" si="0"/>
        <v>N/F 120/24 DESARROLLOS EMPRESARIALES FAMASA, SL.</v>
      </c>
      <c r="G4" s="5">
        <f t="shared" si="1"/>
        <v>152.68595041322314</v>
      </c>
      <c r="H4">
        <v>21</v>
      </c>
      <c r="I4" s="5">
        <f t="shared" ref="I4:I40" si="2">G4*H4/100</f>
        <v>32.064049586776861</v>
      </c>
      <c r="J4" s="5">
        <f t="shared" ref="J4:J40" si="3">G4</f>
        <v>152.68595041322314</v>
      </c>
      <c r="K4">
        <v>0</v>
      </c>
      <c r="L4" s="5">
        <f t="shared" ref="L4:L40" si="4">J4*K4/100</f>
        <v>0</v>
      </c>
      <c r="M4" s="8">
        <v>184.75</v>
      </c>
      <c r="S4" t="s">
        <v>20</v>
      </c>
    </row>
    <row r="5" spans="1:19" x14ac:dyDescent="0.35">
      <c r="A5" s="4">
        <v>45590</v>
      </c>
      <c r="B5" s="2" t="s">
        <v>803</v>
      </c>
      <c r="D5" s="2" t="s">
        <v>35</v>
      </c>
      <c r="E5" s="2" t="s">
        <v>34</v>
      </c>
      <c r="F5" s="5" t="str">
        <f t="shared" si="0"/>
        <v>N/F 121/24 SPANISH TAPAS INVESTMENTS, S.L.</v>
      </c>
      <c r="G5" s="5">
        <f t="shared" si="1"/>
        <v>70.413223140495873</v>
      </c>
      <c r="H5">
        <v>21</v>
      </c>
      <c r="I5" s="5">
        <f t="shared" si="2"/>
        <v>14.786776859504135</v>
      </c>
      <c r="J5" s="5">
        <f t="shared" si="3"/>
        <v>70.413223140495873</v>
      </c>
      <c r="K5">
        <v>0</v>
      </c>
      <c r="L5" s="5">
        <f t="shared" si="4"/>
        <v>0</v>
      </c>
      <c r="M5" s="8">
        <v>85.2</v>
      </c>
      <c r="S5" t="s">
        <v>20</v>
      </c>
    </row>
    <row r="6" spans="1:19" x14ac:dyDescent="0.35">
      <c r="A6" s="4">
        <v>45590</v>
      </c>
      <c r="B6" s="2" t="s">
        <v>804</v>
      </c>
      <c r="D6" s="2" t="s">
        <v>24</v>
      </c>
      <c r="E6" s="31" t="s">
        <v>22</v>
      </c>
      <c r="F6" s="5" t="str">
        <f t="shared" si="0"/>
        <v>N/F 122/24 CONVER FORMAT 98, S.L.</v>
      </c>
      <c r="G6" s="5">
        <f t="shared" si="1"/>
        <v>134.50413223140495</v>
      </c>
      <c r="H6">
        <v>21</v>
      </c>
      <c r="I6" s="5">
        <f t="shared" si="2"/>
        <v>28.245867768595041</v>
      </c>
      <c r="J6" s="5">
        <f t="shared" si="3"/>
        <v>134.50413223140495</v>
      </c>
      <c r="K6">
        <v>0</v>
      </c>
      <c r="L6" s="5">
        <f t="shared" si="4"/>
        <v>0</v>
      </c>
      <c r="M6" s="8">
        <v>162.75</v>
      </c>
      <c r="S6" t="s">
        <v>20</v>
      </c>
    </row>
    <row r="7" spans="1:19" x14ac:dyDescent="0.35">
      <c r="A7" s="4">
        <v>45596</v>
      </c>
      <c r="B7" s="2" t="s">
        <v>805</v>
      </c>
      <c r="D7" s="30" t="s">
        <v>25</v>
      </c>
      <c r="E7" s="2" t="s">
        <v>21</v>
      </c>
      <c r="F7" s="5" t="str">
        <f t="shared" si="0"/>
        <v>N/F 123/24 REAL CANOE NATACION CLUB</v>
      </c>
      <c r="G7" s="5">
        <f t="shared" si="1"/>
        <v>2849.52</v>
      </c>
      <c r="H7">
        <v>21</v>
      </c>
      <c r="I7" s="5">
        <f t="shared" si="2"/>
        <v>598.39919999999995</v>
      </c>
      <c r="J7" s="5">
        <f t="shared" si="3"/>
        <v>2849.52</v>
      </c>
      <c r="K7">
        <v>0</v>
      </c>
      <c r="L7" s="5">
        <f t="shared" si="4"/>
        <v>0</v>
      </c>
      <c r="M7" s="8">
        <v>3447.9191999999998</v>
      </c>
      <c r="S7" t="s">
        <v>20</v>
      </c>
    </row>
    <row r="8" spans="1:19" x14ac:dyDescent="0.35">
      <c r="A8" s="4">
        <v>45596</v>
      </c>
      <c r="B8" s="2" t="s">
        <v>806</v>
      </c>
      <c r="D8" s="2" t="s">
        <v>26</v>
      </c>
      <c r="E8" s="2" t="s">
        <v>23</v>
      </c>
      <c r="F8" s="5" t="str">
        <f t="shared" si="0"/>
        <v>N/F 124/24 RESTAURANTE URRECHU CLUB, S.L.</v>
      </c>
      <c r="G8" s="5">
        <f t="shared" si="1"/>
        <v>95.67768595041322</v>
      </c>
      <c r="H8">
        <v>21</v>
      </c>
      <c r="I8" s="5">
        <f t="shared" si="2"/>
        <v>20.092314049586776</v>
      </c>
      <c r="J8" s="5">
        <f t="shared" si="3"/>
        <v>95.67768595041322</v>
      </c>
      <c r="K8">
        <v>0</v>
      </c>
      <c r="L8" s="5">
        <f t="shared" si="4"/>
        <v>0</v>
      </c>
      <c r="M8" s="8">
        <v>115.77</v>
      </c>
      <c r="S8" t="s">
        <v>20</v>
      </c>
    </row>
    <row r="9" spans="1:19" x14ac:dyDescent="0.35">
      <c r="A9" s="4">
        <v>45596</v>
      </c>
      <c r="B9" s="2" t="s">
        <v>807</v>
      </c>
      <c r="D9" s="2" t="s">
        <v>110</v>
      </c>
      <c r="E9" s="2" t="s">
        <v>109</v>
      </c>
      <c r="F9" s="5" t="str">
        <f t="shared" si="0"/>
        <v>N/F 125/24 UZ LA FINCA S.L.</v>
      </c>
      <c r="G9" s="5">
        <f t="shared" si="1"/>
        <v>130.00826446280993</v>
      </c>
      <c r="H9">
        <v>21</v>
      </c>
      <c r="I9" s="5">
        <f t="shared" si="2"/>
        <v>27.301735537190083</v>
      </c>
      <c r="J9" s="5">
        <f t="shared" si="3"/>
        <v>130.00826446280993</v>
      </c>
      <c r="K9">
        <v>0</v>
      </c>
      <c r="L9" s="5">
        <f t="shared" si="4"/>
        <v>0</v>
      </c>
      <c r="M9" s="8">
        <v>157.31</v>
      </c>
      <c r="S9" t="s">
        <v>20</v>
      </c>
    </row>
    <row r="10" spans="1:19" x14ac:dyDescent="0.35">
      <c r="A10" s="4">
        <v>45596</v>
      </c>
      <c r="B10" s="2" t="s">
        <v>808</v>
      </c>
      <c r="D10" s="2" t="s">
        <v>39</v>
      </c>
      <c r="E10" s="31" t="s">
        <v>38</v>
      </c>
      <c r="F10" s="5" t="str">
        <f t="shared" si="0"/>
        <v>N/F 126/24 ANTONIO SIGUERO S.L.</v>
      </c>
      <c r="G10" s="5">
        <f t="shared" si="1"/>
        <v>212.93388429752065</v>
      </c>
      <c r="H10">
        <v>21</v>
      </c>
      <c r="I10" s="5">
        <f t="shared" si="2"/>
        <v>44.716115702479335</v>
      </c>
      <c r="J10" s="5">
        <f t="shared" si="3"/>
        <v>212.93388429752065</v>
      </c>
      <c r="K10">
        <v>0</v>
      </c>
      <c r="L10" s="5">
        <f t="shared" si="4"/>
        <v>0</v>
      </c>
      <c r="M10" s="8">
        <v>257.64999999999998</v>
      </c>
      <c r="S10" t="s">
        <v>20</v>
      </c>
    </row>
    <row r="11" spans="1:19" x14ac:dyDescent="0.35">
      <c r="A11" s="4">
        <v>45604</v>
      </c>
      <c r="B11" s="2" t="s">
        <v>809</v>
      </c>
      <c r="D11" s="2" t="s">
        <v>108</v>
      </c>
      <c r="E11" s="2" t="s">
        <v>107</v>
      </c>
      <c r="F11" s="5" t="str">
        <f t="shared" si="0"/>
        <v>N/F 127/24 PERFECT VIEWS S.L.</v>
      </c>
      <c r="G11" s="5">
        <f t="shared" si="1"/>
        <v>257.46280991735534</v>
      </c>
      <c r="H11">
        <v>21</v>
      </c>
      <c r="I11" s="5">
        <f t="shared" si="2"/>
        <v>54.067190082644622</v>
      </c>
      <c r="J11" s="5">
        <f t="shared" si="3"/>
        <v>257.46280991735534</v>
      </c>
      <c r="K11">
        <v>0</v>
      </c>
      <c r="L11" s="5">
        <f t="shared" si="4"/>
        <v>0</v>
      </c>
      <c r="M11" s="8">
        <v>311.52999999999997</v>
      </c>
      <c r="S11" t="s">
        <v>20</v>
      </c>
    </row>
    <row r="12" spans="1:19" x14ac:dyDescent="0.35">
      <c r="A12" s="4">
        <v>45604</v>
      </c>
      <c r="B12" s="2" t="s">
        <v>810</v>
      </c>
      <c r="D12" s="30" t="s">
        <v>833</v>
      </c>
      <c r="E12" s="30" t="s">
        <v>832</v>
      </c>
      <c r="F12" s="5" t="str">
        <f t="shared" si="0"/>
        <v>N/F 128/24 CENTENO DISTRIBUCIONES, S.A.</v>
      </c>
      <c r="G12" s="5">
        <f t="shared" si="1"/>
        <v>12160.206611570249</v>
      </c>
      <c r="H12">
        <v>21</v>
      </c>
      <c r="I12" s="5">
        <f t="shared" si="2"/>
        <v>2553.6433884297526</v>
      </c>
      <c r="J12" s="5">
        <f t="shared" si="3"/>
        <v>12160.206611570249</v>
      </c>
      <c r="K12">
        <v>0</v>
      </c>
      <c r="L12" s="5">
        <f t="shared" si="4"/>
        <v>0</v>
      </c>
      <c r="M12" s="8">
        <v>14713.85</v>
      </c>
      <c r="S12" t="s">
        <v>20</v>
      </c>
    </row>
    <row r="13" spans="1:19" x14ac:dyDescent="0.35">
      <c r="A13" s="4">
        <v>45604</v>
      </c>
      <c r="B13" s="2" t="s">
        <v>811</v>
      </c>
      <c r="D13" s="2" t="s">
        <v>35</v>
      </c>
      <c r="E13" s="2" t="s">
        <v>34</v>
      </c>
      <c r="F13" s="5" t="str">
        <f t="shared" si="0"/>
        <v>N/F 129/24 SPANISH TAPAS INVESTMENTS, S.L.</v>
      </c>
      <c r="G13" s="5">
        <f t="shared" si="1"/>
        <v>95.909090909090907</v>
      </c>
      <c r="H13">
        <v>21</v>
      </c>
      <c r="I13" s="5">
        <f t="shared" si="2"/>
        <v>20.140909090909091</v>
      </c>
      <c r="J13" s="5">
        <f t="shared" si="3"/>
        <v>95.909090909090907</v>
      </c>
      <c r="K13">
        <v>0</v>
      </c>
      <c r="L13" s="5">
        <f t="shared" si="4"/>
        <v>0</v>
      </c>
      <c r="M13" s="8">
        <v>116.05</v>
      </c>
      <c r="S13" t="s">
        <v>20</v>
      </c>
    </row>
    <row r="14" spans="1:19" x14ac:dyDescent="0.35">
      <c r="A14" s="4">
        <v>45613</v>
      </c>
      <c r="B14" s="2" t="s">
        <v>812</v>
      </c>
      <c r="D14" s="2" t="s">
        <v>42</v>
      </c>
      <c r="E14" s="2" t="s">
        <v>43</v>
      </c>
      <c r="F14" s="5" t="str">
        <f t="shared" si="0"/>
        <v>N/F 130/24 FEDERACIÓN MADRILEÑA DE NATACIÓN</v>
      </c>
      <c r="G14" s="5">
        <f t="shared" si="1"/>
        <v>124.01652892561984</v>
      </c>
      <c r="H14">
        <v>21</v>
      </c>
      <c r="I14" s="5">
        <f t="shared" si="2"/>
        <v>26.043471074380168</v>
      </c>
      <c r="J14" s="5">
        <f t="shared" si="3"/>
        <v>124.01652892561984</v>
      </c>
      <c r="K14">
        <v>0</v>
      </c>
      <c r="L14" s="5">
        <f t="shared" si="4"/>
        <v>0</v>
      </c>
      <c r="M14" s="8">
        <v>150.06</v>
      </c>
      <c r="S14" t="s">
        <v>20</v>
      </c>
    </row>
    <row r="15" spans="1:19" x14ac:dyDescent="0.35">
      <c r="A15" s="4">
        <v>45625</v>
      </c>
      <c r="B15" s="2" t="s">
        <v>813</v>
      </c>
      <c r="D15" s="2" t="s">
        <v>24</v>
      </c>
      <c r="E15" s="31" t="s">
        <v>22</v>
      </c>
      <c r="F15" s="5" t="str">
        <f t="shared" si="0"/>
        <v>N/F 131/24 CONVER FORMAT 98, S.L.</v>
      </c>
      <c r="G15" s="5">
        <f t="shared" si="1"/>
        <v>195.10743801652893</v>
      </c>
      <c r="H15">
        <v>21</v>
      </c>
      <c r="I15" s="5">
        <f t="shared" si="2"/>
        <v>40.972561983471081</v>
      </c>
      <c r="J15" s="5">
        <f t="shared" si="3"/>
        <v>195.10743801652893</v>
      </c>
      <c r="K15">
        <v>0</v>
      </c>
      <c r="L15" s="5">
        <f t="shared" si="4"/>
        <v>0</v>
      </c>
      <c r="M15" s="8">
        <v>236.08</v>
      </c>
      <c r="S15" t="s">
        <v>20</v>
      </c>
    </row>
    <row r="16" spans="1:19" x14ac:dyDescent="0.35">
      <c r="A16" s="4">
        <v>45625</v>
      </c>
      <c r="B16" s="2" t="s">
        <v>814</v>
      </c>
      <c r="D16" s="2" t="s">
        <v>35</v>
      </c>
      <c r="E16" s="2" t="s">
        <v>34</v>
      </c>
      <c r="F16" s="5" t="str">
        <f t="shared" si="0"/>
        <v>N/F 132/24 SPANISH TAPAS INVESTMENTS, S.L.</v>
      </c>
      <c r="G16" s="5">
        <f t="shared" si="1"/>
        <v>50.223140495867774</v>
      </c>
      <c r="H16">
        <v>21</v>
      </c>
      <c r="I16" s="5">
        <f t="shared" si="2"/>
        <v>10.546859504132232</v>
      </c>
      <c r="J16" s="5">
        <f t="shared" si="3"/>
        <v>50.223140495867774</v>
      </c>
      <c r="K16">
        <v>0</v>
      </c>
      <c r="L16" s="5">
        <f t="shared" si="4"/>
        <v>0</v>
      </c>
      <c r="M16" s="8">
        <v>60.77</v>
      </c>
      <c r="S16" t="s">
        <v>20</v>
      </c>
    </row>
    <row r="17" spans="1:19" x14ac:dyDescent="0.35">
      <c r="A17" s="4">
        <v>45625</v>
      </c>
      <c r="B17" s="2" t="s">
        <v>815</v>
      </c>
      <c r="D17" s="2" t="s">
        <v>35</v>
      </c>
      <c r="E17" s="2" t="s">
        <v>34</v>
      </c>
      <c r="F17" s="5" t="str">
        <f t="shared" si="0"/>
        <v>N/F 133/24 SPANISH TAPAS INVESTMENTS, S.L.</v>
      </c>
      <c r="G17" s="5">
        <f t="shared" si="1"/>
        <v>200.05785123966942</v>
      </c>
      <c r="H17">
        <v>21</v>
      </c>
      <c r="I17" s="5">
        <f t="shared" si="2"/>
        <v>42.012148760330575</v>
      </c>
      <c r="J17" s="5">
        <f t="shared" si="3"/>
        <v>200.05785123966942</v>
      </c>
      <c r="K17">
        <v>0</v>
      </c>
      <c r="L17" s="5">
        <f t="shared" si="4"/>
        <v>0</v>
      </c>
      <c r="M17" s="8">
        <v>242.07</v>
      </c>
      <c r="S17" t="s">
        <v>20</v>
      </c>
    </row>
    <row r="18" spans="1:19" x14ac:dyDescent="0.35">
      <c r="A18" s="4">
        <v>45625</v>
      </c>
      <c r="B18" s="2" t="s">
        <v>816</v>
      </c>
      <c r="D18" s="2" t="s">
        <v>835</v>
      </c>
      <c r="E18" s="2" t="s">
        <v>834</v>
      </c>
      <c r="F18" s="5" t="str">
        <f t="shared" si="0"/>
        <v>N/F 134/24 La Boheme Gastronomia SL</v>
      </c>
      <c r="G18" s="5">
        <f>M18/(1-K18/100+H18/100)</f>
        <v>237.42148760330576</v>
      </c>
      <c r="H18">
        <v>21</v>
      </c>
      <c r="I18" s="5">
        <f t="shared" si="2"/>
        <v>49.858512396694216</v>
      </c>
      <c r="J18" s="5">
        <f t="shared" si="3"/>
        <v>237.42148760330576</v>
      </c>
      <c r="K18">
        <v>0</v>
      </c>
      <c r="L18" s="5">
        <f t="shared" si="4"/>
        <v>0</v>
      </c>
      <c r="M18" s="8">
        <v>287.27999999999997</v>
      </c>
      <c r="S18" t="s">
        <v>20</v>
      </c>
    </row>
    <row r="19" spans="1:19" x14ac:dyDescent="0.35">
      <c r="A19" s="4">
        <v>45625</v>
      </c>
      <c r="B19" s="2" t="s">
        <v>817</v>
      </c>
      <c r="D19" s="2" t="s">
        <v>798</v>
      </c>
      <c r="E19" s="2" t="s">
        <v>799</v>
      </c>
      <c r="F19" s="5" t="str">
        <f t="shared" si="0"/>
        <v>N/F 135/24 DESARROLLOS EMPRESARIALES FAMASA, SL.</v>
      </c>
      <c r="G19" s="5">
        <f t="shared" si="1"/>
        <v>171.46280991735537</v>
      </c>
      <c r="H19">
        <v>21</v>
      </c>
      <c r="I19" s="5">
        <f t="shared" si="2"/>
        <v>36.007190082644627</v>
      </c>
      <c r="J19" s="5">
        <f t="shared" si="3"/>
        <v>171.46280991735537</v>
      </c>
      <c r="K19">
        <v>0</v>
      </c>
      <c r="L19" s="5">
        <f t="shared" si="4"/>
        <v>0</v>
      </c>
      <c r="M19" s="8">
        <v>207.47</v>
      </c>
      <c r="S19" t="s">
        <v>20</v>
      </c>
    </row>
    <row r="20" spans="1:19" x14ac:dyDescent="0.35">
      <c r="A20" s="4">
        <v>45625</v>
      </c>
      <c r="B20" s="2" t="s">
        <v>818</v>
      </c>
      <c r="D20" s="2" t="s">
        <v>798</v>
      </c>
      <c r="E20" s="2" t="s">
        <v>799</v>
      </c>
      <c r="F20" s="5" t="str">
        <f t="shared" si="0"/>
        <v>N/F 136/24 DESARROLLOS EMPRESARIALES FAMASA, SL.</v>
      </c>
      <c r="G20" s="5">
        <f t="shared" si="1"/>
        <v>1042.8512396694214</v>
      </c>
      <c r="H20">
        <v>21</v>
      </c>
      <c r="I20" s="5">
        <f t="shared" si="2"/>
        <v>218.99876033057848</v>
      </c>
      <c r="J20" s="5">
        <f t="shared" si="3"/>
        <v>1042.8512396694214</v>
      </c>
      <c r="K20">
        <v>0</v>
      </c>
      <c r="L20" s="5">
        <f t="shared" si="4"/>
        <v>0</v>
      </c>
      <c r="M20" s="8">
        <v>1261.8499999999999</v>
      </c>
      <c r="S20" t="s">
        <v>20</v>
      </c>
    </row>
    <row r="21" spans="1:19" x14ac:dyDescent="0.35">
      <c r="A21" s="4">
        <v>45625</v>
      </c>
      <c r="B21" s="2" t="s">
        <v>819</v>
      </c>
      <c r="D21" s="2" t="s">
        <v>524</v>
      </c>
      <c r="E21" s="2" t="s">
        <v>523</v>
      </c>
      <c r="F21" s="5" t="str">
        <f t="shared" si="0"/>
        <v>N/F 137/24 PRIMER TRES ESTRELLAS 1987 S.L.</v>
      </c>
      <c r="G21" s="5">
        <f t="shared" si="1"/>
        <v>985.09917355371908</v>
      </c>
      <c r="H21">
        <v>21</v>
      </c>
      <c r="I21" s="5">
        <f t="shared" si="2"/>
        <v>206.870826446281</v>
      </c>
      <c r="J21" s="5">
        <f t="shared" si="3"/>
        <v>985.09917355371908</v>
      </c>
      <c r="K21">
        <v>0</v>
      </c>
      <c r="L21" s="5">
        <f t="shared" si="4"/>
        <v>0</v>
      </c>
      <c r="M21" s="8">
        <v>1191.97</v>
      </c>
      <c r="S21" t="s">
        <v>20</v>
      </c>
    </row>
    <row r="22" spans="1:19" x14ac:dyDescent="0.35">
      <c r="A22" s="4">
        <v>45626</v>
      </c>
      <c r="B22" s="2" t="s">
        <v>820</v>
      </c>
      <c r="D22" s="30" t="s">
        <v>25</v>
      </c>
      <c r="E22" s="2" t="s">
        <v>21</v>
      </c>
      <c r="F22" s="5" t="str">
        <f t="shared" si="0"/>
        <v>N/F 138/24 REAL CANOE NATACION CLUB</v>
      </c>
      <c r="G22" s="5">
        <f t="shared" si="1"/>
        <v>945.19008264462821</v>
      </c>
      <c r="H22">
        <v>21</v>
      </c>
      <c r="I22" s="5">
        <f t="shared" si="2"/>
        <v>198.48991735537192</v>
      </c>
      <c r="J22" s="5">
        <f t="shared" si="3"/>
        <v>945.19008264462821</v>
      </c>
      <c r="K22">
        <v>0</v>
      </c>
      <c r="L22" s="5">
        <f t="shared" si="4"/>
        <v>0</v>
      </c>
      <c r="M22" s="8">
        <v>1143.68</v>
      </c>
      <c r="S22" t="s">
        <v>20</v>
      </c>
    </row>
    <row r="23" spans="1:19" x14ac:dyDescent="0.35">
      <c r="A23" s="4">
        <v>45626</v>
      </c>
      <c r="B23" s="2" t="s">
        <v>821</v>
      </c>
      <c r="D23" s="31" t="s">
        <v>41</v>
      </c>
      <c r="E23" s="2" t="s">
        <v>40</v>
      </c>
      <c r="F23" s="5" t="str">
        <f t="shared" si="0"/>
        <v>N/F 139/24 TREVOLA, S.L.</v>
      </c>
      <c r="G23" s="5">
        <f t="shared" si="1"/>
        <v>38.421487603305785</v>
      </c>
      <c r="H23">
        <v>21</v>
      </c>
      <c r="I23" s="5">
        <f t="shared" si="2"/>
        <v>8.0685123966942154</v>
      </c>
      <c r="J23" s="5">
        <f t="shared" si="3"/>
        <v>38.421487603305785</v>
      </c>
      <c r="K23">
        <v>0</v>
      </c>
      <c r="L23" s="5">
        <f t="shared" si="4"/>
        <v>0</v>
      </c>
      <c r="M23" s="8">
        <v>46.49</v>
      </c>
      <c r="S23" t="s">
        <v>20</v>
      </c>
    </row>
    <row r="24" spans="1:19" x14ac:dyDescent="0.35">
      <c r="A24" s="4">
        <v>45626</v>
      </c>
      <c r="B24" s="2" t="s">
        <v>822</v>
      </c>
      <c r="D24" s="2" t="s">
        <v>524</v>
      </c>
      <c r="E24" s="2" t="s">
        <v>523</v>
      </c>
      <c r="F24" s="5" t="str">
        <f t="shared" si="0"/>
        <v>N/F 140/24 PRIMER TRES ESTRELLAS 1987 S.L.</v>
      </c>
      <c r="G24" s="5">
        <f t="shared" si="1"/>
        <v>45.148760330578519</v>
      </c>
      <c r="H24">
        <v>21</v>
      </c>
      <c r="I24" s="5">
        <f t="shared" si="2"/>
        <v>9.4812396694214893</v>
      </c>
      <c r="J24" s="5">
        <f t="shared" si="3"/>
        <v>45.148760330578519</v>
      </c>
      <c r="K24">
        <v>0</v>
      </c>
      <c r="L24" s="5">
        <f t="shared" si="4"/>
        <v>0</v>
      </c>
      <c r="M24" s="8">
        <v>54.63</v>
      </c>
      <c r="S24" t="s">
        <v>20</v>
      </c>
    </row>
    <row r="25" spans="1:19" x14ac:dyDescent="0.35">
      <c r="A25" s="4">
        <v>45626</v>
      </c>
      <c r="B25" s="2" t="s">
        <v>823</v>
      </c>
      <c r="D25" s="2" t="s">
        <v>26</v>
      </c>
      <c r="E25" s="2" t="s">
        <v>23</v>
      </c>
      <c r="F25" s="5" t="str">
        <f t="shared" si="0"/>
        <v>N/F 141/24 RESTAURANTE URRECHU CLUB, S.L.</v>
      </c>
      <c r="G25" s="5">
        <f t="shared" si="1"/>
        <v>282.70247933884298</v>
      </c>
      <c r="H25">
        <v>21</v>
      </c>
      <c r="I25" s="5">
        <f t="shared" si="2"/>
        <v>59.367520661157023</v>
      </c>
      <c r="J25" s="5">
        <f t="shared" si="3"/>
        <v>282.70247933884298</v>
      </c>
      <c r="K25">
        <v>0</v>
      </c>
      <c r="L25" s="5">
        <f t="shared" si="4"/>
        <v>0</v>
      </c>
      <c r="M25" s="8">
        <v>342.07</v>
      </c>
      <c r="S25" t="s">
        <v>20</v>
      </c>
    </row>
    <row r="26" spans="1:19" x14ac:dyDescent="0.35">
      <c r="A26" s="4">
        <v>45626</v>
      </c>
      <c r="B26" s="2" t="s">
        <v>824</v>
      </c>
      <c r="D26" s="2" t="s">
        <v>366</v>
      </c>
      <c r="E26" s="2" t="s">
        <v>365</v>
      </c>
      <c r="F26" s="5" t="str">
        <f t="shared" si="0"/>
        <v>N/F 142/24 RESTAURANTES ITALIANOS ROMANO S.L.</v>
      </c>
      <c r="G26" s="5">
        <f t="shared" si="1"/>
        <v>117.65289256198349</v>
      </c>
      <c r="H26">
        <v>21</v>
      </c>
      <c r="I26" s="5">
        <f t="shared" si="2"/>
        <v>24.707107438016532</v>
      </c>
      <c r="J26" s="5">
        <f t="shared" si="3"/>
        <v>117.65289256198349</v>
      </c>
      <c r="K26">
        <v>0</v>
      </c>
      <c r="L26" s="5">
        <f t="shared" si="4"/>
        <v>0</v>
      </c>
      <c r="M26" s="8">
        <v>142.36000000000001</v>
      </c>
      <c r="S26" t="s">
        <v>20</v>
      </c>
    </row>
    <row r="27" spans="1:19" x14ac:dyDescent="0.35">
      <c r="A27" s="4">
        <v>45626</v>
      </c>
      <c r="B27" s="2" t="s">
        <v>825</v>
      </c>
      <c r="D27" s="2" t="s">
        <v>39</v>
      </c>
      <c r="E27" s="31" t="s">
        <v>38</v>
      </c>
      <c r="F27" s="5" t="str">
        <f t="shared" si="0"/>
        <v>N/F 143/24 ANTONIO SIGUERO S.L.</v>
      </c>
      <c r="G27" s="5">
        <f t="shared" si="1"/>
        <v>38.421487603305785</v>
      </c>
      <c r="H27">
        <v>21</v>
      </c>
      <c r="I27" s="5">
        <f t="shared" si="2"/>
        <v>8.0685123966942154</v>
      </c>
      <c r="J27" s="5">
        <f t="shared" si="3"/>
        <v>38.421487603305785</v>
      </c>
      <c r="K27">
        <v>0</v>
      </c>
      <c r="L27" s="5">
        <f t="shared" si="4"/>
        <v>0</v>
      </c>
      <c r="M27" s="8">
        <v>46.49</v>
      </c>
      <c r="S27" t="s">
        <v>20</v>
      </c>
    </row>
    <row r="28" spans="1:19" x14ac:dyDescent="0.35">
      <c r="A28" s="4">
        <v>45626</v>
      </c>
      <c r="B28" s="2" t="s">
        <v>826</v>
      </c>
      <c r="D28" s="2" t="s">
        <v>108</v>
      </c>
      <c r="E28" s="2" t="s">
        <v>107</v>
      </c>
      <c r="F28" s="5" t="str">
        <f t="shared" si="0"/>
        <v>N/F 144/24 PERFECT VIEWS S.L.</v>
      </c>
      <c r="G28" s="5">
        <f t="shared" si="1"/>
        <v>114.25619834710744</v>
      </c>
      <c r="H28">
        <v>21</v>
      </c>
      <c r="I28" s="5">
        <f t="shared" si="2"/>
        <v>23.993801652892561</v>
      </c>
      <c r="J28" s="5">
        <f t="shared" si="3"/>
        <v>114.25619834710744</v>
      </c>
      <c r="K28">
        <v>0</v>
      </c>
      <c r="L28" s="5">
        <f t="shared" si="4"/>
        <v>0</v>
      </c>
      <c r="M28" s="8">
        <v>138.25</v>
      </c>
      <c r="S28" t="s">
        <v>20</v>
      </c>
    </row>
    <row r="29" spans="1:19" x14ac:dyDescent="0.35">
      <c r="A29" s="4">
        <v>45626</v>
      </c>
      <c r="B29" s="2" t="s">
        <v>827</v>
      </c>
      <c r="D29" s="2" t="s">
        <v>108</v>
      </c>
      <c r="E29" s="2" t="s">
        <v>107</v>
      </c>
      <c r="F29" s="5" t="str">
        <f t="shared" si="0"/>
        <v>N/F 145/24 PERFECT VIEWS S.L.</v>
      </c>
      <c r="G29" s="5">
        <f t="shared" si="1"/>
        <v>1124.504132231405</v>
      </c>
      <c r="H29">
        <v>21</v>
      </c>
      <c r="I29" s="5">
        <f t="shared" si="2"/>
        <v>236.14586776859505</v>
      </c>
      <c r="J29" s="5">
        <f t="shared" si="3"/>
        <v>1124.504132231405</v>
      </c>
      <c r="K29">
        <v>0</v>
      </c>
      <c r="L29" s="5">
        <f t="shared" si="4"/>
        <v>0</v>
      </c>
      <c r="M29" s="8">
        <v>1360.65</v>
      </c>
      <c r="S29" t="s">
        <v>20</v>
      </c>
    </row>
    <row r="30" spans="1:19" x14ac:dyDescent="0.35">
      <c r="A30" s="4">
        <v>45642</v>
      </c>
      <c r="B30" s="2" t="s">
        <v>828</v>
      </c>
      <c r="D30" s="2" t="s">
        <v>30</v>
      </c>
      <c r="E30" s="2" t="s">
        <v>31</v>
      </c>
      <c r="F30" s="5" t="str">
        <f t="shared" si="0"/>
        <v>N/F 146/24 COMUNIDAD DE PROPIETARIOS LA PINEDA II</v>
      </c>
      <c r="G30" s="5">
        <f t="shared" si="1"/>
        <v>670.75206611570252</v>
      </c>
      <c r="H30">
        <v>21</v>
      </c>
      <c r="I30" s="5">
        <f t="shared" si="2"/>
        <v>140.85793388429752</v>
      </c>
      <c r="J30" s="5">
        <f t="shared" si="3"/>
        <v>670.75206611570252</v>
      </c>
      <c r="K30">
        <v>0</v>
      </c>
      <c r="L30" s="5">
        <f t="shared" si="4"/>
        <v>0</v>
      </c>
      <c r="M30" s="8">
        <v>811.61</v>
      </c>
      <c r="S30" t="s">
        <v>20</v>
      </c>
    </row>
    <row r="31" spans="1:19" x14ac:dyDescent="0.35">
      <c r="A31" s="4">
        <v>45642</v>
      </c>
      <c r="B31" s="2" t="s">
        <v>829</v>
      </c>
      <c r="D31" s="2" t="s">
        <v>837</v>
      </c>
      <c r="E31" s="2" t="s">
        <v>836</v>
      </c>
      <c r="F31" s="5" t="str">
        <f t="shared" si="0"/>
        <v>N/F 147/24 MARIA SILVESTRE NIÑO</v>
      </c>
      <c r="G31" s="5">
        <f t="shared" si="1"/>
        <v>1089.6198347107438</v>
      </c>
      <c r="H31">
        <v>21</v>
      </c>
      <c r="I31" s="5">
        <f t="shared" si="2"/>
        <v>228.82016528925618</v>
      </c>
      <c r="J31" s="5">
        <f t="shared" si="3"/>
        <v>1089.6198347107438</v>
      </c>
      <c r="K31">
        <v>0</v>
      </c>
      <c r="L31" s="5">
        <f t="shared" si="4"/>
        <v>0</v>
      </c>
      <c r="M31" s="8">
        <v>1318.44</v>
      </c>
      <c r="S31" t="s">
        <v>20</v>
      </c>
    </row>
    <row r="32" spans="1:19" x14ac:dyDescent="0.35">
      <c r="A32" s="4">
        <v>45646</v>
      </c>
      <c r="B32" s="2" t="s">
        <v>830</v>
      </c>
      <c r="D32" s="2" t="s">
        <v>30</v>
      </c>
      <c r="E32" s="2" t="s">
        <v>31</v>
      </c>
      <c r="F32" s="5" t="str">
        <f t="shared" si="0"/>
        <v>N/F 148/24 COMUNIDAD DE PROPIETARIOS LA PINEDA II</v>
      </c>
      <c r="G32" s="5">
        <f t="shared" si="1"/>
        <v>425</v>
      </c>
      <c r="H32">
        <v>21</v>
      </c>
      <c r="I32" s="5">
        <f t="shared" si="2"/>
        <v>89.25</v>
      </c>
      <c r="J32" s="5">
        <f t="shared" si="3"/>
        <v>425</v>
      </c>
      <c r="K32">
        <v>0</v>
      </c>
      <c r="L32" s="5">
        <f t="shared" si="4"/>
        <v>0</v>
      </c>
      <c r="M32" s="8">
        <v>514.25</v>
      </c>
      <c r="S32" t="s">
        <v>20</v>
      </c>
    </row>
    <row r="33" spans="1:19" x14ac:dyDescent="0.35">
      <c r="A33" s="4">
        <v>45646</v>
      </c>
      <c r="B33" s="2" t="s">
        <v>831</v>
      </c>
      <c r="D33" s="2" t="s">
        <v>110</v>
      </c>
      <c r="E33" s="2" t="s">
        <v>109</v>
      </c>
      <c r="F33" s="5" t="str">
        <f t="shared" si="0"/>
        <v>N/F 149/24 UZ LA FINCA S.L.</v>
      </c>
      <c r="G33" s="5">
        <f t="shared" si="1"/>
        <v>7467.5619834710742</v>
      </c>
      <c r="H33">
        <v>21</v>
      </c>
      <c r="I33" s="5">
        <f t="shared" si="2"/>
        <v>1568.1880165289256</v>
      </c>
      <c r="J33" s="5">
        <f t="shared" si="3"/>
        <v>7467.5619834710742</v>
      </c>
      <c r="K33">
        <v>0</v>
      </c>
      <c r="L33" s="5">
        <f t="shared" si="4"/>
        <v>0</v>
      </c>
      <c r="M33" s="8">
        <v>9035.75</v>
      </c>
      <c r="S33" t="s">
        <v>20</v>
      </c>
    </row>
    <row r="34" spans="1:19" x14ac:dyDescent="0.35">
      <c r="A34" s="4">
        <v>45657</v>
      </c>
      <c r="B34" s="2" t="s">
        <v>838</v>
      </c>
      <c r="D34" s="30" t="s">
        <v>25</v>
      </c>
      <c r="E34" s="2" t="s">
        <v>21</v>
      </c>
      <c r="F34" s="5" t="str">
        <f t="shared" si="0"/>
        <v>N/F 150/24 REAL CANOE NATACION CLUB</v>
      </c>
      <c r="G34" s="5">
        <f t="shared" si="1"/>
        <v>3573.636363636364</v>
      </c>
      <c r="H34">
        <v>21</v>
      </c>
      <c r="I34" s="5">
        <f t="shared" si="2"/>
        <v>750.46363636363651</v>
      </c>
      <c r="J34" s="5">
        <f t="shared" si="3"/>
        <v>3573.636363636364</v>
      </c>
      <c r="K34">
        <v>0</v>
      </c>
      <c r="L34" s="5">
        <f t="shared" si="4"/>
        <v>0</v>
      </c>
      <c r="M34" s="8">
        <v>4324.1000000000004</v>
      </c>
      <c r="S34" t="s">
        <v>20</v>
      </c>
    </row>
    <row r="35" spans="1:19" x14ac:dyDescent="0.35">
      <c r="A35" s="4">
        <v>45657</v>
      </c>
      <c r="B35" s="2" t="s">
        <v>839</v>
      </c>
      <c r="D35" s="2" t="s">
        <v>110</v>
      </c>
      <c r="E35" s="2" t="s">
        <v>109</v>
      </c>
      <c r="F35" s="5" t="str">
        <f t="shared" si="0"/>
        <v>N/F 151/24 UZ LA FINCA S.L.</v>
      </c>
      <c r="G35" s="5">
        <f t="shared" si="1"/>
        <v>3763.6859504132235</v>
      </c>
      <c r="H35">
        <v>21</v>
      </c>
      <c r="I35" s="5">
        <f t="shared" si="2"/>
        <v>790.37404958677701</v>
      </c>
      <c r="J35" s="5">
        <f t="shared" si="3"/>
        <v>3763.6859504132235</v>
      </c>
      <c r="K35">
        <v>0</v>
      </c>
      <c r="L35" s="5">
        <f t="shared" si="4"/>
        <v>0</v>
      </c>
      <c r="M35" s="8">
        <v>4554.0600000000004</v>
      </c>
      <c r="S35" t="s">
        <v>20</v>
      </c>
    </row>
    <row r="36" spans="1:19" x14ac:dyDescent="0.35">
      <c r="A36" s="4">
        <v>45657</v>
      </c>
      <c r="B36" s="2" t="s">
        <v>878</v>
      </c>
      <c r="D36" s="2" t="s">
        <v>29</v>
      </c>
      <c r="E36" s="2" t="s">
        <v>28</v>
      </c>
      <c r="F36" s="5" t="str">
        <f t="shared" si="0"/>
        <v>N/F 152/24 EL CIELO DE URRECHU, S.L.</v>
      </c>
      <c r="G36" s="5">
        <f t="shared" si="1"/>
        <v>65.32231404958678</v>
      </c>
      <c r="H36">
        <v>21</v>
      </c>
      <c r="I36" s="5">
        <f t="shared" si="2"/>
        <v>13.717685950413225</v>
      </c>
      <c r="J36" s="5">
        <f t="shared" si="3"/>
        <v>65.32231404958678</v>
      </c>
      <c r="K36">
        <v>0</v>
      </c>
      <c r="L36" s="5">
        <f t="shared" si="4"/>
        <v>0</v>
      </c>
      <c r="M36" s="8">
        <v>79.040000000000006</v>
      </c>
      <c r="S36" t="s">
        <v>20</v>
      </c>
    </row>
    <row r="37" spans="1:19" x14ac:dyDescent="0.35">
      <c r="A37" s="4">
        <v>45657</v>
      </c>
      <c r="B37" s="2" t="s">
        <v>879</v>
      </c>
      <c r="D37" s="2" t="s">
        <v>26</v>
      </c>
      <c r="E37" s="2" t="s">
        <v>23</v>
      </c>
      <c r="F37" s="5" t="str">
        <f t="shared" si="0"/>
        <v>N/F 153/24 RESTAURANTE URRECHU CLUB, S.L.</v>
      </c>
      <c r="G37" s="5">
        <f t="shared" si="1"/>
        <v>32.66115702479339</v>
      </c>
      <c r="H37">
        <v>21</v>
      </c>
      <c r="I37" s="5">
        <f t="shared" si="2"/>
        <v>6.8588429752066125</v>
      </c>
      <c r="J37" s="5">
        <f t="shared" si="3"/>
        <v>32.66115702479339</v>
      </c>
      <c r="K37">
        <v>0</v>
      </c>
      <c r="L37" s="5">
        <f t="shared" si="4"/>
        <v>0</v>
      </c>
      <c r="M37" s="8">
        <v>39.520000000000003</v>
      </c>
      <c r="S37" t="s">
        <v>20</v>
      </c>
    </row>
    <row r="38" spans="1:19" x14ac:dyDescent="0.35">
      <c r="A38" s="4">
        <v>45657</v>
      </c>
      <c r="B38" s="2" t="s">
        <v>880</v>
      </c>
      <c r="D38" s="2" t="s">
        <v>35</v>
      </c>
      <c r="E38" s="2" t="s">
        <v>34</v>
      </c>
      <c r="F38" s="5" t="str">
        <f t="shared" si="0"/>
        <v>N/F 154/24 SPANISH TAPAS INVESTMENTS, S.L.</v>
      </c>
      <c r="G38" s="5">
        <f t="shared" si="1"/>
        <v>106.90909090909092</v>
      </c>
      <c r="H38">
        <v>21</v>
      </c>
      <c r="I38" s="5">
        <f t="shared" si="2"/>
        <v>22.450909090909093</v>
      </c>
      <c r="J38" s="5">
        <f t="shared" si="3"/>
        <v>106.90909090909092</v>
      </c>
      <c r="K38">
        <v>0</v>
      </c>
      <c r="L38" s="5">
        <f t="shared" si="4"/>
        <v>0</v>
      </c>
      <c r="M38" s="8">
        <v>129.36000000000001</v>
      </c>
      <c r="S38" t="s">
        <v>20</v>
      </c>
    </row>
    <row r="39" spans="1:19" x14ac:dyDescent="0.35">
      <c r="A39" s="4">
        <v>45657</v>
      </c>
      <c r="B39" s="2" t="s">
        <v>881</v>
      </c>
      <c r="D39" s="2" t="s">
        <v>24</v>
      </c>
      <c r="E39" s="31" t="s">
        <v>22</v>
      </c>
      <c r="F39" s="5" t="str">
        <f t="shared" si="0"/>
        <v>N/F 155/24 CONVER FORMAT 98, S.L.</v>
      </c>
      <c r="G39" s="5">
        <f t="shared" si="1"/>
        <v>250.0330578512397</v>
      </c>
      <c r="H39">
        <v>21</v>
      </c>
      <c r="I39" s="5">
        <f t="shared" si="2"/>
        <v>52.506942148760338</v>
      </c>
      <c r="J39" s="5">
        <f t="shared" si="3"/>
        <v>250.0330578512397</v>
      </c>
      <c r="K39">
        <v>0</v>
      </c>
      <c r="L39" s="5">
        <f t="shared" si="4"/>
        <v>0</v>
      </c>
      <c r="M39" s="8">
        <v>302.54000000000002</v>
      </c>
      <c r="S39" t="s">
        <v>20</v>
      </c>
    </row>
    <row r="40" spans="1:19" x14ac:dyDescent="0.35">
      <c r="A40" s="4">
        <v>45657</v>
      </c>
      <c r="B40" s="2" t="s">
        <v>882</v>
      </c>
      <c r="D40" s="2" t="s">
        <v>35</v>
      </c>
      <c r="E40" s="2" t="s">
        <v>34</v>
      </c>
      <c r="F40" s="5" t="str">
        <f t="shared" si="0"/>
        <v>N/F 156/24 SPANISH TAPAS INVESTMENTS, S.L.</v>
      </c>
      <c r="G40" s="5">
        <f t="shared" si="1"/>
        <v>114.900826446281</v>
      </c>
      <c r="H40">
        <v>21</v>
      </c>
      <c r="I40" s="5">
        <f t="shared" si="2"/>
        <v>24.12917355371901</v>
      </c>
      <c r="J40" s="5">
        <f t="shared" si="3"/>
        <v>114.900826446281</v>
      </c>
      <c r="K40">
        <v>0</v>
      </c>
      <c r="L40" s="5">
        <f t="shared" si="4"/>
        <v>0</v>
      </c>
      <c r="M40" s="8">
        <v>139.03</v>
      </c>
      <c r="S40" t="s">
        <v>20</v>
      </c>
    </row>
    <row r="41" spans="1:19" x14ac:dyDescent="0.35">
      <c r="M41" s="46"/>
      <c r="S41" t="s">
        <v>20</v>
      </c>
    </row>
    <row r="42" spans="1:19" x14ac:dyDescent="0.35">
      <c r="M42" s="46"/>
      <c r="S42" t="s">
        <v>20</v>
      </c>
    </row>
    <row r="43" spans="1:19" x14ac:dyDescent="0.35">
      <c r="G43" s="46">
        <f>SUM(G2:G40)</f>
        <v>45833.17289256199</v>
      </c>
      <c r="H43" s="46"/>
      <c r="I43" s="46">
        <f>SUM(I2:I40)</f>
        <v>9624.9663074380169</v>
      </c>
      <c r="J43" s="46">
        <f>SUM(J2:J40)</f>
        <v>45833.17289256199</v>
      </c>
      <c r="K43" s="46"/>
      <c r="L43" s="46"/>
      <c r="M43" s="46">
        <f>SUM(M2:M40)</f>
        <v>55458.139200000005</v>
      </c>
      <c r="S43" t="s">
        <v>20</v>
      </c>
    </row>
    <row r="44" spans="1:19" x14ac:dyDescent="0.35">
      <c r="M44" s="46"/>
      <c r="S44" t="s">
        <v>20</v>
      </c>
    </row>
    <row r="45" spans="1:19" x14ac:dyDescent="0.35">
      <c r="M45" s="46"/>
      <c r="S45" t="s">
        <v>20</v>
      </c>
    </row>
    <row r="46" spans="1:19" x14ac:dyDescent="0.35">
      <c r="M46" s="46"/>
      <c r="S46" t="s">
        <v>20</v>
      </c>
    </row>
    <row r="47" spans="1:19" x14ac:dyDescent="0.35">
      <c r="M47" s="46"/>
      <c r="S47" t="s">
        <v>20</v>
      </c>
    </row>
    <row r="48" spans="1:19" x14ac:dyDescent="0.35">
      <c r="M48" s="46"/>
      <c r="S48" t="s">
        <v>20</v>
      </c>
    </row>
    <row r="49" spans="13:19" x14ac:dyDescent="0.35">
      <c r="M49" s="46"/>
      <c r="S49" t="s">
        <v>20</v>
      </c>
    </row>
    <row r="50" spans="13:19" x14ac:dyDescent="0.35">
      <c r="M50" s="46"/>
      <c r="S50" t="s">
        <v>20</v>
      </c>
    </row>
    <row r="51" spans="13:19" x14ac:dyDescent="0.35">
      <c r="M51" s="46"/>
      <c r="S51" t="s">
        <v>20</v>
      </c>
    </row>
    <row r="52" spans="13:19" x14ac:dyDescent="0.35">
      <c r="M52" s="46"/>
      <c r="S52" t="s">
        <v>20</v>
      </c>
    </row>
    <row r="53" spans="13:19" x14ac:dyDescent="0.35">
      <c r="M53" s="46"/>
      <c r="S53" t="s">
        <v>20</v>
      </c>
    </row>
    <row r="54" spans="13:19" x14ac:dyDescent="0.35">
      <c r="M54" s="46"/>
      <c r="S54" t="s">
        <v>20</v>
      </c>
    </row>
    <row r="55" spans="13:19" x14ac:dyDescent="0.35">
      <c r="M55" s="46"/>
      <c r="S55" t="s">
        <v>20</v>
      </c>
    </row>
    <row r="56" spans="13:19" x14ac:dyDescent="0.35">
      <c r="M56" s="46"/>
      <c r="S56" t="s">
        <v>20</v>
      </c>
    </row>
    <row r="57" spans="13:19" x14ac:dyDescent="0.35">
      <c r="M57" s="46"/>
      <c r="S57" t="s">
        <v>20</v>
      </c>
    </row>
    <row r="58" spans="13:19" x14ac:dyDescent="0.35">
      <c r="M58" s="46"/>
      <c r="S58" t="s">
        <v>20</v>
      </c>
    </row>
    <row r="59" spans="13:19" x14ac:dyDescent="0.35">
      <c r="M59" s="46"/>
      <c r="S59" t="s">
        <v>20</v>
      </c>
    </row>
    <row r="60" spans="13:19" x14ac:dyDescent="0.35">
      <c r="M60" s="46"/>
      <c r="S60" t="s">
        <v>20</v>
      </c>
    </row>
    <row r="61" spans="13:19" x14ac:dyDescent="0.35">
      <c r="M61" s="46"/>
      <c r="S61" t="s">
        <v>20</v>
      </c>
    </row>
    <row r="62" spans="13:19" x14ac:dyDescent="0.35">
      <c r="M62" s="46"/>
      <c r="S62" t="s">
        <v>20</v>
      </c>
    </row>
    <row r="63" spans="13:19" x14ac:dyDescent="0.35">
      <c r="M63" s="46"/>
      <c r="S63" t="s">
        <v>20</v>
      </c>
    </row>
    <row r="64" spans="13:19" x14ac:dyDescent="0.35">
      <c r="M64" s="46"/>
      <c r="S64" t="s">
        <v>20</v>
      </c>
    </row>
    <row r="65" spans="13:19" x14ac:dyDescent="0.35">
      <c r="M65" s="46"/>
      <c r="S65" t="s">
        <v>20</v>
      </c>
    </row>
    <row r="66" spans="13:19" x14ac:dyDescent="0.35">
      <c r="M66" s="46"/>
      <c r="S66" t="s">
        <v>20</v>
      </c>
    </row>
    <row r="67" spans="13:19" x14ac:dyDescent="0.35">
      <c r="M67" s="46"/>
      <c r="S67" t="s">
        <v>20</v>
      </c>
    </row>
    <row r="68" spans="13:19" x14ac:dyDescent="0.35">
      <c r="M68" s="46"/>
      <c r="S68" t="s">
        <v>20</v>
      </c>
    </row>
    <row r="69" spans="13:19" x14ac:dyDescent="0.35">
      <c r="M69" s="46"/>
      <c r="S69" t="s">
        <v>20</v>
      </c>
    </row>
    <row r="70" spans="13:19" x14ac:dyDescent="0.35">
      <c r="M70" s="46"/>
      <c r="S70" t="s">
        <v>20</v>
      </c>
    </row>
    <row r="71" spans="13:19" x14ac:dyDescent="0.35">
      <c r="M71" s="46"/>
      <c r="S71" t="s">
        <v>20</v>
      </c>
    </row>
    <row r="72" spans="13:19" x14ac:dyDescent="0.35">
      <c r="M72" s="46"/>
      <c r="S72" t="s">
        <v>20</v>
      </c>
    </row>
    <row r="73" spans="13:19" x14ac:dyDescent="0.35">
      <c r="M73" s="46"/>
      <c r="S73" t="s">
        <v>20</v>
      </c>
    </row>
    <row r="74" spans="13:19" x14ac:dyDescent="0.35">
      <c r="M74" s="46"/>
      <c r="S74" t="s">
        <v>20</v>
      </c>
    </row>
    <row r="75" spans="13:19" x14ac:dyDescent="0.35">
      <c r="M75" s="46"/>
      <c r="S75" t="s">
        <v>20</v>
      </c>
    </row>
    <row r="76" spans="13:19" x14ac:dyDescent="0.35">
      <c r="M76" s="46"/>
      <c r="S76" t="s">
        <v>20</v>
      </c>
    </row>
    <row r="77" spans="13:19" x14ac:dyDescent="0.35">
      <c r="M77" s="46"/>
      <c r="S77" t="s">
        <v>20</v>
      </c>
    </row>
    <row r="78" spans="13:19" x14ac:dyDescent="0.35">
      <c r="M78" s="46"/>
      <c r="S78" t="s">
        <v>20</v>
      </c>
    </row>
    <row r="79" spans="13:19" x14ac:dyDescent="0.35">
      <c r="M79" s="46"/>
      <c r="S79" t="s">
        <v>20</v>
      </c>
    </row>
    <row r="80" spans="13:19" x14ac:dyDescent="0.35">
      <c r="M80" s="46"/>
      <c r="S80" t="s">
        <v>20</v>
      </c>
    </row>
    <row r="81" spans="13:19" x14ac:dyDescent="0.35">
      <c r="M81" s="46"/>
      <c r="S81" t="s">
        <v>20</v>
      </c>
    </row>
    <row r="82" spans="13:19" x14ac:dyDescent="0.35">
      <c r="M82" s="46"/>
      <c r="S82" t="s">
        <v>20</v>
      </c>
    </row>
    <row r="83" spans="13:19" x14ac:dyDescent="0.35">
      <c r="M83" s="46"/>
      <c r="S83" t="s">
        <v>20</v>
      </c>
    </row>
    <row r="84" spans="13:19" x14ac:dyDescent="0.35">
      <c r="M84" s="46"/>
      <c r="S84" t="s">
        <v>20</v>
      </c>
    </row>
    <row r="85" spans="13:19" x14ac:dyDescent="0.35">
      <c r="M85" s="46"/>
      <c r="S85" t="s">
        <v>20</v>
      </c>
    </row>
    <row r="86" spans="13:19" x14ac:dyDescent="0.35">
      <c r="M86" s="46"/>
      <c r="S86" t="s">
        <v>20</v>
      </c>
    </row>
    <row r="87" spans="13:19" x14ac:dyDescent="0.35">
      <c r="M87" s="46"/>
      <c r="S87" t="s">
        <v>20</v>
      </c>
    </row>
    <row r="88" spans="13:19" x14ac:dyDescent="0.35">
      <c r="M88" s="46"/>
      <c r="S88" t="s">
        <v>20</v>
      </c>
    </row>
    <row r="89" spans="13:19" x14ac:dyDescent="0.35">
      <c r="M89" s="46"/>
      <c r="S89" t="s">
        <v>20</v>
      </c>
    </row>
    <row r="90" spans="13:19" x14ac:dyDescent="0.35">
      <c r="M90" s="46"/>
      <c r="S90" t="s">
        <v>20</v>
      </c>
    </row>
    <row r="91" spans="13:19" x14ac:dyDescent="0.35">
      <c r="M91" s="46"/>
      <c r="S91" t="s">
        <v>20</v>
      </c>
    </row>
    <row r="92" spans="13:19" x14ac:dyDescent="0.35">
      <c r="M92" s="46"/>
      <c r="S92" t="s">
        <v>20</v>
      </c>
    </row>
    <row r="93" spans="13:19" x14ac:dyDescent="0.35">
      <c r="M93" s="46"/>
      <c r="S93" t="s">
        <v>20</v>
      </c>
    </row>
    <row r="94" spans="13:19" x14ac:dyDescent="0.35">
      <c r="M94" s="46"/>
      <c r="S94" t="s">
        <v>20</v>
      </c>
    </row>
    <row r="95" spans="13:19" x14ac:dyDescent="0.35">
      <c r="M95" s="46"/>
      <c r="S95" t="s">
        <v>20</v>
      </c>
    </row>
    <row r="96" spans="13:19" x14ac:dyDescent="0.35">
      <c r="M96" s="46"/>
      <c r="S96" t="s">
        <v>20</v>
      </c>
    </row>
    <row r="97" spans="13:19" x14ac:dyDescent="0.35">
      <c r="M97" s="46"/>
      <c r="S97" t="s">
        <v>20</v>
      </c>
    </row>
    <row r="98" spans="13:19" x14ac:dyDescent="0.35">
      <c r="M98" s="46"/>
      <c r="S98" t="s">
        <v>20</v>
      </c>
    </row>
    <row r="99" spans="13:19" x14ac:dyDescent="0.35">
      <c r="M99" s="46"/>
      <c r="S99" t="s">
        <v>20</v>
      </c>
    </row>
    <row r="100" spans="13:19" x14ac:dyDescent="0.35">
      <c r="M100" s="46"/>
    </row>
    <row r="101" spans="13:19" x14ac:dyDescent="0.35">
      <c r="M101" s="46"/>
    </row>
    <row r="102" spans="13:19" x14ac:dyDescent="0.35">
      <c r="M102" s="46"/>
    </row>
    <row r="103" spans="13:19" x14ac:dyDescent="0.35">
      <c r="M103" s="46"/>
    </row>
    <row r="104" spans="13:19" x14ac:dyDescent="0.35">
      <c r="M104" s="46"/>
    </row>
    <row r="105" spans="13:19" x14ac:dyDescent="0.35">
      <c r="M105" s="46"/>
    </row>
    <row r="106" spans="13:19" x14ac:dyDescent="0.35">
      <c r="M106" s="46"/>
    </row>
    <row r="107" spans="13:19" x14ac:dyDescent="0.35">
      <c r="M107" s="46"/>
    </row>
    <row r="108" spans="13:19" x14ac:dyDescent="0.35">
      <c r="M108" s="46"/>
    </row>
    <row r="109" spans="13:19" x14ac:dyDescent="0.35">
      <c r="M109" s="46"/>
    </row>
    <row r="110" spans="13:19" x14ac:dyDescent="0.35">
      <c r="M110" s="46"/>
    </row>
    <row r="111" spans="13:19" x14ac:dyDescent="0.35">
      <c r="M111" s="46"/>
    </row>
    <row r="112" spans="13:19" x14ac:dyDescent="0.35">
      <c r="M112" s="46"/>
    </row>
    <row r="113" spans="13:13" x14ac:dyDescent="0.35">
      <c r="M113" s="46"/>
    </row>
    <row r="114" spans="13:13" x14ac:dyDescent="0.35">
      <c r="M114" s="46"/>
    </row>
    <row r="115" spans="13:13" x14ac:dyDescent="0.35">
      <c r="M115" s="46"/>
    </row>
    <row r="116" spans="13:13" x14ac:dyDescent="0.35">
      <c r="M116" s="46"/>
    </row>
    <row r="117" spans="13:13" x14ac:dyDescent="0.35">
      <c r="M117" s="46"/>
    </row>
    <row r="118" spans="13:13" x14ac:dyDescent="0.35">
      <c r="M118" s="46"/>
    </row>
    <row r="119" spans="13:13" x14ac:dyDescent="0.35">
      <c r="M119" s="46"/>
    </row>
    <row r="120" spans="13:13" x14ac:dyDescent="0.35">
      <c r="M120" s="46"/>
    </row>
    <row r="121" spans="13:13" x14ac:dyDescent="0.35">
      <c r="M121" s="46"/>
    </row>
    <row r="122" spans="13:13" x14ac:dyDescent="0.35">
      <c r="M122" s="46"/>
    </row>
    <row r="123" spans="13:13" x14ac:dyDescent="0.35">
      <c r="M123" s="46"/>
    </row>
    <row r="124" spans="13:13" x14ac:dyDescent="0.35">
      <c r="M124" s="46"/>
    </row>
    <row r="125" spans="13:13" x14ac:dyDescent="0.35">
      <c r="M125" s="46"/>
    </row>
    <row r="126" spans="13:13" x14ac:dyDescent="0.35">
      <c r="M126" s="46"/>
    </row>
    <row r="127" spans="13:13" x14ac:dyDescent="0.35">
      <c r="M127" s="46"/>
    </row>
    <row r="128" spans="13:13" x14ac:dyDescent="0.35">
      <c r="M128" s="46"/>
    </row>
    <row r="129" spans="13:13" x14ac:dyDescent="0.35">
      <c r="M129" s="46"/>
    </row>
    <row r="130" spans="13:13" x14ac:dyDescent="0.35">
      <c r="M130" s="46"/>
    </row>
    <row r="131" spans="13:13" x14ac:dyDescent="0.35">
      <c r="M131" s="46"/>
    </row>
    <row r="132" spans="13:13" x14ac:dyDescent="0.35">
      <c r="M132" s="46"/>
    </row>
    <row r="133" spans="13:13" x14ac:dyDescent="0.35">
      <c r="M133" s="46"/>
    </row>
    <row r="134" spans="13:13" x14ac:dyDescent="0.35">
      <c r="M134" s="46"/>
    </row>
    <row r="135" spans="13:13" x14ac:dyDescent="0.35">
      <c r="M135" s="46"/>
    </row>
    <row r="136" spans="13:13" x14ac:dyDescent="0.35">
      <c r="M136" s="46"/>
    </row>
    <row r="137" spans="13:13" x14ac:dyDescent="0.35">
      <c r="M137" s="46"/>
    </row>
    <row r="138" spans="13:13" x14ac:dyDescent="0.35">
      <c r="M138" s="46"/>
    </row>
    <row r="139" spans="13:13" x14ac:dyDescent="0.35">
      <c r="M139" s="46"/>
    </row>
    <row r="140" spans="13:13" x14ac:dyDescent="0.35">
      <c r="M140" s="46"/>
    </row>
    <row r="141" spans="13:13" x14ac:dyDescent="0.35">
      <c r="M141" s="46"/>
    </row>
    <row r="142" spans="13:13" x14ac:dyDescent="0.35">
      <c r="M142" s="46"/>
    </row>
    <row r="143" spans="13:13" x14ac:dyDescent="0.35">
      <c r="M143" s="46"/>
    </row>
    <row r="144" spans="13:13" x14ac:dyDescent="0.35">
      <c r="M144" s="46"/>
    </row>
    <row r="145" spans="13:13" x14ac:dyDescent="0.35">
      <c r="M145" s="46"/>
    </row>
    <row r="146" spans="13:13" x14ac:dyDescent="0.35">
      <c r="M146" s="46"/>
    </row>
    <row r="147" spans="13:13" x14ac:dyDescent="0.35">
      <c r="M147" s="46"/>
    </row>
    <row r="148" spans="13:13" x14ac:dyDescent="0.35">
      <c r="M148" s="46"/>
    </row>
    <row r="149" spans="13:13" x14ac:dyDescent="0.35">
      <c r="M149" s="46"/>
    </row>
    <row r="150" spans="13:13" x14ac:dyDescent="0.35">
      <c r="M150" s="46"/>
    </row>
    <row r="151" spans="13:13" x14ac:dyDescent="0.35">
      <c r="M151" s="46"/>
    </row>
    <row r="152" spans="13:13" x14ac:dyDescent="0.35">
      <c r="M152" s="46"/>
    </row>
    <row r="153" spans="13:13" x14ac:dyDescent="0.35">
      <c r="M153" s="46"/>
    </row>
    <row r="154" spans="13:13" x14ac:dyDescent="0.35">
      <c r="M154" s="46"/>
    </row>
    <row r="155" spans="13:13" x14ac:dyDescent="0.35">
      <c r="M155" s="46"/>
    </row>
    <row r="156" spans="13:13" x14ac:dyDescent="0.35">
      <c r="M156" s="46"/>
    </row>
    <row r="157" spans="13:13" x14ac:dyDescent="0.35">
      <c r="M157" s="46"/>
    </row>
    <row r="158" spans="13:13" x14ac:dyDescent="0.35">
      <c r="M158" s="46"/>
    </row>
    <row r="159" spans="13:13" x14ac:dyDescent="0.35">
      <c r="M159" s="46"/>
    </row>
    <row r="160" spans="13:13" x14ac:dyDescent="0.35">
      <c r="M160" s="46"/>
    </row>
    <row r="161" spans="13:13" x14ac:dyDescent="0.35">
      <c r="M161" s="46"/>
    </row>
    <row r="162" spans="13:13" x14ac:dyDescent="0.35">
      <c r="M162" s="46"/>
    </row>
    <row r="163" spans="13:13" x14ac:dyDescent="0.35">
      <c r="M163" s="46"/>
    </row>
    <row r="164" spans="13:13" x14ac:dyDescent="0.35">
      <c r="M164" s="46"/>
    </row>
    <row r="165" spans="13:13" x14ac:dyDescent="0.35">
      <c r="M165" s="46"/>
    </row>
    <row r="166" spans="13:13" x14ac:dyDescent="0.35">
      <c r="M166" s="46"/>
    </row>
    <row r="167" spans="13:13" x14ac:dyDescent="0.35">
      <c r="M167" s="46"/>
    </row>
    <row r="168" spans="13:13" x14ac:dyDescent="0.35">
      <c r="M168" s="46"/>
    </row>
    <row r="169" spans="13:13" x14ac:dyDescent="0.35">
      <c r="M169" s="46"/>
    </row>
    <row r="170" spans="13:13" x14ac:dyDescent="0.35">
      <c r="M170" s="46"/>
    </row>
    <row r="171" spans="13:13" x14ac:dyDescent="0.35">
      <c r="M171" s="46"/>
    </row>
    <row r="172" spans="13:13" x14ac:dyDescent="0.35">
      <c r="M172" s="46"/>
    </row>
    <row r="173" spans="13:13" x14ac:dyDescent="0.35">
      <c r="M173" s="46"/>
    </row>
    <row r="174" spans="13:13" x14ac:dyDescent="0.35">
      <c r="M174" s="46"/>
    </row>
    <row r="175" spans="13:13" x14ac:dyDescent="0.35">
      <c r="M175" s="46"/>
    </row>
    <row r="176" spans="13:13" x14ac:dyDescent="0.35">
      <c r="M176" s="46"/>
    </row>
    <row r="177" spans="13:13" x14ac:dyDescent="0.35">
      <c r="M177" s="46"/>
    </row>
    <row r="178" spans="13:13" x14ac:dyDescent="0.35">
      <c r="M178" s="46"/>
    </row>
    <row r="179" spans="13:13" x14ac:dyDescent="0.35">
      <c r="M179" s="46"/>
    </row>
    <row r="180" spans="13:13" x14ac:dyDescent="0.35">
      <c r="M180" s="46"/>
    </row>
    <row r="181" spans="13:13" x14ac:dyDescent="0.35">
      <c r="M181" s="46"/>
    </row>
    <row r="182" spans="13:13" x14ac:dyDescent="0.35">
      <c r="M182" s="46"/>
    </row>
    <row r="183" spans="13:13" x14ac:dyDescent="0.35">
      <c r="M183" s="46"/>
    </row>
    <row r="184" spans="13:13" x14ac:dyDescent="0.35">
      <c r="M184" s="46"/>
    </row>
    <row r="185" spans="13:13" x14ac:dyDescent="0.35">
      <c r="M185" s="46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COMPRAS</vt:lpstr>
      <vt:lpstr>COMPRAS (2)</vt:lpstr>
      <vt:lpstr>COMPRAS (3)</vt:lpstr>
      <vt:lpstr>COMPRAS (4)</vt:lpstr>
      <vt:lpstr>VENTAS</vt:lpstr>
      <vt:lpstr>VENTAS (2)</vt:lpstr>
      <vt:lpstr>VENTAS (3)</vt:lpstr>
      <vt:lpstr>VENTAS (4)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CONTAMAR</dc:creator>
  <cp:lastModifiedBy>Siala Electricidad</cp:lastModifiedBy>
  <dcterms:created xsi:type="dcterms:W3CDTF">2010-04-12T06:31:15Z</dcterms:created>
  <dcterms:modified xsi:type="dcterms:W3CDTF">2025-01-13T17:26:04Z</dcterms:modified>
</cp:coreProperties>
</file>