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ervidor\adm\ADMON\CONTAMAR\FISCAL\VENTAS\"/>
    </mc:Choice>
  </mc:AlternateContent>
  <xr:revisionPtr revIDLastSave="0" documentId="13_ncr:1_{1ACDE787-1BBF-44C8-9478-7E687C2623AE}" xr6:coauthVersionLast="47" xr6:coauthVersionMax="47" xr10:uidLastSave="{00000000-0000-0000-0000-000000000000}"/>
  <bookViews>
    <workbookView xWindow="-120" yWindow="-120" windowWidth="29040" windowHeight="15840" tabRatio="749" activeTab="2" xr2:uid="{00000000-000D-0000-FFFF-FFFF00000000}"/>
  </bookViews>
  <sheets>
    <sheet name="1ºT ENERO VENTAS" sheetId="7" r:id="rId1"/>
    <sheet name="1ºT FEBRERO VENTAS" sheetId="8" r:id="rId2"/>
    <sheet name="1ºT FEBRERO ABONO" sheetId="9" r:id="rId3"/>
  </sheets>
  <definedNames>
    <definedName name="_xlnm._FilterDatabase" localSheetId="0" hidden="1">'1ºT ENERO VENTAS'!$A$1:$AI$2</definedName>
    <definedName name="_xlnm._FilterDatabase" localSheetId="2" hidden="1">'1ºT FEBRERO ABONO'!$A$1:$AI$2</definedName>
    <definedName name="_xlnm._FilterDatabase" localSheetId="1" hidden="1">'1ºT FEBRERO VENTAS'!$A$1:$AI$2</definedName>
  </definedNames>
  <calcPr calcId="191029"/>
</workbook>
</file>

<file path=xl/calcChain.xml><?xml version="1.0" encoding="utf-8"?>
<calcChain xmlns="http://schemas.openxmlformats.org/spreadsheetml/2006/main">
  <c r="AA2" i="9" l="1"/>
  <c r="X2" i="9"/>
  <c r="U2" i="9"/>
  <c r="S2" i="9"/>
  <c r="P2" i="9"/>
  <c r="N2" i="9"/>
  <c r="K2" i="9"/>
  <c r="I2" i="9"/>
  <c r="AB2" i="9" s="1"/>
  <c r="N65" i="8"/>
  <c r="I65" i="8"/>
  <c r="AB65" i="8" s="1"/>
  <c r="N64" i="8"/>
  <c r="I64" i="8"/>
  <c r="AB64" i="8" s="1"/>
  <c r="N63" i="8"/>
  <c r="I63" i="8"/>
  <c r="AB63" i="8" s="1"/>
  <c r="N62" i="8"/>
  <c r="I62" i="8"/>
  <c r="AB62" i="8" s="1"/>
  <c r="N61" i="8"/>
  <c r="I61" i="8"/>
  <c r="AB61" i="8" s="1"/>
  <c r="N60" i="8"/>
  <c r="I60" i="8"/>
  <c r="AB60" i="8" s="1"/>
  <c r="N59" i="8"/>
  <c r="I59" i="8"/>
  <c r="AB59" i="8" s="1"/>
  <c r="N58" i="8"/>
  <c r="I58" i="8"/>
  <c r="AB58" i="8" s="1"/>
  <c r="N57" i="8"/>
  <c r="I57" i="8"/>
  <c r="AB57" i="8" s="1"/>
  <c r="N56" i="8"/>
  <c r="I56" i="8"/>
  <c r="AB56" i="8" s="1"/>
  <c r="N55" i="8"/>
  <c r="I55" i="8"/>
  <c r="AB55" i="8" s="1"/>
  <c r="N54" i="8"/>
  <c r="I54" i="8"/>
  <c r="AB54" i="8" s="1"/>
  <c r="N53" i="8"/>
  <c r="I53" i="8"/>
  <c r="AB53" i="8" s="1"/>
  <c r="N52" i="8"/>
  <c r="I52" i="8"/>
  <c r="AB52" i="8" s="1"/>
  <c r="N51" i="8"/>
  <c r="I51" i="8"/>
  <c r="AB51" i="8" s="1"/>
  <c r="N50" i="8"/>
  <c r="I50" i="8"/>
  <c r="AB50" i="8" s="1"/>
  <c r="N49" i="8"/>
  <c r="I49" i="8"/>
  <c r="AB49" i="8" s="1"/>
  <c r="N48" i="8"/>
  <c r="I48" i="8"/>
  <c r="AB48" i="8" s="1"/>
  <c r="N47" i="8"/>
  <c r="I47" i="8"/>
  <c r="AB47" i="8" s="1"/>
  <c r="N46" i="8"/>
  <c r="I46" i="8"/>
  <c r="AB46" i="8" s="1"/>
  <c r="N45" i="8"/>
  <c r="I45" i="8"/>
  <c r="AB45" i="8" s="1"/>
  <c r="N44" i="8"/>
  <c r="I44" i="8"/>
  <c r="AB44" i="8" s="1"/>
  <c r="N43" i="8"/>
  <c r="I43" i="8"/>
  <c r="AB43" i="8" s="1"/>
  <c r="N42" i="8"/>
  <c r="I42" i="8"/>
  <c r="AB42" i="8" s="1"/>
  <c r="N41" i="8"/>
  <c r="I41" i="8"/>
  <c r="AB41" i="8" s="1"/>
  <c r="N40" i="8"/>
  <c r="I40" i="8"/>
  <c r="AB40" i="8" s="1"/>
  <c r="N39" i="8"/>
  <c r="I39" i="8"/>
  <c r="AB39" i="8" s="1"/>
  <c r="N38" i="8"/>
  <c r="I38" i="8"/>
  <c r="AB38" i="8" s="1"/>
  <c r="N37" i="8"/>
  <c r="I37" i="8"/>
  <c r="AB37" i="8" s="1"/>
  <c r="N36" i="8"/>
  <c r="I36" i="8"/>
  <c r="AB36" i="8" s="1"/>
  <c r="N35" i="8"/>
  <c r="I35" i="8"/>
  <c r="N34" i="8"/>
  <c r="I34" i="8"/>
  <c r="N33" i="8"/>
  <c r="I33" i="8"/>
  <c r="N32" i="8"/>
  <c r="I32" i="8"/>
  <c r="N31" i="8"/>
  <c r="I31" i="8"/>
  <c r="AB31" i="8" s="1"/>
  <c r="N30" i="8"/>
  <c r="I30" i="8"/>
  <c r="AB30" i="8" s="1"/>
  <c r="N29" i="8"/>
  <c r="I29" i="8"/>
  <c r="AB29" i="8" s="1"/>
  <c r="N28" i="8"/>
  <c r="I28" i="8"/>
  <c r="AB28" i="8" s="1"/>
  <c r="N27" i="8"/>
  <c r="I27" i="8"/>
  <c r="AB27" i="8" s="1"/>
  <c r="N26" i="8"/>
  <c r="I26" i="8"/>
  <c r="AB26" i="8" s="1"/>
  <c r="N25" i="8"/>
  <c r="I25" i="8"/>
  <c r="AB25" i="8" s="1"/>
  <c r="N24" i="8"/>
  <c r="I24" i="8"/>
  <c r="AB24" i="8" s="1"/>
  <c r="N23" i="8"/>
  <c r="I23" i="8"/>
  <c r="AB23" i="8" s="1"/>
  <c r="N22" i="8"/>
  <c r="I22" i="8"/>
  <c r="AB22" i="8" s="1"/>
  <c r="N21" i="8"/>
  <c r="I21" i="8"/>
  <c r="AB21" i="8" s="1"/>
  <c r="N20" i="8"/>
  <c r="I20" i="8"/>
  <c r="AB20" i="8" s="1"/>
  <c r="N19" i="8"/>
  <c r="I19" i="8"/>
  <c r="AB19" i="8" s="1"/>
  <c r="N18" i="8"/>
  <c r="I18" i="8"/>
  <c r="AB18" i="8" s="1"/>
  <c r="N17" i="8"/>
  <c r="I17" i="8"/>
  <c r="AB17" i="8" s="1"/>
  <c r="N16" i="8"/>
  <c r="I16" i="8"/>
  <c r="AB16" i="8" s="1"/>
  <c r="N15" i="8"/>
  <c r="I15" i="8"/>
  <c r="AB15" i="8" s="1"/>
  <c r="N14" i="8"/>
  <c r="I14" i="8"/>
  <c r="AB14" i="8" s="1"/>
  <c r="N13" i="8"/>
  <c r="I13" i="8"/>
  <c r="AB13" i="8" s="1"/>
  <c r="N12" i="8"/>
  <c r="I12" i="8"/>
  <c r="AB12" i="8" s="1"/>
  <c r="N11" i="8"/>
  <c r="I11" i="8"/>
  <c r="AB11" i="8" s="1"/>
  <c r="N10" i="8"/>
  <c r="I10" i="8"/>
  <c r="AB10" i="8" s="1"/>
  <c r="N9" i="8"/>
  <c r="I9" i="8"/>
  <c r="AB9" i="8" s="1"/>
  <c r="N8" i="8"/>
  <c r="I8" i="8"/>
  <c r="AB8" i="8" s="1"/>
  <c r="N7" i="8"/>
  <c r="I7" i="8"/>
  <c r="AB7" i="8" s="1"/>
  <c r="N6" i="8"/>
  <c r="I6" i="8"/>
  <c r="AB6" i="8" s="1"/>
  <c r="N5" i="8"/>
  <c r="I5" i="8"/>
  <c r="AB5" i="8" s="1"/>
  <c r="N4" i="8"/>
  <c r="I4" i="8"/>
  <c r="AB4" i="8" s="1"/>
  <c r="N3" i="8"/>
  <c r="I3" i="8"/>
  <c r="AB3" i="8" s="1"/>
  <c r="AA2" i="8"/>
  <c r="X2" i="8"/>
  <c r="U2" i="8"/>
  <c r="S2" i="8"/>
  <c r="P2" i="8"/>
  <c r="N2" i="8"/>
  <c r="K2" i="8"/>
  <c r="I2" i="8"/>
  <c r="AB2" i="8" s="1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I3" i="7"/>
  <c r="AB3" i="7" s="1"/>
  <c r="I4" i="7"/>
  <c r="I5" i="7"/>
  <c r="AB5" i="7" s="1"/>
  <c r="I6" i="7"/>
  <c r="I7" i="7"/>
  <c r="AB7" i="7" s="1"/>
  <c r="I8" i="7"/>
  <c r="I9" i="7"/>
  <c r="AB9" i="7" s="1"/>
  <c r="I10" i="7"/>
  <c r="I11" i="7"/>
  <c r="AB11" i="7" s="1"/>
  <c r="I12" i="7"/>
  <c r="I13" i="7"/>
  <c r="AB13" i="7" s="1"/>
  <c r="I14" i="7"/>
  <c r="I15" i="7"/>
  <c r="AB15" i="7" s="1"/>
  <c r="I16" i="7"/>
  <c r="I17" i="7"/>
  <c r="AB17" i="7" s="1"/>
  <c r="I18" i="7"/>
  <c r="I19" i="7"/>
  <c r="AB19" i="7" s="1"/>
  <c r="I20" i="7"/>
  <c r="I21" i="7"/>
  <c r="AB21" i="7" s="1"/>
  <c r="I22" i="7"/>
  <c r="I23" i="7"/>
  <c r="AB23" i="7" s="1"/>
  <c r="I24" i="7"/>
  <c r="I25" i="7"/>
  <c r="AB25" i="7" s="1"/>
  <c r="I26" i="7"/>
  <c r="I27" i="7"/>
  <c r="AB27" i="7" s="1"/>
  <c r="I28" i="7"/>
  <c r="I29" i="7"/>
  <c r="AB29" i="7" s="1"/>
  <c r="I30" i="7"/>
  <c r="I31" i="7"/>
  <c r="AB31" i="7" s="1"/>
  <c r="I32" i="7"/>
  <c r="I33" i="7"/>
  <c r="AB33" i="7" s="1"/>
  <c r="I34" i="7"/>
  <c r="I35" i="7"/>
  <c r="AB35" i="7" s="1"/>
  <c r="I2" i="7"/>
  <c r="AB32" i="8" l="1"/>
  <c r="AB33" i="8"/>
  <c r="AB34" i="8"/>
  <c r="AB35" i="8"/>
  <c r="AB34" i="7"/>
  <c r="AB32" i="7"/>
  <c r="AB30" i="7"/>
  <c r="AB28" i="7"/>
  <c r="AB26" i="7"/>
  <c r="AB24" i="7"/>
  <c r="AB22" i="7"/>
  <c r="AB20" i="7"/>
  <c r="AB18" i="7"/>
  <c r="AB16" i="7"/>
  <c r="AB14" i="7"/>
  <c r="AB12" i="7"/>
  <c r="AB10" i="7"/>
  <c r="AB8" i="7"/>
  <c r="AB6" i="7"/>
  <c r="AB4" i="7"/>
  <c r="K2" i="7"/>
  <c r="AA2" i="7"/>
  <c r="X2" i="7"/>
  <c r="P2" i="7"/>
  <c r="U2" i="7"/>
  <c r="S2" i="7"/>
  <c r="N2" i="7"/>
  <c r="AB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4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4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4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4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00000000-0006-0000-0400-000007000000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C9D25BDE-48CF-4FCF-937A-97022E858DBA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DDC6B23A-B0EA-433A-9752-4716039B29AE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B2B07FB4-1FA7-492E-9AD2-ECF643DABD5C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4AD105A5-B9BC-4A6E-8719-3968D8A56E4D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36E690A3-F162-4A94-91DE-6459C68B3994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DD62D90F-4B06-426D-BA1D-BB61701681BD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51559773-3AA0-48D5-AB03-AFF0812FD6CA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206F3202-8E8D-4364-8506-BFB12BD80163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4D6A1EA9-C912-48DC-AB90-1E5E776BDD0E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EB6EDE23-5EFB-49AD-9031-CCD376A3CE6B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A7D26484-0C81-4161-A54C-BBCEA4BF91CE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9291564A-A255-4E7E-8D56-AC6A6A527BCE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9B7A5B44-AC2E-428A-8751-59240DFFC491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1B23391E-0AE0-4253-AC52-F42D62F53ABA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E53A1825-19EC-413F-B5F7-C6757871AEB3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K1" authorId="0" shapeId="0" xr:uid="{70F9404F-6D08-40DD-B749-3EDFD0665AF5}">
      <text>
        <r>
          <rPr>
            <b/>
            <sz val="10"/>
            <color indexed="81"/>
            <rFont val="Tahoma"/>
            <family val="2"/>
          </rPr>
          <t xml:space="preserve">IMPORTE DEL RECARGO DE EQUIVALENCIA </t>
        </r>
      </text>
    </comment>
    <comment ref="AB1" authorId="0" shapeId="0" xr:uid="{3D5343A7-9118-4091-A105-AA6172BC2D04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AC1" authorId="0" shapeId="0" xr:uid="{21B89323-1F54-406B-8B50-D500EC414BA2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sharedStrings.xml><?xml version="1.0" encoding="utf-8"?>
<sst xmlns="http://schemas.openxmlformats.org/spreadsheetml/2006/main" count="413" uniqueCount="199">
  <si>
    <t>%IVA</t>
  </si>
  <si>
    <t>IMPORTE IVA</t>
  </si>
  <si>
    <t>BASE RETENCION</t>
  </si>
  <si>
    <t>NOMBRE</t>
  </si>
  <si>
    <t>PAIS</t>
  </si>
  <si>
    <t>FECHA</t>
  </si>
  <si>
    <t>CUENTA</t>
  </si>
  <si>
    <t>BASE</t>
  </si>
  <si>
    <t>NIF</t>
  </si>
  <si>
    <t>REG.</t>
  </si>
  <si>
    <t>DESCRIPCIÓN</t>
  </si>
  <si>
    <t>CONTRAPARTIDA</t>
  </si>
  <si>
    <t>PROVINCIA</t>
  </si>
  <si>
    <t>PAGO AUTOMATICO</t>
  </si>
  <si>
    <t>OPERACION ARRENDAMIENTO</t>
  </si>
  <si>
    <t>%IVA 2</t>
  </si>
  <si>
    <t>IMPORTE IVA 2</t>
  </si>
  <si>
    <t>%IVA 3</t>
  </si>
  <si>
    <t>IMPORTE IVA 3</t>
  </si>
  <si>
    <t>BASE 2</t>
  </si>
  <si>
    <t>BASE 3</t>
  </si>
  <si>
    <t>CONTRAPARTIDA 2</t>
  </si>
  <si>
    <t>CONTRAPARTIDA 3</t>
  </si>
  <si>
    <t>%REQ. EQUIV.</t>
  </si>
  <si>
    <t>IMPORTE REC. EQUIV.</t>
  </si>
  <si>
    <t>%REQ. EQUIV. 2</t>
  </si>
  <si>
    <t>IMPORTE REC. EQUIV. 2</t>
  </si>
  <si>
    <t>IMPORTE REC. EQUIV. 3</t>
  </si>
  <si>
    <t>%REQ. EQUIV. 3</t>
  </si>
  <si>
    <t>BASE RETENCION 2</t>
  </si>
  <si>
    <t>%RET</t>
  </si>
  <si>
    <t>%RET 2</t>
  </si>
  <si>
    <t>IMPORTE RET</t>
  </si>
  <si>
    <t>IMPORTE RET 2</t>
  </si>
  <si>
    <t>TOTAL FACTURA</t>
  </si>
  <si>
    <t>NOTAS TAMARA</t>
  </si>
  <si>
    <t>Iberbac S.A.L.</t>
  </si>
  <si>
    <t>Emsa Maquinaria S.L.</t>
  </si>
  <si>
    <t>Adimec Desarrollos Técnicos S.L.</t>
  </si>
  <si>
    <t>Sideraceros S.L.</t>
  </si>
  <si>
    <t>A.M.P. Advanced Mineral Processing S.L.</t>
  </si>
  <si>
    <t>Cementos Portland Valderrivas S.A.</t>
  </si>
  <si>
    <t>A81732760</t>
  </si>
  <si>
    <t>B86055472</t>
  </si>
  <si>
    <t>B84772995</t>
  </si>
  <si>
    <t>B85184257</t>
  </si>
  <si>
    <t>B86508124</t>
  </si>
  <si>
    <t>A31000268</t>
  </si>
  <si>
    <t>B85384931</t>
  </si>
  <si>
    <t>A80016884</t>
  </si>
  <si>
    <t>B86686466</t>
  </si>
  <si>
    <t>IMR S.L.</t>
  </si>
  <si>
    <t>Fercuse S.L.</t>
  </si>
  <si>
    <t xml:space="preserve">FL Smidth S.A. </t>
  </si>
  <si>
    <t>B45081262</t>
  </si>
  <si>
    <t>70984917V</t>
  </si>
  <si>
    <t xml:space="preserve">OHLA - OHL Industrial S.L. </t>
  </si>
  <si>
    <t>MIA Sistemas y Desarrollos S.L.</t>
  </si>
  <si>
    <t>B02875524</t>
  </si>
  <si>
    <t>FLSmidth A/S</t>
  </si>
  <si>
    <t>DE250137431</t>
  </si>
  <si>
    <t>*INTRACOMUNITARIA</t>
  </si>
  <si>
    <t xml:space="preserve">Kadoan Suministros Industriales S.L. </t>
  </si>
  <si>
    <t>Evaristo Manuel Perez</t>
  </si>
  <si>
    <t>B88287297</t>
  </si>
  <si>
    <t>*efectivo ingresado</t>
  </si>
  <si>
    <t>*parcial</t>
  </si>
  <si>
    <t>*A CUENTA</t>
  </si>
  <si>
    <t>25/001</t>
  </si>
  <si>
    <t>25/002</t>
  </si>
  <si>
    <t>25/003</t>
  </si>
  <si>
    <t>25/004</t>
  </si>
  <si>
    <t>25/005</t>
  </si>
  <si>
    <t>25/006</t>
  </si>
  <si>
    <t>25/007</t>
  </si>
  <si>
    <t>25/008</t>
  </si>
  <si>
    <t>25/009</t>
  </si>
  <si>
    <t>25/010</t>
  </si>
  <si>
    <t>25/011</t>
  </si>
  <si>
    <t>25/012</t>
  </si>
  <si>
    <t>25/013</t>
  </si>
  <si>
    <t>25/014</t>
  </si>
  <si>
    <t>25/015</t>
  </si>
  <si>
    <t>25/016</t>
  </si>
  <si>
    <t>25/017</t>
  </si>
  <si>
    <t>25/018</t>
  </si>
  <si>
    <t>25/019</t>
  </si>
  <si>
    <t>25/020</t>
  </si>
  <si>
    <t>25/021</t>
  </si>
  <si>
    <t>25/022</t>
  </si>
  <si>
    <t>25/023</t>
  </si>
  <si>
    <t>25/024</t>
  </si>
  <si>
    <t>25/025</t>
  </si>
  <si>
    <t>25/026</t>
  </si>
  <si>
    <t>25/027</t>
  </si>
  <si>
    <t>25/028</t>
  </si>
  <si>
    <t>25/029</t>
  </si>
  <si>
    <t>25/030</t>
  </si>
  <si>
    <t>25/031</t>
  </si>
  <si>
    <t>25/032</t>
  </si>
  <si>
    <t>25/033</t>
  </si>
  <si>
    <t>25/034</t>
  </si>
  <si>
    <t xml:space="preserve">Derichebourg España S.A.U. </t>
  </si>
  <si>
    <t xml:space="preserve">Susider - Suministros Siderúrgicos Montañeses S.A. </t>
  </si>
  <si>
    <t>Metalgrabado S.L.</t>
  </si>
  <si>
    <t>EFANSA  Sistemas de Control S.A.</t>
  </si>
  <si>
    <t>Thyssenkrupp Polysius Ibérica S.A.U.</t>
  </si>
  <si>
    <t>Bosques del Sur S.A.</t>
  </si>
  <si>
    <t>Monrub Des. Inds. S.L.</t>
  </si>
  <si>
    <t xml:space="preserve">Andritz Ingeniería S.A. </t>
  </si>
  <si>
    <t>Aritecmi - Técnicas para Áridos y Minería S.L.L.</t>
  </si>
  <si>
    <t>Tarma Bulk Solids Solutions S.L.</t>
  </si>
  <si>
    <t>Mogensen Spain S.L.U.</t>
  </si>
  <si>
    <t>PTM Proyectos Técnicos de Manutención S.L.</t>
  </si>
  <si>
    <t xml:space="preserve">S&amp;T Solutions &amp; Technology in Handling S.L. </t>
  </si>
  <si>
    <t>Cerrapaca S.L.</t>
  </si>
  <si>
    <t>F. L. Smidth S.A.</t>
  </si>
  <si>
    <t>Fiber Láser Castilla S.L.</t>
  </si>
  <si>
    <t>A28131084</t>
  </si>
  <si>
    <t>A39012638</t>
  </si>
  <si>
    <t>B80985690</t>
  </si>
  <si>
    <t>A28368694</t>
  </si>
  <si>
    <t>A28110575</t>
  </si>
  <si>
    <t>A28468080</t>
  </si>
  <si>
    <t>B87643334</t>
  </si>
  <si>
    <t>ESA28359339</t>
  </si>
  <si>
    <t>B87529087</t>
  </si>
  <si>
    <t>B87892527</t>
  </si>
  <si>
    <t>B28173466</t>
  </si>
  <si>
    <t>B86491768</t>
  </si>
  <si>
    <t>B87831350</t>
  </si>
  <si>
    <t>B81588469</t>
  </si>
  <si>
    <t>B877048351</t>
  </si>
  <si>
    <t>25/035</t>
  </si>
  <si>
    <t>25/036</t>
  </si>
  <si>
    <t>25/037</t>
  </si>
  <si>
    <t>25/038</t>
  </si>
  <si>
    <t>25/039</t>
  </si>
  <si>
    <t>25/040</t>
  </si>
  <si>
    <t>25/041</t>
  </si>
  <si>
    <t>25/042</t>
  </si>
  <si>
    <t>25/043</t>
  </si>
  <si>
    <t>25/044</t>
  </si>
  <si>
    <t>25/045</t>
  </si>
  <si>
    <t>25/046</t>
  </si>
  <si>
    <t>25/047</t>
  </si>
  <si>
    <t>25/048</t>
  </si>
  <si>
    <t>25/049</t>
  </si>
  <si>
    <t>25/050</t>
  </si>
  <si>
    <t>25/051</t>
  </si>
  <si>
    <t>25/052</t>
  </si>
  <si>
    <t>25/053</t>
  </si>
  <si>
    <t>25/054</t>
  </si>
  <si>
    <t>25/055</t>
  </si>
  <si>
    <t>25/056</t>
  </si>
  <si>
    <t>25/057</t>
  </si>
  <si>
    <t>25/058</t>
  </si>
  <si>
    <t>25/059</t>
  </si>
  <si>
    <t>25/060</t>
  </si>
  <si>
    <t>25/061</t>
  </si>
  <si>
    <t>25/062</t>
  </si>
  <si>
    <t>25/063</t>
  </si>
  <si>
    <t>25/064</t>
  </si>
  <si>
    <t>25/065</t>
  </si>
  <si>
    <t>25/066</t>
  </si>
  <si>
    <t>25/067</t>
  </si>
  <si>
    <t>25/068</t>
  </si>
  <si>
    <t>25/069</t>
  </si>
  <si>
    <t>25/070</t>
  </si>
  <si>
    <t>25/071</t>
  </si>
  <si>
    <t>25/072</t>
  </si>
  <si>
    <t>25/073</t>
  </si>
  <si>
    <t>25/074</t>
  </si>
  <si>
    <t>25/075</t>
  </si>
  <si>
    <t>25/076</t>
  </si>
  <si>
    <t>25/077</t>
  </si>
  <si>
    <t>25/078</t>
  </si>
  <si>
    <t>25/079</t>
  </si>
  <si>
    <t>25/080</t>
  </si>
  <si>
    <t>25/081</t>
  </si>
  <si>
    <t>25/082</t>
  </si>
  <si>
    <t>25/083</t>
  </si>
  <si>
    <t>25/084</t>
  </si>
  <si>
    <t>25/085</t>
  </si>
  <si>
    <t>25/086</t>
  </si>
  <si>
    <t>25/087</t>
  </si>
  <si>
    <t>25/088</t>
  </si>
  <si>
    <t>25/089</t>
  </si>
  <si>
    <t>25/090</t>
  </si>
  <si>
    <t>25/091</t>
  </si>
  <si>
    <t>25/092</t>
  </si>
  <si>
    <t>25/093</t>
  </si>
  <si>
    <t>25/094</t>
  </si>
  <si>
    <t>25/095</t>
  </si>
  <si>
    <t>25/096</t>
  </si>
  <si>
    <t>25/097</t>
  </si>
  <si>
    <t>25/098</t>
  </si>
  <si>
    <t>*CAMBIO DE NOMBRE FISCAL</t>
  </si>
  <si>
    <t>*Gastos confirming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</si>
</sst>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5" fillId="0" borderId="0"/>
  </cellStyleXfs>
  <cellXfs count="69">
    <xf numFmtId="0" fontId="0" fillId="0" borderId="0" xfId="0"/>
    <xf numFmtId="0" fontId="7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14" fontId="0" fillId="4" borderId="1" xfId="0" applyNumberFormat="1" applyFill="1" applyBorder="1" applyAlignment="1">
      <alignment horizontal="center"/>
    </xf>
    <xf numFmtId="49" fontId="0" fillId="4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left"/>
    </xf>
    <xf numFmtId="2" fontId="0" fillId="5" borderId="1" xfId="0" applyNumberFormat="1" applyFill="1" applyBorder="1"/>
    <xf numFmtId="2" fontId="0" fillId="4" borderId="1" xfId="0" applyNumberFormat="1" applyFill="1" applyBorder="1"/>
    <xf numFmtId="0" fontId="0" fillId="4" borderId="1" xfId="0" applyFill="1" applyBorder="1" applyProtection="1">
      <protection locked="0"/>
    </xf>
    <xf numFmtId="164" fontId="0" fillId="5" borderId="1" xfId="0" applyNumberFormat="1" applyFill="1" applyBorder="1"/>
    <xf numFmtId="0" fontId="0" fillId="4" borderId="1" xfId="0" applyFill="1" applyBorder="1"/>
    <xf numFmtId="164" fontId="8" fillId="5" borderId="1" xfId="0" applyNumberFormat="1" applyFont="1" applyFill="1" applyBorder="1"/>
    <xf numFmtId="49" fontId="0" fillId="0" borderId="1" xfId="0" applyNumberFormat="1" applyBorder="1" applyAlignment="1" applyProtection="1">
      <alignment horizontal="center"/>
      <protection locked="0"/>
    </xf>
    <xf numFmtId="0" fontId="5" fillId="0" borderId="1" xfId="2" applyBorder="1" applyAlignment="1">
      <alignment wrapText="1"/>
    </xf>
    <xf numFmtId="49" fontId="0" fillId="0" borderId="1" xfId="0" applyNumberFormat="1" applyBorder="1" applyAlignment="1">
      <alignment horizontal="center"/>
    </xf>
    <xf numFmtId="0" fontId="5" fillId="4" borderId="1" xfId="2" applyFill="1" applyBorder="1" applyAlignment="1">
      <alignment wrapText="1"/>
    </xf>
    <xf numFmtId="49" fontId="0" fillId="4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14" fontId="8" fillId="4" borderId="1" xfId="0" applyNumberFormat="1" applyFont="1" applyFill="1" applyBorder="1" applyAlignment="1">
      <alignment horizontal="center"/>
    </xf>
    <xf numFmtId="49" fontId="8" fillId="4" borderId="1" xfId="0" applyNumberFormat="1" applyFont="1" applyFill="1" applyBorder="1"/>
    <xf numFmtId="0" fontId="8" fillId="4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left"/>
    </xf>
    <xf numFmtId="2" fontId="8" fillId="5" borderId="1" xfId="0" applyNumberFormat="1" applyFont="1" applyFill="1" applyBorder="1"/>
    <xf numFmtId="2" fontId="8" fillId="4" borderId="1" xfId="0" applyNumberFormat="1" applyFont="1" applyFill="1" applyBorder="1"/>
    <xf numFmtId="0" fontId="8" fillId="4" borderId="1" xfId="0" applyFont="1" applyFill="1" applyBorder="1" applyProtection="1">
      <protection locked="0"/>
    </xf>
    <xf numFmtId="0" fontId="8" fillId="4" borderId="1" xfId="0" applyFont="1" applyFill="1" applyBorder="1"/>
    <xf numFmtId="49" fontId="8" fillId="0" borderId="1" xfId="0" applyNumberFormat="1" applyFont="1" applyBorder="1" applyAlignment="1" applyProtection="1">
      <alignment horizontal="center"/>
      <protection locked="0"/>
    </xf>
    <xf numFmtId="0" fontId="6" fillId="0" borderId="1" xfId="2" applyFont="1" applyBorder="1" applyAlignment="1">
      <alignment wrapText="1"/>
    </xf>
    <xf numFmtId="49" fontId="8" fillId="0" borderId="1" xfId="0" applyNumberFormat="1" applyFont="1" applyBorder="1" applyAlignment="1">
      <alignment horizontal="center"/>
    </xf>
    <xf numFmtId="0" fontId="6" fillId="4" borderId="1" xfId="2" applyFont="1" applyFill="1" applyBorder="1" applyAlignment="1">
      <alignment wrapText="1"/>
    </xf>
    <xf numFmtId="49" fontId="8" fillId="4" borderId="1" xfId="0" applyNumberFormat="1" applyFont="1" applyFill="1" applyBorder="1" applyAlignment="1">
      <alignment horizontal="center"/>
    </xf>
    <xf numFmtId="49" fontId="8" fillId="0" borderId="1" xfId="0" applyNumberFormat="1" applyFont="1" applyBorder="1"/>
    <xf numFmtId="0" fontId="8" fillId="0" borderId="1" xfId="0" applyFont="1" applyBorder="1"/>
    <xf numFmtId="0" fontId="8" fillId="0" borderId="0" xfId="0" applyFont="1"/>
    <xf numFmtId="0" fontId="0" fillId="6" borderId="1" xfId="0" applyFill="1" applyBorder="1"/>
    <xf numFmtId="0" fontId="8" fillId="6" borderId="1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/>
      <protection locked="0"/>
    </xf>
    <xf numFmtId="49" fontId="11" fillId="4" borderId="1" xfId="0" applyNumberFormat="1" applyFont="1" applyFill="1" applyBorder="1" applyAlignment="1" applyProtection="1">
      <alignment horizontal="center"/>
      <protection locked="0"/>
    </xf>
    <xf numFmtId="49" fontId="12" fillId="4" borderId="1" xfId="0" applyNumberFormat="1" applyFont="1" applyFill="1" applyBorder="1" applyAlignment="1" applyProtection="1">
      <alignment horizontal="center"/>
      <protection locked="0"/>
    </xf>
    <xf numFmtId="49" fontId="13" fillId="4" borderId="1" xfId="0" applyNumberFormat="1" applyFont="1" applyFill="1" applyBorder="1" applyAlignment="1" applyProtection="1">
      <alignment horizontal="center"/>
      <protection locked="0"/>
    </xf>
    <xf numFmtId="14" fontId="13" fillId="4" borderId="1" xfId="0" applyNumberFormat="1" applyFont="1" applyFill="1" applyBorder="1" applyAlignment="1">
      <alignment horizontal="center"/>
    </xf>
    <xf numFmtId="49" fontId="13" fillId="4" borderId="1" xfId="0" applyNumberFormat="1" applyFont="1" applyFill="1" applyBorder="1"/>
    <xf numFmtId="0" fontId="13" fillId="4" borderId="1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left"/>
    </xf>
    <xf numFmtId="2" fontId="13" fillId="5" borderId="1" xfId="0" applyNumberFormat="1" applyFont="1" applyFill="1" applyBorder="1"/>
    <xf numFmtId="2" fontId="13" fillId="4" borderId="1" xfId="0" applyNumberFormat="1" applyFont="1" applyFill="1" applyBorder="1"/>
    <xf numFmtId="0" fontId="13" fillId="4" borderId="1" xfId="0" applyFont="1" applyFill="1" applyBorder="1" applyAlignment="1" applyProtection="1">
      <alignment horizontal="center"/>
      <protection locked="0"/>
    </xf>
    <xf numFmtId="164" fontId="13" fillId="5" borderId="1" xfId="0" applyNumberFormat="1" applyFont="1" applyFill="1" applyBorder="1"/>
    <xf numFmtId="0" fontId="13" fillId="4" borderId="1" xfId="0" applyFont="1" applyFill="1" applyBorder="1" applyProtection="1">
      <protection locked="0"/>
    </xf>
    <xf numFmtId="0" fontId="13" fillId="4" borderId="1" xfId="0" applyFont="1" applyFill="1" applyBorder="1"/>
    <xf numFmtId="49" fontId="13" fillId="0" borderId="1" xfId="0" applyNumberFormat="1" applyFont="1" applyBorder="1" applyAlignment="1" applyProtection="1">
      <alignment horizontal="center"/>
      <protection locked="0"/>
    </xf>
    <xf numFmtId="0" fontId="14" fillId="0" borderId="1" xfId="2" applyFont="1" applyBorder="1" applyAlignment="1">
      <alignment wrapText="1"/>
    </xf>
    <xf numFmtId="49" fontId="13" fillId="0" borderId="1" xfId="0" applyNumberFormat="1" applyFont="1" applyBorder="1" applyAlignment="1">
      <alignment horizontal="center"/>
    </xf>
    <xf numFmtId="0" fontId="14" fillId="4" borderId="1" xfId="2" applyFont="1" applyFill="1" applyBorder="1" applyAlignment="1">
      <alignment wrapText="1"/>
    </xf>
    <xf numFmtId="49" fontId="13" fillId="4" borderId="1" xfId="0" applyNumberFormat="1" applyFont="1" applyFill="1" applyBorder="1" applyAlignment="1">
      <alignment horizontal="center"/>
    </xf>
    <xf numFmtId="49" fontId="13" fillId="0" borderId="1" xfId="0" applyNumberFormat="1" applyFont="1" applyBorder="1"/>
    <xf numFmtId="0" fontId="13" fillId="0" borderId="1" xfId="0" applyFont="1" applyBorder="1"/>
    <xf numFmtId="0" fontId="13" fillId="6" borderId="1" xfId="0" applyFont="1" applyFill="1" applyBorder="1"/>
  </cellXfs>
  <cellStyles count="3">
    <cellStyle name="Normal" xfId="0" builtinId="0"/>
    <cellStyle name="Normal 2" xfId="1" xr:uid="{00000000-0005-0000-0000-000001000000}"/>
    <cellStyle name="Normal_Hoja1_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>
    <pageSetUpPr fitToPage="1"/>
  </sheetPr>
  <dimension ref="A1:AJ35"/>
  <sheetViews>
    <sheetView zoomScaleNormal="100" workbookViewId="0">
      <pane ySplit="1" topLeftCell="A13" activePane="bottomLeft" state="frozen"/>
      <selection pane="bottomLeft" activeCell="H26" sqref="H26"/>
    </sheetView>
  </sheetViews>
  <sheetFormatPr baseColWidth="10" defaultRowHeight="15" x14ac:dyDescent="0.25"/>
  <cols>
    <col min="1" max="1" width="14.5703125" style="5" bestFit="1" customWidth="1"/>
    <col min="2" max="2" width="10.28515625" style="3" customWidth="1"/>
    <col min="3" max="3" width="15.85546875" style="2" hidden="1" customWidth="1"/>
    <col min="4" max="4" width="12.42578125" style="4" customWidth="1"/>
    <col min="5" max="5" width="38" style="6" customWidth="1"/>
    <col min="6" max="6" width="50" style="2" hidden="1" customWidth="1"/>
    <col min="7" max="7" width="13.140625" bestFit="1" customWidth="1"/>
    <col min="8" max="8" width="12.42578125" style="5" bestFit="1" customWidth="1"/>
    <col min="9" max="9" width="12.5703125" customWidth="1"/>
    <col min="10" max="10" width="12.140625" hidden="1" customWidth="1"/>
    <col min="11" max="11" width="0.85546875" hidden="1" customWidth="1"/>
    <col min="12" max="13" width="6.5703125" bestFit="1" customWidth="1"/>
    <col min="14" max="14" width="12.7109375" bestFit="1" customWidth="1"/>
    <col min="15" max="15" width="13.42578125" hidden="1" customWidth="1"/>
    <col min="16" max="16" width="19.42578125" hidden="1" customWidth="1"/>
    <col min="17" max="17" width="6.28515625" hidden="1" customWidth="1"/>
    <col min="18" max="18" width="6.5703125" hidden="1" customWidth="1"/>
    <col min="19" max="19" width="12.7109375" hidden="1" customWidth="1"/>
    <col min="20" max="20" width="13.42578125" hidden="1" customWidth="1"/>
    <col min="21" max="21" width="19.42578125" hidden="1" customWidth="1"/>
    <col min="22" max="22" width="14.5703125" hidden="1" customWidth="1"/>
    <col min="23" max="23" width="5.140625" hidden="1" customWidth="1"/>
    <col min="24" max="24" width="11.42578125" hidden="1" customWidth="1"/>
    <col min="25" max="25" width="15.85546875" hidden="1" customWidth="1"/>
    <col min="26" max="26" width="6.5703125" hidden="1" customWidth="1"/>
    <col min="27" max="27" width="12.7109375" hidden="1" customWidth="1"/>
    <col min="28" max="28" width="17.28515625" bestFit="1" customWidth="1"/>
    <col min="29" max="29" width="25" hidden="1" customWidth="1"/>
    <col min="30" max="30" width="16" hidden="1" customWidth="1"/>
    <col min="31" max="31" width="15.28515625" style="3" hidden="1" customWidth="1"/>
    <col min="32" max="32" width="4.5703125" style="3" hidden="1" customWidth="1"/>
    <col min="33" max="33" width="10" style="3" hidden="1" customWidth="1"/>
    <col min="34" max="34" width="12" style="2" hidden="1" customWidth="1"/>
    <col min="35" max="35" width="15.140625" hidden="1" customWidth="1"/>
    <col min="36" max="36" width="32.5703125" customWidth="1"/>
  </cols>
  <sheetData>
    <row r="1" spans="1:36" s="1" customFormat="1" ht="30" customHeight="1" x14ac:dyDescent="0.25">
      <c r="A1" s="42" t="s">
        <v>5</v>
      </c>
      <c r="B1" s="43" t="s">
        <v>9</v>
      </c>
      <c r="C1" s="43" t="s">
        <v>6</v>
      </c>
      <c r="D1" s="43" t="s">
        <v>8</v>
      </c>
      <c r="E1" s="43" t="s">
        <v>3</v>
      </c>
      <c r="F1" s="43" t="s">
        <v>10</v>
      </c>
      <c r="G1" s="42" t="s">
        <v>7</v>
      </c>
      <c r="H1" s="42" t="s">
        <v>0</v>
      </c>
      <c r="I1" s="42" t="s">
        <v>1</v>
      </c>
      <c r="J1" s="42" t="s">
        <v>23</v>
      </c>
      <c r="K1" s="42" t="s">
        <v>24</v>
      </c>
      <c r="L1" s="42" t="s">
        <v>19</v>
      </c>
      <c r="M1" s="42" t="s">
        <v>15</v>
      </c>
      <c r="N1" s="42" t="s">
        <v>16</v>
      </c>
      <c r="O1" s="42" t="s">
        <v>25</v>
      </c>
      <c r="P1" s="42" t="s">
        <v>26</v>
      </c>
      <c r="Q1" s="42" t="s">
        <v>20</v>
      </c>
      <c r="R1" s="42" t="s">
        <v>17</v>
      </c>
      <c r="S1" s="42" t="s">
        <v>18</v>
      </c>
      <c r="T1" s="42" t="s">
        <v>28</v>
      </c>
      <c r="U1" s="42" t="s">
        <v>27</v>
      </c>
      <c r="V1" s="42" t="s">
        <v>2</v>
      </c>
      <c r="W1" s="42" t="s">
        <v>30</v>
      </c>
      <c r="X1" s="42" t="s">
        <v>32</v>
      </c>
      <c r="Y1" s="42" t="s">
        <v>29</v>
      </c>
      <c r="Z1" s="42" t="s">
        <v>31</v>
      </c>
      <c r="AA1" s="42" t="s">
        <v>33</v>
      </c>
      <c r="AB1" s="42" t="s">
        <v>34</v>
      </c>
      <c r="AC1" s="43" t="s">
        <v>11</v>
      </c>
      <c r="AD1" s="43" t="s">
        <v>21</v>
      </c>
      <c r="AE1" s="43" t="s">
        <v>22</v>
      </c>
      <c r="AF1" s="43" t="s">
        <v>4</v>
      </c>
      <c r="AG1" s="43" t="s">
        <v>12</v>
      </c>
      <c r="AH1" s="44" t="s">
        <v>13</v>
      </c>
      <c r="AI1" s="45" t="s">
        <v>14</v>
      </c>
      <c r="AJ1" s="46" t="s">
        <v>35</v>
      </c>
    </row>
    <row r="2" spans="1:36" x14ac:dyDescent="0.25">
      <c r="A2" s="7">
        <v>45664</v>
      </c>
      <c r="B2" s="48" t="s">
        <v>68</v>
      </c>
      <c r="C2" s="8"/>
      <c r="D2" s="9" t="s">
        <v>46</v>
      </c>
      <c r="E2" s="10" t="s">
        <v>40</v>
      </c>
      <c r="F2" s="11"/>
      <c r="G2" s="12">
        <v>561.52</v>
      </c>
      <c r="H2" s="47">
        <v>21</v>
      </c>
      <c r="I2" s="14">
        <f>+IF(G2&lt;&gt;0,G2*H2/100,0)</f>
        <v>117.9192</v>
      </c>
      <c r="J2" s="13"/>
      <c r="K2" s="14">
        <f>+IF(G2&lt;&gt;0,G2*J2/100,0)</f>
        <v>0</v>
      </c>
      <c r="L2" s="12"/>
      <c r="M2" s="13"/>
      <c r="N2" s="14">
        <f>+IF(L2&lt;&gt;0,L2*M2/100,0)</f>
        <v>0</v>
      </c>
      <c r="O2" s="15"/>
      <c r="P2" s="14">
        <f>+IF(L2&lt;&gt;0,L2*O2/100,0)</f>
        <v>0</v>
      </c>
      <c r="Q2" s="12"/>
      <c r="R2" s="13"/>
      <c r="S2" s="14">
        <f>+IF(Q2&lt;&gt;0,Q2*R2/100,0)</f>
        <v>0</v>
      </c>
      <c r="T2" s="15"/>
      <c r="U2" s="14">
        <f>+IF(Q2&lt;&gt;0,Q2*T2/100,0)</f>
        <v>0</v>
      </c>
      <c r="V2" s="15"/>
      <c r="W2" s="15"/>
      <c r="X2" s="14">
        <f>+IF(W2&lt;&gt;0,V2*W2/100,0)</f>
        <v>0</v>
      </c>
      <c r="Y2" s="15"/>
      <c r="Z2" s="15"/>
      <c r="AA2" s="14">
        <f>+IF(Z2&lt;&gt;0,Y2*Z2/100,0)</f>
        <v>0</v>
      </c>
      <c r="AB2" s="16">
        <f>+G2+I2+K2+L2+N2+P2+Q2+S2+U2-X2-AA2</f>
        <v>679.43920000000003</v>
      </c>
      <c r="AC2" s="17"/>
      <c r="AD2" s="18"/>
      <c r="AE2" s="19"/>
      <c r="AF2" s="20"/>
      <c r="AG2" s="21"/>
      <c r="AH2" s="22"/>
      <c r="AI2" s="23"/>
      <c r="AJ2" s="40"/>
    </row>
    <row r="3" spans="1:36" x14ac:dyDescent="0.25">
      <c r="A3" s="7">
        <v>45664</v>
      </c>
      <c r="B3" s="48" t="s">
        <v>69</v>
      </c>
      <c r="C3" s="8"/>
      <c r="D3" s="9" t="s">
        <v>46</v>
      </c>
      <c r="E3" s="10" t="s">
        <v>40</v>
      </c>
      <c r="F3" s="11"/>
      <c r="G3" s="12">
        <v>2899.2</v>
      </c>
      <c r="H3" s="47">
        <v>21</v>
      </c>
      <c r="I3" s="14">
        <f t="shared" ref="I3:I35" si="0">+IF(G3&lt;&gt;0,G3*H3/100,0)</f>
        <v>608.83199999999999</v>
      </c>
      <c r="J3" s="13"/>
      <c r="K3" s="14"/>
      <c r="L3" s="12"/>
      <c r="M3" s="13"/>
      <c r="N3" s="14">
        <f t="shared" ref="N3:N35" si="1">+IF(L3&lt;&gt;0,L3*M3/100,0)</f>
        <v>0</v>
      </c>
      <c r="O3" s="15"/>
      <c r="P3" s="14"/>
      <c r="Q3" s="12"/>
      <c r="R3" s="13"/>
      <c r="S3" s="14"/>
      <c r="T3" s="15"/>
      <c r="U3" s="14"/>
      <c r="V3" s="15"/>
      <c r="W3" s="15"/>
      <c r="X3" s="14"/>
      <c r="Y3" s="15"/>
      <c r="Z3" s="15"/>
      <c r="AA3" s="14"/>
      <c r="AB3" s="16">
        <f t="shared" ref="AB3:AB35" si="2">+G3+I3+K3+L3+N3+P3+Q3+S3+U3-X3-AA3</f>
        <v>3508.0319999999997</v>
      </c>
      <c r="AC3" s="17"/>
      <c r="AD3" s="18"/>
      <c r="AE3" s="19"/>
      <c r="AF3" s="20"/>
      <c r="AG3" s="21"/>
      <c r="AH3" s="22"/>
      <c r="AI3" s="23"/>
      <c r="AJ3" s="40"/>
    </row>
    <row r="4" spans="1:36" x14ac:dyDescent="0.25">
      <c r="A4" s="7">
        <v>45664</v>
      </c>
      <c r="B4" s="48" t="s">
        <v>70</v>
      </c>
      <c r="C4" s="8"/>
      <c r="D4" s="9" t="s">
        <v>46</v>
      </c>
      <c r="E4" s="10" t="s">
        <v>40</v>
      </c>
      <c r="F4" s="11"/>
      <c r="G4" s="12">
        <v>75.45</v>
      </c>
      <c r="H4" s="47">
        <v>21</v>
      </c>
      <c r="I4" s="14">
        <f t="shared" si="0"/>
        <v>15.8445</v>
      </c>
      <c r="J4" s="13"/>
      <c r="K4" s="14"/>
      <c r="L4" s="12"/>
      <c r="M4" s="13"/>
      <c r="N4" s="14">
        <f t="shared" si="1"/>
        <v>0</v>
      </c>
      <c r="O4" s="15"/>
      <c r="P4" s="14"/>
      <c r="Q4" s="12"/>
      <c r="R4" s="13"/>
      <c r="S4" s="14"/>
      <c r="T4" s="15"/>
      <c r="U4" s="14"/>
      <c r="V4" s="15"/>
      <c r="W4" s="15"/>
      <c r="X4" s="14"/>
      <c r="Y4" s="15"/>
      <c r="Z4" s="15"/>
      <c r="AA4" s="14"/>
      <c r="AB4" s="16">
        <f t="shared" si="2"/>
        <v>91.294499999999999</v>
      </c>
      <c r="AC4" s="17"/>
      <c r="AD4" s="18"/>
      <c r="AE4" s="19"/>
      <c r="AF4" s="20"/>
      <c r="AG4" s="21"/>
      <c r="AH4" s="22"/>
      <c r="AI4" s="23"/>
      <c r="AJ4" s="40"/>
    </row>
    <row r="5" spans="1:36" x14ac:dyDescent="0.25">
      <c r="A5" s="7">
        <v>45664</v>
      </c>
      <c r="B5" s="48" t="s">
        <v>71</v>
      </c>
      <c r="C5" s="8"/>
      <c r="D5" s="9" t="s">
        <v>46</v>
      </c>
      <c r="E5" s="10" t="s">
        <v>40</v>
      </c>
      <c r="F5" s="11"/>
      <c r="G5" s="12">
        <v>249.25</v>
      </c>
      <c r="H5" s="47">
        <v>21</v>
      </c>
      <c r="I5" s="14">
        <f t="shared" si="0"/>
        <v>52.342500000000001</v>
      </c>
      <c r="J5" s="13"/>
      <c r="K5" s="14"/>
      <c r="L5" s="12"/>
      <c r="M5" s="13"/>
      <c r="N5" s="14">
        <f t="shared" si="1"/>
        <v>0</v>
      </c>
      <c r="O5" s="15"/>
      <c r="P5" s="14"/>
      <c r="Q5" s="12"/>
      <c r="R5" s="13"/>
      <c r="S5" s="14"/>
      <c r="T5" s="15"/>
      <c r="U5" s="14"/>
      <c r="V5" s="15"/>
      <c r="W5" s="15"/>
      <c r="X5" s="14"/>
      <c r="Y5" s="15"/>
      <c r="Z5" s="15"/>
      <c r="AA5" s="14"/>
      <c r="AB5" s="16">
        <f t="shared" si="2"/>
        <v>301.59249999999997</v>
      </c>
      <c r="AC5" s="17"/>
      <c r="AD5" s="18"/>
      <c r="AE5" s="19"/>
      <c r="AF5" s="20"/>
      <c r="AG5" s="21"/>
      <c r="AH5" s="22"/>
      <c r="AI5" s="23"/>
      <c r="AJ5" s="40"/>
    </row>
    <row r="6" spans="1:36" x14ac:dyDescent="0.25">
      <c r="A6" s="7">
        <v>45664</v>
      </c>
      <c r="B6" s="48" t="s">
        <v>72</v>
      </c>
      <c r="C6" s="8"/>
      <c r="D6" s="9" t="s">
        <v>46</v>
      </c>
      <c r="E6" s="10" t="s">
        <v>40</v>
      </c>
      <c r="F6" s="11"/>
      <c r="G6" s="12">
        <v>35</v>
      </c>
      <c r="H6" s="47">
        <v>21</v>
      </c>
      <c r="I6" s="14">
        <f t="shared" si="0"/>
        <v>7.35</v>
      </c>
      <c r="J6" s="13"/>
      <c r="K6" s="14"/>
      <c r="L6" s="12"/>
      <c r="M6" s="13"/>
      <c r="N6" s="14">
        <f t="shared" si="1"/>
        <v>0</v>
      </c>
      <c r="O6" s="15"/>
      <c r="P6" s="14"/>
      <c r="Q6" s="12"/>
      <c r="R6" s="13"/>
      <c r="S6" s="14"/>
      <c r="T6" s="15"/>
      <c r="U6" s="14"/>
      <c r="V6" s="15"/>
      <c r="W6" s="15"/>
      <c r="X6" s="14"/>
      <c r="Y6" s="15"/>
      <c r="Z6" s="15"/>
      <c r="AA6" s="14"/>
      <c r="AB6" s="16">
        <f t="shared" si="2"/>
        <v>42.35</v>
      </c>
      <c r="AC6" s="17"/>
      <c r="AD6" s="18"/>
      <c r="AE6" s="19"/>
      <c r="AF6" s="20"/>
      <c r="AG6" s="21"/>
      <c r="AH6" s="22"/>
      <c r="AI6" s="23"/>
      <c r="AJ6" s="40"/>
    </row>
    <row r="7" spans="1:36" x14ac:dyDescent="0.25">
      <c r="A7" s="7">
        <v>45667</v>
      </c>
      <c r="B7" s="48" t="s">
        <v>73</v>
      </c>
      <c r="C7" s="8"/>
      <c r="D7" s="9" t="s">
        <v>43</v>
      </c>
      <c r="E7" s="10" t="s">
        <v>37</v>
      </c>
      <c r="F7" s="11"/>
      <c r="G7" s="12">
        <v>1220</v>
      </c>
      <c r="H7" s="47">
        <v>21</v>
      </c>
      <c r="I7" s="14">
        <f t="shared" si="0"/>
        <v>256.2</v>
      </c>
      <c r="J7" s="13"/>
      <c r="K7" s="14"/>
      <c r="L7" s="12"/>
      <c r="M7" s="13"/>
      <c r="N7" s="14">
        <f t="shared" si="1"/>
        <v>0</v>
      </c>
      <c r="O7" s="15"/>
      <c r="P7" s="14"/>
      <c r="Q7" s="12"/>
      <c r="R7" s="13"/>
      <c r="S7" s="14"/>
      <c r="T7" s="15"/>
      <c r="U7" s="14"/>
      <c r="V7" s="15"/>
      <c r="W7" s="15"/>
      <c r="X7" s="14"/>
      <c r="Y7" s="15"/>
      <c r="Z7" s="15"/>
      <c r="AA7" s="14"/>
      <c r="AB7" s="16">
        <f t="shared" si="2"/>
        <v>1476.2</v>
      </c>
      <c r="AC7" s="17"/>
      <c r="AD7" s="18"/>
      <c r="AE7" s="19"/>
      <c r="AF7" s="20"/>
      <c r="AG7" s="21"/>
      <c r="AH7" s="22"/>
      <c r="AI7" s="23"/>
      <c r="AJ7" s="40"/>
    </row>
    <row r="8" spans="1:36" x14ac:dyDescent="0.25">
      <c r="A8" s="7">
        <v>45667</v>
      </c>
      <c r="B8" s="48" t="s">
        <v>74</v>
      </c>
      <c r="C8" s="8"/>
      <c r="D8" s="9" t="s">
        <v>64</v>
      </c>
      <c r="E8" s="10" t="s">
        <v>62</v>
      </c>
      <c r="F8" s="11"/>
      <c r="G8" s="12">
        <v>315</v>
      </c>
      <c r="H8" s="47">
        <v>21</v>
      </c>
      <c r="I8" s="14">
        <f t="shared" si="0"/>
        <v>66.150000000000006</v>
      </c>
      <c r="J8" s="13"/>
      <c r="K8" s="14"/>
      <c r="L8" s="12"/>
      <c r="M8" s="13"/>
      <c r="N8" s="14">
        <f t="shared" si="1"/>
        <v>0</v>
      </c>
      <c r="O8" s="15"/>
      <c r="P8" s="14"/>
      <c r="Q8" s="12"/>
      <c r="R8" s="13"/>
      <c r="S8" s="14"/>
      <c r="T8" s="15"/>
      <c r="U8" s="14"/>
      <c r="V8" s="15"/>
      <c r="W8" s="15"/>
      <c r="X8" s="14"/>
      <c r="Y8" s="15"/>
      <c r="Z8" s="15"/>
      <c r="AA8" s="14"/>
      <c r="AB8" s="16">
        <f t="shared" si="2"/>
        <v>381.15</v>
      </c>
      <c r="AC8" s="17"/>
      <c r="AD8" s="18"/>
      <c r="AE8" s="19"/>
      <c r="AF8" s="20"/>
      <c r="AG8" s="21"/>
      <c r="AH8" s="22"/>
      <c r="AI8" s="23"/>
      <c r="AJ8" s="40" t="s">
        <v>65</v>
      </c>
    </row>
    <row r="9" spans="1:36" x14ac:dyDescent="0.25">
      <c r="A9" s="7">
        <v>45667</v>
      </c>
      <c r="B9" s="48" t="s">
        <v>75</v>
      </c>
      <c r="C9" s="8"/>
      <c r="D9" s="9" t="s">
        <v>42</v>
      </c>
      <c r="E9" s="10" t="s">
        <v>36</v>
      </c>
      <c r="F9" s="11"/>
      <c r="G9" s="12">
        <v>618.29999999999995</v>
      </c>
      <c r="H9" s="47">
        <v>21</v>
      </c>
      <c r="I9" s="14">
        <f t="shared" si="0"/>
        <v>129.84299999999999</v>
      </c>
      <c r="J9" s="13"/>
      <c r="K9" s="14"/>
      <c r="L9" s="12"/>
      <c r="M9" s="13"/>
      <c r="N9" s="14">
        <f t="shared" si="1"/>
        <v>0</v>
      </c>
      <c r="O9" s="15"/>
      <c r="P9" s="14"/>
      <c r="Q9" s="12"/>
      <c r="R9" s="13"/>
      <c r="S9" s="14"/>
      <c r="T9" s="15"/>
      <c r="U9" s="14"/>
      <c r="V9" s="15"/>
      <c r="W9" s="15"/>
      <c r="X9" s="14"/>
      <c r="Y9" s="15"/>
      <c r="Z9" s="15"/>
      <c r="AA9" s="14"/>
      <c r="AB9" s="16">
        <f t="shared" si="2"/>
        <v>748.14299999999992</v>
      </c>
      <c r="AC9" s="17"/>
      <c r="AD9" s="18"/>
      <c r="AE9" s="19"/>
      <c r="AF9" s="20"/>
      <c r="AG9" s="21"/>
      <c r="AH9" s="22"/>
      <c r="AI9" s="23"/>
      <c r="AJ9" s="40"/>
    </row>
    <row r="10" spans="1:36" x14ac:dyDescent="0.25">
      <c r="A10" s="7">
        <v>45667</v>
      </c>
      <c r="B10" s="48" t="s">
        <v>76</v>
      </c>
      <c r="C10" s="8"/>
      <c r="D10" s="9" t="s">
        <v>42</v>
      </c>
      <c r="E10" s="10" t="s">
        <v>36</v>
      </c>
      <c r="F10" s="11"/>
      <c r="G10" s="12">
        <v>74.25</v>
      </c>
      <c r="H10" s="47">
        <v>21</v>
      </c>
      <c r="I10" s="14">
        <f t="shared" si="0"/>
        <v>15.592499999999999</v>
      </c>
      <c r="J10" s="13"/>
      <c r="K10" s="14"/>
      <c r="L10" s="12"/>
      <c r="M10" s="13"/>
      <c r="N10" s="14">
        <f t="shared" si="1"/>
        <v>0</v>
      </c>
      <c r="O10" s="15"/>
      <c r="P10" s="14"/>
      <c r="Q10" s="12"/>
      <c r="R10" s="13"/>
      <c r="S10" s="14"/>
      <c r="T10" s="15"/>
      <c r="U10" s="14"/>
      <c r="V10" s="15"/>
      <c r="W10" s="15"/>
      <c r="X10" s="14"/>
      <c r="Y10" s="15"/>
      <c r="Z10" s="15"/>
      <c r="AA10" s="14"/>
      <c r="AB10" s="16">
        <f t="shared" si="2"/>
        <v>89.842500000000001</v>
      </c>
      <c r="AC10" s="17"/>
      <c r="AD10" s="18"/>
      <c r="AE10" s="19"/>
      <c r="AF10" s="20"/>
      <c r="AG10" s="21"/>
      <c r="AH10" s="22"/>
      <c r="AI10" s="23"/>
      <c r="AJ10" s="40"/>
    </row>
    <row r="11" spans="1:36" x14ac:dyDescent="0.25">
      <c r="A11" s="7">
        <v>45667</v>
      </c>
      <c r="B11" s="48" t="s">
        <v>77</v>
      </c>
      <c r="C11" s="8"/>
      <c r="D11" s="9" t="s">
        <v>45</v>
      </c>
      <c r="E11" s="10" t="s">
        <v>39</v>
      </c>
      <c r="F11" s="11"/>
      <c r="G11" s="12">
        <v>2281.3000000000002</v>
      </c>
      <c r="H11" s="47">
        <v>21</v>
      </c>
      <c r="I11" s="14">
        <f t="shared" si="0"/>
        <v>479.07300000000004</v>
      </c>
      <c r="J11" s="13"/>
      <c r="K11" s="14"/>
      <c r="L11" s="12"/>
      <c r="M11" s="13"/>
      <c r="N11" s="14">
        <f t="shared" si="1"/>
        <v>0</v>
      </c>
      <c r="O11" s="15"/>
      <c r="P11" s="14"/>
      <c r="Q11" s="12"/>
      <c r="R11" s="13"/>
      <c r="S11" s="14"/>
      <c r="T11" s="15"/>
      <c r="U11" s="14"/>
      <c r="V11" s="15"/>
      <c r="W11" s="15"/>
      <c r="X11" s="14"/>
      <c r="Y11" s="15"/>
      <c r="Z11" s="15"/>
      <c r="AA11" s="14"/>
      <c r="AB11" s="16">
        <f t="shared" si="2"/>
        <v>2760.373</v>
      </c>
      <c r="AC11" s="17"/>
      <c r="AD11" s="18"/>
      <c r="AE11" s="19"/>
      <c r="AF11" s="20"/>
      <c r="AG11" s="21"/>
      <c r="AH11" s="22"/>
      <c r="AI11" s="23"/>
      <c r="AJ11" s="40"/>
    </row>
    <row r="12" spans="1:36" x14ac:dyDescent="0.25">
      <c r="A12" s="7">
        <v>45671</v>
      </c>
      <c r="B12" s="48" t="s">
        <v>78</v>
      </c>
      <c r="C12" s="8"/>
      <c r="D12" s="9" t="s">
        <v>42</v>
      </c>
      <c r="E12" s="10" t="s">
        <v>36</v>
      </c>
      <c r="F12" s="11"/>
      <c r="G12" s="12">
        <v>800</v>
      </c>
      <c r="H12" s="47">
        <v>21</v>
      </c>
      <c r="I12" s="14">
        <f t="shared" si="0"/>
        <v>168</v>
      </c>
      <c r="J12" s="13"/>
      <c r="K12" s="14"/>
      <c r="L12" s="12"/>
      <c r="M12" s="13"/>
      <c r="N12" s="14">
        <f t="shared" si="1"/>
        <v>0</v>
      </c>
      <c r="O12" s="15"/>
      <c r="P12" s="14"/>
      <c r="Q12" s="12"/>
      <c r="R12" s="13"/>
      <c r="S12" s="14"/>
      <c r="T12" s="15"/>
      <c r="U12" s="14"/>
      <c r="V12" s="15"/>
      <c r="W12" s="15"/>
      <c r="X12" s="14"/>
      <c r="Y12" s="15"/>
      <c r="Z12" s="15"/>
      <c r="AA12" s="14"/>
      <c r="AB12" s="16">
        <f t="shared" si="2"/>
        <v>968</v>
      </c>
      <c r="AC12" s="17"/>
      <c r="AD12" s="18"/>
      <c r="AE12" s="19"/>
      <c r="AF12" s="20"/>
      <c r="AG12" s="21"/>
      <c r="AH12" s="22"/>
      <c r="AI12" s="23"/>
      <c r="AJ12" s="40"/>
    </row>
    <row r="13" spans="1:36" x14ac:dyDescent="0.25">
      <c r="A13" s="7">
        <v>45671</v>
      </c>
      <c r="B13" s="48" t="s">
        <v>79</v>
      </c>
      <c r="C13" s="8"/>
      <c r="D13" s="9" t="s">
        <v>58</v>
      </c>
      <c r="E13" s="10" t="s">
        <v>57</v>
      </c>
      <c r="F13" s="11"/>
      <c r="G13" s="12">
        <v>31871</v>
      </c>
      <c r="H13" s="47">
        <v>21</v>
      </c>
      <c r="I13" s="14">
        <f t="shared" si="0"/>
        <v>6692.91</v>
      </c>
      <c r="J13" s="13"/>
      <c r="K13" s="14"/>
      <c r="L13" s="12"/>
      <c r="M13" s="13"/>
      <c r="N13" s="14">
        <f t="shared" si="1"/>
        <v>0</v>
      </c>
      <c r="O13" s="15"/>
      <c r="P13" s="14"/>
      <c r="Q13" s="12"/>
      <c r="R13" s="13"/>
      <c r="S13" s="14"/>
      <c r="T13" s="15"/>
      <c r="U13" s="14"/>
      <c r="V13" s="15"/>
      <c r="W13" s="15"/>
      <c r="X13" s="14"/>
      <c r="Y13" s="15"/>
      <c r="Z13" s="15"/>
      <c r="AA13" s="14"/>
      <c r="AB13" s="16">
        <f t="shared" si="2"/>
        <v>38563.910000000003</v>
      </c>
      <c r="AC13" s="17"/>
      <c r="AD13" s="18"/>
      <c r="AE13" s="19"/>
      <c r="AF13" s="20"/>
      <c r="AG13" s="21"/>
      <c r="AH13" s="22"/>
      <c r="AI13" s="23"/>
      <c r="AJ13" s="40" t="s">
        <v>66</v>
      </c>
    </row>
    <row r="14" spans="1:36" x14ac:dyDescent="0.25">
      <c r="A14" s="7">
        <v>45674</v>
      </c>
      <c r="B14" s="48" t="s">
        <v>80</v>
      </c>
      <c r="C14" s="8"/>
      <c r="D14" s="9" t="s">
        <v>60</v>
      </c>
      <c r="E14" s="10" t="s">
        <v>59</v>
      </c>
      <c r="F14" s="11"/>
      <c r="G14" s="12">
        <v>71369</v>
      </c>
      <c r="H14" s="47"/>
      <c r="I14" s="14">
        <f t="shared" si="0"/>
        <v>0</v>
      </c>
      <c r="J14" s="13"/>
      <c r="K14" s="14"/>
      <c r="L14" s="12"/>
      <c r="M14" s="13"/>
      <c r="N14" s="14">
        <f t="shared" si="1"/>
        <v>0</v>
      </c>
      <c r="O14" s="15"/>
      <c r="P14" s="14"/>
      <c r="Q14" s="12"/>
      <c r="R14" s="13"/>
      <c r="S14" s="14"/>
      <c r="T14" s="15"/>
      <c r="U14" s="14"/>
      <c r="V14" s="15"/>
      <c r="W14" s="15"/>
      <c r="X14" s="14"/>
      <c r="Y14" s="15"/>
      <c r="Z14" s="15"/>
      <c r="AA14" s="14"/>
      <c r="AB14" s="16">
        <f t="shared" si="2"/>
        <v>71369</v>
      </c>
      <c r="AC14" s="17"/>
      <c r="AD14" s="18"/>
      <c r="AE14" s="19"/>
      <c r="AF14" s="20"/>
      <c r="AG14" s="21"/>
      <c r="AH14" s="22"/>
      <c r="AI14" s="23"/>
      <c r="AJ14" s="40" t="s">
        <v>61</v>
      </c>
    </row>
    <row r="15" spans="1:36" x14ac:dyDescent="0.25">
      <c r="A15" s="7">
        <v>45674</v>
      </c>
      <c r="B15" s="48" t="s">
        <v>81</v>
      </c>
      <c r="C15" s="8"/>
      <c r="D15" s="9" t="s">
        <v>46</v>
      </c>
      <c r="E15" s="10" t="s">
        <v>40</v>
      </c>
      <c r="F15" s="11"/>
      <c r="G15" s="12">
        <v>66660.83</v>
      </c>
      <c r="H15" s="47">
        <v>21</v>
      </c>
      <c r="I15" s="14">
        <f t="shared" si="0"/>
        <v>13998.774299999999</v>
      </c>
      <c r="J15" s="13"/>
      <c r="K15" s="14"/>
      <c r="L15" s="12"/>
      <c r="M15" s="13"/>
      <c r="N15" s="14">
        <f t="shared" si="1"/>
        <v>0</v>
      </c>
      <c r="O15" s="15"/>
      <c r="P15" s="14"/>
      <c r="Q15" s="12"/>
      <c r="R15" s="13"/>
      <c r="S15" s="14"/>
      <c r="T15" s="15"/>
      <c r="U15" s="14"/>
      <c r="V15" s="15"/>
      <c r="W15" s="15"/>
      <c r="X15" s="14"/>
      <c r="Y15" s="15"/>
      <c r="Z15" s="15"/>
      <c r="AA15" s="14"/>
      <c r="AB15" s="16">
        <f t="shared" si="2"/>
        <v>80659.604300000006</v>
      </c>
      <c r="AC15" s="17"/>
      <c r="AD15" s="18"/>
      <c r="AE15" s="19"/>
      <c r="AF15" s="20"/>
      <c r="AG15" s="21"/>
      <c r="AH15" s="22"/>
      <c r="AI15" s="23"/>
      <c r="AJ15" s="40"/>
    </row>
    <row r="16" spans="1:36" x14ac:dyDescent="0.25">
      <c r="A16" s="7">
        <v>45674</v>
      </c>
      <c r="B16" s="48" t="s">
        <v>82</v>
      </c>
      <c r="C16" s="8"/>
      <c r="D16" s="9" t="s">
        <v>44</v>
      </c>
      <c r="E16" s="10" t="s">
        <v>38</v>
      </c>
      <c r="F16" s="11"/>
      <c r="G16" s="12">
        <v>78</v>
      </c>
      <c r="H16" s="47">
        <v>21</v>
      </c>
      <c r="I16" s="14">
        <f t="shared" si="0"/>
        <v>16.38</v>
      </c>
      <c r="J16" s="13"/>
      <c r="K16" s="14"/>
      <c r="L16" s="12"/>
      <c r="M16" s="13"/>
      <c r="N16" s="14">
        <f t="shared" si="1"/>
        <v>0</v>
      </c>
      <c r="O16" s="15"/>
      <c r="P16" s="14"/>
      <c r="Q16" s="12"/>
      <c r="R16" s="13"/>
      <c r="S16" s="14"/>
      <c r="T16" s="15"/>
      <c r="U16" s="14"/>
      <c r="V16" s="15"/>
      <c r="W16" s="15"/>
      <c r="X16" s="14"/>
      <c r="Y16" s="15"/>
      <c r="Z16" s="15"/>
      <c r="AA16" s="14"/>
      <c r="AB16" s="16">
        <f t="shared" si="2"/>
        <v>94.38</v>
      </c>
      <c r="AC16" s="17"/>
      <c r="AD16" s="18"/>
      <c r="AE16" s="19"/>
      <c r="AF16" s="20"/>
      <c r="AG16" s="21"/>
      <c r="AH16" s="22"/>
      <c r="AI16" s="23"/>
      <c r="AJ16" s="40"/>
    </row>
    <row r="17" spans="1:36" x14ac:dyDescent="0.25">
      <c r="A17" s="7">
        <v>45674</v>
      </c>
      <c r="B17" s="48" t="s">
        <v>83</v>
      </c>
      <c r="C17" s="8"/>
      <c r="D17" s="9" t="s">
        <v>54</v>
      </c>
      <c r="E17" s="10" t="s">
        <v>52</v>
      </c>
      <c r="F17" s="11"/>
      <c r="G17" s="12">
        <v>328</v>
      </c>
      <c r="H17" s="47">
        <v>21</v>
      </c>
      <c r="I17" s="14">
        <f t="shared" si="0"/>
        <v>68.88</v>
      </c>
      <c r="J17" s="13"/>
      <c r="K17" s="14"/>
      <c r="L17" s="12"/>
      <c r="M17" s="13"/>
      <c r="N17" s="14">
        <f t="shared" si="1"/>
        <v>0</v>
      </c>
      <c r="O17" s="15"/>
      <c r="P17" s="14"/>
      <c r="Q17" s="12"/>
      <c r="R17" s="13"/>
      <c r="S17" s="14"/>
      <c r="T17" s="15"/>
      <c r="U17" s="14"/>
      <c r="V17" s="15"/>
      <c r="W17" s="15"/>
      <c r="X17" s="14"/>
      <c r="Y17" s="15"/>
      <c r="Z17" s="15"/>
      <c r="AA17" s="14"/>
      <c r="AB17" s="16">
        <f t="shared" si="2"/>
        <v>396.88</v>
      </c>
      <c r="AC17" s="17"/>
      <c r="AD17" s="18"/>
      <c r="AE17" s="19"/>
      <c r="AF17" s="20"/>
      <c r="AG17" s="21"/>
      <c r="AH17" s="22"/>
      <c r="AI17" s="23"/>
      <c r="AJ17" s="40"/>
    </row>
    <row r="18" spans="1:36" x14ac:dyDescent="0.25">
      <c r="A18" s="7">
        <v>45674</v>
      </c>
      <c r="B18" s="48" t="s">
        <v>84</v>
      </c>
      <c r="C18" s="8"/>
      <c r="D18" s="9" t="s">
        <v>44</v>
      </c>
      <c r="E18" s="10" t="s">
        <v>40</v>
      </c>
      <c r="F18" s="11"/>
      <c r="G18" s="12">
        <v>46</v>
      </c>
      <c r="H18" s="47">
        <v>21</v>
      </c>
      <c r="I18" s="14">
        <f t="shared" si="0"/>
        <v>9.66</v>
      </c>
      <c r="J18" s="13"/>
      <c r="K18" s="14"/>
      <c r="L18" s="12"/>
      <c r="M18" s="13"/>
      <c r="N18" s="14">
        <f t="shared" si="1"/>
        <v>0</v>
      </c>
      <c r="O18" s="15"/>
      <c r="P18" s="14"/>
      <c r="Q18" s="12"/>
      <c r="R18" s="13"/>
      <c r="S18" s="14"/>
      <c r="T18" s="15"/>
      <c r="U18" s="14"/>
      <c r="V18" s="15"/>
      <c r="W18" s="15"/>
      <c r="X18" s="14"/>
      <c r="Y18" s="15"/>
      <c r="Z18" s="15"/>
      <c r="AA18" s="14"/>
      <c r="AB18" s="16">
        <f t="shared" si="2"/>
        <v>55.66</v>
      </c>
      <c r="AC18" s="17"/>
      <c r="AD18" s="18"/>
      <c r="AE18" s="19"/>
      <c r="AF18" s="20"/>
      <c r="AG18" s="21"/>
      <c r="AH18" s="22"/>
      <c r="AI18" s="23"/>
      <c r="AJ18" s="40"/>
    </row>
    <row r="19" spans="1:36" x14ac:dyDescent="0.25">
      <c r="A19" s="7">
        <v>45674</v>
      </c>
      <c r="B19" s="48" t="s">
        <v>85</v>
      </c>
      <c r="C19" s="8"/>
      <c r="D19" s="9" t="s">
        <v>44</v>
      </c>
      <c r="E19" s="10" t="s">
        <v>40</v>
      </c>
      <c r="F19" s="11"/>
      <c r="G19" s="12">
        <v>1182</v>
      </c>
      <c r="H19" s="47">
        <v>21</v>
      </c>
      <c r="I19" s="14">
        <f t="shared" si="0"/>
        <v>248.22</v>
      </c>
      <c r="J19" s="13"/>
      <c r="K19" s="14"/>
      <c r="L19" s="12"/>
      <c r="M19" s="13"/>
      <c r="N19" s="14">
        <f t="shared" si="1"/>
        <v>0</v>
      </c>
      <c r="O19" s="15"/>
      <c r="P19" s="14"/>
      <c r="Q19" s="12"/>
      <c r="R19" s="13"/>
      <c r="S19" s="14"/>
      <c r="T19" s="15"/>
      <c r="U19" s="14"/>
      <c r="V19" s="15"/>
      <c r="W19" s="15"/>
      <c r="X19" s="14"/>
      <c r="Y19" s="15"/>
      <c r="Z19" s="15"/>
      <c r="AA19" s="14"/>
      <c r="AB19" s="16">
        <f t="shared" si="2"/>
        <v>1430.22</v>
      </c>
      <c r="AC19" s="17"/>
      <c r="AD19" s="18"/>
      <c r="AE19" s="19"/>
      <c r="AF19" s="20"/>
      <c r="AG19" s="21"/>
      <c r="AH19" s="22"/>
      <c r="AI19" s="23"/>
      <c r="AJ19" s="40"/>
    </row>
    <row r="20" spans="1:36" x14ac:dyDescent="0.25">
      <c r="A20" s="7">
        <v>45674</v>
      </c>
      <c r="B20" s="48" t="s">
        <v>86</v>
      </c>
      <c r="C20" s="8"/>
      <c r="D20" s="9" t="s">
        <v>44</v>
      </c>
      <c r="E20" s="10" t="s">
        <v>40</v>
      </c>
      <c r="F20" s="11"/>
      <c r="G20" s="12">
        <v>492.6</v>
      </c>
      <c r="H20" s="47">
        <v>21</v>
      </c>
      <c r="I20" s="14">
        <f t="shared" si="0"/>
        <v>103.446</v>
      </c>
      <c r="J20" s="13"/>
      <c r="K20" s="14"/>
      <c r="L20" s="12"/>
      <c r="M20" s="13"/>
      <c r="N20" s="14">
        <f t="shared" si="1"/>
        <v>0</v>
      </c>
      <c r="O20" s="15"/>
      <c r="P20" s="14"/>
      <c r="Q20" s="12"/>
      <c r="R20" s="13"/>
      <c r="S20" s="14"/>
      <c r="T20" s="15"/>
      <c r="U20" s="14"/>
      <c r="V20" s="15"/>
      <c r="W20" s="15"/>
      <c r="X20" s="14"/>
      <c r="Y20" s="15"/>
      <c r="Z20" s="15"/>
      <c r="AA20" s="14"/>
      <c r="AB20" s="16">
        <f t="shared" si="2"/>
        <v>596.04600000000005</v>
      </c>
      <c r="AC20" s="17"/>
      <c r="AD20" s="18"/>
      <c r="AE20" s="19"/>
      <c r="AF20" s="20"/>
      <c r="AG20" s="21"/>
      <c r="AH20" s="22"/>
      <c r="AI20" s="23"/>
      <c r="AJ20" s="40"/>
    </row>
    <row r="21" spans="1:36" x14ac:dyDescent="0.25">
      <c r="A21" s="7">
        <v>45674</v>
      </c>
      <c r="B21" s="48" t="s">
        <v>87</v>
      </c>
      <c r="C21" s="8"/>
      <c r="D21" s="9" t="s">
        <v>44</v>
      </c>
      <c r="E21" s="10" t="s">
        <v>40</v>
      </c>
      <c r="F21" s="11"/>
      <c r="G21" s="12">
        <v>183.4</v>
      </c>
      <c r="H21" s="47">
        <v>21</v>
      </c>
      <c r="I21" s="14">
        <f t="shared" si="0"/>
        <v>38.514000000000003</v>
      </c>
      <c r="J21" s="13"/>
      <c r="K21" s="14"/>
      <c r="L21" s="12"/>
      <c r="M21" s="13"/>
      <c r="N21" s="14">
        <f t="shared" si="1"/>
        <v>0</v>
      </c>
      <c r="O21" s="15"/>
      <c r="P21" s="14"/>
      <c r="Q21" s="12"/>
      <c r="R21" s="13"/>
      <c r="S21" s="14"/>
      <c r="T21" s="15"/>
      <c r="U21" s="14"/>
      <c r="V21" s="15"/>
      <c r="W21" s="15"/>
      <c r="X21" s="14"/>
      <c r="Y21" s="15"/>
      <c r="Z21" s="15"/>
      <c r="AA21" s="14"/>
      <c r="AB21" s="16">
        <f t="shared" si="2"/>
        <v>221.91400000000002</v>
      </c>
      <c r="AC21" s="17"/>
      <c r="AD21" s="18"/>
      <c r="AE21" s="19"/>
      <c r="AF21" s="20"/>
      <c r="AG21" s="21"/>
      <c r="AH21" s="22"/>
      <c r="AI21" s="23"/>
      <c r="AJ21" s="40"/>
    </row>
    <row r="22" spans="1:36" x14ac:dyDescent="0.25">
      <c r="A22" s="7">
        <v>45674</v>
      </c>
      <c r="B22" s="48" t="s">
        <v>88</v>
      </c>
      <c r="C22" s="8"/>
      <c r="D22" s="9" t="s">
        <v>44</v>
      </c>
      <c r="E22" s="10" t="s">
        <v>40</v>
      </c>
      <c r="F22" s="11"/>
      <c r="G22" s="12">
        <v>3619.2</v>
      </c>
      <c r="H22" s="47">
        <v>21</v>
      </c>
      <c r="I22" s="14">
        <f t="shared" si="0"/>
        <v>760.03199999999993</v>
      </c>
      <c r="J22" s="13"/>
      <c r="K22" s="14"/>
      <c r="L22" s="12"/>
      <c r="M22" s="13"/>
      <c r="N22" s="14">
        <f t="shared" si="1"/>
        <v>0</v>
      </c>
      <c r="O22" s="15"/>
      <c r="P22" s="14"/>
      <c r="Q22" s="12"/>
      <c r="R22" s="13"/>
      <c r="S22" s="14"/>
      <c r="T22" s="15"/>
      <c r="U22" s="14"/>
      <c r="V22" s="15"/>
      <c r="W22" s="15"/>
      <c r="X22" s="14"/>
      <c r="Y22" s="15"/>
      <c r="Z22" s="15"/>
      <c r="AA22" s="14"/>
      <c r="AB22" s="16">
        <f t="shared" si="2"/>
        <v>4379.232</v>
      </c>
      <c r="AC22" s="17"/>
      <c r="AD22" s="18"/>
      <c r="AE22" s="19"/>
      <c r="AF22" s="20"/>
      <c r="AG22" s="21"/>
      <c r="AH22" s="22"/>
      <c r="AI22" s="23"/>
      <c r="AJ22" s="40"/>
    </row>
    <row r="23" spans="1:36" x14ac:dyDescent="0.25">
      <c r="A23" s="7">
        <v>45674</v>
      </c>
      <c r="B23" s="48" t="s">
        <v>89</v>
      </c>
      <c r="C23" s="8"/>
      <c r="D23" s="9" t="s">
        <v>47</v>
      </c>
      <c r="E23" s="10" t="s">
        <v>41</v>
      </c>
      <c r="F23" s="11"/>
      <c r="G23" s="12">
        <v>2304</v>
      </c>
      <c r="H23" s="47">
        <v>21</v>
      </c>
      <c r="I23" s="14">
        <f t="shared" si="0"/>
        <v>483.84</v>
      </c>
      <c r="J23" s="13"/>
      <c r="K23" s="14"/>
      <c r="L23" s="12"/>
      <c r="M23" s="13"/>
      <c r="N23" s="14">
        <f t="shared" si="1"/>
        <v>0</v>
      </c>
      <c r="O23" s="15"/>
      <c r="P23" s="14"/>
      <c r="Q23" s="12"/>
      <c r="R23" s="13"/>
      <c r="S23" s="14"/>
      <c r="T23" s="15"/>
      <c r="U23" s="14"/>
      <c r="V23" s="15"/>
      <c r="W23" s="15"/>
      <c r="X23" s="14"/>
      <c r="Y23" s="15"/>
      <c r="Z23" s="15"/>
      <c r="AA23" s="14"/>
      <c r="AB23" s="16">
        <f t="shared" si="2"/>
        <v>2787.84</v>
      </c>
      <c r="AC23" s="17"/>
      <c r="AD23" s="18"/>
      <c r="AE23" s="19"/>
      <c r="AF23" s="20"/>
      <c r="AG23" s="21"/>
      <c r="AH23" s="22"/>
      <c r="AI23" s="23"/>
      <c r="AJ23" s="40"/>
    </row>
    <row r="24" spans="1:36" x14ac:dyDescent="0.25">
      <c r="A24" s="7">
        <v>45674</v>
      </c>
      <c r="B24" s="48" t="s">
        <v>90</v>
      </c>
      <c r="C24" s="8"/>
      <c r="D24" s="9" t="s">
        <v>47</v>
      </c>
      <c r="E24" s="10" t="s">
        <v>41</v>
      </c>
      <c r="F24" s="11"/>
      <c r="G24" s="12">
        <v>7092</v>
      </c>
      <c r="H24" s="47">
        <v>21</v>
      </c>
      <c r="I24" s="14">
        <f t="shared" si="0"/>
        <v>1489.32</v>
      </c>
      <c r="J24" s="13"/>
      <c r="K24" s="14"/>
      <c r="L24" s="12"/>
      <c r="M24" s="13"/>
      <c r="N24" s="14">
        <f t="shared" si="1"/>
        <v>0</v>
      </c>
      <c r="O24" s="15"/>
      <c r="P24" s="14"/>
      <c r="Q24" s="12"/>
      <c r="R24" s="13"/>
      <c r="S24" s="14"/>
      <c r="T24" s="15"/>
      <c r="U24" s="14"/>
      <c r="V24" s="15"/>
      <c r="W24" s="15"/>
      <c r="X24" s="14"/>
      <c r="Y24" s="15"/>
      <c r="Z24" s="15"/>
      <c r="AA24" s="14"/>
      <c r="AB24" s="16">
        <f t="shared" si="2"/>
        <v>8581.32</v>
      </c>
      <c r="AC24" s="17"/>
      <c r="AD24" s="18"/>
      <c r="AE24" s="19"/>
      <c r="AF24" s="20"/>
      <c r="AG24" s="21"/>
      <c r="AH24" s="22"/>
      <c r="AI24" s="23"/>
      <c r="AJ24" s="40"/>
    </row>
    <row r="25" spans="1:36" x14ac:dyDescent="0.25">
      <c r="A25" s="7">
        <v>45674</v>
      </c>
      <c r="B25" s="48" t="s">
        <v>91</v>
      </c>
      <c r="C25" s="8"/>
      <c r="D25" s="9" t="s">
        <v>50</v>
      </c>
      <c r="E25" s="10" t="s">
        <v>51</v>
      </c>
      <c r="F25" s="11"/>
      <c r="G25" s="12">
        <v>20000</v>
      </c>
      <c r="H25" s="47">
        <v>21</v>
      </c>
      <c r="I25" s="14">
        <f t="shared" si="0"/>
        <v>4200</v>
      </c>
      <c r="J25" s="13"/>
      <c r="K25" s="14"/>
      <c r="L25" s="12"/>
      <c r="M25" s="13"/>
      <c r="N25" s="14">
        <f t="shared" si="1"/>
        <v>0</v>
      </c>
      <c r="O25" s="15"/>
      <c r="P25" s="14"/>
      <c r="Q25" s="12"/>
      <c r="R25" s="13"/>
      <c r="S25" s="14"/>
      <c r="T25" s="15"/>
      <c r="U25" s="14"/>
      <c r="V25" s="15"/>
      <c r="W25" s="15"/>
      <c r="X25" s="14"/>
      <c r="Y25" s="15"/>
      <c r="Z25" s="15"/>
      <c r="AA25" s="14"/>
      <c r="AB25" s="16">
        <f t="shared" si="2"/>
        <v>24200</v>
      </c>
      <c r="AC25" s="17"/>
      <c r="AD25" s="18"/>
      <c r="AE25" s="19"/>
      <c r="AF25" s="20"/>
      <c r="AG25" s="21"/>
      <c r="AH25" s="22"/>
      <c r="AI25" s="23"/>
      <c r="AJ25" s="40" t="s">
        <v>67</v>
      </c>
    </row>
    <row r="26" spans="1:36" x14ac:dyDescent="0.25">
      <c r="A26" s="7">
        <v>45684</v>
      </c>
      <c r="B26" s="48" t="s">
        <v>92</v>
      </c>
      <c r="C26" s="8"/>
      <c r="D26" s="9" t="s">
        <v>60</v>
      </c>
      <c r="E26" s="10" t="s">
        <v>59</v>
      </c>
      <c r="F26" s="11"/>
      <c r="G26" s="12">
        <v>1912.3</v>
      </c>
      <c r="H26" s="47"/>
      <c r="I26" s="14">
        <f t="shared" si="0"/>
        <v>0</v>
      </c>
      <c r="J26" s="13"/>
      <c r="K26" s="14"/>
      <c r="L26" s="12"/>
      <c r="M26" s="13"/>
      <c r="N26" s="14">
        <f t="shared" si="1"/>
        <v>0</v>
      </c>
      <c r="O26" s="15"/>
      <c r="P26" s="14"/>
      <c r="Q26" s="12"/>
      <c r="R26" s="13"/>
      <c r="S26" s="14"/>
      <c r="T26" s="15"/>
      <c r="U26" s="14"/>
      <c r="V26" s="15"/>
      <c r="W26" s="15"/>
      <c r="X26" s="14"/>
      <c r="Y26" s="15"/>
      <c r="Z26" s="15"/>
      <c r="AA26" s="14"/>
      <c r="AB26" s="16">
        <f t="shared" si="2"/>
        <v>1912.3</v>
      </c>
      <c r="AC26" s="17"/>
      <c r="AD26" s="18"/>
      <c r="AE26" s="19"/>
      <c r="AF26" s="20"/>
      <c r="AG26" s="21"/>
      <c r="AH26" s="22"/>
      <c r="AI26" s="23"/>
      <c r="AJ26" s="40" t="s">
        <v>61</v>
      </c>
    </row>
    <row r="27" spans="1:36" x14ac:dyDescent="0.25">
      <c r="A27" s="7">
        <v>45685</v>
      </c>
      <c r="B27" s="48" t="s">
        <v>93</v>
      </c>
      <c r="C27" s="8"/>
      <c r="D27" s="9" t="s">
        <v>60</v>
      </c>
      <c r="E27" s="10" t="s">
        <v>59</v>
      </c>
      <c r="F27" s="11"/>
      <c r="G27" s="12">
        <v>6428.45</v>
      </c>
      <c r="H27" s="47"/>
      <c r="I27" s="14">
        <f t="shared" si="0"/>
        <v>0</v>
      </c>
      <c r="J27" s="13"/>
      <c r="K27" s="14"/>
      <c r="L27" s="12"/>
      <c r="M27" s="13"/>
      <c r="N27" s="14">
        <f t="shared" si="1"/>
        <v>0</v>
      </c>
      <c r="O27" s="15"/>
      <c r="P27" s="14"/>
      <c r="Q27" s="12"/>
      <c r="R27" s="13"/>
      <c r="S27" s="14"/>
      <c r="T27" s="15"/>
      <c r="U27" s="14"/>
      <c r="V27" s="15"/>
      <c r="W27" s="15"/>
      <c r="X27" s="14"/>
      <c r="Y27" s="15"/>
      <c r="Z27" s="15"/>
      <c r="AA27" s="14"/>
      <c r="AB27" s="16">
        <f t="shared" si="2"/>
        <v>6428.45</v>
      </c>
      <c r="AC27" s="17"/>
      <c r="AD27" s="18"/>
      <c r="AE27" s="19"/>
      <c r="AF27" s="20"/>
      <c r="AG27" s="21"/>
      <c r="AH27" s="22"/>
      <c r="AI27" s="23"/>
      <c r="AJ27" s="40" t="s">
        <v>61</v>
      </c>
    </row>
    <row r="28" spans="1:36" x14ac:dyDescent="0.25">
      <c r="A28" s="7">
        <v>45685</v>
      </c>
      <c r="B28" s="48" t="s">
        <v>94</v>
      </c>
      <c r="C28" s="8"/>
      <c r="D28" s="9" t="s">
        <v>49</v>
      </c>
      <c r="E28" s="10" t="s">
        <v>53</v>
      </c>
      <c r="F28" s="11"/>
      <c r="G28" s="12">
        <v>1271.8399999999999</v>
      </c>
      <c r="H28" s="47">
        <v>21</v>
      </c>
      <c r="I28" s="14">
        <f t="shared" si="0"/>
        <v>267.08639999999997</v>
      </c>
      <c r="J28" s="13"/>
      <c r="K28" s="14"/>
      <c r="L28" s="12"/>
      <c r="M28" s="13"/>
      <c r="N28" s="14">
        <f t="shared" si="1"/>
        <v>0</v>
      </c>
      <c r="O28" s="15"/>
      <c r="P28" s="14"/>
      <c r="Q28" s="12"/>
      <c r="R28" s="13"/>
      <c r="S28" s="14"/>
      <c r="T28" s="15"/>
      <c r="U28" s="14"/>
      <c r="V28" s="15"/>
      <c r="W28" s="15"/>
      <c r="X28" s="14"/>
      <c r="Y28" s="15"/>
      <c r="Z28" s="15"/>
      <c r="AA28" s="14"/>
      <c r="AB28" s="16">
        <f t="shared" si="2"/>
        <v>1538.9263999999998</v>
      </c>
      <c r="AC28" s="17"/>
      <c r="AD28" s="18"/>
      <c r="AE28" s="19"/>
      <c r="AF28" s="20"/>
      <c r="AG28" s="21"/>
      <c r="AH28" s="22"/>
      <c r="AI28" s="23"/>
      <c r="AJ28" s="40"/>
    </row>
    <row r="29" spans="1:36" x14ac:dyDescent="0.25">
      <c r="A29" s="7">
        <v>45685</v>
      </c>
      <c r="B29" s="48" t="s">
        <v>95</v>
      </c>
      <c r="C29" s="8"/>
      <c r="D29" s="9" t="s">
        <v>42</v>
      </c>
      <c r="E29" s="10" t="s">
        <v>36</v>
      </c>
      <c r="F29" s="11"/>
      <c r="G29" s="12">
        <v>114</v>
      </c>
      <c r="H29" s="47">
        <v>21</v>
      </c>
      <c r="I29" s="14">
        <f t="shared" si="0"/>
        <v>23.94</v>
      </c>
      <c r="J29" s="13"/>
      <c r="K29" s="14"/>
      <c r="L29" s="12"/>
      <c r="M29" s="13"/>
      <c r="N29" s="14">
        <f t="shared" si="1"/>
        <v>0</v>
      </c>
      <c r="O29" s="15"/>
      <c r="P29" s="14"/>
      <c r="Q29" s="12"/>
      <c r="R29" s="13"/>
      <c r="S29" s="14"/>
      <c r="T29" s="15"/>
      <c r="U29" s="14"/>
      <c r="V29" s="15"/>
      <c r="W29" s="15"/>
      <c r="X29" s="14"/>
      <c r="Y29" s="15"/>
      <c r="Z29" s="15"/>
      <c r="AA29" s="14"/>
      <c r="AB29" s="16">
        <f t="shared" si="2"/>
        <v>137.94</v>
      </c>
      <c r="AC29" s="17"/>
      <c r="AD29" s="18"/>
      <c r="AE29" s="19"/>
      <c r="AF29" s="20"/>
      <c r="AG29" s="21"/>
      <c r="AH29" s="22"/>
      <c r="AI29" s="23"/>
      <c r="AJ29" s="40"/>
    </row>
    <row r="30" spans="1:36" s="39" customFormat="1" x14ac:dyDescent="0.25">
      <c r="A30" s="24">
        <v>45685</v>
      </c>
      <c r="B30" s="49" t="s">
        <v>96</v>
      </c>
      <c r="C30" s="25"/>
      <c r="D30" s="26" t="s">
        <v>55</v>
      </c>
      <c r="E30" s="27" t="s">
        <v>63</v>
      </c>
      <c r="F30" s="28"/>
      <c r="G30" s="29">
        <v>2370</v>
      </c>
      <c r="H30" s="47">
        <v>21</v>
      </c>
      <c r="I30" s="16">
        <f t="shared" si="0"/>
        <v>497.7</v>
      </c>
      <c r="J30" s="30"/>
      <c r="K30" s="16"/>
      <c r="L30" s="29"/>
      <c r="M30" s="30"/>
      <c r="N30" s="14">
        <f t="shared" si="1"/>
        <v>0</v>
      </c>
      <c r="O30" s="31"/>
      <c r="P30" s="16"/>
      <c r="Q30" s="29"/>
      <c r="R30" s="30"/>
      <c r="S30" s="16"/>
      <c r="T30" s="31"/>
      <c r="U30" s="16"/>
      <c r="V30" s="31"/>
      <c r="W30" s="31"/>
      <c r="X30" s="16"/>
      <c r="Y30" s="31"/>
      <c r="Z30" s="31"/>
      <c r="AA30" s="16"/>
      <c r="AB30" s="16">
        <f>+G30+I30+K30+L30+N30+P30+Q30+S30+U30-X30-AA30</f>
        <v>2867.7</v>
      </c>
      <c r="AC30" s="32"/>
      <c r="AD30" s="33"/>
      <c r="AE30" s="34"/>
      <c r="AF30" s="35"/>
      <c r="AG30" s="36"/>
      <c r="AH30" s="37"/>
      <c r="AI30" s="38"/>
      <c r="AJ30" s="41"/>
    </row>
    <row r="31" spans="1:36" x14ac:dyDescent="0.25">
      <c r="A31" s="7">
        <v>45685</v>
      </c>
      <c r="B31" s="48" t="s">
        <v>97</v>
      </c>
      <c r="C31" s="8"/>
      <c r="D31" s="9" t="s">
        <v>47</v>
      </c>
      <c r="E31" s="10" t="s">
        <v>41</v>
      </c>
      <c r="F31" s="11"/>
      <c r="G31" s="12">
        <v>3240</v>
      </c>
      <c r="H31" s="47">
        <v>21</v>
      </c>
      <c r="I31" s="14">
        <f t="shared" si="0"/>
        <v>680.4</v>
      </c>
      <c r="J31" s="13"/>
      <c r="K31" s="14"/>
      <c r="L31" s="12"/>
      <c r="M31" s="13"/>
      <c r="N31" s="14">
        <f t="shared" si="1"/>
        <v>0</v>
      </c>
      <c r="O31" s="15"/>
      <c r="P31" s="14"/>
      <c r="Q31" s="12"/>
      <c r="R31" s="13"/>
      <c r="S31" s="14"/>
      <c r="T31" s="15"/>
      <c r="U31" s="14"/>
      <c r="V31" s="15"/>
      <c r="W31" s="15"/>
      <c r="X31" s="14"/>
      <c r="Y31" s="15"/>
      <c r="Z31" s="15"/>
      <c r="AA31" s="14"/>
      <c r="AB31" s="16">
        <f t="shared" si="2"/>
        <v>3920.4</v>
      </c>
      <c r="AC31" s="17"/>
      <c r="AD31" s="18"/>
      <c r="AE31" s="19"/>
      <c r="AF31" s="20"/>
      <c r="AG31" s="21"/>
      <c r="AH31" s="22"/>
      <c r="AI31" s="23"/>
      <c r="AJ31" s="40"/>
    </row>
    <row r="32" spans="1:36" x14ac:dyDescent="0.25">
      <c r="A32" s="7">
        <v>45685</v>
      </c>
      <c r="B32" s="48" t="s">
        <v>98</v>
      </c>
      <c r="C32" s="8"/>
      <c r="D32" s="9" t="s">
        <v>47</v>
      </c>
      <c r="E32" s="10" t="s">
        <v>41</v>
      </c>
      <c r="F32" s="11"/>
      <c r="G32" s="12">
        <v>440</v>
      </c>
      <c r="H32" s="47">
        <v>21</v>
      </c>
      <c r="I32" s="14">
        <f t="shared" si="0"/>
        <v>92.4</v>
      </c>
      <c r="J32" s="13"/>
      <c r="K32" s="14"/>
      <c r="L32" s="12"/>
      <c r="M32" s="13"/>
      <c r="N32" s="14">
        <f t="shared" si="1"/>
        <v>0</v>
      </c>
      <c r="O32" s="15"/>
      <c r="P32" s="14"/>
      <c r="Q32" s="12"/>
      <c r="R32" s="13"/>
      <c r="S32" s="14"/>
      <c r="T32" s="15"/>
      <c r="U32" s="14"/>
      <c r="V32" s="15"/>
      <c r="W32" s="15"/>
      <c r="X32" s="14"/>
      <c r="Y32" s="15"/>
      <c r="Z32" s="15"/>
      <c r="AA32" s="14"/>
      <c r="AB32" s="16">
        <f t="shared" si="2"/>
        <v>532.4</v>
      </c>
      <c r="AC32" s="17"/>
      <c r="AD32" s="18"/>
      <c r="AE32" s="19"/>
      <c r="AF32" s="20"/>
      <c r="AG32" s="21"/>
      <c r="AH32" s="22"/>
      <c r="AI32" s="23"/>
      <c r="AJ32" s="40"/>
    </row>
    <row r="33" spans="1:36" x14ac:dyDescent="0.25">
      <c r="A33" s="7">
        <v>45685</v>
      </c>
      <c r="B33" s="48" t="s">
        <v>99</v>
      </c>
      <c r="C33" s="8"/>
      <c r="D33" s="9" t="s">
        <v>47</v>
      </c>
      <c r="E33" s="10" t="s">
        <v>41</v>
      </c>
      <c r="F33" s="11"/>
      <c r="G33" s="12">
        <v>718</v>
      </c>
      <c r="H33" s="47">
        <v>21</v>
      </c>
      <c r="I33" s="14">
        <f t="shared" si="0"/>
        <v>150.78</v>
      </c>
      <c r="J33" s="13"/>
      <c r="K33" s="14"/>
      <c r="L33" s="12"/>
      <c r="M33" s="13"/>
      <c r="N33" s="14">
        <f t="shared" si="1"/>
        <v>0</v>
      </c>
      <c r="O33" s="15"/>
      <c r="P33" s="14"/>
      <c r="Q33" s="12"/>
      <c r="R33" s="13"/>
      <c r="S33" s="14"/>
      <c r="T33" s="15"/>
      <c r="U33" s="14"/>
      <c r="V33" s="15"/>
      <c r="W33" s="15"/>
      <c r="X33" s="14"/>
      <c r="Y33" s="15"/>
      <c r="Z33" s="15"/>
      <c r="AA33" s="14"/>
      <c r="AB33" s="16">
        <f t="shared" si="2"/>
        <v>868.78</v>
      </c>
      <c r="AC33" s="17"/>
      <c r="AD33" s="18"/>
      <c r="AE33" s="19"/>
      <c r="AF33" s="20"/>
      <c r="AG33" s="21"/>
      <c r="AH33" s="22"/>
      <c r="AI33" s="23"/>
      <c r="AJ33" s="40"/>
    </row>
    <row r="34" spans="1:36" x14ac:dyDescent="0.25">
      <c r="A34" s="7">
        <v>45685</v>
      </c>
      <c r="B34" s="48" t="s">
        <v>100</v>
      </c>
      <c r="C34" s="8"/>
      <c r="D34" s="9" t="s">
        <v>46</v>
      </c>
      <c r="E34" s="10" t="s">
        <v>40</v>
      </c>
      <c r="F34" s="11"/>
      <c r="G34" s="12">
        <v>1223</v>
      </c>
      <c r="H34" s="47">
        <v>21</v>
      </c>
      <c r="I34" s="14">
        <f t="shared" si="0"/>
        <v>256.83</v>
      </c>
      <c r="J34" s="13"/>
      <c r="K34" s="14"/>
      <c r="L34" s="12"/>
      <c r="M34" s="13"/>
      <c r="N34" s="14">
        <f t="shared" si="1"/>
        <v>0</v>
      </c>
      <c r="O34" s="15"/>
      <c r="P34" s="14"/>
      <c r="Q34" s="12"/>
      <c r="R34" s="13"/>
      <c r="S34" s="14"/>
      <c r="T34" s="15"/>
      <c r="U34" s="14"/>
      <c r="V34" s="15"/>
      <c r="W34" s="15"/>
      <c r="X34" s="14"/>
      <c r="Y34" s="15"/>
      <c r="Z34" s="15"/>
      <c r="AA34" s="14"/>
      <c r="AB34" s="16">
        <f t="shared" si="2"/>
        <v>1479.83</v>
      </c>
      <c r="AC34" s="17"/>
      <c r="AD34" s="18"/>
      <c r="AE34" s="19"/>
      <c r="AF34" s="20"/>
      <c r="AG34" s="21"/>
      <c r="AH34" s="22"/>
      <c r="AI34" s="23"/>
      <c r="AJ34" s="40"/>
    </row>
    <row r="35" spans="1:36" x14ac:dyDescent="0.25">
      <c r="A35" s="7">
        <v>45688</v>
      </c>
      <c r="B35" s="48" t="s">
        <v>101</v>
      </c>
      <c r="C35" s="8"/>
      <c r="D35" s="9" t="s">
        <v>48</v>
      </c>
      <c r="E35" s="10" t="s">
        <v>56</v>
      </c>
      <c r="F35" s="11"/>
      <c r="G35" s="12">
        <v>47744.5</v>
      </c>
      <c r="H35" s="47">
        <v>21</v>
      </c>
      <c r="I35" s="14">
        <f t="shared" si="0"/>
        <v>10026.344999999999</v>
      </c>
      <c r="J35" s="13"/>
      <c r="K35" s="14"/>
      <c r="L35" s="12"/>
      <c r="M35" s="13"/>
      <c r="N35" s="14">
        <f t="shared" si="1"/>
        <v>0</v>
      </c>
      <c r="O35" s="15"/>
      <c r="P35" s="14"/>
      <c r="Q35" s="12"/>
      <c r="R35" s="13"/>
      <c r="S35" s="14"/>
      <c r="T35" s="15"/>
      <c r="U35" s="14"/>
      <c r="V35" s="15"/>
      <c r="W35" s="15"/>
      <c r="X35" s="14"/>
      <c r="Y35" s="15"/>
      <c r="Z35" s="15"/>
      <c r="AA35" s="14"/>
      <c r="AB35" s="16">
        <f t="shared" si="2"/>
        <v>57770.845000000001</v>
      </c>
      <c r="AC35" s="17"/>
      <c r="AD35" s="18"/>
      <c r="AE35" s="19"/>
      <c r="AF35" s="20"/>
      <c r="AG35" s="21"/>
      <c r="AH35" s="22"/>
      <c r="AI35" s="23"/>
      <c r="AJ35" s="40"/>
    </row>
  </sheetData>
  <phoneticPr fontId="9" type="noConversion"/>
  <dataValidations count="1">
    <dataValidation type="textLength" errorStyle="warning" allowBlank="1" showInputMessage="1" showErrorMessage="1" error="Contamar le informa de que el código introducido debe contener únicamente 8 dígitos._x000a__x000a_" sqref="AC2" xr:uid="{00000000-0002-0000-0400-000000000000}">
      <formula1>8</formula1>
      <formula2>8</formula2>
    </dataValidation>
  </dataValidations>
  <pageMargins left="0.19685039370078741" right="0.19685039370078741" top="0.39370078740157483" bottom="0.39370078740157483" header="0.31496062992125984" footer="0.31496062992125984"/>
  <pageSetup paperSize="9" scale="53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E686-CDBC-44CC-A4C1-660708F18422}">
  <sheetPr>
    <pageSetUpPr fitToPage="1"/>
  </sheetPr>
  <dimension ref="A1:AJ65"/>
  <sheetViews>
    <sheetView zoomScaleNormal="100" workbookViewId="0">
      <pane ySplit="1" topLeftCell="A45" activePane="bottomLeft" state="frozen"/>
      <selection pane="bottomLeft" activeCell="AJ58" sqref="A58:AJ58"/>
    </sheetView>
  </sheetViews>
  <sheetFormatPr baseColWidth="10" defaultRowHeight="15" x14ac:dyDescent="0.25"/>
  <cols>
    <col min="1" max="1" width="14.5703125" style="5" bestFit="1" customWidth="1"/>
    <col min="2" max="2" width="10.28515625" style="3" customWidth="1"/>
    <col min="3" max="3" width="15.85546875" style="2" hidden="1" customWidth="1"/>
    <col min="4" max="4" width="12.42578125" style="4" customWidth="1"/>
    <col min="5" max="5" width="38" style="6" customWidth="1"/>
    <col min="6" max="6" width="50" style="2" hidden="1" customWidth="1"/>
    <col min="7" max="7" width="13.140625" bestFit="1" customWidth="1"/>
    <col min="8" max="8" width="12.42578125" style="5" bestFit="1" customWidth="1"/>
    <col min="9" max="9" width="12.5703125" customWidth="1"/>
    <col min="10" max="10" width="12.140625" hidden="1" customWidth="1"/>
    <col min="11" max="11" width="0.85546875" hidden="1" customWidth="1"/>
    <col min="12" max="13" width="6.5703125" bestFit="1" customWidth="1"/>
    <col min="14" max="14" width="12.7109375" bestFit="1" customWidth="1"/>
    <col min="15" max="15" width="13.42578125" hidden="1" customWidth="1"/>
    <col min="16" max="16" width="19.42578125" hidden="1" customWidth="1"/>
    <col min="17" max="17" width="6.28515625" hidden="1" customWidth="1"/>
    <col min="18" max="18" width="6.5703125" hidden="1" customWidth="1"/>
    <col min="19" max="19" width="12.7109375" hidden="1" customWidth="1"/>
    <col min="20" max="20" width="13.42578125" hidden="1" customWidth="1"/>
    <col min="21" max="21" width="19.42578125" hidden="1" customWidth="1"/>
    <col min="22" max="22" width="14.5703125" hidden="1" customWidth="1"/>
    <col min="23" max="23" width="5.140625" hidden="1" customWidth="1"/>
    <col min="24" max="24" width="11.42578125" hidden="1" customWidth="1"/>
    <col min="25" max="25" width="15.85546875" hidden="1" customWidth="1"/>
    <col min="26" max="26" width="6.5703125" hidden="1" customWidth="1"/>
    <col min="27" max="27" width="12.7109375" hidden="1" customWidth="1"/>
    <col min="28" max="28" width="17.28515625" bestFit="1" customWidth="1"/>
    <col min="29" max="29" width="25" hidden="1" customWidth="1"/>
    <col min="30" max="30" width="16" hidden="1" customWidth="1"/>
    <col min="31" max="31" width="15.28515625" style="3" hidden="1" customWidth="1"/>
    <col min="32" max="32" width="4.5703125" style="3" hidden="1" customWidth="1"/>
    <col min="33" max="33" width="10" style="3" hidden="1" customWidth="1"/>
    <col min="34" max="34" width="12" style="2" hidden="1" customWidth="1"/>
    <col min="35" max="35" width="15.140625" hidden="1" customWidth="1"/>
    <col min="36" max="36" width="32.5703125" customWidth="1"/>
  </cols>
  <sheetData>
    <row r="1" spans="1:36" s="1" customFormat="1" ht="30" customHeight="1" x14ac:dyDescent="0.25">
      <c r="A1" s="42" t="s">
        <v>5</v>
      </c>
      <c r="B1" s="43" t="s">
        <v>9</v>
      </c>
      <c r="C1" s="43" t="s">
        <v>6</v>
      </c>
      <c r="D1" s="43" t="s">
        <v>8</v>
      </c>
      <c r="E1" s="43" t="s">
        <v>3</v>
      </c>
      <c r="F1" s="43" t="s">
        <v>10</v>
      </c>
      <c r="G1" s="42" t="s">
        <v>7</v>
      </c>
      <c r="H1" s="42" t="s">
        <v>0</v>
      </c>
      <c r="I1" s="42" t="s">
        <v>1</v>
      </c>
      <c r="J1" s="42" t="s">
        <v>23</v>
      </c>
      <c r="K1" s="42" t="s">
        <v>24</v>
      </c>
      <c r="L1" s="42" t="s">
        <v>19</v>
      </c>
      <c r="M1" s="42" t="s">
        <v>15</v>
      </c>
      <c r="N1" s="42" t="s">
        <v>16</v>
      </c>
      <c r="O1" s="42" t="s">
        <v>25</v>
      </c>
      <c r="P1" s="42" t="s">
        <v>26</v>
      </c>
      <c r="Q1" s="42" t="s">
        <v>20</v>
      </c>
      <c r="R1" s="42" t="s">
        <v>17</v>
      </c>
      <c r="S1" s="42" t="s">
        <v>18</v>
      </c>
      <c r="T1" s="42" t="s">
        <v>28</v>
      </c>
      <c r="U1" s="42" t="s">
        <v>27</v>
      </c>
      <c r="V1" s="42" t="s">
        <v>2</v>
      </c>
      <c r="W1" s="42" t="s">
        <v>30</v>
      </c>
      <c r="X1" s="42" t="s">
        <v>32</v>
      </c>
      <c r="Y1" s="42" t="s">
        <v>29</v>
      </c>
      <c r="Z1" s="42" t="s">
        <v>31</v>
      </c>
      <c r="AA1" s="42" t="s">
        <v>33</v>
      </c>
      <c r="AB1" s="42" t="s">
        <v>34</v>
      </c>
      <c r="AC1" s="43" t="s">
        <v>11</v>
      </c>
      <c r="AD1" s="43" t="s">
        <v>21</v>
      </c>
      <c r="AE1" s="43" t="s">
        <v>22</v>
      </c>
      <c r="AF1" s="43" t="s">
        <v>4</v>
      </c>
      <c r="AG1" s="43" t="s">
        <v>12</v>
      </c>
      <c r="AH1" s="44" t="s">
        <v>13</v>
      </c>
      <c r="AI1" s="45" t="s">
        <v>14</v>
      </c>
      <c r="AJ1" s="46" t="s">
        <v>35</v>
      </c>
    </row>
    <row r="2" spans="1:36" x14ac:dyDescent="0.25">
      <c r="A2" s="7">
        <v>45693</v>
      </c>
      <c r="B2" s="48" t="s">
        <v>133</v>
      </c>
      <c r="C2" s="8"/>
      <c r="D2" s="9" t="s">
        <v>118</v>
      </c>
      <c r="E2" s="10" t="s">
        <v>102</v>
      </c>
      <c r="F2" s="11"/>
      <c r="G2" s="12">
        <v>315</v>
      </c>
      <c r="H2" s="47">
        <v>21</v>
      </c>
      <c r="I2" s="14">
        <f>+IF(G2&lt;&gt;0,G2*H2/100,0)</f>
        <v>66.150000000000006</v>
      </c>
      <c r="J2" s="13"/>
      <c r="K2" s="14">
        <f>+IF(G2&lt;&gt;0,G2*J2/100,0)</f>
        <v>0</v>
      </c>
      <c r="L2" s="12"/>
      <c r="M2" s="13"/>
      <c r="N2" s="14">
        <f>+IF(L2&lt;&gt;0,L2*M2/100,0)</f>
        <v>0</v>
      </c>
      <c r="O2" s="15"/>
      <c r="P2" s="14">
        <f>+IF(L2&lt;&gt;0,L2*O2/100,0)</f>
        <v>0</v>
      </c>
      <c r="Q2" s="12"/>
      <c r="R2" s="13"/>
      <c r="S2" s="14">
        <f>+IF(Q2&lt;&gt;0,Q2*R2/100,0)</f>
        <v>0</v>
      </c>
      <c r="T2" s="15"/>
      <c r="U2" s="14">
        <f>+IF(Q2&lt;&gt;0,Q2*T2/100,0)</f>
        <v>0</v>
      </c>
      <c r="V2" s="15"/>
      <c r="W2" s="15"/>
      <c r="X2" s="14">
        <f>+IF(W2&lt;&gt;0,V2*W2/100,0)</f>
        <v>0</v>
      </c>
      <c r="Y2" s="15"/>
      <c r="Z2" s="15"/>
      <c r="AA2" s="14">
        <f>+IF(Z2&lt;&gt;0,Y2*Z2/100,0)</f>
        <v>0</v>
      </c>
      <c r="AB2" s="16">
        <f>+G2+I2+K2+L2+N2+P2+Q2+S2+U2-X2-AA2</f>
        <v>381.15</v>
      </c>
      <c r="AC2" s="17"/>
      <c r="AD2" s="18"/>
      <c r="AE2" s="19"/>
      <c r="AF2" s="20"/>
      <c r="AG2" s="21"/>
      <c r="AH2" s="22"/>
      <c r="AI2" s="23"/>
      <c r="AJ2" s="40"/>
    </row>
    <row r="3" spans="1:36" x14ac:dyDescent="0.25">
      <c r="A3" s="7">
        <v>45693</v>
      </c>
      <c r="B3" s="48" t="s">
        <v>134</v>
      </c>
      <c r="C3" s="8"/>
      <c r="D3" s="9" t="s">
        <v>119</v>
      </c>
      <c r="E3" s="10" t="s">
        <v>103</v>
      </c>
      <c r="F3" s="11"/>
      <c r="G3" s="12">
        <v>285</v>
      </c>
      <c r="H3" s="47">
        <v>21</v>
      </c>
      <c r="I3" s="14">
        <f t="shared" ref="I3:I35" si="0">+IF(G3&lt;&gt;0,G3*H3/100,0)</f>
        <v>59.85</v>
      </c>
      <c r="J3" s="13"/>
      <c r="K3" s="14"/>
      <c r="L3" s="12"/>
      <c r="M3" s="13"/>
      <c r="N3" s="14">
        <f t="shared" ref="N3:N35" si="1">+IF(L3&lt;&gt;0,L3*M3/100,0)</f>
        <v>0</v>
      </c>
      <c r="O3" s="15"/>
      <c r="P3" s="14"/>
      <c r="Q3" s="12"/>
      <c r="R3" s="13"/>
      <c r="S3" s="14"/>
      <c r="T3" s="15"/>
      <c r="U3" s="14"/>
      <c r="V3" s="15"/>
      <c r="W3" s="15"/>
      <c r="X3" s="14"/>
      <c r="Y3" s="15"/>
      <c r="Z3" s="15"/>
      <c r="AA3" s="14"/>
      <c r="AB3" s="16">
        <f t="shared" ref="AB3:AB35" si="2">+G3+I3+K3+L3+N3+P3+Q3+S3+U3-X3-AA3</f>
        <v>344.85</v>
      </c>
      <c r="AC3" s="17"/>
      <c r="AD3" s="18"/>
      <c r="AE3" s="19"/>
      <c r="AF3" s="20"/>
      <c r="AG3" s="21"/>
      <c r="AH3" s="22"/>
      <c r="AI3" s="23"/>
      <c r="AJ3" s="40"/>
    </row>
    <row r="4" spans="1:36" x14ac:dyDescent="0.25">
      <c r="A4" s="7">
        <v>45694</v>
      </c>
      <c r="B4" s="48" t="s">
        <v>135</v>
      </c>
      <c r="C4" s="8"/>
      <c r="D4" s="9" t="s">
        <v>120</v>
      </c>
      <c r="E4" s="10" t="s">
        <v>104</v>
      </c>
      <c r="F4" s="11"/>
      <c r="G4" s="12">
        <v>2060</v>
      </c>
      <c r="H4" s="47">
        <v>21</v>
      </c>
      <c r="I4" s="14">
        <f t="shared" si="0"/>
        <v>432.6</v>
      </c>
      <c r="J4" s="13"/>
      <c r="K4" s="14"/>
      <c r="L4" s="12"/>
      <c r="M4" s="13"/>
      <c r="N4" s="14">
        <f t="shared" si="1"/>
        <v>0</v>
      </c>
      <c r="O4" s="15"/>
      <c r="P4" s="14"/>
      <c r="Q4" s="12"/>
      <c r="R4" s="13"/>
      <c r="S4" s="14"/>
      <c r="T4" s="15"/>
      <c r="U4" s="14"/>
      <c r="V4" s="15"/>
      <c r="W4" s="15"/>
      <c r="X4" s="14"/>
      <c r="Y4" s="15"/>
      <c r="Z4" s="15"/>
      <c r="AA4" s="14"/>
      <c r="AB4" s="16">
        <f t="shared" si="2"/>
        <v>2492.6</v>
      </c>
      <c r="AC4" s="17"/>
      <c r="AD4" s="18"/>
      <c r="AE4" s="19"/>
      <c r="AF4" s="20"/>
      <c r="AG4" s="21"/>
      <c r="AH4" s="22"/>
      <c r="AI4" s="23"/>
      <c r="AJ4" s="40"/>
    </row>
    <row r="5" spans="1:36" x14ac:dyDescent="0.25">
      <c r="A5" s="7">
        <v>45694</v>
      </c>
      <c r="B5" s="48" t="s">
        <v>136</v>
      </c>
      <c r="C5" s="8"/>
      <c r="D5" s="9" t="s">
        <v>120</v>
      </c>
      <c r="E5" s="10" t="s">
        <v>104</v>
      </c>
      <c r="F5" s="11"/>
      <c r="G5" s="12">
        <v>803.4</v>
      </c>
      <c r="H5" s="47">
        <v>21</v>
      </c>
      <c r="I5" s="14">
        <f t="shared" si="0"/>
        <v>168.71399999999997</v>
      </c>
      <c r="J5" s="13"/>
      <c r="K5" s="14"/>
      <c r="L5" s="12"/>
      <c r="M5" s="13"/>
      <c r="N5" s="14">
        <f t="shared" si="1"/>
        <v>0</v>
      </c>
      <c r="O5" s="15"/>
      <c r="P5" s="14"/>
      <c r="Q5" s="12"/>
      <c r="R5" s="13"/>
      <c r="S5" s="14"/>
      <c r="T5" s="15"/>
      <c r="U5" s="14"/>
      <c r="V5" s="15"/>
      <c r="W5" s="15"/>
      <c r="X5" s="14"/>
      <c r="Y5" s="15"/>
      <c r="Z5" s="15"/>
      <c r="AA5" s="14"/>
      <c r="AB5" s="16">
        <f t="shared" si="2"/>
        <v>972.11399999999992</v>
      </c>
      <c r="AC5" s="17"/>
      <c r="AD5" s="18"/>
      <c r="AE5" s="19"/>
      <c r="AF5" s="20"/>
      <c r="AG5" s="21"/>
      <c r="AH5" s="22"/>
      <c r="AI5" s="23"/>
      <c r="AJ5" s="40"/>
    </row>
    <row r="6" spans="1:36" x14ac:dyDescent="0.25">
      <c r="A6" s="7">
        <v>45694</v>
      </c>
      <c r="B6" s="48" t="s">
        <v>137</v>
      </c>
      <c r="C6" s="8"/>
      <c r="D6" s="9" t="s">
        <v>42</v>
      </c>
      <c r="E6" s="10" t="s">
        <v>36</v>
      </c>
      <c r="F6" s="11"/>
      <c r="G6" s="12">
        <v>112.48</v>
      </c>
      <c r="H6" s="47">
        <v>21</v>
      </c>
      <c r="I6" s="14">
        <f t="shared" si="0"/>
        <v>23.620799999999999</v>
      </c>
      <c r="J6" s="13"/>
      <c r="K6" s="14"/>
      <c r="L6" s="12"/>
      <c r="M6" s="13"/>
      <c r="N6" s="14">
        <f t="shared" si="1"/>
        <v>0</v>
      </c>
      <c r="O6" s="15"/>
      <c r="P6" s="14"/>
      <c r="Q6" s="12"/>
      <c r="R6" s="13"/>
      <c r="S6" s="14"/>
      <c r="T6" s="15"/>
      <c r="U6" s="14"/>
      <c r="V6" s="15"/>
      <c r="W6" s="15"/>
      <c r="X6" s="14"/>
      <c r="Y6" s="15"/>
      <c r="Z6" s="15"/>
      <c r="AA6" s="14"/>
      <c r="AB6" s="16">
        <f t="shared" si="2"/>
        <v>136.10079999999999</v>
      </c>
      <c r="AC6" s="17"/>
      <c r="AD6" s="18"/>
      <c r="AE6" s="19"/>
      <c r="AF6" s="20"/>
      <c r="AG6" s="21"/>
      <c r="AH6" s="22"/>
      <c r="AI6" s="23"/>
      <c r="AJ6" s="40"/>
    </row>
    <row r="7" spans="1:36" x14ac:dyDescent="0.25">
      <c r="A7" s="7">
        <v>45694</v>
      </c>
      <c r="B7" s="48" t="s">
        <v>138</v>
      </c>
      <c r="C7" s="8"/>
      <c r="D7" s="9" t="s">
        <v>121</v>
      </c>
      <c r="E7" s="10" t="s">
        <v>105</v>
      </c>
      <c r="F7" s="11"/>
      <c r="G7" s="12">
        <v>2280</v>
      </c>
      <c r="H7" s="47">
        <v>21</v>
      </c>
      <c r="I7" s="14">
        <f t="shared" si="0"/>
        <v>478.8</v>
      </c>
      <c r="J7" s="13"/>
      <c r="K7" s="14"/>
      <c r="L7" s="12"/>
      <c r="M7" s="13"/>
      <c r="N7" s="14">
        <f t="shared" si="1"/>
        <v>0</v>
      </c>
      <c r="O7" s="15"/>
      <c r="P7" s="14"/>
      <c r="Q7" s="12"/>
      <c r="R7" s="13"/>
      <c r="S7" s="14"/>
      <c r="T7" s="15"/>
      <c r="U7" s="14"/>
      <c r="V7" s="15"/>
      <c r="W7" s="15"/>
      <c r="X7" s="14"/>
      <c r="Y7" s="15"/>
      <c r="Z7" s="15"/>
      <c r="AA7" s="14"/>
      <c r="AB7" s="16">
        <f t="shared" si="2"/>
        <v>2758.8</v>
      </c>
      <c r="AC7" s="17"/>
      <c r="AD7" s="18"/>
      <c r="AE7" s="19"/>
      <c r="AF7" s="20"/>
      <c r="AG7" s="21"/>
      <c r="AH7" s="22"/>
      <c r="AI7" s="23"/>
      <c r="AJ7" s="40"/>
    </row>
    <row r="8" spans="1:36" x14ac:dyDescent="0.25">
      <c r="A8" s="7">
        <v>45695</v>
      </c>
      <c r="B8" s="48" t="s">
        <v>139</v>
      </c>
      <c r="C8" s="8"/>
      <c r="D8" s="9" t="s">
        <v>47</v>
      </c>
      <c r="E8" s="10" t="s">
        <v>41</v>
      </c>
      <c r="F8" s="11"/>
      <c r="G8" s="12">
        <v>1577</v>
      </c>
      <c r="H8" s="47">
        <v>21</v>
      </c>
      <c r="I8" s="14">
        <f t="shared" si="0"/>
        <v>331.17</v>
      </c>
      <c r="J8" s="13"/>
      <c r="K8" s="14"/>
      <c r="L8" s="12"/>
      <c r="M8" s="13"/>
      <c r="N8" s="14">
        <f t="shared" si="1"/>
        <v>0</v>
      </c>
      <c r="O8" s="15"/>
      <c r="P8" s="14"/>
      <c r="Q8" s="12"/>
      <c r="R8" s="13"/>
      <c r="S8" s="14"/>
      <c r="T8" s="15"/>
      <c r="U8" s="14"/>
      <c r="V8" s="15"/>
      <c r="W8" s="15"/>
      <c r="X8" s="14"/>
      <c r="Y8" s="15"/>
      <c r="Z8" s="15"/>
      <c r="AA8" s="14"/>
      <c r="AB8" s="16">
        <f t="shared" si="2"/>
        <v>1908.17</v>
      </c>
      <c r="AC8" s="17"/>
      <c r="AD8" s="18"/>
      <c r="AE8" s="19"/>
      <c r="AF8" s="20"/>
      <c r="AG8" s="21"/>
      <c r="AH8" s="22"/>
      <c r="AI8" s="23"/>
      <c r="AJ8" s="40"/>
    </row>
    <row r="9" spans="1:36" x14ac:dyDescent="0.25">
      <c r="A9" s="7">
        <v>45695</v>
      </c>
      <c r="B9" s="48" t="s">
        <v>140</v>
      </c>
      <c r="C9" s="8"/>
      <c r="D9" s="9" t="s">
        <v>122</v>
      </c>
      <c r="E9" s="10" t="s">
        <v>106</v>
      </c>
      <c r="F9" s="11"/>
      <c r="G9" s="12">
        <v>5333</v>
      </c>
      <c r="H9" s="47">
        <v>21</v>
      </c>
      <c r="I9" s="14">
        <f t="shared" si="0"/>
        <v>1119.93</v>
      </c>
      <c r="J9" s="13"/>
      <c r="K9" s="14"/>
      <c r="L9" s="12"/>
      <c r="M9" s="13"/>
      <c r="N9" s="14">
        <f t="shared" si="1"/>
        <v>0</v>
      </c>
      <c r="O9" s="15"/>
      <c r="P9" s="14"/>
      <c r="Q9" s="12"/>
      <c r="R9" s="13"/>
      <c r="S9" s="14"/>
      <c r="T9" s="15"/>
      <c r="U9" s="14"/>
      <c r="V9" s="15"/>
      <c r="W9" s="15"/>
      <c r="X9" s="14"/>
      <c r="Y9" s="15"/>
      <c r="Z9" s="15"/>
      <c r="AA9" s="14"/>
      <c r="AB9" s="16">
        <f t="shared" si="2"/>
        <v>6452.93</v>
      </c>
      <c r="AC9" s="17"/>
      <c r="AD9" s="18"/>
      <c r="AE9" s="19"/>
      <c r="AF9" s="20"/>
      <c r="AG9" s="21"/>
      <c r="AH9" s="22"/>
      <c r="AI9" s="23"/>
      <c r="AJ9" s="40"/>
    </row>
    <row r="10" spans="1:36" x14ac:dyDescent="0.25">
      <c r="A10" s="7">
        <v>45695</v>
      </c>
      <c r="B10" s="48" t="s">
        <v>141</v>
      </c>
      <c r="C10" s="8"/>
      <c r="D10" s="9" t="s">
        <v>122</v>
      </c>
      <c r="E10" s="10" t="s">
        <v>106</v>
      </c>
      <c r="F10" s="11"/>
      <c r="G10" s="12">
        <v>4840</v>
      </c>
      <c r="H10" s="47">
        <v>21</v>
      </c>
      <c r="I10" s="14">
        <f t="shared" si="0"/>
        <v>1016.4</v>
      </c>
      <c r="J10" s="13"/>
      <c r="K10" s="14"/>
      <c r="L10" s="12"/>
      <c r="M10" s="13"/>
      <c r="N10" s="14">
        <f t="shared" si="1"/>
        <v>0</v>
      </c>
      <c r="O10" s="15"/>
      <c r="P10" s="14"/>
      <c r="Q10" s="12"/>
      <c r="R10" s="13"/>
      <c r="S10" s="14"/>
      <c r="T10" s="15"/>
      <c r="U10" s="14"/>
      <c r="V10" s="15"/>
      <c r="W10" s="15"/>
      <c r="X10" s="14"/>
      <c r="Y10" s="15"/>
      <c r="Z10" s="15"/>
      <c r="AA10" s="14"/>
      <c r="AB10" s="16">
        <f t="shared" si="2"/>
        <v>5856.4</v>
      </c>
      <c r="AC10" s="17"/>
      <c r="AD10" s="18"/>
      <c r="AE10" s="19"/>
      <c r="AF10" s="20"/>
      <c r="AG10" s="21"/>
      <c r="AH10" s="22"/>
      <c r="AI10" s="23"/>
      <c r="AJ10" s="40"/>
    </row>
    <row r="11" spans="1:36" x14ac:dyDescent="0.25">
      <c r="A11" s="7">
        <v>45695</v>
      </c>
      <c r="B11" s="48" t="s">
        <v>142</v>
      </c>
      <c r="C11" s="8"/>
      <c r="D11" s="9" t="s">
        <v>123</v>
      </c>
      <c r="E11" s="10" t="s">
        <v>107</v>
      </c>
      <c r="F11" s="11"/>
      <c r="G11" s="12">
        <v>2413</v>
      </c>
      <c r="H11" s="47">
        <v>21</v>
      </c>
      <c r="I11" s="14">
        <f t="shared" si="0"/>
        <v>506.73</v>
      </c>
      <c r="J11" s="13"/>
      <c r="K11" s="14"/>
      <c r="L11" s="12"/>
      <c r="M11" s="13"/>
      <c r="N11" s="14">
        <f t="shared" si="1"/>
        <v>0</v>
      </c>
      <c r="O11" s="15"/>
      <c r="P11" s="14"/>
      <c r="Q11" s="12"/>
      <c r="R11" s="13"/>
      <c r="S11" s="14"/>
      <c r="T11" s="15"/>
      <c r="U11" s="14"/>
      <c r="V11" s="15"/>
      <c r="W11" s="15"/>
      <c r="X11" s="14"/>
      <c r="Y11" s="15"/>
      <c r="Z11" s="15"/>
      <c r="AA11" s="14"/>
      <c r="AB11" s="16">
        <f t="shared" si="2"/>
        <v>2919.73</v>
      </c>
      <c r="AC11" s="17"/>
      <c r="AD11" s="18"/>
      <c r="AE11" s="19"/>
      <c r="AF11" s="20"/>
      <c r="AG11" s="21"/>
      <c r="AH11" s="22"/>
      <c r="AI11" s="23"/>
      <c r="AJ11" s="40"/>
    </row>
    <row r="12" spans="1:36" x14ac:dyDescent="0.25">
      <c r="A12" s="7">
        <v>45695</v>
      </c>
      <c r="B12" s="48" t="s">
        <v>143</v>
      </c>
      <c r="C12" s="8"/>
      <c r="D12" s="9" t="s">
        <v>124</v>
      </c>
      <c r="E12" s="10" t="s">
        <v>108</v>
      </c>
      <c r="F12" s="11"/>
      <c r="G12" s="12">
        <v>40</v>
      </c>
      <c r="H12" s="47">
        <v>21</v>
      </c>
      <c r="I12" s="14">
        <f t="shared" si="0"/>
        <v>8.4</v>
      </c>
      <c r="J12" s="13"/>
      <c r="K12" s="14"/>
      <c r="L12" s="12"/>
      <c r="M12" s="13"/>
      <c r="N12" s="14">
        <f t="shared" si="1"/>
        <v>0</v>
      </c>
      <c r="O12" s="15"/>
      <c r="P12" s="14"/>
      <c r="Q12" s="12"/>
      <c r="R12" s="13"/>
      <c r="S12" s="14"/>
      <c r="T12" s="15"/>
      <c r="U12" s="14"/>
      <c r="V12" s="15"/>
      <c r="W12" s="15"/>
      <c r="X12" s="14"/>
      <c r="Y12" s="15"/>
      <c r="Z12" s="15"/>
      <c r="AA12" s="14"/>
      <c r="AB12" s="16">
        <f t="shared" si="2"/>
        <v>48.4</v>
      </c>
      <c r="AC12" s="17"/>
      <c r="AD12" s="18"/>
      <c r="AE12" s="19"/>
      <c r="AF12" s="20"/>
      <c r="AG12" s="21"/>
      <c r="AH12" s="22"/>
      <c r="AI12" s="23"/>
      <c r="AJ12" s="40"/>
    </row>
    <row r="13" spans="1:36" x14ac:dyDescent="0.25">
      <c r="A13" s="7">
        <v>45695</v>
      </c>
      <c r="B13" s="48" t="s">
        <v>144</v>
      </c>
      <c r="C13" s="8"/>
      <c r="D13" s="9" t="s">
        <v>125</v>
      </c>
      <c r="E13" s="10" t="s">
        <v>109</v>
      </c>
      <c r="F13" s="11"/>
      <c r="G13" s="12">
        <v>2250.9</v>
      </c>
      <c r="H13" s="47">
        <v>21</v>
      </c>
      <c r="I13" s="14">
        <f t="shared" si="0"/>
        <v>472.68900000000002</v>
      </c>
      <c r="J13" s="13"/>
      <c r="K13" s="14"/>
      <c r="L13" s="12"/>
      <c r="M13" s="13"/>
      <c r="N13" s="14">
        <f t="shared" si="1"/>
        <v>0</v>
      </c>
      <c r="O13" s="15"/>
      <c r="P13" s="14"/>
      <c r="Q13" s="12"/>
      <c r="R13" s="13"/>
      <c r="S13" s="14"/>
      <c r="T13" s="15"/>
      <c r="U13" s="14"/>
      <c r="V13" s="15"/>
      <c r="W13" s="15"/>
      <c r="X13" s="14"/>
      <c r="Y13" s="15"/>
      <c r="Z13" s="15"/>
      <c r="AA13" s="14"/>
      <c r="AB13" s="16">
        <f t="shared" si="2"/>
        <v>2723.5889999999999</v>
      </c>
      <c r="AC13" s="17"/>
      <c r="AD13" s="18"/>
      <c r="AE13" s="19"/>
      <c r="AF13" s="20"/>
      <c r="AG13" s="21"/>
      <c r="AH13" s="22"/>
      <c r="AI13" s="23"/>
      <c r="AJ13" s="40"/>
    </row>
    <row r="14" spans="1:36" x14ac:dyDescent="0.25">
      <c r="A14" s="7">
        <v>45695</v>
      </c>
      <c r="B14" s="48" t="s">
        <v>145</v>
      </c>
      <c r="C14" s="8"/>
      <c r="D14" s="9" t="s">
        <v>48</v>
      </c>
      <c r="E14" s="10" t="s">
        <v>56</v>
      </c>
      <c r="F14" s="11"/>
      <c r="G14" s="12">
        <v>955</v>
      </c>
      <c r="H14" s="47">
        <v>21</v>
      </c>
      <c r="I14" s="14">
        <f t="shared" si="0"/>
        <v>200.55</v>
      </c>
      <c r="J14" s="13"/>
      <c r="K14" s="14"/>
      <c r="L14" s="12"/>
      <c r="M14" s="13"/>
      <c r="N14" s="14">
        <f t="shared" si="1"/>
        <v>0</v>
      </c>
      <c r="O14" s="15"/>
      <c r="P14" s="14"/>
      <c r="Q14" s="12"/>
      <c r="R14" s="13"/>
      <c r="S14" s="14"/>
      <c r="T14" s="15"/>
      <c r="U14" s="14"/>
      <c r="V14" s="15"/>
      <c r="W14" s="15"/>
      <c r="X14" s="14"/>
      <c r="Y14" s="15"/>
      <c r="Z14" s="15"/>
      <c r="AA14" s="14"/>
      <c r="AB14" s="16">
        <f t="shared" si="2"/>
        <v>1155.55</v>
      </c>
      <c r="AC14" s="17"/>
      <c r="AD14" s="18"/>
      <c r="AE14" s="19"/>
      <c r="AF14" s="20"/>
      <c r="AG14" s="21"/>
      <c r="AH14" s="22"/>
      <c r="AI14" s="23"/>
      <c r="AJ14" s="40"/>
    </row>
    <row r="15" spans="1:36" x14ac:dyDescent="0.25">
      <c r="A15" s="7">
        <v>45695</v>
      </c>
      <c r="B15" s="48" t="s">
        <v>146</v>
      </c>
      <c r="C15" s="8"/>
      <c r="D15" s="9" t="s">
        <v>48</v>
      </c>
      <c r="E15" s="10" t="s">
        <v>56</v>
      </c>
      <c r="F15" s="11"/>
      <c r="G15" s="12">
        <v>1825</v>
      </c>
      <c r="H15" s="47">
        <v>21</v>
      </c>
      <c r="I15" s="14">
        <f t="shared" si="0"/>
        <v>383.25</v>
      </c>
      <c r="J15" s="13"/>
      <c r="K15" s="14"/>
      <c r="L15" s="12"/>
      <c r="M15" s="13"/>
      <c r="N15" s="14">
        <f t="shared" si="1"/>
        <v>0</v>
      </c>
      <c r="O15" s="15"/>
      <c r="P15" s="14"/>
      <c r="Q15" s="12"/>
      <c r="R15" s="13"/>
      <c r="S15" s="14"/>
      <c r="T15" s="15"/>
      <c r="U15" s="14"/>
      <c r="V15" s="15"/>
      <c r="W15" s="15"/>
      <c r="X15" s="14"/>
      <c r="Y15" s="15"/>
      <c r="Z15" s="15"/>
      <c r="AA15" s="14"/>
      <c r="AB15" s="16">
        <f t="shared" si="2"/>
        <v>2208.25</v>
      </c>
      <c r="AC15" s="17"/>
      <c r="AD15" s="18"/>
      <c r="AE15" s="19"/>
      <c r="AF15" s="20"/>
      <c r="AG15" s="21"/>
      <c r="AH15" s="22"/>
      <c r="AI15" s="23"/>
      <c r="AJ15" s="40"/>
    </row>
    <row r="16" spans="1:36" x14ac:dyDescent="0.25">
      <c r="A16" s="7">
        <v>45698</v>
      </c>
      <c r="B16" s="48" t="s">
        <v>147</v>
      </c>
      <c r="C16" s="8"/>
      <c r="D16" s="9" t="s">
        <v>45</v>
      </c>
      <c r="E16" s="10" t="s">
        <v>39</v>
      </c>
      <c r="F16" s="11"/>
      <c r="G16" s="12">
        <v>5773.8</v>
      </c>
      <c r="H16" s="47">
        <v>21</v>
      </c>
      <c r="I16" s="14">
        <f t="shared" si="0"/>
        <v>1212.498</v>
      </c>
      <c r="J16" s="13"/>
      <c r="K16" s="14"/>
      <c r="L16" s="12"/>
      <c r="M16" s="13"/>
      <c r="N16" s="14">
        <f t="shared" si="1"/>
        <v>0</v>
      </c>
      <c r="O16" s="15"/>
      <c r="P16" s="14"/>
      <c r="Q16" s="12"/>
      <c r="R16" s="13"/>
      <c r="S16" s="14"/>
      <c r="T16" s="15"/>
      <c r="U16" s="14"/>
      <c r="V16" s="15"/>
      <c r="W16" s="15"/>
      <c r="X16" s="14"/>
      <c r="Y16" s="15"/>
      <c r="Z16" s="15"/>
      <c r="AA16" s="14"/>
      <c r="AB16" s="16">
        <f t="shared" si="2"/>
        <v>6986.2980000000007</v>
      </c>
      <c r="AC16" s="17"/>
      <c r="AD16" s="18"/>
      <c r="AE16" s="19"/>
      <c r="AF16" s="20"/>
      <c r="AG16" s="21"/>
      <c r="AH16" s="22"/>
      <c r="AI16" s="23"/>
      <c r="AJ16" s="40"/>
    </row>
    <row r="17" spans="1:36" x14ac:dyDescent="0.25">
      <c r="A17" s="7">
        <v>45698</v>
      </c>
      <c r="B17" s="48" t="s">
        <v>148</v>
      </c>
      <c r="C17" s="8"/>
      <c r="D17" s="9" t="s">
        <v>45</v>
      </c>
      <c r="E17" s="10" t="s">
        <v>39</v>
      </c>
      <c r="F17" s="11"/>
      <c r="G17" s="12">
        <v>1607.2</v>
      </c>
      <c r="H17" s="47">
        <v>21</v>
      </c>
      <c r="I17" s="14">
        <f t="shared" si="0"/>
        <v>337.51200000000006</v>
      </c>
      <c r="J17" s="13"/>
      <c r="K17" s="14"/>
      <c r="L17" s="12"/>
      <c r="M17" s="13"/>
      <c r="N17" s="14">
        <f t="shared" si="1"/>
        <v>0</v>
      </c>
      <c r="O17" s="15"/>
      <c r="P17" s="14"/>
      <c r="Q17" s="12"/>
      <c r="R17" s="13"/>
      <c r="S17" s="14"/>
      <c r="T17" s="15"/>
      <c r="U17" s="14"/>
      <c r="V17" s="15"/>
      <c r="W17" s="15"/>
      <c r="X17" s="14"/>
      <c r="Y17" s="15"/>
      <c r="Z17" s="15"/>
      <c r="AA17" s="14"/>
      <c r="AB17" s="16">
        <f t="shared" si="2"/>
        <v>1944.712</v>
      </c>
      <c r="AC17" s="17"/>
      <c r="AD17" s="18"/>
      <c r="AE17" s="19"/>
      <c r="AF17" s="20"/>
      <c r="AG17" s="21"/>
      <c r="AH17" s="22"/>
      <c r="AI17" s="23"/>
      <c r="AJ17" s="40"/>
    </row>
    <row r="18" spans="1:36" x14ac:dyDescent="0.25">
      <c r="A18" s="7">
        <v>45698</v>
      </c>
      <c r="B18" s="48" t="s">
        <v>149</v>
      </c>
      <c r="C18" s="8"/>
      <c r="D18" s="9" t="s">
        <v>45</v>
      </c>
      <c r="E18" s="10" t="s">
        <v>39</v>
      </c>
      <c r="F18" s="11"/>
      <c r="G18" s="12">
        <v>881</v>
      </c>
      <c r="H18" s="47">
        <v>21</v>
      </c>
      <c r="I18" s="14">
        <f t="shared" si="0"/>
        <v>185.01</v>
      </c>
      <c r="J18" s="13"/>
      <c r="K18" s="14"/>
      <c r="L18" s="12"/>
      <c r="M18" s="13"/>
      <c r="N18" s="14">
        <f t="shared" si="1"/>
        <v>0</v>
      </c>
      <c r="O18" s="15"/>
      <c r="P18" s="14"/>
      <c r="Q18" s="12"/>
      <c r="R18" s="13"/>
      <c r="S18" s="14"/>
      <c r="T18" s="15"/>
      <c r="U18" s="14"/>
      <c r="V18" s="15"/>
      <c r="W18" s="15"/>
      <c r="X18" s="14"/>
      <c r="Y18" s="15"/>
      <c r="Z18" s="15"/>
      <c r="AA18" s="14"/>
      <c r="AB18" s="16">
        <f t="shared" si="2"/>
        <v>1066.01</v>
      </c>
      <c r="AC18" s="17"/>
      <c r="AD18" s="18"/>
      <c r="AE18" s="19"/>
      <c r="AF18" s="20"/>
      <c r="AG18" s="21"/>
      <c r="AH18" s="22"/>
      <c r="AI18" s="23"/>
      <c r="AJ18" s="40"/>
    </row>
    <row r="19" spans="1:36" x14ac:dyDescent="0.25">
      <c r="A19" s="7">
        <v>45698</v>
      </c>
      <c r="B19" s="48" t="s">
        <v>150</v>
      </c>
      <c r="C19" s="8"/>
      <c r="D19" s="9" t="s">
        <v>45</v>
      </c>
      <c r="E19" s="10" t="s">
        <v>39</v>
      </c>
      <c r="F19" s="11"/>
      <c r="G19" s="12">
        <v>769</v>
      </c>
      <c r="H19" s="47">
        <v>21</v>
      </c>
      <c r="I19" s="14">
        <f t="shared" si="0"/>
        <v>161.49</v>
      </c>
      <c r="J19" s="13"/>
      <c r="K19" s="14"/>
      <c r="L19" s="12"/>
      <c r="M19" s="13"/>
      <c r="N19" s="14">
        <f t="shared" si="1"/>
        <v>0</v>
      </c>
      <c r="O19" s="15"/>
      <c r="P19" s="14"/>
      <c r="Q19" s="12"/>
      <c r="R19" s="13"/>
      <c r="S19" s="14"/>
      <c r="T19" s="15"/>
      <c r="U19" s="14"/>
      <c r="V19" s="15"/>
      <c r="W19" s="15"/>
      <c r="X19" s="14"/>
      <c r="Y19" s="15"/>
      <c r="Z19" s="15"/>
      <c r="AA19" s="14"/>
      <c r="AB19" s="16">
        <f t="shared" si="2"/>
        <v>930.49</v>
      </c>
      <c r="AC19" s="17"/>
      <c r="AD19" s="18"/>
      <c r="AE19" s="19"/>
      <c r="AF19" s="20"/>
      <c r="AG19" s="21"/>
      <c r="AH19" s="22"/>
      <c r="AI19" s="23"/>
      <c r="AJ19" s="40"/>
    </row>
    <row r="20" spans="1:36" x14ac:dyDescent="0.25">
      <c r="A20" s="7">
        <v>45698</v>
      </c>
      <c r="B20" s="48" t="s">
        <v>151</v>
      </c>
      <c r="C20" s="8"/>
      <c r="D20" s="9" t="s">
        <v>45</v>
      </c>
      <c r="E20" s="10" t="s">
        <v>39</v>
      </c>
      <c r="F20" s="11"/>
      <c r="G20" s="12">
        <v>3360</v>
      </c>
      <c r="H20" s="47">
        <v>21</v>
      </c>
      <c r="I20" s="14">
        <f t="shared" si="0"/>
        <v>705.6</v>
      </c>
      <c r="J20" s="13"/>
      <c r="K20" s="14"/>
      <c r="L20" s="12"/>
      <c r="M20" s="13"/>
      <c r="N20" s="14">
        <f t="shared" si="1"/>
        <v>0</v>
      </c>
      <c r="O20" s="15"/>
      <c r="P20" s="14"/>
      <c r="Q20" s="12"/>
      <c r="R20" s="13"/>
      <c r="S20" s="14"/>
      <c r="T20" s="15"/>
      <c r="U20" s="14"/>
      <c r="V20" s="15"/>
      <c r="W20" s="15"/>
      <c r="X20" s="14"/>
      <c r="Y20" s="15"/>
      <c r="Z20" s="15"/>
      <c r="AA20" s="14"/>
      <c r="AB20" s="16">
        <f t="shared" si="2"/>
        <v>4065.6</v>
      </c>
      <c r="AC20" s="17"/>
      <c r="AD20" s="18"/>
      <c r="AE20" s="19"/>
      <c r="AF20" s="20"/>
      <c r="AG20" s="21"/>
      <c r="AH20" s="22"/>
      <c r="AI20" s="23"/>
      <c r="AJ20" s="40"/>
    </row>
    <row r="21" spans="1:36" x14ac:dyDescent="0.25">
      <c r="A21" s="7">
        <v>45698</v>
      </c>
      <c r="B21" s="48" t="s">
        <v>152</v>
      </c>
      <c r="C21" s="8"/>
      <c r="D21" s="9" t="s">
        <v>45</v>
      </c>
      <c r="E21" s="10" t="s">
        <v>39</v>
      </c>
      <c r="F21" s="11"/>
      <c r="G21" s="12">
        <v>607.20000000000005</v>
      </c>
      <c r="H21" s="47">
        <v>21</v>
      </c>
      <c r="I21" s="14">
        <f t="shared" si="0"/>
        <v>127.512</v>
      </c>
      <c r="J21" s="13"/>
      <c r="K21" s="14"/>
      <c r="L21" s="12"/>
      <c r="M21" s="13"/>
      <c r="N21" s="14">
        <f t="shared" si="1"/>
        <v>0</v>
      </c>
      <c r="O21" s="15"/>
      <c r="P21" s="14"/>
      <c r="Q21" s="12"/>
      <c r="R21" s="13"/>
      <c r="S21" s="14"/>
      <c r="T21" s="15"/>
      <c r="U21" s="14"/>
      <c r="V21" s="15"/>
      <c r="W21" s="15"/>
      <c r="X21" s="14"/>
      <c r="Y21" s="15"/>
      <c r="Z21" s="15"/>
      <c r="AA21" s="14"/>
      <c r="AB21" s="16">
        <f t="shared" si="2"/>
        <v>734.71199999999999</v>
      </c>
      <c r="AC21" s="17"/>
      <c r="AD21" s="18"/>
      <c r="AE21" s="19"/>
      <c r="AF21" s="20"/>
      <c r="AG21" s="21"/>
      <c r="AH21" s="22"/>
      <c r="AI21" s="23"/>
      <c r="AJ21" s="40"/>
    </row>
    <row r="22" spans="1:36" x14ac:dyDescent="0.25">
      <c r="A22" s="7">
        <v>45699</v>
      </c>
      <c r="B22" s="48" t="s">
        <v>153</v>
      </c>
      <c r="C22" s="8"/>
      <c r="D22" s="9" t="s">
        <v>126</v>
      </c>
      <c r="E22" s="10" t="s">
        <v>110</v>
      </c>
      <c r="F22" s="11"/>
      <c r="G22" s="12">
        <v>5490</v>
      </c>
      <c r="H22" s="47">
        <v>21</v>
      </c>
      <c r="I22" s="14">
        <f t="shared" si="0"/>
        <v>1152.9000000000001</v>
      </c>
      <c r="J22" s="13"/>
      <c r="K22" s="14"/>
      <c r="L22" s="12"/>
      <c r="M22" s="13"/>
      <c r="N22" s="14">
        <f t="shared" si="1"/>
        <v>0</v>
      </c>
      <c r="O22" s="15"/>
      <c r="P22" s="14"/>
      <c r="Q22" s="12"/>
      <c r="R22" s="13"/>
      <c r="S22" s="14"/>
      <c r="T22" s="15"/>
      <c r="U22" s="14"/>
      <c r="V22" s="15"/>
      <c r="W22" s="15"/>
      <c r="X22" s="14"/>
      <c r="Y22" s="15"/>
      <c r="Z22" s="15"/>
      <c r="AA22" s="14"/>
      <c r="AB22" s="16">
        <f t="shared" si="2"/>
        <v>6642.9</v>
      </c>
      <c r="AC22" s="17"/>
      <c r="AD22" s="18"/>
      <c r="AE22" s="19"/>
      <c r="AF22" s="20"/>
      <c r="AG22" s="21"/>
      <c r="AH22" s="22"/>
      <c r="AI22" s="23"/>
      <c r="AJ22" s="40" t="s">
        <v>67</v>
      </c>
    </row>
    <row r="23" spans="1:36" x14ac:dyDescent="0.25">
      <c r="A23" s="7">
        <v>45699</v>
      </c>
      <c r="B23" s="48" t="s">
        <v>154</v>
      </c>
      <c r="C23" s="8"/>
      <c r="D23" s="9" t="s">
        <v>126</v>
      </c>
      <c r="E23" s="10" t="s">
        <v>110</v>
      </c>
      <c r="F23" s="11"/>
      <c r="G23" s="12">
        <v>5041.8900000000003</v>
      </c>
      <c r="H23" s="47">
        <v>21</v>
      </c>
      <c r="I23" s="14">
        <f t="shared" si="0"/>
        <v>1058.7969000000001</v>
      </c>
      <c r="J23" s="13"/>
      <c r="K23" s="14"/>
      <c r="L23" s="12"/>
      <c r="M23" s="13"/>
      <c r="N23" s="14">
        <f t="shared" si="1"/>
        <v>0</v>
      </c>
      <c r="O23" s="15"/>
      <c r="P23" s="14"/>
      <c r="Q23" s="12"/>
      <c r="R23" s="13"/>
      <c r="S23" s="14"/>
      <c r="T23" s="15"/>
      <c r="U23" s="14"/>
      <c r="V23" s="15"/>
      <c r="W23" s="15"/>
      <c r="X23" s="14"/>
      <c r="Y23" s="15"/>
      <c r="Z23" s="15"/>
      <c r="AA23" s="14"/>
      <c r="AB23" s="16">
        <f t="shared" si="2"/>
        <v>6100.6869000000006</v>
      </c>
      <c r="AC23" s="17"/>
      <c r="AD23" s="18"/>
      <c r="AE23" s="19"/>
      <c r="AF23" s="20"/>
      <c r="AG23" s="21"/>
      <c r="AH23" s="22"/>
      <c r="AI23" s="23"/>
      <c r="AJ23" s="40" t="s">
        <v>67</v>
      </c>
    </row>
    <row r="24" spans="1:36" x14ac:dyDescent="0.25">
      <c r="A24" s="7">
        <v>45705</v>
      </c>
      <c r="B24" s="48" t="s">
        <v>155</v>
      </c>
      <c r="C24" s="8"/>
      <c r="D24" s="9" t="s">
        <v>46</v>
      </c>
      <c r="E24" s="10" t="s">
        <v>40</v>
      </c>
      <c r="F24" s="11"/>
      <c r="G24" s="12">
        <v>30.92</v>
      </c>
      <c r="H24" s="47">
        <v>21</v>
      </c>
      <c r="I24" s="14">
        <f t="shared" si="0"/>
        <v>6.4932000000000007</v>
      </c>
      <c r="J24" s="13"/>
      <c r="K24" s="14"/>
      <c r="L24" s="12"/>
      <c r="M24" s="13"/>
      <c r="N24" s="14">
        <f t="shared" si="1"/>
        <v>0</v>
      </c>
      <c r="O24" s="15"/>
      <c r="P24" s="14"/>
      <c r="Q24" s="12"/>
      <c r="R24" s="13"/>
      <c r="S24" s="14"/>
      <c r="T24" s="15"/>
      <c r="U24" s="14"/>
      <c r="V24" s="15"/>
      <c r="W24" s="15"/>
      <c r="X24" s="14"/>
      <c r="Y24" s="15"/>
      <c r="Z24" s="15"/>
      <c r="AA24" s="14"/>
      <c r="AB24" s="16">
        <f t="shared" si="2"/>
        <v>37.413200000000003</v>
      </c>
      <c r="AC24" s="17"/>
      <c r="AD24" s="18"/>
      <c r="AE24" s="19"/>
      <c r="AF24" s="20"/>
      <c r="AG24" s="21"/>
      <c r="AH24" s="22"/>
      <c r="AI24" s="23"/>
      <c r="AJ24" s="40"/>
    </row>
    <row r="25" spans="1:36" x14ac:dyDescent="0.25">
      <c r="A25" s="7">
        <v>45705</v>
      </c>
      <c r="B25" s="48" t="s">
        <v>156</v>
      </c>
      <c r="C25" s="8"/>
      <c r="D25" s="9" t="s">
        <v>46</v>
      </c>
      <c r="E25" s="10" t="s">
        <v>40</v>
      </c>
      <c r="F25" s="11"/>
      <c r="G25" s="12">
        <v>3983</v>
      </c>
      <c r="H25" s="47">
        <v>21</v>
      </c>
      <c r="I25" s="14">
        <f t="shared" si="0"/>
        <v>836.43</v>
      </c>
      <c r="J25" s="13"/>
      <c r="K25" s="14"/>
      <c r="L25" s="12"/>
      <c r="M25" s="13"/>
      <c r="N25" s="14">
        <f t="shared" si="1"/>
        <v>0</v>
      </c>
      <c r="O25" s="15"/>
      <c r="P25" s="14"/>
      <c r="Q25" s="12"/>
      <c r="R25" s="13"/>
      <c r="S25" s="14"/>
      <c r="T25" s="15"/>
      <c r="U25" s="14"/>
      <c r="V25" s="15"/>
      <c r="W25" s="15"/>
      <c r="X25" s="14"/>
      <c r="Y25" s="15"/>
      <c r="Z25" s="15"/>
      <c r="AA25" s="14"/>
      <c r="AB25" s="16">
        <f t="shared" si="2"/>
        <v>4819.43</v>
      </c>
      <c r="AC25" s="17"/>
      <c r="AD25" s="18"/>
      <c r="AE25" s="19"/>
      <c r="AF25" s="20"/>
      <c r="AG25" s="21"/>
      <c r="AH25" s="22"/>
      <c r="AI25" s="23"/>
      <c r="AJ25" s="40"/>
    </row>
    <row r="26" spans="1:36" x14ac:dyDescent="0.25">
      <c r="A26" s="7">
        <v>45705</v>
      </c>
      <c r="B26" s="48" t="s">
        <v>157</v>
      </c>
      <c r="C26" s="8"/>
      <c r="D26" s="9" t="s">
        <v>46</v>
      </c>
      <c r="E26" s="10" t="s">
        <v>40</v>
      </c>
      <c r="F26" s="11"/>
      <c r="G26" s="12">
        <v>647</v>
      </c>
      <c r="H26" s="47">
        <v>21</v>
      </c>
      <c r="I26" s="14">
        <f t="shared" si="0"/>
        <v>135.87</v>
      </c>
      <c r="J26" s="13"/>
      <c r="K26" s="14"/>
      <c r="L26" s="12"/>
      <c r="M26" s="13"/>
      <c r="N26" s="14">
        <f t="shared" si="1"/>
        <v>0</v>
      </c>
      <c r="O26" s="15"/>
      <c r="P26" s="14"/>
      <c r="Q26" s="12"/>
      <c r="R26" s="13"/>
      <c r="S26" s="14"/>
      <c r="T26" s="15"/>
      <c r="U26" s="14"/>
      <c r="V26" s="15"/>
      <c r="W26" s="15"/>
      <c r="X26" s="14"/>
      <c r="Y26" s="15"/>
      <c r="Z26" s="15"/>
      <c r="AA26" s="14"/>
      <c r="AB26" s="16">
        <f t="shared" si="2"/>
        <v>782.87</v>
      </c>
      <c r="AC26" s="17"/>
      <c r="AD26" s="18"/>
      <c r="AE26" s="19"/>
      <c r="AF26" s="20"/>
      <c r="AG26" s="21"/>
      <c r="AH26" s="22"/>
      <c r="AI26" s="23"/>
      <c r="AJ26" s="40"/>
    </row>
    <row r="27" spans="1:36" x14ac:dyDescent="0.25">
      <c r="A27" s="7">
        <v>45705</v>
      </c>
      <c r="B27" s="48" t="s">
        <v>158</v>
      </c>
      <c r="C27" s="8"/>
      <c r="D27" s="9" t="s">
        <v>46</v>
      </c>
      <c r="E27" s="10" t="s">
        <v>40</v>
      </c>
      <c r="F27" s="11"/>
      <c r="G27" s="12">
        <v>583</v>
      </c>
      <c r="H27" s="47">
        <v>21</v>
      </c>
      <c r="I27" s="14">
        <f t="shared" si="0"/>
        <v>122.43</v>
      </c>
      <c r="J27" s="13"/>
      <c r="K27" s="14"/>
      <c r="L27" s="12"/>
      <c r="M27" s="13"/>
      <c r="N27" s="14">
        <f t="shared" si="1"/>
        <v>0</v>
      </c>
      <c r="O27" s="15"/>
      <c r="P27" s="14"/>
      <c r="Q27" s="12"/>
      <c r="R27" s="13"/>
      <c r="S27" s="14"/>
      <c r="T27" s="15"/>
      <c r="U27" s="14"/>
      <c r="V27" s="15"/>
      <c r="W27" s="15"/>
      <c r="X27" s="14"/>
      <c r="Y27" s="15"/>
      <c r="Z27" s="15"/>
      <c r="AA27" s="14"/>
      <c r="AB27" s="16">
        <f t="shared" si="2"/>
        <v>705.43000000000006</v>
      </c>
      <c r="AC27" s="17"/>
      <c r="AD27" s="18"/>
      <c r="AE27" s="19"/>
      <c r="AF27" s="20"/>
      <c r="AG27" s="21"/>
      <c r="AH27" s="22"/>
      <c r="AI27" s="23"/>
      <c r="AJ27" s="40"/>
    </row>
    <row r="28" spans="1:36" x14ac:dyDescent="0.25">
      <c r="A28" s="7">
        <v>45705</v>
      </c>
      <c r="B28" s="48" t="s">
        <v>159</v>
      </c>
      <c r="C28" s="8"/>
      <c r="D28" s="9" t="s">
        <v>46</v>
      </c>
      <c r="E28" s="10" t="s">
        <v>40</v>
      </c>
      <c r="F28" s="11"/>
      <c r="G28" s="12">
        <v>2723.8</v>
      </c>
      <c r="H28" s="47">
        <v>21</v>
      </c>
      <c r="I28" s="14">
        <f t="shared" si="0"/>
        <v>571.99800000000005</v>
      </c>
      <c r="J28" s="13"/>
      <c r="K28" s="14"/>
      <c r="L28" s="12"/>
      <c r="M28" s="13"/>
      <c r="N28" s="14">
        <f t="shared" si="1"/>
        <v>0</v>
      </c>
      <c r="O28" s="15"/>
      <c r="P28" s="14"/>
      <c r="Q28" s="12"/>
      <c r="R28" s="13"/>
      <c r="S28" s="14"/>
      <c r="T28" s="15"/>
      <c r="U28" s="14"/>
      <c r="V28" s="15"/>
      <c r="W28" s="15"/>
      <c r="X28" s="14"/>
      <c r="Y28" s="15"/>
      <c r="Z28" s="15"/>
      <c r="AA28" s="14"/>
      <c r="AB28" s="16">
        <f t="shared" si="2"/>
        <v>3295.7980000000002</v>
      </c>
      <c r="AC28" s="17"/>
      <c r="AD28" s="18"/>
      <c r="AE28" s="19"/>
      <c r="AF28" s="20"/>
      <c r="AG28" s="21"/>
      <c r="AH28" s="22"/>
      <c r="AI28" s="23"/>
      <c r="AJ28" s="40"/>
    </row>
    <row r="29" spans="1:36" x14ac:dyDescent="0.25">
      <c r="A29" s="7">
        <v>45705</v>
      </c>
      <c r="B29" s="48" t="s">
        <v>160</v>
      </c>
      <c r="C29" s="8"/>
      <c r="D29" s="9" t="s">
        <v>46</v>
      </c>
      <c r="E29" s="10" t="s">
        <v>40</v>
      </c>
      <c r="F29" s="11"/>
      <c r="G29" s="12">
        <v>9185</v>
      </c>
      <c r="H29" s="47">
        <v>21</v>
      </c>
      <c r="I29" s="14">
        <f t="shared" si="0"/>
        <v>1928.85</v>
      </c>
      <c r="J29" s="13"/>
      <c r="K29" s="14"/>
      <c r="L29" s="12"/>
      <c r="M29" s="13"/>
      <c r="N29" s="14">
        <f t="shared" si="1"/>
        <v>0</v>
      </c>
      <c r="O29" s="15"/>
      <c r="P29" s="14"/>
      <c r="Q29" s="12"/>
      <c r="R29" s="13"/>
      <c r="S29" s="14"/>
      <c r="T29" s="15"/>
      <c r="U29" s="14"/>
      <c r="V29" s="15"/>
      <c r="W29" s="15"/>
      <c r="X29" s="14"/>
      <c r="Y29" s="15"/>
      <c r="Z29" s="15"/>
      <c r="AA29" s="14"/>
      <c r="AB29" s="16">
        <f t="shared" si="2"/>
        <v>11113.85</v>
      </c>
      <c r="AC29" s="17"/>
      <c r="AD29" s="18"/>
      <c r="AE29" s="19"/>
      <c r="AF29" s="20"/>
      <c r="AG29" s="21"/>
      <c r="AH29" s="22"/>
      <c r="AI29" s="23"/>
      <c r="AJ29" s="40"/>
    </row>
    <row r="30" spans="1:36" s="39" customFormat="1" x14ac:dyDescent="0.25">
      <c r="A30" s="24">
        <v>45705</v>
      </c>
      <c r="B30" s="49" t="s">
        <v>161</v>
      </c>
      <c r="C30" s="25"/>
      <c r="D30" s="26" t="s">
        <v>118</v>
      </c>
      <c r="E30" s="27" t="s">
        <v>102</v>
      </c>
      <c r="F30" s="28"/>
      <c r="G30" s="29">
        <v>432</v>
      </c>
      <c r="H30" s="47">
        <v>21</v>
      </c>
      <c r="I30" s="16">
        <f t="shared" si="0"/>
        <v>90.72</v>
      </c>
      <c r="J30" s="30"/>
      <c r="K30" s="16"/>
      <c r="L30" s="29"/>
      <c r="M30" s="30"/>
      <c r="N30" s="14">
        <f t="shared" si="1"/>
        <v>0</v>
      </c>
      <c r="O30" s="31"/>
      <c r="P30" s="16"/>
      <c r="Q30" s="29"/>
      <c r="R30" s="30"/>
      <c r="S30" s="16"/>
      <c r="T30" s="31"/>
      <c r="U30" s="16"/>
      <c r="V30" s="31"/>
      <c r="W30" s="31"/>
      <c r="X30" s="16"/>
      <c r="Y30" s="31"/>
      <c r="Z30" s="31"/>
      <c r="AA30" s="16"/>
      <c r="AB30" s="16">
        <f>+G30+I30+K30+L30+N30+P30+Q30+S30+U30-X30-AA30</f>
        <v>522.72</v>
      </c>
      <c r="AC30" s="32"/>
      <c r="AD30" s="33"/>
      <c r="AE30" s="34"/>
      <c r="AF30" s="35"/>
      <c r="AG30" s="36"/>
      <c r="AH30" s="37"/>
      <c r="AI30" s="38"/>
      <c r="AJ30" s="41"/>
    </row>
    <row r="31" spans="1:36" x14ac:dyDescent="0.25">
      <c r="A31" s="7">
        <v>45705</v>
      </c>
      <c r="B31" s="48" t="s">
        <v>162</v>
      </c>
      <c r="C31" s="8"/>
      <c r="D31" s="9" t="s">
        <v>118</v>
      </c>
      <c r="E31" s="10" t="s">
        <v>102</v>
      </c>
      <c r="F31" s="11"/>
      <c r="G31" s="12">
        <v>1545</v>
      </c>
      <c r="H31" s="47">
        <v>21</v>
      </c>
      <c r="I31" s="14">
        <f t="shared" si="0"/>
        <v>324.45</v>
      </c>
      <c r="J31" s="13"/>
      <c r="K31" s="14"/>
      <c r="L31" s="12"/>
      <c r="M31" s="13"/>
      <c r="N31" s="14">
        <f t="shared" si="1"/>
        <v>0</v>
      </c>
      <c r="O31" s="15"/>
      <c r="P31" s="14"/>
      <c r="Q31" s="12"/>
      <c r="R31" s="13"/>
      <c r="S31" s="14"/>
      <c r="T31" s="15"/>
      <c r="U31" s="14"/>
      <c r="V31" s="15"/>
      <c r="W31" s="15"/>
      <c r="X31" s="14"/>
      <c r="Y31" s="15"/>
      <c r="Z31" s="15"/>
      <c r="AA31" s="14"/>
      <c r="AB31" s="16">
        <f t="shared" si="2"/>
        <v>1869.45</v>
      </c>
      <c r="AC31" s="17"/>
      <c r="AD31" s="18"/>
      <c r="AE31" s="19"/>
      <c r="AF31" s="20"/>
      <c r="AG31" s="21"/>
      <c r="AH31" s="22"/>
      <c r="AI31" s="23"/>
      <c r="AJ31" s="40"/>
    </row>
    <row r="32" spans="1:36" x14ac:dyDescent="0.25">
      <c r="A32" s="7">
        <v>45705</v>
      </c>
      <c r="B32" s="48" t="s">
        <v>163</v>
      </c>
      <c r="C32" s="8"/>
      <c r="D32" s="9" t="s">
        <v>118</v>
      </c>
      <c r="E32" s="10" t="s">
        <v>102</v>
      </c>
      <c r="F32" s="11"/>
      <c r="G32" s="12">
        <v>1248</v>
      </c>
      <c r="H32" s="47">
        <v>21</v>
      </c>
      <c r="I32" s="14">
        <f t="shared" si="0"/>
        <v>262.08</v>
      </c>
      <c r="J32" s="13"/>
      <c r="K32" s="14"/>
      <c r="L32" s="12"/>
      <c r="M32" s="13"/>
      <c r="N32" s="14">
        <f t="shared" si="1"/>
        <v>0</v>
      </c>
      <c r="O32" s="15"/>
      <c r="P32" s="14"/>
      <c r="Q32" s="12"/>
      <c r="R32" s="13"/>
      <c r="S32" s="14"/>
      <c r="T32" s="15"/>
      <c r="U32" s="14"/>
      <c r="V32" s="15"/>
      <c r="W32" s="15"/>
      <c r="X32" s="14"/>
      <c r="Y32" s="15"/>
      <c r="Z32" s="15"/>
      <c r="AA32" s="14"/>
      <c r="AB32" s="16">
        <f t="shared" si="2"/>
        <v>1510.08</v>
      </c>
      <c r="AC32" s="17"/>
      <c r="AD32" s="18"/>
      <c r="AE32" s="19"/>
      <c r="AF32" s="20"/>
      <c r="AG32" s="21"/>
      <c r="AH32" s="22"/>
      <c r="AI32" s="23"/>
      <c r="AJ32" s="40"/>
    </row>
    <row r="33" spans="1:36" x14ac:dyDescent="0.25">
      <c r="A33" s="7">
        <v>45705</v>
      </c>
      <c r="B33" s="48" t="s">
        <v>164</v>
      </c>
      <c r="C33" s="8"/>
      <c r="D33" s="9" t="s">
        <v>118</v>
      </c>
      <c r="E33" s="10" t="s">
        <v>102</v>
      </c>
      <c r="F33" s="11"/>
      <c r="G33" s="12">
        <v>556</v>
      </c>
      <c r="H33" s="47">
        <v>21</v>
      </c>
      <c r="I33" s="14">
        <f t="shared" si="0"/>
        <v>116.76</v>
      </c>
      <c r="J33" s="13"/>
      <c r="K33" s="14"/>
      <c r="L33" s="12"/>
      <c r="M33" s="13"/>
      <c r="N33" s="14">
        <f t="shared" si="1"/>
        <v>0</v>
      </c>
      <c r="O33" s="15"/>
      <c r="P33" s="14"/>
      <c r="Q33" s="12"/>
      <c r="R33" s="13"/>
      <c r="S33" s="14"/>
      <c r="T33" s="15"/>
      <c r="U33" s="14"/>
      <c r="V33" s="15"/>
      <c r="W33" s="15"/>
      <c r="X33" s="14"/>
      <c r="Y33" s="15"/>
      <c r="Z33" s="15"/>
      <c r="AA33" s="14"/>
      <c r="AB33" s="16">
        <f t="shared" si="2"/>
        <v>672.76</v>
      </c>
      <c r="AC33" s="17"/>
      <c r="AD33" s="18"/>
      <c r="AE33" s="19"/>
      <c r="AF33" s="20"/>
      <c r="AG33" s="21"/>
      <c r="AH33" s="22"/>
      <c r="AI33" s="23"/>
      <c r="AJ33" s="40"/>
    </row>
    <row r="34" spans="1:36" x14ac:dyDescent="0.25">
      <c r="A34" s="7">
        <v>45705</v>
      </c>
      <c r="B34" s="48" t="s">
        <v>165</v>
      </c>
      <c r="C34" s="8"/>
      <c r="D34" s="9" t="s">
        <v>45</v>
      </c>
      <c r="E34" s="10" t="s">
        <v>39</v>
      </c>
      <c r="F34" s="11"/>
      <c r="G34" s="12">
        <v>92</v>
      </c>
      <c r="H34" s="47">
        <v>21</v>
      </c>
      <c r="I34" s="14">
        <f t="shared" si="0"/>
        <v>19.32</v>
      </c>
      <c r="J34" s="13"/>
      <c r="K34" s="14"/>
      <c r="L34" s="12"/>
      <c r="M34" s="13"/>
      <c r="N34" s="14">
        <f t="shared" si="1"/>
        <v>0</v>
      </c>
      <c r="O34" s="15"/>
      <c r="P34" s="14"/>
      <c r="Q34" s="12"/>
      <c r="R34" s="13"/>
      <c r="S34" s="14"/>
      <c r="T34" s="15"/>
      <c r="U34" s="14"/>
      <c r="V34" s="15"/>
      <c r="W34" s="15"/>
      <c r="X34" s="14"/>
      <c r="Y34" s="15"/>
      <c r="Z34" s="15"/>
      <c r="AA34" s="14"/>
      <c r="AB34" s="16">
        <f t="shared" si="2"/>
        <v>111.32</v>
      </c>
      <c r="AC34" s="17"/>
      <c r="AD34" s="18"/>
      <c r="AE34" s="19"/>
      <c r="AF34" s="20"/>
      <c r="AG34" s="21"/>
      <c r="AH34" s="22"/>
      <c r="AI34" s="23"/>
      <c r="AJ34" s="40"/>
    </row>
    <row r="35" spans="1:36" x14ac:dyDescent="0.25">
      <c r="A35" s="7">
        <v>45708</v>
      </c>
      <c r="B35" s="48" t="s">
        <v>166</v>
      </c>
      <c r="C35" s="8"/>
      <c r="D35" s="9" t="s">
        <v>118</v>
      </c>
      <c r="E35" s="10" t="s">
        <v>102</v>
      </c>
      <c r="F35" s="11"/>
      <c r="G35" s="12">
        <v>615</v>
      </c>
      <c r="H35" s="47">
        <v>21</v>
      </c>
      <c r="I35" s="14">
        <f t="shared" si="0"/>
        <v>129.15</v>
      </c>
      <c r="J35" s="13"/>
      <c r="K35" s="14"/>
      <c r="L35" s="12"/>
      <c r="M35" s="13"/>
      <c r="N35" s="14">
        <f t="shared" si="1"/>
        <v>0</v>
      </c>
      <c r="O35" s="15"/>
      <c r="P35" s="14"/>
      <c r="Q35" s="12"/>
      <c r="R35" s="13"/>
      <c r="S35" s="14"/>
      <c r="T35" s="15"/>
      <c r="U35" s="14"/>
      <c r="V35" s="15"/>
      <c r="W35" s="15"/>
      <c r="X35" s="14"/>
      <c r="Y35" s="15"/>
      <c r="Z35" s="15"/>
      <c r="AA35" s="14"/>
      <c r="AB35" s="16">
        <f t="shared" si="2"/>
        <v>744.15</v>
      </c>
      <c r="AC35" s="17"/>
      <c r="AD35" s="18"/>
      <c r="AE35" s="19"/>
      <c r="AF35" s="20"/>
      <c r="AG35" s="21"/>
      <c r="AH35" s="22"/>
      <c r="AI35" s="23"/>
      <c r="AJ35" s="40"/>
    </row>
    <row r="36" spans="1:36" x14ac:dyDescent="0.25">
      <c r="A36" s="7">
        <v>45708</v>
      </c>
      <c r="B36" s="48" t="s">
        <v>167</v>
      </c>
      <c r="C36" s="8"/>
      <c r="D36" s="9" t="s">
        <v>127</v>
      </c>
      <c r="E36" s="10" t="s">
        <v>111</v>
      </c>
      <c r="F36" s="11"/>
      <c r="G36" s="12">
        <v>3015.4</v>
      </c>
      <c r="H36" s="47">
        <v>21</v>
      </c>
      <c r="I36" s="14">
        <f t="shared" ref="I36:I65" si="3">+IF(G36&lt;&gt;0,G36*H36/100,0)</f>
        <v>633.23400000000004</v>
      </c>
      <c r="J36" s="13"/>
      <c r="K36" s="14"/>
      <c r="L36" s="12"/>
      <c r="M36" s="13"/>
      <c r="N36" s="14">
        <f t="shared" ref="N36:N65" si="4">+IF(L36&lt;&gt;0,L36*M36/100,0)</f>
        <v>0</v>
      </c>
      <c r="O36" s="15"/>
      <c r="P36" s="14"/>
      <c r="Q36" s="12"/>
      <c r="R36" s="13"/>
      <c r="S36" s="14"/>
      <c r="T36" s="15"/>
      <c r="U36" s="14"/>
      <c r="V36" s="15"/>
      <c r="W36" s="15"/>
      <c r="X36" s="14"/>
      <c r="Y36" s="15"/>
      <c r="Z36" s="15"/>
      <c r="AA36" s="14"/>
      <c r="AB36" s="16">
        <f t="shared" ref="AB36:AB65" si="5">+G36+I36+K36+L36+N36+P36+Q36+S36+U36-X36-AA36</f>
        <v>3648.634</v>
      </c>
      <c r="AC36" s="17"/>
      <c r="AD36" s="18"/>
      <c r="AE36" s="19"/>
      <c r="AF36" s="20"/>
      <c r="AG36" s="21"/>
      <c r="AH36" s="22"/>
      <c r="AI36" s="23"/>
      <c r="AJ36" s="40" t="s">
        <v>67</v>
      </c>
    </row>
    <row r="37" spans="1:36" x14ac:dyDescent="0.25">
      <c r="A37" s="7">
        <v>45708</v>
      </c>
      <c r="B37" s="48" t="s">
        <v>168</v>
      </c>
      <c r="C37" s="8"/>
      <c r="D37" s="9" t="s">
        <v>124</v>
      </c>
      <c r="E37" s="10" t="s">
        <v>108</v>
      </c>
      <c r="F37" s="11"/>
      <c r="G37" s="12">
        <v>2500</v>
      </c>
      <c r="H37" s="47">
        <v>21</v>
      </c>
      <c r="I37" s="14">
        <f t="shared" si="3"/>
        <v>525</v>
      </c>
      <c r="J37" s="13"/>
      <c r="K37" s="14"/>
      <c r="L37" s="12"/>
      <c r="M37" s="13"/>
      <c r="N37" s="14">
        <f t="shared" si="4"/>
        <v>0</v>
      </c>
      <c r="O37" s="15"/>
      <c r="P37" s="14"/>
      <c r="Q37" s="12"/>
      <c r="R37" s="13"/>
      <c r="S37" s="14"/>
      <c r="T37" s="15"/>
      <c r="U37" s="14"/>
      <c r="V37" s="15"/>
      <c r="W37" s="15"/>
      <c r="X37" s="14"/>
      <c r="Y37" s="15"/>
      <c r="Z37" s="15"/>
      <c r="AA37" s="14"/>
      <c r="AB37" s="16">
        <f t="shared" si="5"/>
        <v>3025</v>
      </c>
      <c r="AC37" s="17"/>
      <c r="AD37" s="18"/>
      <c r="AE37" s="19"/>
      <c r="AF37" s="20"/>
      <c r="AG37" s="21"/>
      <c r="AH37" s="22"/>
      <c r="AI37" s="23"/>
      <c r="AJ37" s="40"/>
    </row>
    <row r="38" spans="1:36" x14ac:dyDescent="0.25">
      <c r="A38" s="7">
        <v>45708</v>
      </c>
      <c r="B38" s="48" t="s">
        <v>169</v>
      </c>
      <c r="C38" s="8"/>
      <c r="D38" s="9" t="s">
        <v>128</v>
      </c>
      <c r="E38" s="10" t="s">
        <v>112</v>
      </c>
      <c r="F38" s="11"/>
      <c r="G38" s="12">
        <v>2538</v>
      </c>
      <c r="H38" s="47">
        <v>21</v>
      </c>
      <c r="I38" s="14">
        <f t="shared" si="3"/>
        <v>532.98</v>
      </c>
      <c r="J38" s="13"/>
      <c r="K38" s="14"/>
      <c r="L38" s="12"/>
      <c r="M38" s="13"/>
      <c r="N38" s="14">
        <f t="shared" si="4"/>
        <v>0</v>
      </c>
      <c r="O38" s="15"/>
      <c r="P38" s="14"/>
      <c r="Q38" s="12"/>
      <c r="R38" s="13"/>
      <c r="S38" s="14"/>
      <c r="T38" s="15"/>
      <c r="U38" s="14"/>
      <c r="V38" s="15"/>
      <c r="W38" s="15"/>
      <c r="X38" s="14"/>
      <c r="Y38" s="15"/>
      <c r="Z38" s="15"/>
      <c r="AA38" s="14"/>
      <c r="AB38" s="16">
        <f t="shared" si="5"/>
        <v>3070.98</v>
      </c>
      <c r="AC38" s="17"/>
      <c r="AD38" s="18"/>
      <c r="AE38" s="19"/>
      <c r="AF38" s="20"/>
      <c r="AG38" s="21"/>
      <c r="AH38" s="22"/>
      <c r="AI38" s="23"/>
      <c r="AJ38" s="40" t="s">
        <v>197</v>
      </c>
    </row>
    <row r="39" spans="1:36" x14ac:dyDescent="0.25">
      <c r="A39" s="7">
        <v>45708</v>
      </c>
      <c r="B39" s="48" t="s">
        <v>170</v>
      </c>
      <c r="C39" s="8"/>
      <c r="D39" s="9" t="s">
        <v>128</v>
      </c>
      <c r="E39" s="10" t="s">
        <v>112</v>
      </c>
      <c r="F39" s="11"/>
      <c r="G39" s="12">
        <v>5955</v>
      </c>
      <c r="H39" s="47">
        <v>21</v>
      </c>
      <c r="I39" s="14">
        <f t="shared" si="3"/>
        <v>1250.55</v>
      </c>
      <c r="J39" s="13"/>
      <c r="K39" s="14"/>
      <c r="L39" s="12"/>
      <c r="M39" s="13"/>
      <c r="N39" s="14">
        <f t="shared" si="4"/>
        <v>0</v>
      </c>
      <c r="O39" s="15"/>
      <c r="P39" s="14"/>
      <c r="Q39" s="12"/>
      <c r="R39" s="13"/>
      <c r="S39" s="14"/>
      <c r="T39" s="15"/>
      <c r="U39" s="14"/>
      <c r="V39" s="15"/>
      <c r="W39" s="15"/>
      <c r="X39" s="14"/>
      <c r="Y39" s="15"/>
      <c r="Z39" s="15"/>
      <c r="AA39" s="14"/>
      <c r="AB39" s="16">
        <f t="shared" si="5"/>
        <v>7205.55</v>
      </c>
      <c r="AC39" s="17"/>
      <c r="AD39" s="18"/>
      <c r="AE39" s="19"/>
      <c r="AF39" s="20"/>
      <c r="AG39" s="21"/>
      <c r="AH39" s="22"/>
      <c r="AI39" s="23"/>
      <c r="AJ39" s="40"/>
    </row>
    <row r="40" spans="1:36" x14ac:dyDescent="0.25">
      <c r="A40" s="7">
        <v>45708</v>
      </c>
      <c r="B40" s="48" t="s">
        <v>171</v>
      </c>
      <c r="C40" s="8"/>
      <c r="D40" s="9" t="s">
        <v>46</v>
      </c>
      <c r="E40" s="10" t="s">
        <v>40</v>
      </c>
      <c r="F40" s="11"/>
      <c r="G40" s="12">
        <v>85016.81</v>
      </c>
      <c r="H40" s="47">
        <v>21</v>
      </c>
      <c r="I40" s="14">
        <f t="shared" si="3"/>
        <v>17853.5301</v>
      </c>
      <c r="J40" s="13"/>
      <c r="K40" s="14"/>
      <c r="L40" s="12"/>
      <c r="M40" s="13"/>
      <c r="N40" s="14">
        <f t="shared" si="4"/>
        <v>0</v>
      </c>
      <c r="O40" s="15"/>
      <c r="P40" s="14"/>
      <c r="Q40" s="12"/>
      <c r="R40" s="13"/>
      <c r="S40" s="14"/>
      <c r="T40" s="15"/>
      <c r="U40" s="14"/>
      <c r="V40" s="15"/>
      <c r="W40" s="15"/>
      <c r="X40" s="14"/>
      <c r="Y40" s="15"/>
      <c r="Z40" s="15"/>
      <c r="AA40" s="14"/>
      <c r="AB40" s="16">
        <f t="shared" si="5"/>
        <v>102870.3401</v>
      </c>
      <c r="AC40" s="17"/>
      <c r="AD40" s="18"/>
      <c r="AE40" s="19"/>
      <c r="AF40" s="20"/>
      <c r="AG40" s="21"/>
      <c r="AH40" s="22"/>
      <c r="AI40" s="23"/>
      <c r="AJ40" s="40"/>
    </row>
    <row r="41" spans="1:36" x14ac:dyDescent="0.25">
      <c r="A41" s="7">
        <v>45708</v>
      </c>
      <c r="B41" s="48" t="s">
        <v>172</v>
      </c>
      <c r="C41" s="8"/>
      <c r="D41" s="9" t="s">
        <v>47</v>
      </c>
      <c r="E41" s="10" t="s">
        <v>41</v>
      </c>
      <c r="F41" s="11"/>
      <c r="G41" s="12">
        <v>2975</v>
      </c>
      <c r="H41" s="47">
        <v>21</v>
      </c>
      <c r="I41" s="14">
        <f t="shared" si="3"/>
        <v>624.75</v>
      </c>
      <c r="J41" s="13"/>
      <c r="K41" s="14"/>
      <c r="L41" s="12"/>
      <c r="M41" s="13"/>
      <c r="N41" s="14">
        <f t="shared" si="4"/>
        <v>0</v>
      </c>
      <c r="O41" s="15"/>
      <c r="P41" s="14"/>
      <c r="Q41" s="12"/>
      <c r="R41" s="13"/>
      <c r="S41" s="14"/>
      <c r="T41" s="15"/>
      <c r="U41" s="14"/>
      <c r="V41" s="15"/>
      <c r="W41" s="15"/>
      <c r="X41" s="14"/>
      <c r="Y41" s="15"/>
      <c r="Z41" s="15"/>
      <c r="AA41" s="14"/>
      <c r="AB41" s="16">
        <f t="shared" si="5"/>
        <v>3599.75</v>
      </c>
      <c r="AC41" s="17"/>
      <c r="AD41" s="18"/>
      <c r="AE41" s="19"/>
      <c r="AF41" s="20"/>
      <c r="AG41" s="21"/>
      <c r="AH41" s="22"/>
      <c r="AI41" s="23"/>
      <c r="AJ41" s="40"/>
    </row>
    <row r="42" spans="1:36" x14ac:dyDescent="0.25">
      <c r="A42" s="7">
        <v>45708</v>
      </c>
      <c r="B42" s="48" t="s">
        <v>173</v>
      </c>
      <c r="C42" s="8"/>
      <c r="D42" s="9" t="s">
        <v>47</v>
      </c>
      <c r="E42" s="10" t="s">
        <v>41</v>
      </c>
      <c r="F42" s="11"/>
      <c r="G42" s="12">
        <v>2096</v>
      </c>
      <c r="H42" s="47">
        <v>21</v>
      </c>
      <c r="I42" s="14">
        <f t="shared" si="3"/>
        <v>440.16</v>
      </c>
      <c r="J42" s="13"/>
      <c r="K42" s="14"/>
      <c r="L42" s="12"/>
      <c r="M42" s="13"/>
      <c r="N42" s="14">
        <f t="shared" si="4"/>
        <v>0</v>
      </c>
      <c r="O42" s="15"/>
      <c r="P42" s="14"/>
      <c r="Q42" s="12"/>
      <c r="R42" s="13"/>
      <c r="S42" s="14"/>
      <c r="T42" s="15"/>
      <c r="U42" s="14"/>
      <c r="V42" s="15"/>
      <c r="W42" s="15"/>
      <c r="X42" s="14"/>
      <c r="Y42" s="15"/>
      <c r="Z42" s="15"/>
      <c r="AA42" s="14"/>
      <c r="AB42" s="16">
        <f t="shared" si="5"/>
        <v>2536.16</v>
      </c>
      <c r="AC42" s="17"/>
      <c r="AD42" s="18"/>
      <c r="AE42" s="19"/>
      <c r="AF42" s="20"/>
      <c r="AG42" s="21"/>
      <c r="AH42" s="22"/>
      <c r="AI42" s="23"/>
      <c r="AJ42" s="40"/>
    </row>
    <row r="43" spans="1:36" x14ac:dyDescent="0.25">
      <c r="A43" s="7">
        <v>45708</v>
      </c>
      <c r="B43" s="48" t="s">
        <v>174</v>
      </c>
      <c r="C43" s="8"/>
      <c r="D43" s="9" t="s">
        <v>47</v>
      </c>
      <c r="E43" s="10" t="s">
        <v>41</v>
      </c>
      <c r="F43" s="11"/>
      <c r="G43" s="12">
        <v>4428.8</v>
      </c>
      <c r="H43" s="47">
        <v>21</v>
      </c>
      <c r="I43" s="14">
        <f t="shared" si="3"/>
        <v>930.048</v>
      </c>
      <c r="J43" s="13"/>
      <c r="K43" s="14"/>
      <c r="L43" s="12"/>
      <c r="M43" s="13"/>
      <c r="N43" s="14">
        <f t="shared" si="4"/>
        <v>0</v>
      </c>
      <c r="O43" s="15"/>
      <c r="P43" s="14"/>
      <c r="Q43" s="12"/>
      <c r="R43" s="13"/>
      <c r="S43" s="14"/>
      <c r="T43" s="15"/>
      <c r="U43" s="14"/>
      <c r="V43" s="15"/>
      <c r="W43" s="15"/>
      <c r="X43" s="14"/>
      <c r="Y43" s="15"/>
      <c r="Z43" s="15"/>
      <c r="AA43" s="14"/>
      <c r="AB43" s="16">
        <f t="shared" si="5"/>
        <v>5358.848</v>
      </c>
      <c r="AC43" s="17"/>
      <c r="AD43" s="18"/>
      <c r="AE43" s="19"/>
      <c r="AF43" s="20"/>
      <c r="AG43" s="21"/>
      <c r="AH43" s="22"/>
      <c r="AI43" s="23"/>
      <c r="AJ43" s="40"/>
    </row>
    <row r="44" spans="1:36" x14ac:dyDescent="0.25">
      <c r="A44" s="7">
        <v>45708</v>
      </c>
      <c r="B44" s="48" t="s">
        <v>175</v>
      </c>
      <c r="C44" s="8"/>
      <c r="D44" s="9" t="s">
        <v>47</v>
      </c>
      <c r="E44" s="10" t="s">
        <v>41</v>
      </c>
      <c r="F44" s="11"/>
      <c r="G44" s="12">
        <v>4320</v>
      </c>
      <c r="H44" s="47">
        <v>21</v>
      </c>
      <c r="I44" s="14">
        <f t="shared" si="3"/>
        <v>907.2</v>
      </c>
      <c r="J44" s="13"/>
      <c r="K44" s="14"/>
      <c r="L44" s="12"/>
      <c r="M44" s="13"/>
      <c r="N44" s="14">
        <f t="shared" si="4"/>
        <v>0</v>
      </c>
      <c r="O44" s="15"/>
      <c r="P44" s="14"/>
      <c r="Q44" s="12"/>
      <c r="R44" s="13"/>
      <c r="S44" s="14"/>
      <c r="T44" s="15"/>
      <c r="U44" s="14"/>
      <c r="V44" s="15"/>
      <c r="W44" s="15"/>
      <c r="X44" s="14"/>
      <c r="Y44" s="15"/>
      <c r="Z44" s="15"/>
      <c r="AA44" s="14"/>
      <c r="AB44" s="16">
        <f t="shared" si="5"/>
        <v>5227.2</v>
      </c>
      <c r="AC44" s="17"/>
      <c r="AD44" s="18"/>
      <c r="AE44" s="19"/>
      <c r="AF44" s="20"/>
      <c r="AG44" s="21"/>
      <c r="AH44" s="22"/>
      <c r="AI44" s="23"/>
      <c r="AJ44" s="40"/>
    </row>
    <row r="45" spans="1:36" x14ac:dyDescent="0.25">
      <c r="A45" s="7">
        <v>45708</v>
      </c>
      <c r="B45" s="48" t="s">
        <v>176</v>
      </c>
      <c r="C45" s="8"/>
      <c r="D45" s="9" t="s">
        <v>47</v>
      </c>
      <c r="E45" s="10" t="s">
        <v>41</v>
      </c>
      <c r="F45" s="11"/>
      <c r="G45" s="12">
        <v>3888</v>
      </c>
      <c r="H45" s="47">
        <v>21</v>
      </c>
      <c r="I45" s="14">
        <f t="shared" si="3"/>
        <v>816.48</v>
      </c>
      <c r="J45" s="13"/>
      <c r="K45" s="14"/>
      <c r="L45" s="12"/>
      <c r="M45" s="13"/>
      <c r="N45" s="14">
        <f t="shared" si="4"/>
        <v>0</v>
      </c>
      <c r="O45" s="15"/>
      <c r="P45" s="14"/>
      <c r="Q45" s="12"/>
      <c r="R45" s="13"/>
      <c r="S45" s="14"/>
      <c r="T45" s="15"/>
      <c r="U45" s="14"/>
      <c r="V45" s="15"/>
      <c r="W45" s="15"/>
      <c r="X45" s="14"/>
      <c r="Y45" s="15"/>
      <c r="Z45" s="15"/>
      <c r="AA45" s="14"/>
      <c r="AB45" s="16">
        <f t="shared" si="5"/>
        <v>4704.4799999999996</v>
      </c>
      <c r="AC45" s="17"/>
      <c r="AD45" s="18"/>
      <c r="AE45" s="19"/>
      <c r="AF45" s="20"/>
      <c r="AG45" s="21"/>
      <c r="AH45" s="22"/>
      <c r="AI45" s="23"/>
      <c r="AJ45" s="40"/>
    </row>
    <row r="46" spans="1:36" x14ac:dyDescent="0.25">
      <c r="A46" s="7">
        <v>45708</v>
      </c>
      <c r="B46" s="48" t="s">
        <v>177</v>
      </c>
      <c r="C46" s="8"/>
      <c r="D46" s="9" t="s">
        <v>122</v>
      </c>
      <c r="E46" s="10" t="s">
        <v>106</v>
      </c>
      <c r="F46" s="11"/>
      <c r="G46" s="12">
        <v>2659</v>
      </c>
      <c r="H46" s="47">
        <v>21</v>
      </c>
      <c r="I46" s="14">
        <f t="shared" si="3"/>
        <v>558.39</v>
      </c>
      <c r="J46" s="13"/>
      <c r="K46" s="14"/>
      <c r="L46" s="12"/>
      <c r="M46" s="13"/>
      <c r="N46" s="14">
        <f t="shared" si="4"/>
        <v>0</v>
      </c>
      <c r="O46" s="15"/>
      <c r="P46" s="14"/>
      <c r="Q46" s="12"/>
      <c r="R46" s="13"/>
      <c r="S46" s="14"/>
      <c r="T46" s="15"/>
      <c r="U46" s="14"/>
      <c r="V46" s="15"/>
      <c r="W46" s="15"/>
      <c r="X46" s="14"/>
      <c r="Y46" s="15"/>
      <c r="Z46" s="15"/>
      <c r="AA46" s="14"/>
      <c r="AB46" s="16">
        <f t="shared" si="5"/>
        <v>3217.39</v>
      </c>
      <c r="AC46" s="17"/>
      <c r="AD46" s="18"/>
      <c r="AE46" s="19"/>
      <c r="AF46" s="20"/>
      <c r="AG46" s="21"/>
      <c r="AH46" s="22"/>
      <c r="AI46" s="23"/>
      <c r="AJ46" s="40"/>
    </row>
    <row r="47" spans="1:36" x14ac:dyDescent="0.25">
      <c r="A47" s="7">
        <v>45708</v>
      </c>
      <c r="B47" s="48" t="s">
        <v>178</v>
      </c>
      <c r="C47" s="8"/>
      <c r="D47" s="9" t="s">
        <v>44</v>
      </c>
      <c r="E47" s="10" t="s">
        <v>38</v>
      </c>
      <c r="F47" s="11"/>
      <c r="G47" s="12">
        <v>57</v>
      </c>
      <c r="H47" s="47">
        <v>21</v>
      </c>
      <c r="I47" s="14">
        <f t="shared" si="3"/>
        <v>11.97</v>
      </c>
      <c r="J47" s="13"/>
      <c r="K47" s="14"/>
      <c r="L47" s="12"/>
      <c r="M47" s="13"/>
      <c r="N47" s="14">
        <f t="shared" si="4"/>
        <v>0</v>
      </c>
      <c r="O47" s="15"/>
      <c r="P47" s="14"/>
      <c r="Q47" s="12"/>
      <c r="R47" s="13"/>
      <c r="S47" s="14"/>
      <c r="T47" s="15"/>
      <c r="U47" s="14"/>
      <c r="V47" s="15"/>
      <c r="W47" s="15"/>
      <c r="X47" s="14"/>
      <c r="Y47" s="15"/>
      <c r="Z47" s="15"/>
      <c r="AA47" s="14"/>
      <c r="AB47" s="16">
        <f t="shared" si="5"/>
        <v>68.97</v>
      </c>
      <c r="AC47" s="17"/>
      <c r="AD47" s="18"/>
      <c r="AE47" s="19"/>
      <c r="AF47" s="20"/>
      <c r="AG47" s="21"/>
      <c r="AH47" s="22"/>
      <c r="AI47" s="23"/>
      <c r="AJ47" s="40"/>
    </row>
    <row r="48" spans="1:36" x14ac:dyDescent="0.25">
      <c r="A48" s="7">
        <v>45709</v>
      </c>
      <c r="B48" s="48" t="s">
        <v>179</v>
      </c>
      <c r="C48" s="8"/>
      <c r="D48" s="9" t="s">
        <v>125</v>
      </c>
      <c r="E48" s="10" t="s">
        <v>109</v>
      </c>
      <c r="F48" s="11"/>
      <c r="G48" s="12">
        <v>15986</v>
      </c>
      <c r="H48" s="47">
        <v>21</v>
      </c>
      <c r="I48" s="14">
        <f t="shared" si="3"/>
        <v>3357.06</v>
      </c>
      <c r="J48" s="13"/>
      <c r="K48" s="14"/>
      <c r="L48" s="12"/>
      <c r="M48" s="13"/>
      <c r="N48" s="14">
        <f t="shared" si="4"/>
        <v>0</v>
      </c>
      <c r="O48" s="15"/>
      <c r="P48" s="14"/>
      <c r="Q48" s="12"/>
      <c r="R48" s="13"/>
      <c r="S48" s="14"/>
      <c r="T48" s="15"/>
      <c r="U48" s="14"/>
      <c r="V48" s="15"/>
      <c r="W48" s="15"/>
      <c r="X48" s="14"/>
      <c r="Y48" s="15"/>
      <c r="Z48" s="15"/>
      <c r="AA48" s="14"/>
      <c r="AB48" s="16">
        <f t="shared" si="5"/>
        <v>19343.060000000001</v>
      </c>
      <c r="AC48" s="17"/>
      <c r="AD48" s="18"/>
      <c r="AE48" s="19"/>
      <c r="AF48" s="20"/>
      <c r="AG48" s="21"/>
      <c r="AH48" s="22"/>
      <c r="AI48" s="23"/>
      <c r="AJ48" s="40"/>
    </row>
    <row r="49" spans="1:36" x14ac:dyDescent="0.25">
      <c r="A49" s="7">
        <v>45709</v>
      </c>
      <c r="B49" s="48" t="s">
        <v>180</v>
      </c>
      <c r="C49" s="8"/>
      <c r="D49" s="9" t="s">
        <v>129</v>
      </c>
      <c r="E49" s="10" t="s">
        <v>113</v>
      </c>
      <c r="F49" s="11"/>
      <c r="G49" s="12">
        <v>2458.56</v>
      </c>
      <c r="H49" s="47">
        <v>21</v>
      </c>
      <c r="I49" s="14">
        <f t="shared" si="3"/>
        <v>516.29759999999999</v>
      </c>
      <c r="J49" s="13"/>
      <c r="K49" s="14"/>
      <c r="L49" s="12"/>
      <c r="M49" s="13"/>
      <c r="N49" s="14">
        <f t="shared" si="4"/>
        <v>0</v>
      </c>
      <c r="O49" s="15"/>
      <c r="P49" s="14"/>
      <c r="Q49" s="12"/>
      <c r="R49" s="13"/>
      <c r="S49" s="14"/>
      <c r="T49" s="15"/>
      <c r="U49" s="14"/>
      <c r="V49" s="15"/>
      <c r="W49" s="15"/>
      <c r="X49" s="14"/>
      <c r="Y49" s="15"/>
      <c r="Z49" s="15"/>
      <c r="AA49" s="14"/>
      <c r="AB49" s="16">
        <f t="shared" si="5"/>
        <v>2974.8575999999998</v>
      </c>
      <c r="AC49" s="17"/>
      <c r="AD49" s="18"/>
      <c r="AE49" s="19"/>
      <c r="AF49" s="20"/>
      <c r="AG49" s="21"/>
      <c r="AH49" s="22"/>
      <c r="AI49" s="23"/>
      <c r="AJ49" s="40"/>
    </row>
    <row r="50" spans="1:36" x14ac:dyDescent="0.25">
      <c r="A50" s="7">
        <v>45709</v>
      </c>
      <c r="B50" s="48" t="s">
        <v>181</v>
      </c>
      <c r="C50" s="8"/>
      <c r="D50" s="9" t="s">
        <v>130</v>
      </c>
      <c r="E50" s="10" t="s">
        <v>114</v>
      </c>
      <c r="F50" s="11"/>
      <c r="G50" s="12">
        <v>4946.8</v>
      </c>
      <c r="H50" s="47">
        <v>21</v>
      </c>
      <c r="I50" s="14">
        <f t="shared" si="3"/>
        <v>1038.828</v>
      </c>
      <c r="J50" s="13"/>
      <c r="K50" s="14"/>
      <c r="L50" s="12"/>
      <c r="M50" s="13"/>
      <c r="N50" s="14">
        <f t="shared" si="4"/>
        <v>0</v>
      </c>
      <c r="O50" s="15"/>
      <c r="P50" s="14"/>
      <c r="Q50" s="12"/>
      <c r="R50" s="13"/>
      <c r="S50" s="14"/>
      <c r="T50" s="15"/>
      <c r="U50" s="14"/>
      <c r="V50" s="15"/>
      <c r="W50" s="15"/>
      <c r="X50" s="14"/>
      <c r="Y50" s="15"/>
      <c r="Z50" s="15"/>
      <c r="AA50" s="14"/>
      <c r="AB50" s="16">
        <f t="shared" si="5"/>
        <v>5985.6280000000006</v>
      </c>
      <c r="AC50" s="17"/>
      <c r="AD50" s="18"/>
      <c r="AE50" s="19"/>
      <c r="AF50" s="20"/>
      <c r="AG50" s="21"/>
      <c r="AH50" s="22"/>
      <c r="AI50" s="23"/>
      <c r="AJ50" s="40"/>
    </row>
    <row r="51" spans="1:36" x14ac:dyDescent="0.25">
      <c r="A51" s="7">
        <v>45709</v>
      </c>
      <c r="B51" s="48" t="s">
        <v>182</v>
      </c>
      <c r="C51" s="8"/>
      <c r="D51" s="9" t="s">
        <v>54</v>
      </c>
      <c r="E51" s="10" t="s">
        <v>52</v>
      </c>
      <c r="F51" s="11"/>
      <c r="G51" s="12">
        <v>4456</v>
      </c>
      <c r="H51" s="47">
        <v>21</v>
      </c>
      <c r="I51" s="14">
        <f t="shared" si="3"/>
        <v>935.76</v>
      </c>
      <c r="J51" s="13"/>
      <c r="K51" s="14"/>
      <c r="L51" s="12"/>
      <c r="M51" s="13"/>
      <c r="N51" s="14">
        <f t="shared" si="4"/>
        <v>0</v>
      </c>
      <c r="O51" s="15"/>
      <c r="P51" s="14"/>
      <c r="Q51" s="12"/>
      <c r="R51" s="13"/>
      <c r="S51" s="14"/>
      <c r="T51" s="15"/>
      <c r="U51" s="14"/>
      <c r="V51" s="15"/>
      <c r="W51" s="15"/>
      <c r="X51" s="14"/>
      <c r="Y51" s="15"/>
      <c r="Z51" s="15"/>
      <c r="AA51" s="14"/>
      <c r="AB51" s="16">
        <f t="shared" si="5"/>
        <v>5391.76</v>
      </c>
      <c r="AC51" s="17"/>
      <c r="AD51" s="18"/>
      <c r="AE51" s="19"/>
      <c r="AF51" s="20"/>
      <c r="AG51" s="21"/>
      <c r="AH51" s="22"/>
      <c r="AI51" s="23"/>
      <c r="AJ51" s="40"/>
    </row>
    <row r="52" spans="1:36" x14ac:dyDescent="0.25">
      <c r="A52" s="7">
        <v>45709</v>
      </c>
      <c r="B52" s="48" t="s">
        <v>183</v>
      </c>
      <c r="C52" s="8"/>
      <c r="D52" s="9" t="s">
        <v>54</v>
      </c>
      <c r="E52" s="10" t="s">
        <v>52</v>
      </c>
      <c r="F52" s="11"/>
      <c r="G52" s="12">
        <v>3411</v>
      </c>
      <c r="H52" s="47">
        <v>21</v>
      </c>
      <c r="I52" s="14">
        <f t="shared" si="3"/>
        <v>716.31</v>
      </c>
      <c r="J52" s="13"/>
      <c r="K52" s="14"/>
      <c r="L52" s="12"/>
      <c r="M52" s="13"/>
      <c r="N52" s="14">
        <f t="shared" si="4"/>
        <v>0</v>
      </c>
      <c r="O52" s="15"/>
      <c r="P52" s="14"/>
      <c r="Q52" s="12"/>
      <c r="R52" s="13"/>
      <c r="S52" s="14"/>
      <c r="T52" s="15"/>
      <c r="U52" s="14"/>
      <c r="V52" s="15"/>
      <c r="W52" s="15"/>
      <c r="X52" s="14"/>
      <c r="Y52" s="15"/>
      <c r="Z52" s="15"/>
      <c r="AA52" s="14"/>
      <c r="AB52" s="16">
        <f t="shared" si="5"/>
        <v>4127.3099999999995</v>
      </c>
      <c r="AC52" s="17"/>
      <c r="AD52" s="18"/>
      <c r="AE52" s="19"/>
      <c r="AF52" s="20"/>
      <c r="AG52" s="21"/>
      <c r="AH52" s="22"/>
      <c r="AI52" s="23"/>
      <c r="AJ52" s="40"/>
    </row>
    <row r="53" spans="1:36" x14ac:dyDescent="0.25">
      <c r="A53" s="7">
        <v>45709</v>
      </c>
      <c r="B53" s="48" t="s">
        <v>184</v>
      </c>
      <c r="C53" s="8"/>
      <c r="D53" s="9" t="s">
        <v>54</v>
      </c>
      <c r="E53" s="10" t="s">
        <v>52</v>
      </c>
      <c r="F53" s="11"/>
      <c r="G53" s="12">
        <v>1360</v>
      </c>
      <c r="H53" s="47">
        <v>21</v>
      </c>
      <c r="I53" s="14">
        <f t="shared" si="3"/>
        <v>285.60000000000002</v>
      </c>
      <c r="J53" s="13"/>
      <c r="K53" s="14"/>
      <c r="L53" s="12"/>
      <c r="M53" s="13"/>
      <c r="N53" s="14">
        <f t="shared" si="4"/>
        <v>0</v>
      </c>
      <c r="O53" s="15"/>
      <c r="P53" s="14"/>
      <c r="Q53" s="12"/>
      <c r="R53" s="13"/>
      <c r="S53" s="14"/>
      <c r="T53" s="15"/>
      <c r="U53" s="14"/>
      <c r="V53" s="15"/>
      <c r="W53" s="15"/>
      <c r="X53" s="14"/>
      <c r="Y53" s="15"/>
      <c r="Z53" s="15"/>
      <c r="AA53" s="14"/>
      <c r="AB53" s="16">
        <f t="shared" si="5"/>
        <v>1645.6</v>
      </c>
      <c r="AC53" s="17"/>
      <c r="AD53" s="18"/>
      <c r="AE53" s="19"/>
      <c r="AF53" s="20"/>
      <c r="AG53" s="21"/>
      <c r="AH53" s="22"/>
      <c r="AI53" s="23"/>
      <c r="AJ53" s="40"/>
    </row>
    <row r="54" spans="1:36" x14ac:dyDescent="0.25">
      <c r="A54" s="7">
        <v>45712</v>
      </c>
      <c r="B54" s="48" t="s">
        <v>185</v>
      </c>
      <c r="C54" s="8"/>
      <c r="D54" s="9" t="s">
        <v>131</v>
      </c>
      <c r="E54" s="10" t="s">
        <v>115</v>
      </c>
      <c r="F54" s="11"/>
      <c r="G54" s="12">
        <v>706</v>
      </c>
      <c r="H54" s="47">
        <v>21</v>
      </c>
      <c r="I54" s="14">
        <f t="shared" si="3"/>
        <v>148.26</v>
      </c>
      <c r="J54" s="13"/>
      <c r="K54" s="14"/>
      <c r="L54" s="12"/>
      <c r="M54" s="13"/>
      <c r="N54" s="14">
        <f t="shared" si="4"/>
        <v>0</v>
      </c>
      <c r="O54" s="15"/>
      <c r="P54" s="14"/>
      <c r="Q54" s="12"/>
      <c r="R54" s="13"/>
      <c r="S54" s="14"/>
      <c r="T54" s="15"/>
      <c r="U54" s="14"/>
      <c r="V54" s="15"/>
      <c r="W54" s="15"/>
      <c r="X54" s="14"/>
      <c r="Y54" s="15"/>
      <c r="Z54" s="15"/>
      <c r="AA54" s="14"/>
      <c r="AB54" s="16">
        <f t="shared" si="5"/>
        <v>854.26</v>
      </c>
      <c r="AC54" s="17"/>
      <c r="AD54" s="18"/>
      <c r="AE54" s="19"/>
      <c r="AF54" s="20"/>
      <c r="AG54" s="21"/>
      <c r="AH54" s="22"/>
      <c r="AI54" s="23"/>
      <c r="AJ54" s="40"/>
    </row>
    <row r="55" spans="1:36" x14ac:dyDescent="0.25">
      <c r="A55" s="7">
        <v>45712</v>
      </c>
      <c r="B55" s="48" t="s">
        <v>186</v>
      </c>
      <c r="C55" s="8"/>
      <c r="D55" s="9" t="s">
        <v>49</v>
      </c>
      <c r="E55" s="10" t="s">
        <v>116</v>
      </c>
      <c r="F55" s="11"/>
      <c r="G55" s="12">
        <v>1169.9000000000001</v>
      </c>
      <c r="H55" s="47">
        <v>21</v>
      </c>
      <c r="I55" s="14">
        <f t="shared" si="3"/>
        <v>245.679</v>
      </c>
      <c r="J55" s="13"/>
      <c r="K55" s="14"/>
      <c r="L55" s="12"/>
      <c r="M55" s="13"/>
      <c r="N55" s="14">
        <f t="shared" si="4"/>
        <v>0</v>
      </c>
      <c r="O55" s="15"/>
      <c r="P55" s="14"/>
      <c r="Q55" s="12"/>
      <c r="R55" s="13"/>
      <c r="S55" s="14"/>
      <c r="T55" s="15"/>
      <c r="U55" s="14"/>
      <c r="V55" s="15"/>
      <c r="W55" s="15"/>
      <c r="X55" s="14"/>
      <c r="Y55" s="15"/>
      <c r="Z55" s="15"/>
      <c r="AA55" s="14"/>
      <c r="AB55" s="16">
        <f t="shared" si="5"/>
        <v>1415.5790000000002</v>
      </c>
      <c r="AC55" s="17"/>
      <c r="AD55" s="18"/>
      <c r="AE55" s="19"/>
      <c r="AF55" s="20"/>
      <c r="AG55" s="21"/>
      <c r="AH55" s="22"/>
      <c r="AI55" s="23"/>
      <c r="AJ55" s="40"/>
    </row>
    <row r="56" spans="1:36" x14ac:dyDescent="0.25">
      <c r="A56" s="7">
        <v>45712</v>
      </c>
      <c r="B56" s="48" t="s">
        <v>187</v>
      </c>
      <c r="C56" s="8"/>
      <c r="D56" s="9" t="s">
        <v>118</v>
      </c>
      <c r="E56" s="10" t="s">
        <v>102</v>
      </c>
      <c r="F56" s="11"/>
      <c r="G56" s="12">
        <v>935</v>
      </c>
      <c r="H56" s="47">
        <v>21</v>
      </c>
      <c r="I56" s="14">
        <f t="shared" si="3"/>
        <v>196.35</v>
      </c>
      <c r="J56" s="13"/>
      <c r="K56" s="14"/>
      <c r="L56" s="12"/>
      <c r="M56" s="13"/>
      <c r="N56" s="14">
        <f t="shared" si="4"/>
        <v>0</v>
      </c>
      <c r="O56" s="15"/>
      <c r="P56" s="14"/>
      <c r="Q56" s="12"/>
      <c r="R56" s="13"/>
      <c r="S56" s="14"/>
      <c r="T56" s="15"/>
      <c r="U56" s="14"/>
      <c r="V56" s="15"/>
      <c r="W56" s="15"/>
      <c r="X56" s="14"/>
      <c r="Y56" s="15"/>
      <c r="Z56" s="15"/>
      <c r="AA56" s="14"/>
      <c r="AB56" s="16">
        <f t="shared" si="5"/>
        <v>1131.3499999999999</v>
      </c>
      <c r="AC56" s="17"/>
      <c r="AD56" s="18"/>
      <c r="AE56" s="19"/>
      <c r="AF56" s="20"/>
      <c r="AG56" s="21"/>
      <c r="AH56" s="22"/>
      <c r="AI56" s="23"/>
      <c r="AJ56" s="40"/>
    </row>
    <row r="57" spans="1:36" x14ac:dyDescent="0.25">
      <c r="A57" s="7">
        <v>45712</v>
      </c>
      <c r="B57" s="48" t="s">
        <v>188</v>
      </c>
      <c r="C57" s="8"/>
      <c r="D57" s="9" t="s">
        <v>119</v>
      </c>
      <c r="E57" s="10" t="s">
        <v>103</v>
      </c>
      <c r="F57" s="11"/>
      <c r="G57" s="12">
        <v>152</v>
      </c>
      <c r="H57" s="47">
        <v>21</v>
      </c>
      <c r="I57" s="14">
        <f t="shared" si="3"/>
        <v>31.92</v>
      </c>
      <c r="J57" s="13"/>
      <c r="K57" s="14"/>
      <c r="L57" s="12"/>
      <c r="M57" s="13"/>
      <c r="N57" s="14">
        <f t="shared" si="4"/>
        <v>0</v>
      </c>
      <c r="O57" s="15"/>
      <c r="P57" s="14"/>
      <c r="Q57" s="12"/>
      <c r="R57" s="13"/>
      <c r="S57" s="14"/>
      <c r="T57" s="15"/>
      <c r="U57" s="14"/>
      <c r="V57" s="15"/>
      <c r="W57" s="15"/>
      <c r="X57" s="14"/>
      <c r="Y57" s="15"/>
      <c r="Z57" s="15"/>
      <c r="AA57" s="14"/>
      <c r="AB57" s="16">
        <f t="shared" si="5"/>
        <v>183.92000000000002</v>
      </c>
      <c r="AC57" s="17"/>
      <c r="AD57" s="18"/>
      <c r="AE57" s="19"/>
      <c r="AF57" s="20"/>
      <c r="AG57" s="21"/>
      <c r="AH57" s="22"/>
      <c r="AI57" s="23"/>
      <c r="AJ57" s="40"/>
    </row>
    <row r="58" spans="1:36" x14ac:dyDescent="0.25">
      <c r="A58" s="51">
        <v>45712</v>
      </c>
      <c r="B58" s="50" t="s">
        <v>189</v>
      </c>
      <c r="C58" s="52"/>
      <c r="D58" s="53" t="s">
        <v>46</v>
      </c>
      <c r="E58" s="54" t="s">
        <v>40</v>
      </c>
      <c r="F58" s="55"/>
      <c r="G58" s="56">
        <v>730.31</v>
      </c>
      <c r="H58" s="57">
        <v>21</v>
      </c>
      <c r="I58" s="58">
        <f t="shared" si="3"/>
        <v>153.36509999999998</v>
      </c>
      <c r="J58" s="59"/>
      <c r="K58" s="58"/>
      <c r="L58" s="56"/>
      <c r="M58" s="59"/>
      <c r="N58" s="58">
        <f t="shared" si="4"/>
        <v>0</v>
      </c>
      <c r="O58" s="60"/>
      <c r="P58" s="58"/>
      <c r="Q58" s="56"/>
      <c r="R58" s="59"/>
      <c r="S58" s="58"/>
      <c r="T58" s="60"/>
      <c r="U58" s="58"/>
      <c r="V58" s="60"/>
      <c r="W58" s="60"/>
      <c r="X58" s="58"/>
      <c r="Y58" s="60"/>
      <c r="Z58" s="60"/>
      <c r="AA58" s="58"/>
      <c r="AB58" s="58">
        <f t="shared" si="5"/>
        <v>883.67509999999993</v>
      </c>
      <c r="AC58" s="61"/>
      <c r="AD58" s="62"/>
      <c r="AE58" s="63"/>
      <c r="AF58" s="64"/>
      <c r="AG58" s="65"/>
      <c r="AH58" s="66"/>
      <c r="AI58" s="67"/>
      <c r="AJ58" s="68" t="s">
        <v>198</v>
      </c>
    </row>
    <row r="59" spans="1:36" x14ac:dyDescent="0.25">
      <c r="A59" s="7">
        <v>45712</v>
      </c>
      <c r="B59" s="48" t="s">
        <v>190</v>
      </c>
      <c r="C59" s="8"/>
      <c r="D59" s="9" t="s">
        <v>132</v>
      </c>
      <c r="E59" s="10" t="s">
        <v>117</v>
      </c>
      <c r="F59" s="11"/>
      <c r="G59" s="12">
        <v>544</v>
      </c>
      <c r="H59" s="47">
        <v>21</v>
      </c>
      <c r="I59" s="14">
        <f t="shared" si="3"/>
        <v>114.24</v>
      </c>
      <c r="J59" s="13"/>
      <c r="K59" s="14"/>
      <c r="L59" s="12"/>
      <c r="M59" s="13"/>
      <c r="N59" s="14">
        <f t="shared" si="4"/>
        <v>0</v>
      </c>
      <c r="O59" s="15"/>
      <c r="P59" s="14"/>
      <c r="Q59" s="12"/>
      <c r="R59" s="13"/>
      <c r="S59" s="14"/>
      <c r="T59" s="15"/>
      <c r="U59" s="14"/>
      <c r="V59" s="15"/>
      <c r="W59" s="15"/>
      <c r="X59" s="14"/>
      <c r="Y59" s="15"/>
      <c r="Z59" s="15"/>
      <c r="AA59" s="14"/>
      <c r="AB59" s="16">
        <f t="shared" si="5"/>
        <v>658.24</v>
      </c>
      <c r="AC59" s="17"/>
      <c r="AD59" s="18"/>
      <c r="AE59" s="19"/>
      <c r="AF59" s="20"/>
      <c r="AG59" s="21"/>
      <c r="AH59" s="22"/>
      <c r="AI59" s="23"/>
      <c r="AJ59" s="40"/>
    </row>
    <row r="60" spans="1:36" x14ac:dyDescent="0.25">
      <c r="A60" s="7">
        <v>45712</v>
      </c>
      <c r="B60" s="48" t="s">
        <v>191</v>
      </c>
      <c r="C60" s="8"/>
      <c r="D60" s="9" t="s">
        <v>46</v>
      </c>
      <c r="E60" s="10" t="s">
        <v>40</v>
      </c>
      <c r="F60" s="11"/>
      <c r="G60" s="12">
        <v>483</v>
      </c>
      <c r="H60" s="47">
        <v>21</v>
      </c>
      <c r="I60" s="14">
        <f t="shared" si="3"/>
        <v>101.43</v>
      </c>
      <c r="J60" s="13"/>
      <c r="K60" s="14"/>
      <c r="L60" s="12"/>
      <c r="M60" s="13"/>
      <c r="N60" s="14">
        <f t="shared" si="4"/>
        <v>0</v>
      </c>
      <c r="O60" s="15"/>
      <c r="P60" s="14"/>
      <c r="Q60" s="12"/>
      <c r="R60" s="13"/>
      <c r="S60" s="14"/>
      <c r="T60" s="15"/>
      <c r="U60" s="14"/>
      <c r="V60" s="15"/>
      <c r="W60" s="15"/>
      <c r="X60" s="14"/>
      <c r="Y60" s="15"/>
      <c r="Z60" s="15"/>
      <c r="AA60" s="14"/>
      <c r="AB60" s="16">
        <f t="shared" si="5"/>
        <v>584.43000000000006</v>
      </c>
      <c r="AC60" s="17"/>
      <c r="AD60" s="18"/>
      <c r="AE60" s="19"/>
      <c r="AF60" s="20"/>
      <c r="AG60" s="21"/>
      <c r="AH60" s="22"/>
      <c r="AI60" s="23"/>
      <c r="AJ60" s="40"/>
    </row>
    <row r="61" spans="1:36" x14ac:dyDescent="0.25">
      <c r="A61" s="7">
        <v>45712</v>
      </c>
      <c r="B61" s="48" t="s">
        <v>192</v>
      </c>
      <c r="C61" s="8"/>
      <c r="D61" s="9" t="s">
        <v>46</v>
      </c>
      <c r="E61" s="10" t="s">
        <v>40</v>
      </c>
      <c r="F61" s="11"/>
      <c r="G61" s="12">
        <v>177.6</v>
      </c>
      <c r="H61" s="47">
        <v>21</v>
      </c>
      <c r="I61" s="14">
        <f t="shared" si="3"/>
        <v>37.295999999999999</v>
      </c>
      <c r="J61" s="13"/>
      <c r="K61" s="14"/>
      <c r="L61" s="12"/>
      <c r="M61" s="13"/>
      <c r="N61" s="14">
        <f t="shared" si="4"/>
        <v>0</v>
      </c>
      <c r="O61" s="15"/>
      <c r="P61" s="14"/>
      <c r="Q61" s="12"/>
      <c r="R61" s="13"/>
      <c r="S61" s="14"/>
      <c r="T61" s="15"/>
      <c r="U61" s="14"/>
      <c r="V61" s="15"/>
      <c r="W61" s="15"/>
      <c r="X61" s="14"/>
      <c r="Y61" s="15"/>
      <c r="Z61" s="15"/>
      <c r="AA61" s="14"/>
      <c r="AB61" s="16">
        <f t="shared" si="5"/>
        <v>214.89599999999999</v>
      </c>
      <c r="AC61" s="17"/>
      <c r="AD61" s="18"/>
      <c r="AE61" s="19"/>
      <c r="AF61" s="20"/>
      <c r="AG61" s="21"/>
      <c r="AH61" s="22"/>
      <c r="AI61" s="23"/>
      <c r="AJ61" s="40"/>
    </row>
    <row r="62" spans="1:36" x14ac:dyDescent="0.25">
      <c r="A62" s="7">
        <v>45713</v>
      </c>
      <c r="B62" s="48" t="s">
        <v>193</v>
      </c>
      <c r="C62" s="8"/>
      <c r="D62" s="9" t="s">
        <v>47</v>
      </c>
      <c r="E62" s="10" t="s">
        <v>41</v>
      </c>
      <c r="F62" s="11"/>
      <c r="G62" s="12">
        <v>575.1</v>
      </c>
      <c r="H62" s="47">
        <v>21</v>
      </c>
      <c r="I62" s="14">
        <f t="shared" si="3"/>
        <v>120.771</v>
      </c>
      <c r="J62" s="13"/>
      <c r="K62" s="14"/>
      <c r="L62" s="12"/>
      <c r="M62" s="13"/>
      <c r="N62" s="14">
        <f t="shared" si="4"/>
        <v>0</v>
      </c>
      <c r="O62" s="15"/>
      <c r="P62" s="14"/>
      <c r="Q62" s="12"/>
      <c r="R62" s="13"/>
      <c r="S62" s="14"/>
      <c r="T62" s="15"/>
      <c r="U62" s="14"/>
      <c r="V62" s="15"/>
      <c r="W62" s="15"/>
      <c r="X62" s="14"/>
      <c r="Y62" s="15"/>
      <c r="Z62" s="15"/>
      <c r="AA62" s="14"/>
      <c r="AB62" s="16">
        <f t="shared" si="5"/>
        <v>695.87099999999998</v>
      </c>
      <c r="AC62" s="17"/>
      <c r="AD62" s="18"/>
      <c r="AE62" s="19"/>
      <c r="AF62" s="20"/>
      <c r="AG62" s="21"/>
      <c r="AH62" s="22"/>
      <c r="AI62" s="23"/>
      <c r="AJ62" s="40"/>
    </row>
    <row r="63" spans="1:36" x14ac:dyDescent="0.25">
      <c r="A63" s="7">
        <v>45713</v>
      </c>
      <c r="B63" s="48" t="s">
        <v>194</v>
      </c>
      <c r="C63" s="8"/>
      <c r="D63" s="9" t="s">
        <v>47</v>
      </c>
      <c r="E63" s="10" t="s">
        <v>41</v>
      </c>
      <c r="F63" s="11"/>
      <c r="G63" s="12">
        <v>3478.7</v>
      </c>
      <c r="H63" s="47">
        <v>21</v>
      </c>
      <c r="I63" s="14">
        <f t="shared" si="3"/>
        <v>730.52699999999993</v>
      </c>
      <c r="J63" s="13"/>
      <c r="K63" s="14"/>
      <c r="L63" s="12"/>
      <c r="M63" s="13"/>
      <c r="N63" s="14">
        <f t="shared" si="4"/>
        <v>0</v>
      </c>
      <c r="O63" s="15"/>
      <c r="P63" s="14"/>
      <c r="Q63" s="12"/>
      <c r="R63" s="13"/>
      <c r="S63" s="14"/>
      <c r="T63" s="15"/>
      <c r="U63" s="14"/>
      <c r="V63" s="15"/>
      <c r="W63" s="15"/>
      <c r="X63" s="14"/>
      <c r="Y63" s="15"/>
      <c r="Z63" s="15"/>
      <c r="AA63" s="14"/>
      <c r="AB63" s="16">
        <f t="shared" si="5"/>
        <v>4209.2269999999999</v>
      </c>
      <c r="AC63" s="17"/>
      <c r="AD63" s="18"/>
      <c r="AE63" s="19"/>
      <c r="AF63" s="20"/>
      <c r="AG63" s="21"/>
      <c r="AH63" s="22"/>
      <c r="AI63" s="23"/>
      <c r="AJ63" s="40"/>
    </row>
    <row r="64" spans="1:36" x14ac:dyDescent="0.25">
      <c r="A64" s="7">
        <v>45713</v>
      </c>
      <c r="B64" s="48" t="s">
        <v>195</v>
      </c>
      <c r="C64" s="8"/>
      <c r="D64" s="9" t="s">
        <v>47</v>
      </c>
      <c r="E64" s="10" t="s">
        <v>41</v>
      </c>
      <c r="F64" s="11"/>
      <c r="G64" s="12">
        <v>5692</v>
      </c>
      <c r="H64" s="47">
        <v>21</v>
      </c>
      <c r="I64" s="14">
        <f t="shared" si="3"/>
        <v>1195.32</v>
      </c>
      <c r="J64" s="13"/>
      <c r="K64" s="14"/>
      <c r="L64" s="12"/>
      <c r="M64" s="13"/>
      <c r="N64" s="14">
        <f t="shared" si="4"/>
        <v>0</v>
      </c>
      <c r="O64" s="15"/>
      <c r="P64" s="14"/>
      <c r="Q64" s="12"/>
      <c r="R64" s="13"/>
      <c r="S64" s="14"/>
      <c r="T64" s="15"/>
      <c r="U64" s="14"/>
      <c r="V64" s="15"/>
      <c r="W64" s="15"/>
      <c r="X64" s="14"/>
      <c r="Y64" s="15"/>
      <c r="Z64" s="15"/>
      <c r="AA64" s="14"/>
      <c r="AB64" s="16">
        <f t="shared" si="5"/>
        <v>6887.32</v>
      </c>
      <c r="AC64" s="17"/>
      <c r="AD64" s="18"/>
      <c r="AE64" s="19"/>
      <c r="AF64" s="20"/>
      <c r="AG64" s="21"/>
      <c r="AH64" s="22"/>
      <c r="AI64" s="23"/>
      <c r="AJ64" s="40"/>
    </row>
    <row r="65" spans="1:36" x14ac:dyDescent="0.25">
      <c r="A65" s="7">
        <v>45715</v>
      </c>
      <c r="B65" s="48" t="s">
        <v>196</v>
      </c>
      <c r="C65" s="8"/>
      <c r="D65" s="9" t="s">
        <v>127</v>
      </c>
      <c r="E65" s="10" t="s">
        <v>111</v>
      </c>
      <c r="F65" s="11"/>
      <c r="G65" s="12">
        <v>220</v>
      </c>
      <c r="H65" s="47">
        <v>21</v>
      </c>
      <c r="I65" s="14">
        <f t="shared" si="3"/>
        <v>46.2</v>
      </c>
      <c r="J65" s="13"/>
      <c r="K65" s="14"/>
      <c r="L65" s="12"/>
      <c r="M65" s="13"/>
      <c r="N65" s="14">
        <f t="shared" si="4"/>
        <v>0</v>
      </c>
      <c r="O65" s="15"/>
      <c r="P65" s="14"/>
      <c r="Q65" s="12"/>
      <c r="R65" s="13"/>
      <c r="S65" s="14"/>
      <c r="T65" s="15"/>
      <c r="U65" s="14"/>
      <c r="V65" s="15"/>
      <c r="W65" s="15"/>
      <c r="X65" s="14"/>
      <c r="Y65" s="15"/>
      <c r="Z65" s="15"/>
      <c r="AA65" s="14"/>
      <c r="AB65" s="16">
        <f t="shared" si="5"/>
        <v>266.2</v>
      </c>
      <c r="AC65" s="17"/>
      <c r="AD65" s="18"/>
      <c r="AE65" s="19"/>
      <c r="AF65" s="20"/>
      <c r="AG65" s="21"/>
      <c r="AH65" s="22"/>
      <c r="AI65" s="23"/>
      <c r="AJ65" s="40"/>
    </row>
  </sheetData>
  <dataValidations count="1">
    <dataValidation type="textLength" errorStyle="warning" allowBlank="1" showInputMessage="1" showErrorMessage="1" error="Contamar le informa de que el código introducido debe contener únicamente 8 dígitos._x000a__x000a_" sqref="AC2" xr:uid="{96BF0826-8F71-4E8E-9C24-43AC50A432EB}">
      <formula1>8</formula1>
      <formula2>8</formula2>
    </dataValidation>
  </dataValidations>
  <pageMargins left="0.19685039370078741" right="0.19685039370078741" top="0.39370078740157483" bottom="0.39370078740157483" header="0.31496062992125984" footer="0.31496062992125984"/>
  <pageSetup paperSize="9" scale="53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070B-AFA7-46EC-A54A-60032F96F0FF}">
  <sheetPr>
    <pageSetUpPr fitToPage="1"/>
  </sheetPr>
  <dimension ref="A1:AJ2"/>
  <sheetViews>
    <sheetView tabSelected="1" zoomScaleNormal="100" workbookViewId="0">
      <pane ySplit="1" topLeftCell="A2" activePane="bottomLeft" state="frozen"/>
      <selection pane="bottomLeft" activeCell="M22" sqref="M22"/>
    </sheetView>
  </sheetViews>
  <sheetFormatPr baseColWidth="10" defaultRowHeight="15" x14ac:dyDescent="0.25"/>
  <cols>
    <col min="1" max="1" width="14.5703125" style="5" bestFit="1" customWidth="1"/>
    <col min="2" max="2" width="10.28515625" style="3" customWidth="1"/>
    <col min="3" max="3" width="15.85546875" style="2" hidden="1" customWidth="1"/>
    <col min="4" max="4" width="12.42578125" style="4" customWidth="1"/>
    <col min="5" max="5" width="38" style="6" customWidth="1"/>
    <col min="6" max="6" width="50" style="2" hidden="1" customWidth="1"/>
    <col min="7" max="7" width="13.140625" bestFit="1" customWidth="1"/>
    <col min="8" max="8" width="12.42578125" style="5" bestFit="1" customWidth="1"/>
    <col min="9" max="9" width="12.5703125" customWidth="1"/>
    <col min="10" max="10" width="12.140625" hidden="1" customWidth="1"/>
    <col min="11" max="11" width="0.85546875" hidden="1" customWidth="1"/>
    <col min="12" max="13" width="6.5703125" bestFit="1" customWidth="1"/>
    <col min="14" max="14" width="12.7109375" bestFit="1" customWidth="1"/>
    <col min="15" max="15" width="13.42578125" hidden="1" customWidth="1"/>
    <col min="16" max="16" width="19.42578125" hidden="1" customWidth="1"/>
    <col min="17" max="17" width="6.28515625" hidden="1" customWidth="1"/>
    <col min="18" max="18" width="6.5703125" hidden="1" customWidth="1"/>
    <col min="19" max="19" width="12.7109375" hidden="1" customWidth="1"/>
    <col min="20" max="20" width="13.42578125" hidden="1" customWidth="1"/>
    <col min="21" max="21" width="19.42578125" hidden="1" customWidth="1"/>
    <col min="22" max="22" width="14.5703125" hidden="1" customWidth="1"/>
    <col min="23" max="23" width="5.140625" hidden="1" customWidth="1"/>
    <col min="24" max="24" width="11.42578125" hidden="1" customWidth="1"/>
    <col min="25" max="25" width="15.85546875" hidden="1" customWidth="1"/>
    <col min="26" max="26" width="6.5703125" hidden="1" customWidth="1"/>
    <col min="27" max="27" width="12.7109375" hidden="1" customWidth="1"/>
    <col min="28" max="28" width="17.28515625" bestFit="1" customWidth="1"/>
    <col min="29" max="29" width="25" hidden="1" customWidth="1"/>
    <col min="30" max="30" width="16" hidden="1" customWidth="1"/>
    <col min="31" max="31" width="15.28515625" style="3" hidden="1" customWidth="1"/>
    <col min="32" max="32" width="4.5703125" style="3" hidden="1" customWidth="1"/>
    <col min="33" max="33" width="10" style="3" hidden="1" customWidth="1"/>
    <col min="34" max="34" width="12" style="2" hidden="1" customWidth="1"/>
    <col min="35" max="35" width="15.140625" hidden="1" customWidth="1"/>
    <col min="36" max="36" width="32.5703125" customWidth="1"/>
  </cols>
  <sheetData>
    <row r="1" spans="1:36" s="1" customFormat="1" ht="30" customHeight="1" x14ac:dyDescent="0.25">
      <c r="A1" s="42" t="s">
        <v>5</v>
      </c>
      <c r="B1" s="43" t="s">
        <v>9</v>
      </c>
      <c r="C1" s="43" t="s">
        <v>6</v>
      </c>
      <c r="D1" s="43" t="s">
        <v>8</v>
      </c>
      <c r="E1" s="43" t="s">
        <v>3</v>
      </c>
      <c r="F1" s="43" t="s">
        <v>10</v>
      </c>
      <c r="G1" s="42" t="s">
        <v>7</v>
      </c>
      <c r="H1" s="42" t="s">
        <v>0</v>
      </c>
      <c r="I1" s="42" t="s">
        <v>1</v>
      </c>
      <c r="J1" s="42" t="s">
        <v>23</v>
      </c>
      <c r="K1" s="42" t="s">
        <v>24</v>
      </c>
      <c r="L1" s="42" t="s">
        <v>19</v>
      </c>
      <c r="M1" s="42" t="s">
        <v>15</v>
      </c>
      <c r="N1" s="42" t="s">
        <v>16</v>
      </c>
      <c r="O1" s="42" t="s">
        <v>25</v>
      </c>
      <c r="P1" s="42" t="s">
        <v>26</v>
      </c>
      <c r="Q1" s="42" t="s">
        <v>20</v>
      </c>
      <c r="R1" s="42" t="s">
        <v>17</v>
      </c>
      <c r="S1" s="42" t="s">
        <v>18</v>
      </c>
      <c r="T1" s="42" t="s">
        <v>28</v>
      </c>
      <c r="U1" s="42" t="s">
        <v>27</v>
      </c>
      <c r="V1" s="42" t="s">
        <v>2</v>
      </c>
      <c r="W1" s="42" t="s">
        <v>30</v>
      </c>
      <c r="X1" s="42" t="s">
        <v>32</v>
      </c>
      <c r="Y1" s="42" t="s">
        <v>29</v>
      </c>
      <c r="Z1" s="42" t="s">
        <v>31</v>
      </c>
      <c r="AA1" s="42" t="s">
        <v>33</v>
      </c>
      <c r="AB1" s="42" t="s">
        <v>34</v>
      </c>
      <c r="AC1" s="43" t="s">
        <v>11</v>
      </c>
      <c r="AD1" s="43" t="s">
        <v>21</v>
      </c>
      <c r="AE1" s="43" t="s">
        <v>22</v>
      </c>
      <c r="AF1" s="43" t="s">
        <v>4</v>
      </c>
      <c r="AG1" s="43" t="s">
        <v>12</v>
      </c>
      <c r="AH1" s="44" t="s">
        <v>13</v>
      </c>
      <c r="AI1" s="45" t="s">
        <v>14</v>
      </c>
      <c r="AJ1" s="46" t="s">
        <v>35</v>
      </c>
    </row>
    <row r="2" spans="1:36" x14ac:dyDescent="0.25">
      <c r="A2" s="7"/>
      <c r="B2" s="48"/>
      <c r="C2" s="8"/>
      <c r="D2" s="9"/>
      <c r="E2" s="10"/>
      <c r="F2" s="11"/>
      <c r="G2" s="12"/>
      <c r="H2" s="47"/>
      <c r="I2" s="14">
        <f>+IF(G2&lt;&gt;0,G2*H2/100,0)</f>
        <v>0</v>
      </c>
      <c r="J2" s="13"/>
      <c r="K2" s="14">
        <f>+IF(G2&lt;&gt;0,G2*J2/100,0)</f>
        <v>0</v>
      </c>
      <c r="L2" s="12"/>
      <c r="M2" s="13"/>
      <c r="N2" s="14">
        <f>+IF(L2&lt;&gt;0,L2*M2/100,0)</f>
        <v>0</v>
      </c>
      <c r="O2" s="15"/>
      <c r="P2" s="14">
        <f>+IF(L2&lt;&gt;0,L2*O2/100,0)</f>
        <v>0</v>
      </c>
      <c r="Q2" s="12"/>
      <c r="R2" s="13"/>
      <c r="S2" s="14">
        <f>+IF(Q2&lt;&gt;0,Q2*R2/100,0)</f>
        <v>0</v>
      </c>
      <c r="T2" s="15"/>
      <c r="U2" s="14">
        <f>+IF(Q2&lt;&gt;0,Q2*T2/100,0)</f>
        <v>0</v>
      </c>
      <c r="V2" s="15"/>
      <c r="W2" s="15"/>
      <c r="X2" s="14">
        <f>+IF(W2&lt;&gt;0,V2*W2/100,0)</f>
        <v>0</v>
      </c>
      <c r="Y2" s="15"/>
      <c r="Z2" s="15"/>
      <c r="AA2" s="14">
        <f>+IF(Z2&lt;&gt;0,Y2*Z2/100,0)</f>
        <v>0</v>
      </c>
      <c r="AB2" s="16">
        <f>+G2+I2+K2+L2+N2+P2+Q2+S2+U2-X2-AA2</f>
        <v>0</v>
      </c>
      <c r="AC2" s="17"/>
      <c r="AD2" s="18"/>
      <c r="AE2" s="19"/>
      <c r="AF2" s="20"/>
      <c r="AG2" s="21"/>
      <c r="AH2" s="22"/>
      <c r="AI2" s="23"/>
      <c r="AJ2" s="40"/>
    </row>
  </sheetData>
  <dataValidations count="1">
    <dataValidation type="textLength" errorStyle="warning" allowBlank="1" showInputMessage="1" showErrorMessage="1" error="Contamar le informa de que el código introducido debe contener únicamente 8 dígitos._x000a__x000a_" sqref="AC2" xr:uid="{493B0BD1-05C4-4900-8EC2-C6E4DF4F7DCF}">
      <formula1>8</formula1>
      <formula2>8</formula2>
    </dataValidation>
  </dataValidations>
  <pageMargins left="0.19685039370078741" right="0.19685039370078741" top="0.39370078740157483" bottom="0.39370078740157483" header="0.31496062992125984" footer="0.31496062992125984"/>
  <pageSetup paperSize="9" scale="53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1ºT ENERO VENTAS</vt:lpstr>
      <vt:lpstr>1ºT FEBRERO VENTAS</vt:lpstr>
      <vt:lpstr>1ºT FEBRERO ABONO</vt:lpstr>
    </vt:vector>
  </TitlesOfParts>
  <Company>MARJINSA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Importación Ventas</dc:title>
  <dc:creator>SUMMAR Tecnología y Gestión, S.A.</dc:creator>
  <cp:lastModifiedBy>Ubeda</cp:lastModifiedBy>
  <cp:lastPrinted>2024-11-05T12:21:14Z</cp:lastPrinted>
  <dcterms:created xsi:type="dcterms:W3CDTF">2008-12-29T12:38:41Z</dcterms:created>
  <dcterms:modified xsi:type="dcterms:W3CDTF">2025-03-12T12:23:39Z</dcterms:modified>
</cp:coreProperties>
</file>