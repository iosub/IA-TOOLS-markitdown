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2\Datos\Empresa\ADMINISTRACION\2025\GESTORIA\"/>
    </mc:Choice>
  </mc:AlternateContent>
  <xr:revisionPtr revIDLastSave="0" documentId="13_ncr:1_{7A8008A4-1926-4506-9E5E-9A311F1A800D}" xr6:coauthVersionLast="47" xr6:coauthVersionMax="47" xr10:uidLastSave="{00000000-0000-0000-0000-000000000000}"/>
  <bookViews>
    <workbookView xWindow="-120" yWindow="-120" windowWidth="29040" windowHeight="15840" xr2:uid="{79A069CA-7AA1-4F0B-932B-D72B05014CC1}"/>
  </bookViews>
  <sheets>
    <sheet name="ENERO" sheetId="1" r:id="rId1"/>
    <sheet name="FEBRERO" sheetId="2" r:id="rId2"/>
    <sheet name="MARZO" sheetId="3" r:id="rId3"/>
    <sheet name="ABRIL" sheetId="4" r:id="rId4"/>
    <sheet name="MAYO" sheetId="5" r:id="rId5"/>
    <sheet name="JUNIO" sheetId="6" r:id="rId6"/>
    <sheet name="JULIO" sheetId="7" r:id="rId7"/>
    <sheet name="AGOSTO" sheetId="8" r:id="rId8"/>
    <sheet name="SEPTIEMBRE" sheetId="9" r:id="rId9"/>
    <sheet name="OCTUBRE" sheetId="10" r:id="rId10"/>
    <sheet name="NOVIEMBRE" sheetId="11" r:id="rId11"/>
    <sheet name="DICIEMBRE" sheetId="12" r:id="rId12"/>
  </sheets>
  <definedNames>
    <definedName name="_xlnm._FilterDatabase" localSheetId="0" hidden="1">ENERO!$A$1:$W$157</definedName>
    <definedName name="_xlnm._FilterDatabase" localSheetId="1" hidden="1">FEBRERO!$A$1:$W$151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36" i="2" l="1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35" i="2"/>
  <c r="W134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15" i="2"/>
  <c r="W116" i="2"/>
  <c r="W117" i="2"/>
  <c r="W118" i="2"/>
  <c r="W119" i="2"/>
  <c r="W120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80" i="2"/>
  <c r="W81" i="2"/>
  <c r="W82" i="2"/>
  <c r="W83" i="2"/>
  <c r="W84" i="2"/>
  <c r="W85" i="2"/>
  <c r="W86" i="2"/>
  <c r="W60" i="2" l="1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3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21" i="1"/>
  <c r="W153" i="1"/>
  <c r="W154" i="1"/>
  <c r="W155" i="1"/>
  <c r="W156" i="1"/>
  <c r="W157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59" i="1" l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38" i="12"/>
  <c r="W39" i="12"/>
  <c r="W40" i="12"/>
  <c r="W41" i="12"/>
  <c r="W42" i="12"/>
  <c r="W43" i="12"/>
  <c r="W44" i="12"/>
  <c r="W45" i="12"/>
  <c r="W46" i="12"/>
  <c r="W47" i="12"/>
  <c r="W48" i="12"/>
  <c r="W49" i="12"/>
  <c r="W50" i="12"/>
  <c r="W51" i="12"/>
  <c r="W52" i="12"/>
  <c r="W53" i="12"/>
  <c r="W54" i="12"/>
  <c r="W55" i="12"/>
  <c r="W56" i="12"/>
  <c r="W9" i="12"/>
  <c r="W10" i="12"/>
  <c r="W11" i="12"/>
  <c r="W12" i="12"/>
  <c r="W13" i="12"/>
  <c r="W14" i="12"/>
  <c r="W15" i="12"/>
  <c r="W16" i="12"/>
  <c r="W17" i="12"/>
  <c r="W18" i="12"/>
  <c r="W19" i="12"/>
  <c r="W20" i="12"/>
  <c r="W21" i="12"/>
  <c r="W22" i="12"/>
  <c r="W23" i="12"/>
  <c r="W24" i="12"/>
  <c r="W25" i="12"/>
  <c r="W26" i="12"/>
  <c r="W27" i="12"/>
  <c r="W28" i="12"/>
  <c r="W29" i="12"/>
  <c r="W30" i="12"/>
  <c r="W31" i="12"/>
  <c r="W32" i="12"/>
  <c r="W33" i="12"/>
  <c r="W34" i="12"/>
  <c r="W35" i="12"/>
  <c r="W36" i="12"/>
  <c r="W37" i="12"/>
  <c r="W8" i="12"/>
  <c r="W7" i="12"/>
  <c r="W6" i="12"/>
  <c r="W5" i="12"/>
  <c r="W4" i="12"/>
  <c r="W3" i="12"/>
  <c r="W2" i="12"/>
  <c r="W37" i="11"/>
  <c r="W36" i="11"/>
  <c r="W35" i="11"/>
  <c r="W34" i="11"/>
  <c r="W33" i="11"/>
  <c r="W32" i="11"/>
  <c r="W31" i="11"/>
  <c r="W30" i="11"/>
  <c r="W29" i="11"/>
  <c r="W28" i="11"/>
  <c r="W27" i="11"/>
  <c r="W26" i="11"/>
  <c r="W25" i="11"/>
  <c r="W24" i="11"/>
  <c r="W23" i="11"/>
  <c r="W22" i="11"/>
  <c r="W21" i="11"/>
  <c r="W20" i="11"/>
  <c r="W19" i="11"/>
  <c r="W18" i="11"/>
  <c r="W17" i="11"/>
  <c r="W16" i="11"/>
  <c r="W15" i="11"/>
  <c r="W14" i="11"/>
  <c r="W13" i="11"/>
  <c r="W12" i="11"/>
  <c r="W11" i="11"/>
  <c r="W10" i="11"/>
  <c r="W9" i="11"/>
  <c r="W8" i="11"/>
  <c r="W7" i="11"/>
  <c r="W6" i="11"/>
  <c r="W5" i="11"/>
  <c r="W4" i="11"/>
  <c r="W3" i="11"/>
  <c r="W2" i="11"/>
  <c r="W37" i="10"/>
  <c r="W36" i="10"/>
  <c r="W35" i="10"/>
  <c r="W34" i="10"/>
  <c r="W33" i="10"/>
  <c r="W32" i="10"/>
  <c r="W31" i="10"/>
  <c r="W30" i="10"/>
  <c r="W29" i="10"/>
  <c r="W28" i="10"/>
  <c r="W27" i="10"/>
  <c r="W26" i="10"/>
  <c r="W25" i="10"/>
  <c r="W24" i="10"/>
  <c r="W23" i="10"/>
  <c r="W22" i="10"/>
  <c r="W21" i="10"/>
  <c r="W20" i="10"/>
  <c r="W19" i="10"/>
  <c r="W18" i="10"/>
  <c r="W17" i="10"/>
  <c r="W16" i="10"/>
  <c r="W15" i="10"/>
  <c r="W14" i="10"/>
  <c r="W13" i="10"/>
  <c r="W12" i="10"/>
  <c r="W11" i="10"/>
  <c r="W10" i="10"/>
  <c r="W9" i="10"/>
  <c r="W8" i="10"/>
  <c r="W7" i="10"/>
  <c r="W6" i="10"/>
  <c r="W5" i="10"/>
  <c r="W4" i="10"/>
  <c r="W3" i="10"/>
  <c r="W2" i="10"/>
  <c r="W37" i="3"/>
  <c r="W36" i="3"/>
  <c r="W35" i="3"/>
  <c r="W34" i="3"/>
  <c r="W33" i="3"/>
  <c r="W32" i="3"/>
  <c r="W31" i="3"/>
  <c r="W30" i="3"/>
  <c r="W29" i="3"/>
  <c r="W28" i="3"/>
  <c r="W27" i="3"/>
  <c r="W26" i="3"/>
  <c r="W25" i="3"/>
  <c r="W24" i="3"/>
  <c r="W23" i="3"/>
  <c r="W22" i="3"/>
  <c r="W21" i="3"/>
  <c r="W20" i="3"/>
  <c r="W19" i="3"/>
  <c r="W18" i="3"/>
  <c r="W17" i="3"/>
  <c r="W16" i="3"/>
  <c r="W15" i="3"/>
  <c r="W14" i="3"/>
  <c r="W13" i="3"/>
  <c r="W12" i="3"/>
  <c r="W11" i="3"/>
  <c r="W10" i="3"/>
  <c r="W9" i="3"/>
  <c r="W8" i="3"/>
  <c r="W7" i="3"/>
  <c r="W6" i="3"/>
  <c r="W5" i="3"/>
  <c r="W4" i="3"/>
  <c r="W3" i="3"/>
  <c r="W2" i="3"/>
  <c r="W37" i="9"/>
  <c r="W36" i="9"/>
  <c r="W35" i="9"/>
  <c r="W34" i="9"/>
  <c r="W33" i="9"/>
  <c r="W32" i="9"/>
  <c r="W31" i="9"/>
  <c r="W30" i="9"/>
  <c r="W29" i="9"/>
  <c r="W28" i="9"/>
  <c r="W27" i="9"/>
  <c r="W26" i="9"/>
  <c r="W25" i="9"/>
  <c r="W24" i="9"/>
  <c r="W23" i="9"/>
  <c r="W22" i="9"/>
  <c r="W21" i="9"/>
  <c r="W20" i="9"/>
  <c r="W19" i="9"/>
  <c r="W18" i="9"/>
  <c r="W17" i="9"/>
  <c r="W16" i="9"/>
  <c r="W15" i="9"/>
  <c r="W14" i="9"/>
  <c r="W13" i="9"/>
  <c r="W12" i="9"/>
  <c r="W11" i="9"/>
  <c r="W10" i="9"/>
  <c r="W9" i="9"/>
  <c r="W8" i="9"/>
  <c r="W7" i="9"/>
  <c r="W6" i="9"/>
  <c r="W5" i="9"/>
  <c r="W4" i="9"/>
  <c r="W3" i="9"/>
  <c r="W2" i="9"/>
  <c r="W37" i="8"/>
  <c r="W36" i="8"/>
  <c r="W35" i="8"/>
  <c r="W34" i="8"/>
  <c r="W33" i="8"/>
  <c r="W32" i="8"/>
  <c r="W31" i="8"/>
  <c r="W30" i="8"/>
  <c r="W29" i="8"/>
  <c r="W28" i="8"/>
  <c r="W27" i="8"/>
  <c r="W26" i="8"/>
  <c r="W25" i="8"/>
  <c r="W24" i="8"/>
  <c r="W23" i="8"/>
  <c r="W22" i="8"/>
  <c r="W21" i="8"/>
  <c r="W20" i="8"/>
  <c r="W19" i="8"/>
  <c r="W18" i="8"/>
  <c r="W17" i="8"/>
  <c r="W16" i="8"/>
  <c r="W15" i="8"/>
  <c r="W14" i="8"/>
  <c r="W13" i="8"/>
  <c r="W12" i="8"/>
  <c r="W11" i="8"/>
  <c r="W10" i="8"/>
  <c r="W9" i="8"/>
  <c r="W8" i="8"/>
  <c r="W7" i="8"/>
  <c r="W6" i="8"/>
  <c r="W5" i="8"/>
  <c r="W4" i="8"/>
  <c r="W3" i="8"/>
  <c r="W2" i="8"/>
  <c r="W37" i="7"/>
  <c r="W36" i="7"/>
  <c r="W35" i="7"/>
  <c r="W34" i="7"/>
  <c r="W33" i="7"/>
  <c r="W32" i="7"/>
  <c r="W31" i="7"/>
  <c r="W30" i="7"/>
  <c r="W29" i="7"/>
  <c r="W28" i="7"/>
  <c r="W27" i="7"/>
  <c r="W26" i="7"/>
  <c r="W25" i="7"/>
  <c r="W24" i="7"/>
  <c r="W23" i="7"/>
  <c r="W22" i="7"/>
  <c r="W21" i="7"/>
  <c r="W20" i="7"/>
  <c r="W19" i="7"/>
  <c r="W18" i="7"/>
  <c r="W17" i="7"/>
  <c r="W16" i="7"/>
  <c r="W15" i="7"/>
  <c r="W14" i="7"/>
  <c r="W13" i="7"/>
  <c r="W12" i="7"/>
  <c r="W11" i="7"/>
  <c r="W10" i="7"/>
  <c r="W9" i="7"/>
  <c r="W8" i="7"/>
  <c r="W7" i="7"/>
  <c r="W6" i="7"/>
  <c r="W5" i="7"/>
  <c r="W4" i="7"/>
  <c r="W3" i="7"/>
  <c r="W2" i="7"/>
  <c r="W37" i="6"/>
  <c r="W36" i="6"/>
  <c r="W35" i="6"/>
  <c r="W34" i="6"/>
  <c r="W33" i="6"/>
  <c r="W32" i="6"/>
  <c r="W31" i="6"/>
  <c r="W30" i="6"/>
  <c r="W29" i="6"/>
  <c r="W28" i="6"/>
  <c r="W27" i="6"/>
  <c r="W26" i="6"/>
  <c r="W25" i="6"/>
  <c r="W24" i="6"/>
  <c r="W23" i="6"/>
  <c r="W22" i="6"/>
  <c r="W21" i="6"/>
  <c r="W20" i="6"/>
  <c r="W19" i="6"/>
  <c r="W18" i="6"/>
  <c r="W17" i="6"/>
  <c r="W16" i="6"/>
  <c r="W15" i="6"/>
  <c r="W14" i="6"/>
  <c r="W13" i="6"/>
  <c r="W12" i="6"/>
  <c r="W11" i="6"/>
  <c r="W10" i="6"/>
  <c r="W9" i="6"/>
  <c r="W8" i="6"/>
  <c r="W7" i="6"/>
  <c r="W6" i="6"/>
  <c r="W5" i="6"/>
  <c r="W4" i="6"/>
  <c r="W3" i="6"/>
  <c r="W2" i="6"/>
  <c r="W37" i="5"/>
  <c r="W36" i="5"/>
  <c r="W35" i="5"/>
  <c r="W34" i="5"/>
  <c r="W33" i="5"/>
  <c r="W32" i="5"/>
  <c r="W31" i="5"/>
  <c r="W30" i="5"/>
  <c r="W29" i="5"/>
  <c r="W28" i="5"/>
  <c r="W27" i="5"/>
  <c r="W26" i="5"/>
  <c r="W25" i="5"/>
  <c r="W24" i="5"/>
  <c r="W23" i="5"/>
  <c r="W22" i="5"/>
  <c r="W21" i="5"/>
  <c r="W20" i="5"/>
  <c r="W19" i="5"/>
  <c r="W18" i="5"/>
  <c r="W17" i="5"/>
  <c r="W16" i="5"/>
  <c r="W15" i="5"/>
  <c r="W14" i="5"/>
  <c r="W13" i="5"/>
  <c r="W12" i="5"/>
  <c r="W11" i="5"/>
  <c r="W10" i="5"/>
  <c r="W9" i="5"/>
  <c r="W8" i="5"/>
  <c r="W7" i="5"/>
  <c r="W6" i="5"/>
  <c r="W5" i="5"/>
  <c r="W4" i="5"/>
  <c r="W3" i="5"/>
  <c r="W2" i="5"/>
  <c r="W37" i="4"/>
  <c r="W36" i="4"/>
  <c r="W35" i="4"/>
  <c r="W34" i="4"/>
  <c r="W33" i="4"/>
  <c r="W32" i="4"/>
  <c r="W31" i="4"/>
  <c r="W30" i="4"/>
  <c r="W29" i="4"/>
  <c r="W28" i="4"/>
  <c r="W27" i="4"/>
  <c r="W26" i="4"/>
  <c r="W25" i="4"/>
  <c r="W24" i="4"/>
  <c r="W23" i="4"/>
  <c r="W22" i="4"/>
  <c r="W21" i="4"/>
  <c r="W20" i="4"/>
  <c r="W19" i="4"/>
  <c r="W18" i="4"/>
  <c r="W17" i="4"/>
  <c r="W16" i="4"/>
  <c r="W15" i="4"/>
  <c r="W14" i="4"/>
  <c r="W13" i="4"/>
  <c r="W12" i="4"/>
  <c r="W11" i="4"/>
  <c r="W10" i="4"/>
  <c r="W9" i="4"/>
  <c r="W8" i="4"/>
  <c r="W7" i="4"/>
  <c r="W6" i="4"/>
  <c r="W5" i="4"/>
  <c r="W4" i="4"/>
  <c r="W3" i="4"/>
  <c r="W2" i="4"/>
  <c r="W59" i="2"/>
  <c r="W58" i="2"/>
  <c r="W57" i="2"/>
  <c r="W56" i="2"/>
  <c r="W55" i="2"/>
  <c r="W54" i="2"/>
  <c r="W53" i="2"/>
  <c r="W52" i="2"/>
  <c r="W51" i="2"/>
  <c r="W50" i="2"/>
  <c r="W49" i="2"/>
  <c r="W48" i="2"/>
  <c r="W47" i="2"/>
  <c r="W46" i="2"/>
  <c r="W45" i="2"/>
  <c r="W44" i="2"/>
  <c r="W43" i="2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2" i="1"/>
</calcChain>
</file>

<file path=xl/sharedStrings.xml><?xml version="1.0" encoding="utf-8"?>
<sst xmlns="http://schemas.openxmlformats.org/spreadsheetml/2006/main" count="1573" uniqueCount="353">
  <si>
    <t>Nº Factura</t>
  </si>
  <si>
    <t>Fecha</t>
  </si>
  <si>
    <t>Su Num.Factura</t>
  </si>
  <si>
    <t>Cif Proveedor</t>
  </si>
  <si>
    <t>Nombre Proveedor</t>
  </si>
  <si>
    <t>Actividad</t>
  </si>
  <si>
    <t>Base 21%</t>
  </si>
  <si>
    <t>Base 10%</t>
  </si>
  <si>
    <t>Base 4%</t>
  </si>
  <si>
    <t>Exento</t>
  </si>
  <si>
    <t>Neto</t>
  </si>
  <si>
    <t>Iva 21%</t>
  </si>
  <si>
    <t>Iva 10%</t>
  </si>
  <si>
    <t>Iva 4%</t>
  </si>
  <si>
    <t>Impuestos</t>
  </si>
  <si>
    <t>Retencion</t>
  </si>
  <si>
    <t>%Retencion</t>
  </si>
  <si>
    <t>Total</t>
  </si>
  <si>
    <t>Forma de Pago</t>
  </si>
  <si>
    <t>Pagado</t>
  </si>
  <si>
    <t>Pte Pago</t>
  </si>
  <si>
    <t>Vencimiento</t>
  </si>
  <si>
    <t>ESTADO</t>
  </si>
  <si>
    <t>B86509460</t>
  </si>
  <si>
    <t>COSTCO WHOLESALE SPAIN,S.L.U</t>
  </si>
  <si>
    <t>GASOIL</t>
  </si>
  <si>
    <t>TARJETA DE CREDITO</t>
  </si>
  <si>
    <t>24F004526</t>
  </si>
  <si>
    <t>A58432295</t>
  </si>
  <si>
    <t>DELTA DORE S.A.</t>
  </si>
  <si>
    <t>SISTEMA DOMOTICA</t>
  </si>
  <si>
    <t>GIRO BANCARIO 60 DIAS DE FACTURA</t>
  </si>
  <si>
    <t>A82527458</t>
  </si>
  <si>
    <t>DAIKIN AC SPAIN, S.A.</t>
  </si>
  <si>
    <t>VENTA DE MAQUINAS</t>
  </si>
  <si>
    <t>GIRO A 30 DIAS DE FACTURA</t>
  </si>
  <si>
    <t>W0031608C</t>
  </si>
  <si>
    <t>MITSUBISHI ELECTRIC EUROPE,B.V. SUCURSAL EN ESPAÑA</t>
  </si>
  <si>
    <t>GIRO BANCARIO A 15 DIAS DE FACTURA</t>
  </si>
  <si>
    <t>B62890850</t>
  </si>
  <si>
    <t>LA MAR DE DADES,S.L</t>
  </si>
  <si>
    <t>PROGRAMA HOSTING WINDOW</t>
  </si>
  <si>
    <t>GIRO BANCARIO</t>
  </si>
  <si>
    <t>F25ES-0004710</t>
  </si>
  <si>
    <t>B39793294</t>
  </si>
  <si>
    <t>ENI PLENITUDE IBERIA,S.L</t>
  </si>
  <si>
    <t>ELECTRICA LUZ NAVE</t>
  </si>
  <si>
    <t>A250040</t>
  </si>
  <si>
    <t>B84967199</t>
  </si>
  <si>
    <t>BRAVO MARKETING Y COMUNICACION, S.L.</t>
  </si>
  <si>
    <t>CARTELES PUBLICITARIOS</t>
  </si>
  <si>
    <t>AL/1/2025</t>
  </si>
  <si>
    <t>B-80875859</t>
  </si>
  <si>
    <t>SELECT MOTOR, S.L.</t>
  </si>
  <si>
    <t>ALQUILER NAVE</t>
  </si>
  <si>
    <t>50 % TRANSFERENCIA / 50% FINANCIADO</t>
  </si>
  <si>
    <t>AL/4/2025</t>
  </si>
  <si>
    <t>25F00031</t>
  </si>
  <si>
    <t>B85603256</t>
  </si>
  <si>
    <t>MEDINA Y MEZQUITILLAS INFORMATICA,S.L</t>
  </si>
  <si>
    <t>MANTENIMIENTO INFORMATICO</t>
  </si>
  <si>
    <t>B28240075</t>
  </si>
  <si>
    <t>MEGINO,S.L</t>
  </si>
  <si>
    <t>25F00032</t>
  </si>
  <si>
    <t>TA7DS0089362</t>
  </si>
  <si>
    <t>A82018474</t>
  </si>
  <si>
    <t>TELEFONICA DE ESPAÑA, S.A.U.</t>
  </si>
  <si>
    <t>TELEFONIA</t>
  </si>
  <si>
    <t>A28354520</t>
  </si>
  <si>
    <t>CIA ESPAÑOLA DIST PETROLEOS S.A.</t>
  </si>
  <si>
    <t>EFECTIVO</t>
  </si>
  <si>
    <t>A62018064</t>
  </si>
  <si>
    <t>EURODEPOT ESPAÑA,S.A.U</t>
  </si>
  <si>
    <t>VENTA DE MATERIAL</t>
  </si>
  <si>
    <t>A2404895</t>
  </si>
  <si>
    <t>B45484532</t>
  </si>
  <si>
    <t>MATERIALES DE CONSTRUCCIÓN A. LOPEZ DOS, S.L.</t>
  </si>
  <si>
    <t>2025-1/00586</t>
  </si>
  <si>
    <t>B13464409</t>
  </si>
  <si>
    <t>ITV MACO SL</t>
  </si>
  <si>
    <t>ITV</t>
  </si>
  <si>
    <t>046-1-014208</t>
  </si>
  <si>
    <t>B84818442</t>
  </si>
  <si>
    <t>LEROY MERLIN ESPAÑA SLU</t>
  </si>
  <si>
    <t>COMPRA MATERIAL</t>
  </si>
  <si>
    <t>TA7CT0044973</t>
  </si>
  <si>
    <t>IFC2501-12473</t>
  </si>
  <si>
    <t>B06290241</t>
  </si>
  <si>
    <t>VITALY HEALTH SERVICES, S.L.</t>
  </si>
  <si>
    <t>PREVENCION LABORAL</t>
  </si>
  <si>
    <t>B13595947</t>
  </si>
  <si>
    <t>GARCIA HERREROS SERVICIOS CONSTRUCTIVOS Y DISTRIBUCIÓN S.L.</t>
  </si>
  <si>
    <t>B80696404</t>
  </si>
  <si>
    <t>FANAIR S.L.</t>
  </si>
  <si>
    <t>MAYORISTA</t>
  </si>
  <si>
    <t>6/62500159</t>
  </si>
  <si>
    <t>B92974914</t>
  </si>
  <si>
    <t>AIRZONE CLIMA S.L.</t>
  </si>
  <si>
    <t>COMPRA DE ACCESORIOS</t>
  </si>
  <si>
    <t>A79314852</t>
  </si>
  <si>
    <t>NOLE SANEAMIENTOS S.A.U.</t>
  </si>
  <si>
    <t>TRANSFERENCIA</t>
  </si>
  <si>
    <t>B45653946</t>
  </si>
  <si>
    <t>INTEGRAL PROLAB, S.L.</t>
  </si>
  <si>
    <t>ROPA TRABAJO</t>
  </si>
  <si>
    <t>A81765067</t>
  </si>
  <si>
    <t>THOMIL S.A.</t>
  </si>
  <si>
    <t>VENTA LIQUIDOS DESINFECTANTES</t>
  </si>
  <si>
    <t>B81236267</t>
  </si>
  <si>
    <t>SUMINISTROS ELECTRICOS ANTRA, S.L.</t>
  </si>
  <si>
    <t>SUMINISTROS ELECTRICIDAD</t>
  </si>
  <si>
    <t>A28602969</t>
  </si>
  <si>
    <t>COPLAR,S.A</t>
  </si>
  <si>
    <t>FACTURACION COPIAS</t>
  </si>
  <si>
    <t>0.420175</t>
  </si>
  <si>
    <t>B81030223</t>
  </si>
  <si>
    <t>SUMINISTROS SANTACRUZ,S.L</t>
  </si>
  <si>
    <t>VENTA DE HERRAMIENTAS</t>
  </si>
  <si>
    <t>fc25/83</t>
  </si>
  <si>
    <t>B13102363</t>
  </si>
  <si>
    <t>L. Y E. QUINTANA ,S.L</t>
  </si>
  <si>
    <t>REPARACION VEHICULOS</t>
  </si>
  <si>
    <t>6096-12402</t>
  </si>
  <si>
    <t>J.L. ADRIO S.L.</t>
  </si>
  <si>
    <t>HOSTELERIA</t>
  </si>
  <si>
    <t>2025-1/00654</t>
  </si>
  <si>
    <t>FC029/2025</t>
  </si>
  <si>
    <t>H86744380</t>
  </si>
  <si>
    <t>SUBCOMUNIDAD DE PROPIETARIOS BR1 ESCUELAS PIAS SAN ANTON</t>
  </si>
  <si>
    <t>25/000778/FV</t>
  </si>
  <si>
    <t>B87753364</t>
  </si>
  <si>
    <t>COMERCIAL DE INDUSTRIA Y REPRESENTACIONES, S.L.</t>
  </si>
  <si>
    <t>COMPRA DE MATERIAL</t>
  </si>
  <si>
    <t>BBV000673521</t>
  </si>
  <si>
    <t>A79707345</t>
  </si>
  <si>
    <t>SOLRED,S.A.</t>
  </si>
  <si>
    <t>TARJETA SOLRED</t>
  </si>
  <si>
    <t>2025-1/01020</t>
  </si>
  <si>
    <t>2025-1/01021</t>
  </si>
  <si>
    <t>A78674983</t>
  </si>
  <si>
    <t>EUGENIO PEREDA S.A.</t>
  </si>
  <si>
    <t>F202510</t>
  </si>
  <si>
    <t>B88569223</t>
  </si>
  <si>
    <t>MEGIA Y JAIME RESTAURACION,S.L</t>
  </si>
  <si>
    <t>RESTAURACION</t>
  </si>
  <si>
    <t>25/000316</t>
  </si>
  <si>
    <t>A80298839</t>
  </si>
  <si>
    <t>REPSOL COMERCIAL DE PRODUCTOS PETROLIFEROS S.A.</t>
  </si>
  <si>
    <t>A/81443891</t>
  </si>
  <si>
    <t>B73373862</t>
  </si>
  <si>
    <t>MOVILDATA INTERNACIONAL S.L.U</t>
  </si>
  <si>
    <t>GPS FURGONETAS</t>
  </si>
  <si>
    <t>INV/2025/02669</t>
  </si>
  <si>
    <t>B25640186</t>
  </si>
  <si>
    <t>VUNKERS IT EXPERTS,S.L.U</t>
  </si>
  <si>
    <t>SISTEMAS Y SOFTWARE</t>
  </si>
  <si>
    <t>GIRO BANCARIO 7 DIAS DE FACTURA</t>
  </si>
  <si>
    <t>A60526928</t>
  </si>
  <si>
    <t>INTERPARKING HISPANIA, S.A.</t>
  </si>
  <si>
    <t>PARKING</t>
  </si>
  <si>
    <t>B85552578</t>
  </si>
  <si>
    <t>SUMINISTROS INDUSTRIALES COBSA, S.L.</t>
  </si>
  <si>
    <t>ST9040967</t>
  </si>
  <si>
    <t>A28017895</t>
  </si>
  <si>
    <t>EL CORTE INGLES, S.A.</t>
  </si>
  <si>
    <t>A000003083</t>
  </si>
  <si>
    <t>A48265169</t>
  </si>
  <si>
    <t>BANCO BILBAO VIZCAYA ARGENTARIA, S.A.</t>
  </si>
  <si>
    <t>RENTING</t>
  </si>
  <si>
    <t>25/000351</t>
  </si>
  <si>
    <t>A08768350</t>
  </si>
  <si>
    <t>DISTRIBUIDORA DE TUBOS Y AISLAMIENTOS,S.A.</t>
  </si>
  <si>
    <t>VENTA MATERIAL</t>
  </si>
  <si>
    <t>1/354/10/15942</t>
  </si>
  <si>
    <t>WERKHAUS S.L.</t>
  </si>
  <si>
    <t>CONTADO</t>
  </si>
  <si>
    <t>011-001-711851</t>
  </si>
  <si>
    <t>A08710006</t>
  </si>
  <si>
    <t>SALVADOR ESCODA,S.A.</t>
  </si>
  <si>
    <t>B84066091</t>
  </si>
  <si>
    <t>VITALOX INDUSTRIAL, S.L.</t>
  </si>
  <si>
    <t>GASES</t>
  </si>
  <si>
    <t>B79367181</t>
  </si>
  <si>
    <t>TUBOVEN, S.L.</t>
  </si>
  <si>
    <t>B28960987</t>
  </si>
  <si>
    <t>INDUSTRIAS DIRU, S.L.</t>
  </si>
  <si>
    <t>VENTA DE REJILLAS ( MATERIAL)</t>
  </si>
  <si>
    <t>2235332P</t>
  </si>
  <si>
    <t>MARIA LUISA MARTOS</t>
  </si>
  <si>
    <t>ABOGADA</t>
  </si>
  <si>
    <t>EN/25/0101</t>
  </si>
  <si>
    <t>B84989532</t>
  </si>
  <si>
    <t>CONTENEDORES PARQUE, S.L.</t>
  </si>
  <si>
    <t>ALQUILER CONTENEDORES</t>
  </si>
  <si>
    <t>A82825456</t>
  </si>
  <si>
    <t>SALTOKI CENTRO S.A.</t>
  </si>
  <si>
    <t>FC25/185</t>
  </si>
  <si>
    <t>F25ES-00252958</t>
  </si>
  <si>
    <t>IE36689970</t>
  </si>
  <si>
    <t>GOOGLE CLOUD EMEA LIMITED</t>
  </si>
  <si>
    <t>GOOGLE SUITE BASIC</t>
  </si>
  <si>
    <t>F250264</t>
  </si>
  <si>
    <t>B79283982</t>
  </si>
  <si>
    <t>CONTAMAR ASESORES</t>
  </si>
  <si>
    <t>ASESORIA</t>
  </si>
  <si>
    <t>F250395</t>
  </si>
  <si>
    <t>52983919S</t>
  </si>
  <si>
    <t>ANTONIO CAPILLA LERIN</t>
  </si>
  <si>
    <t>ALQUILER DE NAVE</t>
  </si>
  <si>
    <t>02540826Q</t>
  </si>
  <si>
    <t>ELENA HERAS ALCAIDE</t>
  </si>
  <si>
    <t>ALQUILER NAVE 09</t>
  </si>
  <si>
    <t>W0031602F</t>
  </si>
  <si>
    <t>DE LAGE LANDEN INTERNATIONAL B.V.SUCURSAL EN ESPAÑA</t>
  </si>
  <si>
    <t>ALQUILER IMPRESORA</t>
  </si>
  <si>
    <t>G78029204</t>
  </si>
  <si>
    <t>AGREMIA</t>
  </si>
  <si>
    <t>ASOCIACION INSTALADORES</t>
  </si>
  <si>
    <t>25/ea00003161</t>
  </si>
  <si>
    <t>B37546538</t>
  </si>
  <si>
    <t>ELPARKING INTERNET,S.L</t>
  </si>
  <si>
    <t>ESTACIONAMIENTO MADRID</t>
  </si>
  <si>
    <t>IEN20250029728</t>
  </si>
  <si>
    <t>IE6364992H</t>
  </si>
  <si>
    <t>ADOBE SYSTEMS SOFTWARE IRELAND LTD</t>
  </si>
  <si>
    <t>SISTEMA INFORMATICO</t>
  </si>
  <si>
    <t>BBV000042438</t>
  </si>
  <si>
    <t>CONFIRMING 120 DIAS</t>
  </si>
  <si>
    <t>PORCENTAJE DEL IRPF MODIFICADO. DESCUADRE DE 7,50</t>
  </si>
  <si>
    <t>F25/65</t>
  </si>
  <si>
    <t>A80390354</t>
  </si>
  <si>
    <t>PALGRAPHIC,S.A.</t>
  </si>
  <si>
    <t>PUBLICIDAD FLYER DELAIRE</t>
  </si>
  <si>
    <t>25-250022</t>
  </si>
  <si>
    <t>B67592303</t>
  </si>
  <si>
    <t>HOLGEN MEDIA COMUNICACION S.L.</t>
  </si>
  <si>
    <t>MARKETING</t>
  </si>
  <si>
    <t>B86468733</t>
  </si>
  <si>
    <t>SIKLA HISPANIA, S.L.U</t>
  </si>
  <si>
    <t>B45861275</t>
  </si>
  <si>
    <t>DINU &amp; JORDAN CONSTRUCCIONES S.L.</t>
  </si>
  <si>
    <t>SERVICIOS OBRA NAVE</t>
  </si>
  <si>
    <t>Transferencia BBVA ES47 0182 6356 4502 0161 5193</t>
  </si>
  <si>
    <t>F25ES-00330970</t>
  </si>
  <si>
    <t>1500027/1</t>
  </si>
  <si>
    <t>B98723604</t>
  </si>
  <si>
    <t>WIGAM IBERICA INSTRUMENTS, S.L.</t>
  </si>
  <si>
    <t>MATERIAL</t>
  </si>
  <si>
    <t>7/72500622</t>
  </si>
  <si>
    <t>FG246236</t>
  </si>
  <si>
    <t>B81370173</t>
  </si>
  <si>
    <t>SOCIEDAD MIROBRIGA DE PINTURAS S.L.</t>
  </si>
  <si>
    <t>B-134392</t>
  </si>
  <si>
    <t>20260278S</t>
  </si>
  <si>
    <t>DAVID HERRERA FERNANDEZ</t>
  </si>
  <si>
    <t>PAPELERIA</t>
  </si>
  <si>
    <t>2500350/2</t>
  </si>
  <si>
    <t>0.420871</t>
  </si>
  <si>
    <t>25A000100</t>
  </si>
  <si>
    <t>A00056246</t>
  </si>
  <si>
    <t>TA7H40088537</t>
  </si>
  <si>
    <t>INV/2025/2053</t>
  </si>
  <si>
    <t>B82904905</t>
  </si>
  <si>
    <t>JANFER SUMINISTROS PARA LA INDUSTRIA, S.L.U.</t>
  </si>
  <si>
    <t>AL/9/2025</t>
  </si>
  <si>
    <t>AL/6/2025</t>
  </si>
  <si>
    <t>2025G/486</t>
  </si>
  <si>
    <t>B87093209</t>
  </si>
  <si>
    <t>GLOBAL SECURITY SOLUTIONS, S.L. ( GSS )</t>
  </si>
  <si>
    <t>ALARMA</t>
  </si>
  <si>
    <t>25F00084</t>
  </si>
  <si>
    <t>25F00083</t>
  </si>
  <si>
    <t>NL-289</t>
  </si>
  <si>
    <t>X3998937L</t>
  </si>
  <si>
    <t>NEWLOYAL STUDIO DIEGO LOPES PARRA</t>
  </si>
  <si>
    <t>DISEÑADOR WEB</t>
  </si>
  <si>
    <t>NL-297</t>
  </si>
  <si>
    <t>A250186</t>
  </si>
  <si>
    <t>07FV-08720</t>
  </si>
  <si>
    <t>B87822128</t>
  </si>
  <si>
    <t>BERMELLON BIG GROUP, S.L.</t>
  </si>
  <si>
    <t>PINTURAS Y MATERIALES</t>
  </si>
  <si>
    <t>f0081/25</t>
  </si>
  <si>
    <t>B86259090</t>
  </si>
  <si>
    <t>EJEZETA TRABAJOS EN ALTURA, S.L.</t>
  </si>
  <si>
    <t>TALÓN BANCARIO</t>
  </si>
  <si>
    <t>0.421899</t>
  </si>
  <si>
    <t>PA 22402</t>
  </si>
  <si>
    <t>B86939972</t>
  </si>
  <si>
    <t>JONALIAN SERVICIOS, S.L.U. ( NACEX )</t>
  </si>
  <si>
    <t>MENSAJERIA</t>
  </si>
  <si>
    <t>RECIBO</t>
  </si>
  <si>
    <t>A50/3208</t>
  </si>
  <si>
    <t>B78556768</t>
  </si>
  <si>
    <t>SPLITMANIA MADRID,S.L</t>
  </si>
  <si>
    <t>B0907322</t>
  </si>
  <si>
    <t>GARAJE PIAMONTE S.L.</t>
  </si>
  <si>
    <t>B88031182</t>
  </si>
  <si>
    <t>LUSUVER 2018 S.L.U.</t>
  </si>
  <si>
    <t>DESAYUNO EMPRESA</t>
  </si>
  <si>
    <t>A79209854</t>
  </si>
  <si>
    <t>MARKOIL,S.A.U</t>
  </si>
  <si>
    <t>FC25/275</t>
  </si>
  <si>
    <t>CONFIRMING</t>
  </si>
  <si>
    <t>7/72500924</t>
  </si>
  <si>
    <t>1/12504098</t>
  </si>
  <si>
    <t>1/12504099</t>
  </si>
  <si>
    <t>F0235/25</t>
  </si>
  <si>
    <t>INV/2025/06148</t>
  </si>
  <si>
    <t>2025-1/02936</t>
  </si>
  <si>
    <t>A2025/93</t>
  </si>
  <si>
    <t>B70662671</t>
  </si>
  <si>
    <t>TREZE PUBLICIDAD EXTERIOR S.L.</t>
  </si>
  <si>
    <t>PUBLICIDAD EXTERIOR</t>
  </si>
  <si>
    <t>02660549R</t>
  </si>
  <si>
    <t>EDUARDO GONZALEZ LOPEZ</t>
  </si>
  <si>
    <t>25/000682</t>
  </si>
  <si>
    <t>07FV-8794</t>
  </si>
  <si>
    <t>B86036019</t>
  </si>
  <si>
    <t>INSTALACIONES HIDALGAS,S.L.U</t>
  </si>
  <si>
    <t>COMPRA DE CALDERA E INSTALACION</t>
  </si>
  <si>
    <t>A80393812</t>
  </si>
  <si>
    <t>EESSA ES VILLAVERDE</t>
  </si>
  <si>
    <t>GASOLEO</t>
  </si>
  <si>
    <t>TA7G50044734</t>
  </si>
  <si>
    <t>A/81452042</t>
  </si>
  <si>
    <t>2025G/2584</t>
  </si>
  <si>
    <t>PA22558</t>
  </si>
  <si>
    <t>IEN20250089390</t>
  </si>
  <si>
    <t>53131695Q</t>
  </si>
  <si>
    <t>DAVID SANCHEZ ARROYO</t>
  </si>
  <si>
    <t>ASESORAMIENTO JURIDICO EXTRANJERIA</t>
  </si>
  <si>
    <t>F250673</t>
  </si>
  <si>
    <t>B87601308</t>
  </si>
  <si>
    <t>CAR BROS INVERSIONES S.L.U.</t>
  </si>
  <si>
    <t>COMPRA DE FURGONETA</t>
  </si>
  <si>
    <t>FB/25/0221</t>
  </si>
  <si>
    <t>B45785995</t>
  </si>
  <si>
    <t>JOLUMAR QUIMICA S.L.</t>
  </si>
  <si>
    <t>A09265224</t>
  </si>
  <si>
    <t>TAMACA AUTOCENTRO S.A.</t>
  </si>
  <si>
    <t>V001-007-00367</t>
  </si>
  <si>
    <t>B81454753</t>
  </si>
  <si>
    <t>AVEJOA HOSTELERIA S.L.</t>
  </si>
  <si>
    <t>F250813</t>
  </si>
  <si>
    <t>B87265328</t>
  </si>
  <si>
    <t>SIMPLY-BUSINESS S.L.</t>
  </si>
  <si>
    <t>COMPRA ROPA TRABAJO</t>
  </si>
  <si>
    <t>F-14</t>
  </si>
  <si>
    <t>53479094T</t>
  </si>
  <si>
    <t>RESTAURANTE GASTROBAR JENNY DIEZMA</t>
  </si>
  <si>
    <t>25/EA00044675</t>
  </si>
  <si>
    <t>TARJETA DE CRÉDITO (DATAFONO)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</si>
</sst>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vertical="top" wrapText="1"/>
    </xf>
    <xf numFmtId="14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horizontal="right" vertical="top" wrapText="1"/>
    </xf>
    <xf numFmtId="0" fontId="2" fillId="3" borderId="1" xfId="0" applyFont="1" applyFill="1" applyBorder="1" applyAlignment="1">
      <alignment vertical="top" wrapText="1"/>
    </xf>
    <xf numFmtId="14" fontId="2" fillId="3" borderId="1" xfId="0" applyNumberFormat="1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right" vertical="top" wrapText="1"/>
    </xf>
    <xf numFmtId="14" fontId="2" fillId="4" borderId="1" xfId="0" applyNumberFormat="1" applyFont="1" applyFill="1" applyBorder="1" applyAlignment="1">
      <alignment vertical="top" wrapText="1"/>
    </xf>
    <xf numFmtId="0" fontId="2" fillId="0" borderId="0" xfId="0" applyFont="1" applyAlignment="1">
      <alignment vertical="top"/>
    </xf>
    <xf numFmtId="0" fontId="2" fillId="3" borderId="0" xfId="0" applyFont="1" applyFill="1" applyAlignment="1">
      <alignment vertical="top"/>
    </xf>
    <xf numFmtId="3" fontId="2" fillId="0" borderId="1" xfId="0" applyNumberFormat="1" applyFont="1" applyBorder="1" applyAlignment="1">
      <alignment vertical="top" wrapText="1"/>
    </xf>
    <xf numFmtId="14" fontId="2" fillId="3" borderId="0" xfId="0" applyNumberFormat="1" applyFont="1" applyFill="1" applyAlignment="1">
      <alignment vertical="top"/>
    </xf>
    <xf numFmtId="0" fontId="2" fillId="4" borderId="0" xfId="0" applyFont="1" applyFill="1" applyAlignment="1">
      <alignment vertical="top"/>
    </xf>
    <xf numFmtId="14" fontId="2" fillId="4" borderId="0" xfId="0" applyNumberFormat="1" applyFont="1" applyFill="1" applyAlignment="1">
      <alignment vertical="top"/>
    </xf>
    <xf numFmtId="14" fontId="0" fillId="0" borderId="0" xfId="0" applyNumberFormat="1"/>
    <xf numFmtId="14" fontId="2" fillId="0" borderId="0" xfId="0" applyNumberFormat="1" applyFont="1" applyAlignment="1">
      <alignment vertical="top"/>
    </xf>
    <xf numFmtId="1" fontId="2" fillId="3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E490C-5136-4606-B0F5-903DB2E40430}">
  <sheetPr filterMode="1"/>
  <dimension ref="A1:AA157"/>
  <sheetViews>
    <sheetView tabSelected="1" topLeftCell="A146" zoomScale="80" zoomScaleNormal="80" workbookViewId="0">
      <selection activeCell="C163" sqref="C163"/>
    </sheetView>
  </sheetViews>
  <sheetFormatPr baseColWidth="10" defaultRowHeight="15" x14ac:dyDescent="0.25"/>
  <cols>
    <col min="3" max="3" width="15.140625" customWidth="1"/>
  </cols>
  <sheetData>
    <row r="1" spans="1:23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3" t="s">
        <v>22</v>
      </c>
    </row>
    <row r="2" spans="1:23" ht="48" x14ac:dyDescent="0.25">
      <c r="A2" s="4">
        <v>2500000</v>
      </c>
      <c r="B2" s="5">
        <v>45659</v>
      </c>
      <c r="C2" s="4">
        <v>586274</v>
      </c>
      <c r="D2" s="4" t="s">
        <v>23</v>
      </c>
      <c r="E2" s="4" t="s">
        <v>24</v>
      </c>
      <c r="F2" s="4" t="s">
        <v>25</v>
      </c>
      <c r="G2" s="6">
        <v>24.63</v>
      </c>
      <c r="H2" s="6"/>
      <c r="I2" s="6"/>
      <c r="J2" s="6"/>
      <c r="K2" s="6">
        <v>24.63</v>
      </c>
      <c r="L2" s="6">
        <v>5.17</v>
      </c>
      <c r="M2" s="6"/>
      <c r="N2" s="6"/>
      <c r="O2" s="6">
        <v>5.17</v>
      </c>
      <c r="P2" s="6"/>
      <c r="Q2" s="6"/>
      <c r="R2" s="6">
        <v>29.8</v>
      </c>
      <c r="S2" s="4" t="s">
        <v>26</v>
      </c>
      <c r="T2" s="6">
        <v>29.8</v>
      </c>
      <c r="U2" s="6"/>
      <c r="V2" s="10">
        <v>45659</v>
      </c>
      <c r="W2" t="str">
        <f t="shared" ref="W2:W65" ca="1" si="0">IF(V2&lt;TODAY(),"VENCIDA",IF(V2=TODAY(),"VENCE HOY",IF(V2&gt;TODAY(),"")))</f>
        <v>VENCIDA</v>
      </c>
    </row>
    <row r="3" spans="1:23" ht="48" x14ac:dyDescent="0.25">
      <c r="A3" s="7">
        <v>2500001</v>
      </c>
      <c r="B3" s="8">
        <v>45659</v>
      </c>
      <c r="C3" s="7">
        <v>586273</v>
      </c>
      <c r="D3" s="7" t="s">
        <v>23</v>
      </c>
      <c r="E3" s="7" t="s">
        <v>24</v>
      </c>
      <c r="F3" s="7" t="s">
        <v>25</v>
      </c>
      <c r="G3" s="9">
        <v>39.17</v>
      </c>
      <c r="H3" s="9"/>
      <c r="I3" s="9"/>
      <c r="J3" s="9">
        <v>-0.01</v>
      </c>
      <c r="K3" s="9">
        <v>39.159999999999997</v>
      </c>
      <c r="L3" s="9">
        <v>8.23</v>
      </c>
      <c r="M3" s="9"/>
      <c r="N3" s="9"/>
      <c r="O3" s="9">
        <v>8.23</v>
      </c>
      <c r="P3" s="9"/>
      <c r="Q3" s="9"/>
      <c r="R3" s="9">
        <v>47.39</v>
      </c>
      <c r="S3" s="7" t="s">
        <v>26</v>
      </c>
      <c r="T3" s="9">
        <v>47.39</v>
      </c>
      <c r="U3" s="9"/>
      <c r="V3" s="10">
        <v>45659</v>
      </c>
      <c r="W3" t="str">
        <f t="shared" ca="1" si="0"/>
        <v>VENCIDA</v>
      </c>
    </row>
    <row r="4" spans="1:23" ht="48" x14ac:dyDescent="0.25">
      <c r="A4" s="4">
        <v>2500002</v>
      </c>
      <c r="B4" s="5">
        <v>45659</v>
      </c>
      <c r="C4" s="4"/>
      <c r="D4" s="4" t="s">
        <v>23</v>
      </c>
      <c r="E4" s="4" t="s">
        <v>24</v>
      </c>
      <c r="F4" s="4" t="s">
        <v>25</v>
      </c>
      <c r="G4" s="6">
        <v>29.75</v>
      </c>
      <c r="H4" s="6"/>
      <c r="I4" s="6"/>
      <c r="J4" s="6"/>
      <c r="K4" s="6">
        <v>29.75</v>
      </c>
      <c r="L4" s="6">
        <v>6.25</v>
      </c>
      <c r="M4" s="6"/>
      <c r="N4" s="6"/>
      <c r="O4" s="6">
        <v>6.25</v>
      </c>
      <c r="P4" s="6"/>
      <c r="Q4" s="6"/>
      <c r="R4" s="6">
        <v>36</v>
      </c>
      <c r="S4" s="4" t="s">
        <v>26</v>
      </c>
      <c r="T4" s="6">
        <v>36</v>
      </c>
      <c r="U4" s="6"/>
      <c r="V4" s="10">
        <v>45659</v>
      </c>
      <c r="W4" t="str">
        <f t="shared" ca="1" si="0"/>
        <v>VENCIDA</v>
      </c>
    </row>
    <row r="5" spans="1:23" ht="48" x14ac:dyDescent="0.25">
      <c r="A5" s="7">
        <v>2500003</v>
      </c>
      <c r="B5" s="8">
        <v>45659</v>
      </c>
      <c r="C5" s="7">
        <v>586272</v>
      </c>
      <c r="D5" s="7" t="s">
        <v>23</v>
      </c>
      <c r="E5" s="7" t="s">
        <v>24</v>
      </c>
      <c r="F5" s="7" t="s">
        <v>25</v>
      </c>
      <c r="G5" s="9">
        <v>40.909999999999997</v>
      </c>
      <c r="H5" s="9"/>
      <c r="I5" s="9"/>
      <c r="J5" s="9"/>
      <c r="K5" s="9">
        <v>40.909999999999997</v>
      </c>
      <c r="L5" s="9">
        <v>8.59</v>
      </c>
      <c r="M5" s="9"/>
      <c r="N5" s="9"/>
      <c r="O5" s="9">
        <v>8.59</v>
      </c>
      <c r="P5" s="9"/>
      <c r="Q5" s="9"/>
      <c r="R5" s="9">
        <v>49.5</v>
      </c>
      <c r="S5" s="7" t="s">
        <v>26</v>
      </c>
      <c r="T5" s="9">
        <v>49.5</v>
      </c>
      <c r="U5" s="9"/>
      <c r="V5" s="10">
        <v>45659</v>
      </c>
      <c r="W5" t="str">
        <f t="shared" ca="1" si="0"/>
        <v>VENCIDA</v>
      </c>
    </row>
    <row r="6" spans="1:23" ht="48" x14ac:dyDescent="0.25">
      <c r="A6" s="4">
        <v>2500004</v>
      </c>
      <c r="B6" s="5">
        <v>45659</v>
      </c>
      <c r="C6" s="4">
        <v>737050</v>
      </c>
      <c r="D6" s="4" t="s">
        <v>23</v>
      </c>
      <c r="E6" s="4" t="s">
        <v>24</v>
      </c>
      <c r="F6" s="4" t="s">
        <v>25</v>
      </c>
      <c r="G6" s="6">
        <v>23.15</v>
      </c>
      <c r="H6" s="6"/>
      <c r="I6" s="6"/>
      <c r="J6" s="6"/>
      <c r="K6" s="6">
        <v>23.15</v>
      </c>
      <c r="L6" s="6">
        <v>4.8600000000000003</v>
      </c>
      <c r="M6" s="6"/>
      <c r="N6" s="6"/>
      <c r="O6" s="6">
        <v>4.8600000000000003</v>
      </c>
      <c r="P6" s="6"/>
      <c r="Q6" s="6"/>
      <c r="R6" s="6">
        <v>28.01</v>
      </c>
      <c r="S6" s="4" t="s">
        <v>26</v>
      </c>
      <c r="T6" s="6">
        <v>28.01</v>
      </c>
      <c r="U6" s="6"/>
      <c r="V6" s="10">
        <v>45659</v>
      </c>
      <c r="W6" t="str">
        <f t="shared" ca="1" si="0"/>
        <v>VENCIDA</v>
      </c>
    </row>
    <row r="7" spans="1:23" ht="48" x14ac:dyDescent="0.25">
      <c r="A7" s="7">
        <v>2500005</v>
      </c>
      <c r="B7" s="8">
        <v>45659</v>
      </c>
      <c r="C7" s="7">
        <v>737049</v>
      </c>
      <c r="D7" s="7" t="s">
        <v>23</v>
      </c>
      <c r="E7" s="7" t="s">
        <v>24</v>
      </c>
      <c r="F7" s="7" t="s">
        <v>25</v>
      </c>
      <c r="G7" s="9">
        <v>45.28</v>
      </c>
      <c r="H7" s="9"/>
      <c r="I7" s="9"/>
      <c r="J7" s="9"/>
      <c r="K7" s="9">
        <v>45.28</v>
      </c>
      <c r="L7" s="9">
        <v>9.51</v>
      </c>
      <c r="M7" s="9"/>
      <c r="N7" s="9"/>
      <c r="O7" s="9">
        <v>9.51</v>
      </c>
      <c r="P7" s="9"/>
      <c r="Q7" s="9"/>
      <c r="R7" s="9">
        <v>54.79</v>
      </c>
      <c r="S7" s="7" t="s">
        <v>26</v>
      </c>
      <c r="T7" s="9">
        <v>54.79</v>
      </c>
      <c r="U7" s="9"/>
      <c r="V7" s="10">
        <v>45659</v>
      </c>
      <c r="W7" t="str">
        <f t="shared" ca="1" si="0"/>
        <v>VENCIDA</v>
      </c>
    </row>
    <row r="8" spans="1:23" ht="48" x14ac:dyDescent="0.25">
      <c r="A8" s="4">
        <v>2500006</v>
      </c>
      <c r="B8" s="5">
        <v>45659</v>
      </c>
      <c r="C8" s="4">
        <v>448867</v>
      </c>
      <c r="D8" s="4" t="s">
        <v>23</v>
      </c>
      <c r="E8" s="4" t="s">
        <v>24</v>
      </c>
      <c r="F8" s="4" t="s">
        <v>25</v>
      </c>
      <c r="G8" s="6">
        <v>28.87</v>
      </c>
      <c r="H8" s="6"/>
      <c r="I8" s="6"/>
      <c r="J8" s="6"/>
      <c r="K8" s="6">
        <v>28.87</v>
      </c>
      <c r="L8" s="6">
        <v>6.06</v>
      </c>
      <c r="M8" s="6"/>
      <c r="N8" s="6"/>
      <c r="O8" s="6">
        <v>6.06</v>
      </c>
      <c r="P8" s="6"/>
      <c r="Q8" s="6"/>
      <c r="R8" s="6">
        <v>34.93</v>
      </c>
      <c r="S8" s="4" t="s">
        <v>26</v>
      </c>
      <c r="T8" s="6">
        <v>34.93</v>
      </c>
      <c r="U8" s="6"/>
      <c r="V8" s="10">
        <v>45659</v>
      </c>
      <c r="W8" t="str">
        <f t="shared" ca="1" si="0"/>
        <v>VENCIDA</v>
      </c>
    </row>
    <row r="9" spans="1:23" ht="48" x14ac:dyDescent="0.25">
      <c r="A9" s="4">
        <v>2500007</v>
      </c>
      <c r="B9" s="5">
        <v>45637</v>
      </c>
      <c r="C9" s="4" t="s">
        <v>27</v>
      </c>
      <c r="D9" s="4" t="s">
        <v>28</v>
      </c>
      <c r="E9" s="4" t="s">
        <v>29</v>
      </c>
      <c r="F9" s="4" t="s">
        <v>30</v>
      </c>
      <c r="G9" s="6">
        <v>1251.56</v>
      </c>
      <c r="H9" s="6"/>
      <c r="I9" s="6"/>
      <c r="J9" s="6"/>
      <c r="K9" s="6">
        <v>1251.56</v>
      </c>
      <c r="L9" s="6">
        <v>262.83</v>
      </c>
      <c r="M9" s="6"/>
      <c r="N9" s="6"/>
      <c r="O9" s="6">
        <v>262.83</v>
      </c>
      <c r="P9" s="6"/>
      <c r="Q9" s="6"/>
      <c r="R9" s="6">
        <v>1514.39</v>
      </c>
      <c r="S9" s="4" t="s">
        <v>31</v>
      </c>
      <c r="T9" s="6">
        <v>1514.39</v>
      </c>
      <c r="U9" s="6"/>
      <c r="V9" s="10">
        <v>45698</v>
      </c>
      <c r="W9" t="str">
        <f t="shared" ca="1" si="0"/>
        <v>VENCIDA</v>
      </c>
    </row>
    <row r="10" spans="1:23" ht="36" x14ac:dyDescent="0.25">
      <c r="A10" s="4">
        <v>2500008</v>
      </c>
      <c r="B10" s="5">
        <v>45659</v>
      </c>
      <c r="C10" s="4">
        <v>1195075219</v>
      </c>
      <c r="D10" s="4" t="s">
        <v>32</v>
      </c>
      <c r="E10" s="4" t="s">
        <v>33</v>
      </c>
      <c r="F10" s="4" t="s">
        <v>34</v>
      </c>
      <c r="G10" s="6">
        <v>-357.68</v>
      </c>
      <c r="H10" s="6"/>
      <c r="I10" s="6"/>
      <c r="J10" s="6"/>
      <c r="K10" s="6">
        <v>-357.68</v>
      </c>
      <c r="L10" s="6">
        <v>-75.11</v>
      </c>
      <c r="M10" s="6"/>
      <c r="N10" s="6"/>
      <c r="O10" s="6">
        <v>-75.11</v>
      </c>
      <c r="P10" s="6"/>
      <c r="Q10" s="6"/>
      <c r="R10" s="6">
        <v>-432.79</v>
      </c>
      <c r="S10" s="4" t="s">
        <v>35</v>
      </c>
      <c r="T10" s="6"/>
      <c r="U10" s="6">
        <v>-432.79</v>
      </c>
      <c r="V10" s="5">
        <v>45690</v>
      </c>
      <c r="W10" t="str">
        <f t="shared" ca="1" si="0"/>
        <v>VENCIDA</v>
      </c>
    </row>
    <row r="11" spans="1:23" ht="36" x14ac:dyDescent="0.25">
      <c r="A11" s="7">
        <v>2500009</v>
      </c>
      <c r="B11" s="8">
        <v>45659</v>
      </c>
      <c r="C11" s="7">
        <v>1195075220</v>
      </c>
      <c r="D11" s="7" t="s">
        <v>32</v>
      </c>
      <c r="E11" s="7" t="s">
        <v>33</v>
      </c>
      <c r="F11" s="7" t="s">
        <v>34</v>
      </c>
      <c r="G11" s="9">
        <v>-527.45000000000005</v>
      </c>
      <c r="H11" s="9"/>
      <c r="I11" s="9"/>
      <c r="J11" s="9"/>
      <c r="K11" s="9">
        <v>-527.45000000000005</v>
      </c>
      <c r="L11" s="9">
        <v>-110.76</v>
      </c>
      <c r="M11" s="9"/>
      <c r="N11" s="9"/>
      <c r="O11" s="9">
        <v>-110.76</v>
      </c>
      <c r="P11" s="9"/>
      <c r="Q11" s="9"/>
      <c r="R11" s="9">
        <v>-638.21</v>
      </c>
      <c r="S11" s="7" t="s">
        <v>35</v>
      </c>
      <c r="T11" s="9"/>
      <c r="U11" s="9">
        <v>-638.21</v>
      </c>
      <c r="V11" s="5">
        <v>45690</v>
      </c>
      <c r="W11" t="str">
        <f t="shared" ca="1" si="0"/>
        <v>VENCIDA</v>
      </c>
    </row>
    <row r="12" spans="1:23" ht="36" x14ac:dyDescent="0.25">
      <c r="A12" s="4">
        <v>2500010</v>
      </c>
      <c r="B12" s="5">
        <v>45659</v>
      </c>
      <c r="C12" s="4">
        <v>1195075218</v>
      </c>
      <c r="D12" s="4" t="s">
        <v>32</v>
      </c>
      <c r="E12" s="4" t="s">
        <v>33</v>
      </c>
      <c r="F12" s="4" t="s">
        <v>34</v>
      </c>
      <c r="G12" s="6">
        <v>-1420.37</v>
      </c>
      <c r="H12" s="6"/>
      <c r="I12" s="6"/>
      <c r="J12" s="6"/>
      <c r="K12" s="6">
        <v>-1420.37</v>
      </c>
      <c r="L12" s="6">
        <v>-298.27999999999997</v>
      </c>
      <c r="M12" s="6"/>
      <c r="N12" s="6"/>
      <c r="O12" s="6">
        <v>-298.27999999999997</v>
      </c>
      <c r="P12" s="6"/>
      <c r="Q12" s="6"/>
      <c r="R12" s="6">
        <v>-1718.65</v>
      </c>
      <c r="S12" s="4" t="s">
        <v>35</v>
      </c>
      <c r="T12" s="6"/>
      <c r="U12" s="6">
        <v>-1718.65</v>
      </c>
      <c r="V12" s="5">
        <v>45690</v>
      </c>
      <c r="W12" t="str">
        <f t="shared" ca="1" si="0"/>
        <v>VENCIDA</v>
      </c>
    </row>
    <row r="13" spans="1:23" ht="36" x14ac:dyDescent="0.25">
      <c r="A13" s="7">
        <v>2500011</v>
      </c>
      <c r="B13" s="8">
        <v>45659</v>
      </c>
      <c r="C13" s="7">
        <v>1195075217</v>
      </c>
      <c r="D13" s="7" t="s">
        <v>32</v>
      </c>
      <c r="E13" s="7" t="s">
        <v>33</v>
      </c>
      <c r="F13" s="7" t="s">
        <v>34</v>
      </c>
      <c r="G13" s="9">
        <v>-3147.87</v>
      </c>
      <c r="H13" s="9"/>
      <c r="I13" s="9"/>
      <c r="J13" s="9"/>
      <c r="K13" s="9">
        <v>-3147.87</v>
      </c>
      <c r="L13" s="9">
        <v>-661.05</v>
      </c>
      <c r="M13" s="9"/>
      <c r="N13" s="9"/>
      <c r="O13" s="9">
        <v>-661.05</v>
      </c>
      <c r="P13" s="9"/>
      <c r="Q13" s="9"/>
      <c r="R13" s="9">
        <v>-3808.92</v>
      </c>
      <c r="S13" s="7" t="s">
        <v>35</v>
      </c>
      <c r="T13" s="9"/>
      <c r="U13" s="9">
        <v>-3808.92</v>
      </c>
      <c r="V13" s="5">
        <v>45690</v>
      </c>
      <c r="W13" t="str">
        <f t="shared" ca="1" si="0"/>
        <v>VENCIDA</v>
      </c>
    </row>
    <row r="14" spans="1:23" ht="36" x14ac:dyDescent="0.25">
      <c r="A14" s="4">
        <v>2500012</v>
      </c>
      <c r="B14" s="5">
        <v>45659</v>
      </c>
      <c r="C14" s="4">
        <v>1195075216</v>
      </c>
      <c r="D14" s="4" t="s">
        <v>32</v>
      </c>
      <c r="E14" s="4" t="s">
        <v>33</v>
      </c>
      <c r="F14" s="4" t="s">
        <v>34</v>
      </c>
      <c r="G14" s="6">
        <v>-3582.45</v>
      </c>
      <c r="H14" s="6"/>
      <c r="I14" s="6"/>
      <c r="J14" s="6"/>
      <c r="K14" s="6">
        <v>-3582.45</v>
      </c>
      <c r="L14" s="6">
        <v>-752.31</v>
      </c>
      <c r="M14" s="6"/>
      <c r="N14" s="6"/>
      <c r="O14" s="6">
        <v>-752.31</v>
      </c>
      <c r="P14" s="6"/>
      <c r="Q14" s="6"/>
      <c r="R14" s="6">
        <v>-4334.76</v>
      </c>
      <c r="S14" s="4" t="s">
        <v>35</v>
      </c>
      <c r="T14" s="6"/>
      <c r="U14" s="6">
        <v>-4334.76</v>
      </c>
      <c r="V14" s="5">
        <v>45690</v>
      </c>
      <c r="W14" t="str">
        <f t="shared" ca="1" si="0"/>
        <v>VENCIDA</v>
      </c>
    </row>
    <row r="15" spans="1:23" ht="36" x14ac:dyDescent="0.25">
      <c r="A15" s="7">
        <v>2500013</v>
      </c>
      <c r="B15" s="8">
        <v>45659</v>
      </c>
      <c r="C15" s="7">
        <v>1195075215</v>
      </c>
      <c r="D15" s="7" t="s">
        <v>32</v>
      </c>
      <c r="E15" s="7" t="s">
        <v>33</v>
      </c>
      <c r="F15" s="7" t="s">
        <v>34</v>
      </c>
      <c r="G15" s="9">
        <v>-2083.9</v>
      </c>
      <c r="H15" s="9"/>
      <c r="I15" s="9"/>
      <c r="J15" s="9"/>
      <c r="K15" s="9">
        <v>-2083.9</v>
      </c>
      <c r="L15" s="9">
        <v>-437.62</v>
      </c>
      <c r="M15" s="9"/>
      <c r="N15" s="9"/>
      <c r="O15" s="9">
        <v>-437.62</v>
      </c>
      <c r="P15" s="9"/>
      <c r="Q15" s="9"/>
      <c r="R15" s="9">
        <v>-2521.52</v>
      </c>
      <c r="S15" s="7" t="s">
        <v>35</v>
      </c>
      <c r="T15" s="9"/>
      <c r="U15" s="9">
        <v>-2521.52</v>
      </c>
      <c r="V15" s="5">
        <v>45690</v>
      </c>
      <c r="W15" t="str">
        <f t="shared" ca="1" si="0"/>
        <v>VENCIDA</v>
      </c>
    </row>
    <row r="16" spans="1:23" ht="36" x14ac:dyDescent="0.25">
      <c r="A16" s="4">
        <v>2500014</v>
      </c>
      <c r="B16" s="5">
        <v>45659</v>
      </c>
      <c r="C16" s="4">
        <v>1195075214</v>
      </c>
      <c r="D16" s="4" t="s">
        <v>32</v>
      </c>
      <c r="E16" s="4" t="s">
        <v>33</v>
      </c>
      <c r="F16" s="4" t="s">
        <v>34</v>
      </c>
      <c r="G16" s="6">
        <v>-388.35</v>
      </c>
      <c r="H16" s="6"/>
      <c r="I16" s="6"/>
      <c r="J16" s="6"/>
      <c r="K16" s="6">
        <v>-388.35</v>
      </c>
      <c r="L16" s="6">
        <v>-81.55</v>
      </c>
      <c r="M16" s="6"/>
      <c r="N16" s="6"/>
      <c r="O16" s="6">
        <v>-81.55</v>
      </c>
      <c r="P16" s="6"/>
      <c r="Q16" s="6"/>
      <c r="R16" s="6">
        <v>-469.9</v>
      </c>
      <c r="S16" s="4" t="s">
        <v>35</v>
      </c>
      <c r="T16" s="6"/>
      <c r="U16" s="6">
        <v>-469.9</v>
      </c>
      <c r="V16" s="5">
        <v>45690</v>
      </c>
      <c r="W16" t="str">
        <f t="shared" ca="1" si="0"/>
        <v>VENCIDA</v>
      </c>
    </row>
    <row r="17" spans="1:23" ht="36" x14ac:dyDescent="0.25">
      <c r="A17" s="7">
        <v>2500015</v>
      </c>
      <c r="B17" s="8">
        <v>45659</v>
      </c>
      <c r="C17" s="7">
        <v>1195075213</v>
      </c>
      <c r="D17" s="7" t="s">
        <v>32</v>
      </c>
      <c r="E17" s="7" t="s">
        <v>33</v>
      </c>
      <c r="F17" s="7" t="s">
        <v>34</v>
      </c>
      <c r="G17" s="9">
        <v>-237.16</v>
      </c>
      <c r="H17" s="9"/>
      <c r="I17" s="9"/>
      <c r="J17" s="9"/>
      <c r="K17" s="9">
        <v>-237.16</v>
      </c>
      <c r="L17" s="9">
        <v>-49.8</v>
      </c>
      <c r="M17" s="9"/>
      <c r="N17" s="9"/>
      <c r="O17" s="9">
        <v>-49.8</v>
      </c>
      <c r="P17" s="9"/>
      <c r="Q17" s="9"/>
      <c r="R17" s="9">
        <v>-286.95999999999998</v>
      </c>
      <c r="S17" s="7" t="s">
        <v>35</v>
      </c>
      <c r="T17" s="9"/>
      <c r="U17" s="9">
        <v>-286.95999999999998</v>
      </c>
      <c r="V17" s="5">
        <v>45690</v>
      </c>
      <c r="W17" t="str">
        <f t="shared" ca="1" si="0"/>
        <v>VENCIDA</v>
      </c>
    </row>
    <row r="18" spans="1:23" ht="60" x14ac:dyDescent="0.25">
      <c r="A18" s="7">
        <v>2500016</v>
      </c>
      <c r="B18" s="8">
        <v>45660</v>
      </c>
      <c r="C18" s="7">
        <v>1114903122</v>
      </c>
      <c r="D18" s="7" t="s">
        <v>36</v>
      </c>
      <c r="E18" s="7" t="s">
        <v>37</v>
      </c>
      <c r="F18" s="7" t="s">
        <v>34</v>
      </c>
      <c r="G18" s="9">
        <v>521.77</v>
      </c>
      <c r="H18" s="9"/>
      <c r="I18" s="9"/>
      <c r="J18" s="9"/>
      <c r="K18" s="9">
        <v>521.77</v>
      </c>
      <c r="L18" s="9">
        <v>109.57</v>
      </c>
      <c r="M18" s="9"/>
      <c r="N18" s="9"/>
      <c r="O18" s="9">
        <v>109.57</v>
      </c>
      <c r="P18" s="9"/>
      <c r="Q18" s="9"/>
      <c r="R18" s="9">
        <v>631.34</v>
      </c>
      <c r="S18" s="7" t="s">
        <v>38</v>
      </c>
      <c r="T18" s="9">
        <v>631.34</v>
      </c>
      <c r="U18" s="9"/>
      <c r="V18" s="10">
        <v>45675</v>
      </c>
      <c r="W18" t="str">
        <f t="shared" ca="1" si="0"/>
        <v>VENCIDA</v>
      </c>
    </row>
    <row r="19" spans="1:23" ht="60" x14ac:dyDescent="0.25">
      <c r="A19" s="4">
        <v>2500017</v>
      </c>
      <c r="B19" s="5">
        <v>45660</v>
      </c>
      <c r="C19" s="4">
        <v>11171554639</v>
      </c>
      <c r="D19" s="4" t="s">
        <v>36</v>
      </c>
      <c r="E19" s="4" t="s">
        <v>37</v>
      </c>
      <c r="F19" s="4" t="s">
        <v>34</v>
      </c>
      <c r="G19" s="6">
        <v>-521.77</v>
      </c>
      <c r="H19" s="6"/>
      <c r="I19" s="6"/>
      <c r="J19" s="6"/>
      <c r="K19" s="6">
        <v>-521.77</v>
      </c>
      <c r="L19" s="6">
        <v>-109.57</v>
      </c>
      <c r="M19" s="6"/>
      <c r="N19" s="6"/>
      <c r="O19" s="6">
        <v>-109.57</v>
      </c>
      <c r="P19" s="6"/>
      <c r="Q19" s="6"/>
      <c r="R19" s="6">
        <v>-631.34</v>
      </c>
      <c r="S19" s="4" t="s">
        <v>38</v>
      </c>
      <c r="T19" s="6">
        <v>-631.34</v>
      </c>
      <c r="U19" s="6"/>
      <c r="V19" s="10">
        <v>45675</v>
      </c>
      <c r="W19" t="str">
        <f t="shared" ca="1" si="0"/>
        <v>VENCIDA</v>
      </c>
    </row>
    <row r="20" spans="1:23" ht="36" x14ac:dyDescent="0.25">
      <c r="A20" s="4">
        <v>2500018</v>
      </c>
      <c r="B20" s="5">
        <v>45664</v>
      </c>
      <c r="C20" s="4">
        <v>1201142079</v>
      </c>
      <c r="D20" s="4" t="s">
        <v>32</v>
      </c>
      <c r="E20" s="4" t="s">
        <v>33</v>
      </c>
      <c r="F20" s="4" t="s">
        <v>34</v>
      </c>
      <c r="G20" s="6">
        <v>372.06</v>
      </c>
      <c r="H20" s="6"/>
      <c r="I20" s="6"/>
      <c r="J20" s="6"/>
      <c r="K20" s="6">
        <v>372.06</v>
      </c>
      <c r="L20" s="6">
        <v>78.13</v>
      </c>
      <c r="M20" s="6"/>
      <c r="N20" s="6"/>
      <c r="O20" s="6">
        <v>78.13</v>
      </c>
      <c r="P20" s="6"/>
      <c r="Q20" s="6"/>
      <c r="R20" s="6">
        <v>450.19</v>
      </c>
      <c r="S20" s="4" t="s">
        <v>35</v>
      </c>
      <c r="T20" s="6"/>
      <c r="U20" s="6">
        <v>450.19</v>
      </c>
      <c r="V20" s="5">
        <v>45695</v>
      </c>
      <c r="W20" t="str">
        <f t="shared" ca="1" si="0"/>
        <v>VENCIDA</v>
      </c>
    </row>
    <row r="21" spans="1:23" ht="48" hidden="1" x14ac:dyDescent="0.25">
      <c r="A21" s="4">
        <v>2500019</v>
      </c>
      <c r="B21" s="5">
        <v>45659</v>
      </c>
      <c r="C21" s="4">
        <v>1201140999</v>
      </c>
      <c r="D21" s="4" t="s">
        <v>32</v>
      </c>
      <c r="E21" s="4" t="s">
        <v>33</v>
      </c>
      <c r="F21" s="4" t="s">
        <v>34</v>
      </c>
      <c r="G21" s="6">
        <v>4362.76</v>
      </c>
      <c r="H21" s="6"/>
      <c r="I21" s="6"/>
      <c r="J21" s="6"/>
      <c r="K21" s="6">
        <v>4362.76</v>
      </c>
      <c r="L21" s="6">
        <v>916.18</v>
      </c>
      <c r="M21" s="6"/>
      <c r="N21" s="6"/>
      <c r="O21" s="6">
        <v>916.18</v>
      </c>
      <c r="P21" s="6"/>
      <c r="Q21" s="6"/>
      <c r="R21" s="6">
        <v>5278.94</v>
      </c>
      <c r="S21" s="4" t="s">
        <v>31</v>
      </c>
      <c r="T21" s="6"/>
      <c r="U21" s="6">
        <v>5278.94</v>
      </c>
      <c r="V21" s="5">
        <v>45749</v>
      </c>
      <c r="W21" t="str">
        <f t="shared" ca="1" si="0"/>
        <v/>
      </c>
    </row>
    <row r="22" spans="1:23" ht="36" x14ac:dyDescent="0.25">
      <c r="A22" s="7">
        <v>2500020</v>
      </c>
      <c r="B22" s="8">
        <v>45660</v>
      </c>
      <c r="C22" s="7">
        <v>1201141612</v>
      </c>
      <c r="D22" s="7" t="s">
        <v>32</v>
      </c>
      <c r="E22" s="7" t="s">
        <v>33</v>
      </c>
      <c r="F22" s="7" t="s">
        <v>34</v>
      </c>
      <c r="G22" s="9">
        <v>1161.0899999999999</v>
      </c>
      <c r="H22" s="9"/>
      <c r="I22" s="9"/>
      <c r="J22" s="9"/>
      <c r="K22" s="9">
        <v>1161.0899999999999</v>
      </c>
      <c r="L22" s="9">
        <v>243.83</v>
      </c>
      <c r="M22" s="9"/>
      <c r="N22" s="9"/>
      <c r="O22" s="9">
        <v>243.83</v>
      </c>
      <c r="P22" s="9"/>
      <c r="Q22" s="9"/>
      <c r="R22" s="9">
        <v>1404.92</v>
      </c>
      <c r="S22" s="7" t="s">
        <v>35</v>
      </c>
      <c r="T22" s="9"/>
      <c r="U22" s="9">
        <v>1404.92</v>
      </c>
      <c r="V22" s="5">
        <v>45691</v>
      </c>
      <c r="W22" t="str">
        <f t="shared" ca="1" si="0"/>
        <v>VENCIDA</v>
      </c>
    </row>
    <row r="23" spans="1:23" ht="36" x14ac:dyDescent="0.25">
      <c r="A23" s="4">
        <v>2500021</v>
      </c>
      <c r="B23" s="5">
        <v>45664</v>
      </c>
      <c r="C23" s="4">
        <v>2250010</v>
      </c>
      <c r="D23" s="4" t="s">
        <v>39</v>
      </c>
      <c r="E23" s="4" t="s">
        <v>40</v>
      </c>
      <c r="F23" s="4" t="s">
        <v>41</v>
      </c>
      <c r="G23" s="6">
        <v>200</v>
      </c>
      <c r="H23" s="6"/>
      <c r="I23" s="6"/>
      <c r="J23" s="6"/>
      <c r="K23" s="6">
        <v>200</v>
      </c>
      <c r="L23" s="6">
        <v>42</v>
      </c>
      <c r="M23" s="6"/>
      <c r="N23" s="6"/>
      <c r="O23" s="6">
        <v>42</v>
      </c>
      <c r="P23" s="6"/>
      <c r="Q23" s="6"/>
      <c r="R23" s="6">
        <v>242</v>
      </c>
      <c r="S23" s="4" t="s">
        <v>42</v>
      </c>
      <c r="T23" s="6">
        <v>242</v>
      </c>
      <c r="U23" s="6"/>
      <c r="V23" s="10">
        <v>45666</v>
      </c>
      <c r="W23" t="str">
        <f t="shared" ca="1" si="0"/>
        <v>VENCIDA</v>
      </c>
    </row>
    <row r="24" spans="1:23" ht="36" x14ac:dyDescent="0.25">
      <c r="A24" s="7">
        <v>2500022</v>
      </c>
      <c r="B24" s="8">
        <v>45664</v>
      </c>
      <c r="C24" s="7">
        <v>2250009</v>
      </c>
      <c r="D24" s="7" t="s">
        <v>39</v>
      </c>
      <c r="E24" s="7" t="s">
        <v>40</v>
      </c>
      <c r="F24" s="7" t="s">
        <v>41</v>
      </c>
      <c r="G24" s="9">
        <v>90</v>
      </c>
      <c r="H24" s="9"/>
      <c r="I24" s="9"/>
      <c r="J24" s="9"/>
      <c r="K24" s="9">
        <v>90</v>
      </c>
      <c r="L24" s="9">
        <v>18.899999999999999</v>
      </c>
      <c r="M24" s="9"/>
      <c r="N24" s="9"/>
      <c r="O24" s="9">
        <v>18.899999999999999</v>
      </c>
      <c r="P24" s="9"/>
      <c r="Q24" s="9"/>
      <c r="R24" s="9">
        <v>108.9</v>
      </c>
      <c r="S24" s="7" t="s">
        <v>42</v>
      </c>
      <c r="T24" s="9">
        <v>108.9</v>
      </c>
      <c r="U24" s="9"/>
      <c r="V24" s="10">
        <v>45666</v>
      </c>
      <c r="W24" t="str">
        <f t="shared" ca="1" si="0"/>
        <v>VENCIDA</v>
      </c>
    </row>
    <row r="25" spans="1:23" ht="36" x14ac:dyDescent="0.25">
      <c r="A25" s="4">
        <v>2500023</v>
      </c>
      <c r="B25" s="5">
        <v>45663</v>
      </c>
      <c r="C25" s="4" t="s">
        <v>43</v>
      </c>
      <c r="D25" s="4" t="s">
        <v>44</v>
      </c>
      <c r="E25" s="4" t="s">
        <v>45</v>
      </c>
      <c r="F25" s="4" t="s">
        <v>46</v>
      </c>
      <c r="G25" s="6">
        <v>809.28</v>
      </c>
      <c r="H25" s="6"/>
      <c r="I25" s="6"/>
      <c r="J25" s="6"/>
      <c r="K25" s="6">
        <v>809.28</v>
      </c>
      <c r="L25" s="6">
        <v>169.95</v>
      </c>
      <c r="M25" s="6"/>
      <c r="N25" s="6"/>
      <c r="O25" s="6">
        <v>169.95</v>
      </c>
      <c r="P25" s="6"/>
      <c r="Q25" s="6"/>
      <c r="R25" s="6">
        <v>979.23</v>
      </c>
      <c r="S25" s="4" t="s">
        <v>42</v>
      </c>
      <c r="T25" s="6">
        <v>979.23</v>
      </c>
      <c r="U25" s="6"/>
      <c r="V25" s="10">
        <v>45670</v>
      </c>
      <c r="W25" t="str">
        <f t="shared" ca="1" si="0"/>
        <v>VENCIDA</v>
      </c>
    </row>
    <row r="26" spans="1:23" ht="60" x14ac:dyDescent="0.25">
      <c r="A26" s="4">
        <v>2500024</v>
      </c>
      <c r="B26" s="5">
        <v>45659</v>
      </c>
      <c r="C26" s="4" t="s">
        <v>47</v>
      </c>
      <c r="D26" s="4" t="s">
        <v>48</v>
      </c>
      <c r="E26" s="4" t="s">
        <v>49</v>
      </c>
      <c r="F26" s="4" t="s">
        <v>50</v>
      </c>
      <c r="G26" s="6">
        <v>1990</v>
      </c>
      <c r="H26" s="6"/>
      <c r="I26" s="6"/>
      <c r="J26" s="6"/>
      <c r="K26" s="6">
        <v>1990</v>
      </c>
      <c r="L26" s="6">
        <v>417.9</v>
      </c>
      <c r="M26" s="6"/>
      <c r="N26" s="6"/>
      <c r="O26" s="6">
        <v>417.9</v>
      </c>
      <c r="P26" s="6"/>
      <c r="Q26" s="6"/>
      <c r="R26" s="6">
        <v>2407.9</v>
      </c>
      <c r="S26" s="4" t="s">
        <v>35</v>
      </c>
      <c r="T26" s="6">
        <v>2407.9</v>
      </c>
      <c r="U26" s="6"/>
      <c r="V26" s="10">
        <v>45659</v>
      </c>
      <c r="W26" t="str">
        <f t="shared" ca="1" si="0"/>
        <v>VENCIDA</v>
      </c>
    </row>
    <row r="27" spans="1:23" ht="48" x14ac:dyDescent="0.25">
      <c r="A27" s="4">
        <v>2500025</v>
      </c>
      <c r="B27" s="5">
        <v>45658</v>
      </c>
      <c r="C27" s="4" t="s">
        <v>51</v>
      </c>
      <c r="D27" s="4" t="s">
        <v>52</v>
      </c>
      <c r="E27" s="4" t="s">
        <v>53</v>
      </c>
      <c r="F27" s="4" t="s">
        <v>54</v>
      </c>
      <c r="G27" s="6">
        <v>1800</v>
      </c>
      <c r="H27" s="6"/>
      <c r="I27" s="6"/>
      <c r="J27" s="6"/>
      <c r="K27" s="6">
        <v>1800</v>
      </c>
      <c r="L27" s="6">
        <v>378</v>
      </c>
      <c r="M27" s="6"/>
      <c r="N27" s="6"/>
      <c r="O27" s="6">
        <v>378</v>
      </c>
      <c r="P27" s="6">
        <v>342</v>
      </c>
      <c r="Q27" s="6">
        <v>19</v>
      </c>
      <c r="R27" s="6">
        <v>1836</v>
      </c>
      <c r="S27" s="4" t="s">
        <v>55</v>
      </c>
      <c r="T27" s="6">
        <v>1836</v>
      </c>
      <c r="U27" s="6"/>
      <c r="V27" s="10">
        <v>45660</v>
      </c>
      <c r="W27" t="str">
        <f t="shared" ca="1" si="0"/>
        <v>VENCIDA</v>
      </c>
    </row>
    <row r="28" spans="1:23" ht="48" x14ac:dyDescent="0.25">
      <c r="A28" s="7">
        <v>2500026</v>
      </c>
      <c r="B28" s="8">
        <v>45658</v>
      </c>
      <c r="C28" s="7" t="s">
        <v>56</v>
      </c>
      <c r="D28" s="7" t="s">
        <v>52</v>
      </c>
      <c r="E28" s="7" t="s">
        <v>53</v>
      </c>
      <c r="F28" s="7" t="s">
        <v>54</v>
      </c>
      <c r="G28" s="9">
        <v>1800</v>
      </c>
      <c r="H28" s="9"/>
      <c r="I28" s="9"/>
      <c r="J28" s="9"/>
      <c r="K28" s="9">
        <v>1800</v>
      </c>
      <c r="L28" s="9">
        <v>378</v>
      </c>
      <c r="M28" s="9"/>
      <c r="N28" s="9"/>
      <c r="O28" s="9">
        <v>378</v>
      </c>
      <c r="P28" s="9">
        <v>342</v>
      </c>
      <c r="Q28" s="9">
        <v>19</v>
      </c>
      <c r="R28" s="9">
        <v>1836</v>
      </c>
      <c r="S28" s="7" t="s">
        <v>55</v>
      </c>
      <c r="T28" s="9">
        <v>1836</v>
      </c>
      <c r="U28" s="9"/>
      <c r="V28" s="10">
        <v>45660</v>
      </c>
      <c r="W28" t="str">
        <f t="shared" ca="1" si="0"/>
        <v>VENCIDA</v>
      </c>
    </row>
    <row r="29" spans="1:23" ht="60" x14ac:dyDescent="0.25">
      <c r="A29" s="4">
        <v>2500027</v>
      </c>
      <c r="B29" s="5">
        <v>45658</v>
      </c>
      <c r="C29" s="4" t="s">
        <v>57</v>
      </c>
      <c r="D29" s="4" t="s">
        <v>58</v>
      </c>
      <c r="E29" s="4" t="s">
        <v>59</v>
      </c>
      <c r="F29" s="4" t="s">
        <v>60</v>
      </c>
      <c r="G29" s="6">
        <v>210</v>
      </c>
      <c r="H29" s="6"/>
      <c r="I29" s="6"/>
      <c r="J29" s="6"/>
      <c r="K29" s="6">
        <v>210</v>
      </c>
      <c r="L29" s="6">
        <v>44.1</v>
      </c>
      <c r="M29" s="6"/>
      <c r="N29" s="6"/>
      <c r="O29" s="6">
        <v>44.1</v>
      </c>
      <c r="P29" s="6"/>
      <c r="Q29" s="6"/>
      <c r="R29" s="6">
        <v>254.1</v>
      </c>
      <c r="S29" s="4" t="s">
        <v>42</v>
      </c>
      <c r="T29" s="6">
        <v>254.1</v>
      </c>
      <c r="U29" s="6"/>
      <c r="V29" s="10">
        <v>45658</v>
      </c>
      <c r="W29" t="str">
        <f t="shared" ca="1" si="0"/>
        <v>VENCIDA</v>
      </c>
    </row>
    <row r="30" spans="1:23" ht="24" x14ac:dyDescent="0.25">
      <c r="A30" s="4">
        <v>2500028</v>
      </c>
      <c r="B30" s="5">
        <v>45664</v>
      </c>
      <c r="C30" s="4">
        <v>1901316828</v>
      </c>
      <c r="D30" s="4" t="s">
        <v>61</v>
      </c>
      <c r="E30" s="4" t="s">
        <v>62</v>
      </c>
      <c r="F30" s="4" t="s">
        <v>25</v>
      </c>
      <c r="G30" s="6">
        <v>40.98</v>
      </c>
      <c r="H30" s="6"/>
      <c r="I30" s="6"/>
      <c r="J30" s="6">
        <v>-0.01</v>
      </c>
      <c r="K30" s="6">
        <v>40.97</v>
      </c>
      <c r="L30" s="6">
        <v>8.61</v>
      </c>
      <c r="M30" s="6"/>
      <c r="N30" s="6"/>
      <c r="O30" s="6">
        <v>8.61</v>
      </c>
      <c r="P30" s="6"/>
      <c r="Q30" s="6"/>
      <c r="R30" s="6">
        <v>49.58</v>
      </c>
      <c r="S30" s="4" t="s">
        <v>26</v>
      </c>
      <c r="T30" s="6">
        <v>49.58</v>
      </c>
      <c r="U30" s="6"/>
      <c r="V30" s="10">
        <v>45664</v>
      </c>
      <c r="W30" t="str">
        <f t="shared" ca="1" si="0"/>
        <v>VENCIDA</v>
      </c>
    </row>
    <row r="31" spans="1:23" ht="60" x14ac:dyDescent="0.25">
      <c r="A31" s="7">
        <v>2500029</v>
      </c>
      <c r="B31" s="8">
        <v>45658</v>
      </c>
      <c r="C31" s="7" t="s">
        <v>63</v>
      </c>
      <c r="D31" s="7" t="s">
        <v>58</v>
      </c>
      <c r="E31" s="7" t="s">
        <v>59</v>
      </c>
      <c r="F31" s="7" t="s">
        <v>60</v>
      </c>
      <c r="G31" s="9">
        <v>600</v>
      </c>
      <c r="H31" s="9"/>
      <c r="I31" s="9"/>
      <c r="J31" s="9"/>
      <c r="K31" s="9">
        <v>600</v>
      </c>
      <c r="L31" s="9">
        <v>126</v>
      </c>
      <c r="M31" s="9"/>
      <c r="N31" s="9"/>
      <c r="O31" s="9">
        <v>126</v>
      </c>
      <c r="P31" s="9"/>
      <c r="Q31" s="9"/>
      <c r="R31" s="9">
        <v>726</v>
      </c>
      <c r="S31" s="7" t="s">
        <v>42</v>
      </c>
      <c r="T31" s="9">
        <v>726</v>
      </c>
      <c r="U31" s="9"/>
      <c r="V31" s="10">
        <v>45658</v>
      </c>
      <c r="W31" t="str">
        <f t="shared" ca="1" si="0"/>
        <v>VENCIDA</v>
      </c>
    </row>
    <row r="32" spans="1:23" ht="48" x14ac:dyDescent="0.25">
      <c r="A32" s="7">
        <v>2500030</v>
      </c>
      <c r="B32" s="8">
        <v>45665</v>
      </c>
      <c r="C32" s="7">
        <v>450071</v>
      </c>
      <c r="D32" s="7" t="s">
        <v>23</v>
      </c>
      <c r="E32" s="7" t="s">
        <v>24</v>
      </c>
      <c r="F32" s="7" t="s">
        <v>25</v>
      </c>
      <c r="G32" s="9">
        <v>36.39</v>
      </c>
      <c r="H32" s="9"/>
      <c r="I32" s="9"/>
      <c r="J32" s="9"/>
      <c r="K32" s="9">
        <v>36.39</v>
      </c>
      <c r="L32" s="9">
        <v>7.64</v>
      </c>
      <c r="M32" s="9"/>
      <c r="N32" s="9"/>
      <c r="O32" s="9">
        <v>7.64</v>
      </c>
      <c r="P32" s="9"/>
      <c r="Q32" s="9"/>
      <c r="R32" s="9">
        <v>44.03</v>
      </c>
      <c r="S32" s="7" t="s">
        <v>26</v>
      </c>
      <c r="T32" s="9">
        <v>44.03</v>
      </c>
      <c r="U32" s="9"/>
      <c r="V32" s="10">
        <v>45665</v>
      </c>
      <c r="W32" t="str">
        <f t="shared" ca="1" si="0"/>
        <v>VENCIDA</v>
      </c>
    </row>
    <row r="33" spans="1:23" ht="48" x14ac:dyDescent="0.25">
      <c r="A33" s="4">
        <v>2500031</v>
      </c>
      <c r="B33" s="5">
        <v>45665</v>
      </c>
      <c r="C33" s="4">
        <v>450072</v>
      </c>
      <c r="D33" s="4" t="s">
        <v>23</v>
      </c>
      <c r="E33" s="4" t="s">
        <v>24</v>
      </c>
      <c r="F33" s="4" t="s">
        <v>25</v>
      </c>
      <c r="G33" s="6">
        <v>36.11</v>
      </c>
      <c r="H33" s="6"/>
      <c r="I33" s="6"/>
      <c r="J33" s="6"/>
      <c r="K33" s="6">
        <v>36.11</v>
      </c>
      <c r="L33" s="6">
        <v>7.58</v>
      </c>
      <c r="M33" s="6"/>
      <c r="N33" s="6"/>
      <c r="O33" s="6">
        <v>7.58</v>
      </c>
      <c r="P33" s="6"/>
      <c r="Q33" s="6"/>
      <c r="R33" s="6">
        <v>43.69</v>
      </c>
      <c r="S33" s="4" t="s">
        <v>26</v>
      </c>
      <c r="T33" s="6">
        <v>43.69</v>
      </c>
      <c r="U33" s="6"/>
      <c r="V33" s="10">
        <v>45665</v>
      </c>
      <c r="W33" t="str">
        <f t="shared" ca="1" si="0"/>
        <v>VENCIDA</v>
      </c>
    </row>
    <row r="34" spans="1:23" ht="48" x14ac:dyDescent="0.25">
      <c r="A34" s="7">
        <v>2500032</v>
      </c>
      <c r="B34" s="8">
        <v>45665</v>
      </c>
      <c r="C34" s="7">
        <v>587151</v>
      </c>
      <c r="D34" s="7" t="s">
        <v>23</v>
      </c>
      <c r="E34" s="7" t="s">
        <v>24</v>
      </c>
      <c r="F34" s="7" t="s">
        <v>25</v>
      </c>
      <c r="G34" s="9">
        <v>28.5</v>
      </c>
      <c r="H34" s="9"/>
      <c r="I34" s="9"/>
      <c r="J34" s="9"/>
      <c r="K34" s="9">
        <v>28.5</v>
      </c>
      <c r="L34" s="9">
        <v>5.99</v>
      </c>
      <c r="M34" s="9"/>
      <c r="N34" s="9"/>
      <c r="O34" s="9">
        <v>5.99</v>
      </c>
      <c r="P34" s="9"/>
      <c r="Q34" s="9"/>
      <c r="R34" s="9">
        <v>34.49</v>
      </c>
      <c r="S34" s="7" t="s">
        <v>26</v>
      </c>
      <c r="T34" s="9">
        <v>34.49</v>
      </c>
      <c r="U34" s="9"/>
      <c r="V34" s="10">
        <v>45665</v>
      </c>
      <c r="W34" t="str">
        <f t="shared" ca="1" si="0"/>
        <v>VENCIDA</v>
      </c>
    </row>
    <row r="35" spans="1:23" ht="48" x14ac:dyDescent="0.25">
      <c r="A35" s="4">
        <v>2500033</v>
      </c>
      <c r="B35" s="5">
        <v>45665</v>
      </c>
      <c r="C35" s="4">
        <v>450070</v>
      </c>
      <c r="D35" s="4" t="s">
        <v>23</v>
      </c>
      <c r="E35" s="4" t="s">
        <v>24</v>
      </c>
      <c r="F35" s="4" t="s">
        <v>25</v>
      </c>
      <c r="G35" s="6">
        <v>71.52</v>
      </c>
      <c r="H35" s="6"/>
      <c r="I35" s="6"/>
      <c r="J35" s="6"/>
      <c r="K35" s="6">
        <v>71.52</v>
      </c>
      <c r="L35" s="6">
        <v>15.02</v>
      </c>
      <c r="M35" s="6"/>
      <c r="N35" s="6"/>
      <c r="O35" s="6">
        <v>15.02</v>
      </c>
      <c r="P35" s="6"/>
      <c r="Q35" s="6"/>
      <c r="R35" s="6">
        <v>86.54</v>
      </c>
      <c r="S35" s="4" t="s">
        <v>26</v>
      </c>
      <c r="T35" s="6">
        <v>86.54</v>
      </c>
      <c r="U35" s="6"/>
      <c r="V35" s="10">
        <v>45665</v>
      </c>
      <c r="W35" t="str">
        <f t="shared" ca="1" si="0"/>
        <v>VENCIDA</v>
      </c>
    </row>
    <row r="36" spans="1:23" ht="48" x14ac:dyDescent="0.25">
      <c r="A36" s="7">
        <v>2500034</v>
      </c>
      <c r="B36" s="8">
        <v>45658</v>
      </c>
      <c r="C36" s="7" t="s">
        <v>64</v>
      </c>
      <c r="D36" s="7" t="s">
        <v>65</v>
      </c>
      <c r="E36" s="7" t="s">
        <v>66</v>
      </c>
      <c r="F36" s="7" t="s">
        <v>67</v>
      </c>
      <c r="G36" s="9">
        <v>476.69</v>
      </c>
      <c r="H36" s="9"/>
      <c r="I36" s="9"/>
      <c r="J36" s="9"/>
      <c r="K36" s="9">
        <v>476.69</v>
      </c>
      <c r="L36" s="9">
        <v>100.1</v>
      </c>
      <c r="M36" s="9"/>
      <c r="N36" s="9"/>
      <c r="O36" s="9">
        <v>100.1</v>
      </c>
      <c r="P36" s="9"/>
      <c r="Q36" s="9"/>
      <c r="R36" s="9">
        <v>576.79</v>
      </c>
      <c r="S36" s="7" t="s">
        <v>42</v>
      </c>
      <c r="T36" s="9">
        <v>576.79</v>
      </c>
      <c r="U36" s="9"/>
      <c r="V36" s="10">
        <v>45659</v>
      </c>
      <c r="W36" t="str">
        <f t="shared" ca="1" si="0"/>
        <v>VENCIDA</v>
      </c>
    </row>
    <row r="37" spans="1:23" ht="60" x14ac:dyDescent="0.25">
      <c r="A37" s="4">
        <v>2500035</v>
      </c>
      <c r="B37" s="5">
        <v>45667</v>
      </c>
      <c r="C37" s="4">
        <v>205</v>
      </c>
      <c r="D37" s="4" t="s">
        <v>68</v>
      </c>
      <c r="E37" s="4" t="s">
        <v>69</v>
      </c>
      <c r="F37" s="4" t="s">
        <v>25</v>
      </c>
      <c r="G37" s="6">
        <v>16.53</v>
      </c>
      <c r="H37" s="6"/>
      <c r="I37" s="6"/>
      <c r="J37" s="6"/>
      <c r="K37" s="6">
        <v>16.53</v>
      </c>
      <c r="L37" s="6">
        <v>3.47</v>
      </c>
      <c r="M37" s="6"/>
      <c r="N37" s="6"/>
      <c r="O37" s="6">
        <v>3.47</v>
      </c>
      <c r="P37" s="6"/>
      <c r="Q37" s="6"/>
      <c r="R37" s="6">
        <v>20</v>
      </c>
      <c r="S37" s="4" t="s">
        <v>70</v>
      </c>
      <c r="T37" s="6">
        <v>20</v>
      </c>
      <c r="U37" s="6"/>
      <c r="V37" s="10">
        <v>45667</v>
      </c>
      <c r="W37" t="str">
        <f t="shared" ca="1" si="0"/>
        <v>VENCIDA</v>
      </c>
    </row>
    <row r="38" spans="1:23" ht="24" x14ac:dyDescent="0.25">
      <c r="A38" s="4">
        <v>2500036</v>
      </c>
      <c r="B38" s="5">
        <v>45670</v>
      </c>
      <c r="C38" s="4">
        <v>1902038625</v>
      </c>
      <c r="D38" s="4" t="s">
        <v>61</v>
      </c>
      <c r="E38" s="4" t="s">
        <v>62</v>
      </c>
      <c r="F38" s="4" t="s">
        <v>25</v>
      </c>
      <c r="G38" s="6">
        <v>61.53</v>
      </c>
      <c r="H38" s="6"/>
      <c r="I38" s="6"/>
      <c r="J38" s="6"/>
      <c r="K38" s="6">
        <v>61.53</v>
      </c>
      <c r="L38" s="6">
        <v>12.92</v>
      </c>
      <c r="M38" s="6"/>
      <c r="N38" s="6"/>
      <c r="O38" s="6">
        <v>12.92</v>
      </c>
      <c r="P38" s="6"/>
      <c r="Q38" s="6"/>
      <c r="R38" s="6">
        <v>74.45</v>
      </c>
      <c r="S38" s="4" t="s">
        <v>26</v>
      </c>
      <c r="T38" s="6">
        <v>74.45</v>
      </c>
      <c r="U38" s="6"/>
      <c r="V38" s="10">
        <v>45670</v>
      </c>
      <c r="W38" t="str">
        <f t="shared" ca="1" si="0"/>
        <v>VENCIDA</v>
      </c>
    </row>
    <row r="39" spans="1:23" ht="48" x14ac:dyDescent="0.25">
      <c r="A39" s="4">
        <v>2500037</v>
      </c>
      <c r="B39" s="5">
        <v>45667</v>
      </c>
      <c r="C39" s="4">
        <v>274</v>
      </c>
      <c r="D39" s="4" t="s">
        <v>71</v>
      </c>
      <c r="E39" s="4" t="s">
        <v>72</v>
      </c>
      <c r="F39" s="4" t="s">
        <v>73</v>
      </c>
      <c r="G39" s="6">
        <v>4.92</v>
      </c>
      <c r="H39" s="6"/>
      <c r="I39" s="6"/>
      <c r="J39" s="6"/>
      <c r="K39" s="6">
        <v>4.92</v>
      </c>
      <c r="L39" s="6">
        <v>1.03</v>
      </c>
      <c r="M39" s="6"/>
      <c r="N39" s="6"/>
      <c r="O39" s="6">
        <v>1.03</v>
      </c>
      <c r="P39" s="6"/>
      <c r="Q39" s="6"/>
      <c r="R39" s="6">
        <v>5.95</v>
      </c>
      <c r="S39" s="4" t="s">
        <v>70</v>
      </c>
      <c r="T39" s="6">
        <v>5.95</v>
      </c>
      <c r="U39" s="6"/>
      <c r="V39" s="10">
        <v>45667</v>
      </c>
      <c r="W39" t="str">
        <f t="shared" ca="1" si="0"/>
        <v>VENCIDA</v>
      </c>
    </row>
    <row r="40" spans="1:23" ht="72" x14ac:dyDescent="0.25">
      <c r="A40" s="7">
        <v>2500038</v>
      </c>
      <c r="B40" s="8">
        <v>45688</v>
      </c>
      <c r="C40" s="7" t="s">
        <v>74</v>
      </c>
      <c r="D40" s="7" t="s">
        <v>75</v>
      </c>
      <c r="E40" s="7" t="s">
        <v>76</v>
      </c>
      <c r="F40" s="7" t="s">
        <v>73</v>
      </c>
      <c r="G40" s="9">
        <v>337.5</v>
      </c>
      <c r="H40" s="9"/>
      <c r="I40" s="9"/>
      <c r="J40" s="9"/>
      <c r="K40" s="9">
        <v>337.5</v>
      </c>
      <c r="L40" s="9">
        <v>70.88</v>
      </c>
      <c r="M40" s="9"/>
      <c r="N40" s="9"/>
      <c r="O40" s="9">
        <v>70.88</v>
      </c>
      <c r="P40" s="9"/>
      <c r="Q40" s="9"/>
      <c r="R40" s="9">
        <v>408.38</v>
      </c>
      <c r="S40" s="7" t="s">
        <v>70</v>
      </c>
      <c r="T40" s="9">
        <v>408.38</v>
      </c>
      <c r="U40" s="9"/>
      <c r="V40" s="10">
        <v>45688</v>
      </c>
      <c r="W40" t="str">
        <f t="shared" ca="1" si="0"/>
        <v>VENCIDA</v>
      </c>
    </row>
    <row r="41" spans="1:23" ht="24" x14ac:dyDescent="0.25">
      <c r="A41" s="7">
        <v>2500039</v>
      </c>
      <c r="B41" s="8">
        <v>45664</v>
      </c>
      <c r="C41" s="7">
        <v>1901316841</v>
      </c>
      <c r="D41" s="7" t="s">
        <v>61</v>
      </c>
      <c r="E41" s="7" t="s">
        <v>62</v>
      </c>
      <c r="F41" s="7" t="s">
        <v>25</v>
      </c>
      <c r="G41" s="9">
        <v>41.32</v>
      </c>
      <c r="H41" s="9"/>
      <c r="I41" s="9"/>
      <c r="J41" s="9"/>
      <c r="K41" s="9">
        <v>41.32</v>
      </c>
      <c r="L41" s="9">
        <v>8.68</v>
      </c>
      <c r="M41" s="9"/>
      <c r="N41" s="9"/>
      <c r="O41" s="9">
        <v>8.68</v>
      </c>
      <c r="P41" s="9"/>
      <c r="Q41" s="9"/>
      <c r="R41" s="9">
        <v>50</v>
      </c>
      <c r="S41" s="7" t="s">
        <v>26</v>
      </c>
      <c r="T41" s="9">
        <v>50</v>
      </c>
      <c r="U41" s="9"/>
      <c r="V41" s="10">
        <v>45664</v>
      </c>
      <c r="W41" t="str">
        <f t="shared" ca="1" si="0"/>
        <v>VENCIDA</v>
      </c>
    </row>
    <row r="42" spans="1:23" ht="24" x14ac:dyDescent="0.25">
      <c r="A42" s="4">
        <v>2500040</v>
      </c>
      <c r="B42" s="5">
        <v>45671</v>
      </c>
      <c r="C42" s="4">
        <v>1902038667</v>
      </c>
      <c r="D42" s="4" t="s">
        <v>61</v>
      </c>
      <c r="E42" s="4" t="s">
        <v>62</v>
      </c>
      <c r="F42" s="4" t="s">
        <v>25</v>
      </c>
      <c r="G42" s="6">
        <v>15.24</v>
      </c>
      <c r="H42" s="6"/>
      <c r="I42" s="6"/>
      <c r="J42" s="6"/>
      <c r="K42" s="6">
        <v>15.24</v>
      </c>
      <c r="L42" s="6">
        <v>3.2</v>
      </c>
      <c r="M42" s="6"/>
      <c r="N42" s="6"/>
      <c r="O42" s="6">
        <v>3.2</v>
      </c>
      <c r="P42" s="6"/>
      <c r="Q42" s="6"/>
      <c r="R42" s="6">
        <v>18.440000000000001</v>
      </c>
      <c r="S42" s="4" t="s">
        <v>26</v>
      </c>
      <c r="T42" s="6">
        <v>18.440000000000001</v>
      </c>
      <c r="U42" s="6"/>
      <c r="V42" s="10">
        <v>45671</v>
      </c>
      <c r="W42" t="str">
        <f t="shared" ca="1" si="0"/>
        <v>VENCIDA</v>
      </c>
    </row>
    <row r="43" spans="1:23" ht="48" x14ac:dyDescent="0.25">
      <c r="A43" s="7">
        <v>2500041</v>
      </c>
      <c r="B43" s="8">
        <v>45671</v>
      </c>
      <c r="C43" s="7">
        <v>451590</v>
      </c>
      <c r="D43" s="7" t="s">
        <v>23</v>
      </c>
      <c r="E43" s="7" t="s">
        <v>24</v>
      </c>
      <c r="F43" s="7" t="s">
        <v>25</v>
      </c>
      <c r="G43" s="9">
        <v>49.49</v>
      </c>
      <c r="H43" s="9"/>
      <c r="I43" s="9"/>
      <c r="J43" s="9"/>
      <c r="K43" s="9">
        <v>49.49</v>
      </c>
      <c r="L43" s="9">
        <v>10.39</v>
      </c>
      <c r="M43" s="9"/>
      <c r="N43" s="9"/>
      <c r="O43" s="9">
        <v>10.39</v>
      </c>
      <c r="P43" s="9"/>
      <c r="Q43" s="9"/>
      <c r="R43" s="9">
        <v>59.88</v>
      </c>
      <c r="S43" s="7" t="s">
        <v>26</v>
      </c>
      <c r="T43" s="9">
        <v>59.88</v>
      </c>
      <c r="U43" s="9"/>
      <c r="V43" s="10">
        <v>45671</v>
      </c>
      <c r="W43" t="str">
        <f t="shared" ca="1" si="0"/>
        <v>VENCIDA</v>
      </c>
    </row>
    <row r="44" spans="1:23" ht="48" x14ac:dyDescent="0.25">
      <c r="A44" s="4">
        <v>2500042</v>
      </c>
      <c r="B44" s="5">
        <v>45671</v>
      </c>
      <c r="C44" s="4">
        <v>739260</v>
      </c>
      <c r="D44" s="4" t="s">
        <v>23</v>
      </c>
      <c r="E44" s="4" t="s">
        <v>24</v>
      </c>
      <c r="F44" s="4" t="s">
        <v>25</v>
      </c>
      <c r="G44" s="6">
        <v>17.36</v>
      </c>
      <c r="H44" s="6"/>
      <c r="I44" s="6"/>
      <c r="J44" s="6">
        <v>-0.01</v>
      </c>
      <c r="K44" s="6">
        <v>17.350000000000001</v>
      </c>
      <c r="L44" s="6">
        <v>3.65</v>
      </c>
      <c r="M44" s="6"/>
      <c r="N44" s="6"/>
      <c r="O44" s="6">
        <v>3.65</v>
      </c>
      <c r="P44" s="6"/>
      <c r="Q44" s="6"/>
      <c r="R44" s="6">
        <v>21</v>
      </c>
      <c r="S44" s="4" t="s">
        <v>26</v>
      </c>
      <c r="T44" s="6">
        <v>21</v>
      </c>
      <c r="U44" s="6"/>
      <c r="V44" s="10">
        <v>45671</v>
      </c>
      <c r="W44" t="str">
        <f t="shared" ca="1" si="0"/>
        <v>VENCIDA</v>
      </c>
    </row>
    <row r="45" spans="1:23" ht="48" x14ac:dyDescent="0.25">
      <c r="A45" s="7">
        <v>2500043</v>
      </c>
      <c r="B45" s="8">
        <v>45671</v>
      </c>
      <c r="C45" s="7">
        <v>451586</v>
      </c>
      <c r="D45" s="7" t="s">
        <v>23</v>
      </c>
      <c r="E45" s="7" t="s">
        <v>24</v>
      </c>
      <c r="F45" s="7" t="s">
        <v>25</v>
      </c>
      <c r="G45" s="9">
        <v>39.32</v>
      </c>
      <c r="H45" s="9"/>
      <c r="I45" s="9"/>
      <c r="J45" s="9"/>
      <c r="K45" s="9">
        <v>39.32</v>
      </c>
      <c r="L45" s="9">
        <v>8.26</v>
      </c>
      <c r="M45" s="9"/>
      <c r="N45" s="9"/>
      <c r="O45" s="9">
        <v>8.26</v>
      </c>
      <c r="P45" s="9"/>
      <c r="Q45" s="9"/>
      <c r="R45" s="9">
        <v>47.58</v>
      </c>
      <c r="S45" s="7" t="s">
        <v>26</v>
      </c>
      <c r="T45" s="9">
        <v>47.58</v>
      </c>
      <c r="U45" s="9"/>
      <c r="V45" s="10">
        <v>45671</v>
      </c>
      <c r="W45" t="str">
        <f t="shared" ca="1" si="0"/>
        <v>VENCIDA</v>
      </c>
    </row>
    <row r="46" spans="1:23" ht="48" x14ac:dyDescent="0.25">
      <c r="A46" s="4">
        <v>2500044</v>
      </c>
      <c r="B46" s="5">
        <v>45671</v>
      </c>
      <c r="C46" s="4">
        <v>588237</v>
      </c>
      <c r="D46" s="4" t="s">
        <v>23</v>
      </c>
      <c r="E46" s="4" t="s">
        <v>24</v>
      </c>
      <c r="F46" s="4" t="s">
        <v>25</v>
      </c>
      <c r="G46" s="6">
        <v>28.6</v>
      </c>
      <c r="H46" s="6"/>
      <c r="I46" s="6"/>
      <c r="J46" s="6">
        <v>-0.01</v>
      </c>
      <c r="K46" s="6">
        <v>28.59</v>
      </c>
      <c r="L46" s="6">
        <v>6.01</v>
      </c>
      <c r="M46" s="6"/>
      <c r="N46" s="6"/>
      <c r="O46" s="6">
        <v>6.01</v>
      </c>
      <c r="P46" s="6"/>
      <c r="Q46" s="6"/>
      <c r="R46" s="6">
        <v>34.6</v>
      </c>
      <c r="S46" s="4" t="s">
        <v>26</v>
      </c>
      <c r="T46" s="6">
        <v>34.6</v>
      </c>
      <c r="U46" s="6"/>
      <c r="V46" s="10">
        <v>45671</v>
      </c>
      <c r="W46" t="str">
        <f t="shared" ca="1" si="0"/>
        <v>VENCIDA</v>
      </c>
    </row>
    <row r="47" spans="1:23" ht="48" x14ac:dyDescent="0.25">
      <c r="A47" s="7">
        <v>2500045</v>
      </c>
      <c r="B47" s="8">
        <v>45671</v>
      </c>
      <c r="C47" s="7">
        <v>451584</v>
      </c>
      <c r="D47" s="7" t="s">
        <v>23</v>
      </c>
      <c r="E47" s="7" t="s">
        <v>24</v>
      </c>
      <c r="F47" s="7" t="s">
        <v>25</v>
      </c>
      <c r="G47" s="9">
        <v>37.19</v>
      </c>
      <c r="H47" s="9"/>
      <c r="I47" s="9"/>
      <c r="J47" s="9"/>
      <c r="K47" s="9">
        <v>37.19</v>
      </c>
      <c r="L47" s="9">
        <v>7.81</v>
      </c>
      <c r="M47" s="9"/>
      <c r="N47" s="9"/>
      <c r="O47" s="9">
        <v>7.81</v>
      </c>
      <c r="P47" s="9"/>
      <c r="Q47" s="9"/>
      <c r="R47" s="9">
        <v>45</v>
      </c>
      <c r="S47" s="7" t="s">
        <v>26</v>
      </c>
      <c r="T47" s="9">
        <v>45</v>
      </c>
      <c r="U47" s="9"/>
      <c r="V47" s="10">
        <v>45671</v>
      </c>
      <c r="W47" t="str">
        <f t="shared" ca="1" si="0"/>
        <v>VENCIDA</v>
      </c>
    </row>
    <row r="48" spans="1:23" ht="48" x14ac:dyDescent="0.25">
      <c r="A48" s="4">
        <v>2500046</v>
      </c>
      <c r="B48" s="5">
        <v>45671</v>
      </c>
      <c r="C48" s="4">
        <v>451585</v>
      </c>
      <c r="D48" s="4" t="s">
        <v>23</v>
      </c>
      <c r="E48" s="4" t="s">
        <v>24</v>
      </c>
      <c r="F48" s="4" t="s">
        <v>25</v>
      </c>
      <c r="G48" s="6">
        <v>47.94</v>
      </c>
      <c r="H48" s="6"/>
      <c r="I48" s="6"/>
      <c r="J48" s="6"/>
      <c r="K48" s="6">
        <v>47.94</v>
      </c>
      <c r="L48" s="6">
        <v>10.07</v>
      </c>
      <c r="M48" s="6"/>
      <c r="N48" s="6"/>
      <c r="O48" s="6">
        <v>10.07</v>
      </c>
      <c r="P48" s="6"/>
      <c r="Q48" s="6"/>
      <c r="R48" s="6">
        <v>58.01</v>
      </c>
      <c r="S48" s="4" t="s">
        <v>26</v>
      </c>
      <c r="T48" s="6">
        <v>58.01</v>
      </c>
      <c r="U48" s="6"/>
      <c r="V48" s="10">
        <v>45671</v>
      </c>
      <c r="W48" t="str">
        <f t="shared" ca="1" si="0"/>
        <v>VENCIDA</v>
      </c>
    </row>
    <row r="49" spans="1:27" ht="48" x14ac:dyDescent="0.25">
      <c r="A49" s="7">
        <v>2500047</v>
      </c>
      <c r="B49" s="8">
        <v>45671</v>
      </c>
      <c r="C49" s="7">
        <v>739261</v>
      </c>
      <c r="D49" s="7" t="s">
        <v>23</v>
      </c>
      <c r="E49" s="7" t="s">
        <v>24</v>
      </c>
      <c r="F49" s="7" t="s">
        <v>25</v>
      </c>
      <c r="G49" s="9">
        <v>52.85</v>
      </c>
      <c r="H49" s="9"/>
      <c r="I49" s="9"/>
      <c r="J49" s="9"/>
      <c r="K49" s="9">
        <v>52.85</v>
      </c>
      <c r="L49" s="9">
        <v>11.1</v>
      </c>
      <c r="M49" s="9"/>
      <c r="N49" s="9"/>
      <c r="O49" s="9">
        <v>11.1</v>
      </c>
      <c r="P49" s="9"/>
      <c r="Q49" s="9"/>
      <c r="R49" s="9">
        <v>63.95</v>
      </c>
      <c r="S49" s="7" t="s">
        <v>26</v>
      </c>
      <c r="T49" s="9">
        <v>63.95</v>
      </c>
      <c r="U49" s="9"/>
      <c r="V49" s="10">
        <v>45671</v>
      </c>
      <c r="W49" t="str">
        <f t="shared" ca="1" si="0"/>
        <v>VENCIDA</v>
      </c>
    </row>
    <row r="50" spans="1:27" ht="36" x14ac:dyDescent="0.25">
      <c r="A50" s="7">
        <v>2500048</v>
      </c>
      <c r="B50" s="8">
        <v>45666</v>
      </c>
      <c r="C50" s="7">
        <v>1201142736</v>
      </c>
      <c r="D50" s="7" t="s">
        <v>32</v>
      </c>
      <c r="E50" s="7" t="s">
        <v>33</v>
      </c>
      <c r="F50" s="7" t="s">
        <v>34</v>
      </c>
      <c r="G50" s="9">
        <v>1154.77</v>
      </c>
      <c r="H50" s="9"/>
      <c r="I50" s="9"/>
      <c r="J50" s="9"/>
      <c r="K50" s="9">
        <v>1154.77</v>
      </c>
      <c r="L50" s="9">
        <v>242.5</v>
      </c>
      <c r="M50" s="9"/>
      <c r="N50" s="9"/>
      <c r="O50" s="9">
        <v>242.5</v>
      </c>
      <c r="P50" s="9"/>
      <c r="Q50" s="9"/>
      <c r="R50" s="9">
        <v>1397.27</v>
      </c>
      <c r="S50" s="7" t="s">
        <v>35</v>
      </c>
      <c r="T50" s="9"/>
      <c r="U50" s="9">
        <v>1397.27</v>
      </c>
      <c r="V50" s="5">
        <v>45697</v>
      </c>
      <c r="W50" t="str">
        <f t="shared" ca="1" si="0"/>
        <v>VENCIDA</v>
      </c>
    </row>
    <row r="51" spans="1:27" ht="60" x14ac:dyDescent="0.25">
      <c r="A51" s="7">
        <v>2500049</v>
      </c>
      <c r="B51" s="8">
        <v>45670</v>
      </c>
      <c r="C51" s="7">
        <v>1114904574</v>
      </c>
      <c r="D51" s="7" t="s">
        <v>36</v>
      </c>
      <c r="E51" s="7" t="s">
        <v>37</v>
      </c>
      <c r="F51" s="7" t="s">
        <v>34</v>
      </c>
      <c r="G51" s="9">
        <v>1038.3</v>
      </c>
      <c r="H51" s="9"/>
      <c r="I51" s="9"/>
      <c r="J51" s="9"/>
      <c r="K51" s="9">
        <v>1038.3</v>
      </c>
      <c r="L51" s="9">
        <v>218.04</v>
      </c>
      <c r="M51" s="9"/>
      <c r="N51" s="9"/>
      <c r="O51" s="9">
        <v>218.04</v>
      </c>
      <c r="P51" s="9"/>
      <c r="Q51" s="9"/>
      <c r="R51" s="9">
        <v>1256.3399999999999</v>
      </c>
      <c r="S51" s="7" t="s">
        <v>38</v>
      </c>
      <c r="T51" s="9">
        <v>1256.3399999999999</v>
      </c>
      <c r="U51" s="9"/>
      <c r="V51" s="10">
        <v>45686</v>
      </c>
      <c r="W51" t="str">
        <f t="shared" ca="1" si="0"/>
        <v>VENCIDA</v>
      </c>
    </row>
    <row r="52" spans="1:27" x14ac:dyDescent="0.25">
      <c r="A52" s="4">
        <v>2500050</v>
      </c>
      <c r="B52" s="5">
        <v>45671</v>
      </c>
      <c r="C52" s="4" t="s">
        <v>77</v>
      </c>
      <c r="D52" s="4" t="s">
        <v>78</v>
      </c>
      <c r="E52" s="4" t="s">
        <v>79</v>
      </c>
      <c r="F52" s="4" t="s">
        <v>80</v>
      </c>
      <c r="G52" s="6">
        <v>35.75</v>
      </c>
      <c r="H52" s="6"/>
      <c r="I52" s="6"/>
      <c r="J52" s="6">
        <v>4.18</v>
      </c>
      <c r="K52" s="6">
        <v>39.93</v>
      </c>
      <c r="L52" s="6">
        <v>7.51</v>
      </c>
      <c r="M52" s="6"/>
      <c r="N52" s="6"/>
      <c r="O52" s="6">
        <v>7.51</v>
      </c>
      <c r="P52" s="6"/>
      <c r="Q52" s="6"/>
      <c r="R52" s="6">
        <v>47.44</v>
      </c>
      <c r="S52" s="4" t="s">
        <v>70</v>
      </c>
      <c r="T52" s="6">
        <v>47.44</v>
      </c>
      <c r="U52" s="6"/>
      <c r="V52" s="10">
        <v>45671</v>
      </c>
      <c r="W52" t="str">
        <f t="shared" ca="1" si="0"/>
        <v>VENCIDA</v>
      </c>
    </row>
    <row r="53" spans="1:27" ht="48" x14ac:dyDescent="0.25">
      <c r="A53" s="4">
        <v>2500051</v>
      </c>
      <c r="B53" s="5">
        <v>45671</v>
      </c>
      <c r="C53" s="4" t="s">
        <v>81</v>
      </c>
      <c r="D53" s="4" t="s">
        <v>82</v>
      </c>
      <c r="E53" s="4" t="s">
        <v>83</v>
      </c>
      <c r="F53" s="4" t="s">
        <v>84</v>
      </c>
      <c r="G53" s="6">
        <v>138.26</v>
      </c>
      <c r="H53" s="6"/>
      <c r="I53" s="6"/>
      <c r="J53" s="6">
        <v>0.01</v>
      </c>
      <c r="K53" s="6">
        <v>138.27000000000001</v>
      </c>
      <c r="L53" s="6">
        <v>29.03</v>
      </c>
      <c r="M53" s="6"/>
      <c r="N53" s="6"/>
      <c r="O53" s="6">
        <v>29.03</v>
      </c>
      <c r="P53" s="6"/>
      <c r="Q53" s="6"/>
      <c r="R53" s="6">
        <v>167.3</v>
      </c>
      <c r="S53" s="4" t="s">
        <v>26</v>
      </c>
      <c r="T53" s="6">
        <v>167.3</v>
      </c>
      <c r="U53" s="6"/>
      <c r="V53" s="10">
        <v>45671</v>
      </c>
      <c r="W53" t="str">
        <f t="shared" ca="1" si="0"/>
        <v>VENCIDA</v>
      </c>
    </row>
    <row r="54" spans="1:27" ht="24" x14ac:dyDescent="0.25">
      <c r="A54" s="7">
        <v>2500052</v>
      </c>
      <c r="B54" s="8">
        <v>45670</v>
      </c>
      <c r="C54" s="7">
        <v>1901318915</v>
      </c>
      <c r="D54" s="7" t="s">
        <v>61</v>
      </c>
      <c r="E54" s="7" t="s">
        <v>62</v>
      </c>
      <c r="F54" s="7" t="s">
        <v>25</v>
      </c>
      <c r="G54" s="9">
        <v>41.32</v>
      </c>
      <c r="H54" s="9"/>
      <c r="I54" s="9"/>
      <c r="J54" s="9"/>
      <c r="K54" s="9">
        <v>41.32</v>
      </c>
      <c r="L54" s="9">
        <v>8.68</v>
      </c>
      <c r="M54" s="9"/>
      <c r="N54" s="9"/>
      <c r="O54" s="9">
        <v>8.68</v>
      </c>
      <c r="P54" s="9"/>
      <c r="Q54" s="9"/>
      <c r="R54" s="9">
        <v>50</v>
      </c>
      <c r="S54" s="7" t="s">
        <v>26</v>
      </c>
      <c r="T54" s="9">
        <v>50</v>
      </c>
      <c r="U54" s="9"/>
      <c r="V54" s="10">
        <v>45670</v>
      </c>
      <c r="W54" t="str">
        <f t="shared" ca="1" si="0"/>
        <v>VENCIDA</v>
      </c>
    </row>
    <row r="55" spans="1:27" ht="48" x14ac:dyDescent="0.25">
      <c r="A55" s="7">
        <v>2500053</v>
      </c>
      <c r="B55" s="8">
        <v>45671</v>
      </c>
      <c r="C55" s="7">
        <v>258</v>
      </c>
      <c r="D55" s="7" t="s">
        <v>71</v>
      </c>
      <c r="E55" s="7" t="s">
        <v>72</v>
      </c>
      <c r="F55" s="7" t="s">
        <v>73</v>
      </c>
      <c r="G55" s="9">
        <v>17.600000000000001</v>
      </c>
      <c r="H55" s="9"/>
      <c r="I55" s="9"/>
      <c r="J55" s="9"/>
      <c r="K55" s="9">
        <v>17.600000000000001</v>
      </c>
      <c r="L55" s="9">
        <v>3.7</v>
      </c>
      <c r="M55" s="9"/>
      <c r="N55" s="9"/>
      <c r="O55" s="9">
        <v>3.7</v>
      </c>
      <c r="P55" s="9"/>
      <c r="Q55" s="9"/>
      <c r="R55" s="9">
        <v>21.3</v>
      </c>
      <c r="S55" s="7" t="s">
        <v>70</v>
      </c>
      <c r="T55" s="9">
        <v>21.3</v>
      </c>
      <c r="U55" s="9"/>
      <c r="V55" s="10">
        <v>45671</v>
      </c>
      <c r="W55" t="str">
        <f t="shared" ca="1" si="0"/>
        <v>VENCIDA</v>
      </c>
    </row>
    <row r="56" spans="1:27" ht="48" x14ac:dyDescent="0.25">
      <c r="A56" s="4">
        <v>2500054</v>
      </c>
      <c r="B56" s="5">
        <v>45671</v>
      </c>
      <c r="C56" s="4">
        <v>425</v>
      </c>
      <c r="D56" s="4" t="s">
        <v>71</v>
      </c>
      <c r="E56" s="4" t="s">
        <v>72</v>
      </c>
      <c r="F56" s="4" t="s">
        <v>73</v>
      </c>
      <c r="G56" s="6">
        <v>57.27</v>
      </c>
      <c r="H56" s="6"/>
      <c r="I56" s="6"/>
      <c r="J56" s="6"/>
      <c r="K56" s="6">
        <v>57.27</v>
      </c>
      <c r="L56" s="6">
        <v>12.03</v>
      </c>
      <c r="M56" s="6"/>
      <c r="N56" s="6"/>
      <c r="O56" s="6">
        <v>12.03</v>
      </c>
      <c r="P56" s="6"/>
      <c r="Q56" s="6"/>
      <c r="R56" s="6">
        <v>69.3</v>
      </c>
      <c r="S56" s="4" t="s">
        <v>70</v>
      </c>
      <c r="T56" s="6">
        <v>69.3</v>
      </c>
      <c r="U56" s="6"/>
      <c r="V56" s="10">
        <v>45671</v>
      </c>
      <c r="W56" t="str">
        <f t="shared" ca="1" si="0"/>
        <v>VENCIDA</v>
      </c>
    </row>
    <row r="57" spans="1:27" ht="48" x14ac:dyDescent="0.25">
      <c r="A57" s="4">
        <v>2500055</v>
      </c>
      <c r="B57" s="5">
        <v>45676</v>
      </c>
      <c r="C57" s="4" t="s">
        <v>85</v>
      </c>
      <c r="D57" s="4" t="s">
        <v>65</v>
      </c>
      <c r="E57" s="4" t="s">
        <v>66</v>
      </c>
      <c r="F57" s="4" t="s">
        <v>67</v>
      </c>
      <c r="G57" s="6">
        <v>38.840000000000003</v>
      </c>
      <c r="H57" s="6"/>
      <c r="I57" s="6"/>
      <c r="J57" s="6"/>
      <c r="K57" s="6">
        <v>38.840000000000003</v>
      </c>
      <c r="L57" s="6">
        <v>8.16</v>
      </c>
      <c r="M57" s="6"/>
      <c r="N57" s="6"/>
      <c r="O57" s="6">
        <v>8.16</v>
      </c>
      <c r="P57" s="6"/>
      <c r="Q57" s="6"/>
      <c r="R57" s="6">
        <v>47</v>
      </c>
      <c r="S57" s="4" t="s">
        <v>42</v>
      </c>
      <c r="T57" s="6">
        <v>47</v>
      </c>
      <c r="U57" s="6"/>
      <c r="V57" s="10">
        <v>45677</v>
      </c>
      <c r="W57" t="str">
        <f t="shared" ca="1" si="0"/>
        <v>VENCIDA</v>
      </c>
    </row>
    <row r="58" spans="1:27" s="11" customFormat="1" ht="48" x14ac:dyDescent="0.25">
      <c r="A58" s="7">
        <v>2500056</v>
      </c>
      <c r="B58" s="8">
        <v>45658</v>
      </c>
      <c r="C58" s="7" t="s">
        <v>86</v>
      </c>
      <c r="D58" s="7" t="s">
        <v>87</v>
      </c>
      <c r="E58" s="7" t="s">
        <v>88</v>
      </c>
      <c r="F58" s="7" t="s">
        <v>89</v>
      </c>
      <c r="G58" s="9">
        <v>2484.75</v>
      </c>
      <c r="H58" s="9"/>
      <c r="I58" s="9"/>
      <c r="J58" s="9">
        <v>1059.8699999999999</v>
      </c>
      <c r="K58" s="9">
        <v>3544.62</v>
      </c>
      <c r="L58" s="9">
        <v>521.79999999999995</v>
      </c>
      <c r="M58" s="9"/>
      <c r="N58" s="9"/>
      <c r="O58" s="9">
        <v>521.79999999999995</v>
      </c>
      <c r="P58" s="9"/>
      <c r="Q58" s="9"/>
      <c r="R58" s="9">
        <v>4066.42</v>
      </c>
      <c r="S58" s="7" t="s">
        <v>42</v>
      </c>
      <c r="T58" s="9">
        <v>4066.42</v>
      </c>
      <c r="U58" s="9"/>
      <c r="V58" s="10">
        <v>45670</v>
      </c>
      <c r="W58" t="str">
        <f t="shared" ca="1" si="0"/>
        <v>VENCIDA</v>
      </c>
    </row>
    <row r="59" spans="1:27" s="12" customFormat="1" ht="48" hidden="1" x14ac:dyDescent="0.25">
      <c r="A59" s="4">
        <v>2500057</v>
      </c>
      <c r="B59" s="5">
        <v>45671</v>
      </c>
      <c r="C59" s="4">
        <v>1201143967</v>
      </c>
      <c r="D59" s="4" t="s">
        <v>32</v>
      </c>
      <c r="E59" s="4" t="s">
        <v>33</v>
      </c>
      <c r="F59" s="4" t="s">
        <v>34</v>
      </c>
      <c r="G59" s="6">
        <v>7310.7</v>
      </c>
      <c r="H59" s="6"/>
      <c r="I59" s="6"/>
      <c r="J59" s="6"/>
      <c r="K59" s="6">
        <v>7310.7</v>
      </c>
      <c r="L59" s="6">
        <v>1535.25</v>
      </c>
      <c r="M59" s="6"/>
      <c r="N59" s="6"/>
      <c r="O59" s="6">
        <v>1535.25</v>
      </c>
      <c r="P59" s="6"/>
      <c r="Q59" s="6"/>
      <c r="R59" s="6">
        <v>8845.9500000000007</v>
      </c>
      <c r="S59" s="4" t="s">
        <v>31</v>
      </c>
      <c r="T59" s="6"/>
      <c r="U59" s="6">
        <v>8845.9500000000007</v>
      </c>
      <c r="V59" s="5">
        <v>45730</v>
      </c>
      <c r="W59" t="str">
        <f t="shared" ca="1" si="0"/>
        <v/>
      </c>
    </row>
    <row r="60" spans="1:27" s="11" customFormat="1" ht="84" x14ac:dyDescent="0.25">
      <c r="A60" s="4">
        <v>2500058</v>
      </c>
      <c r="B60" s="5">
        <v>45674</v>
      </c>
      <c r="C60" s="4">
        <v>149</v>
      </c>
      <c r="D60" s="4" t="s">
        <v>90</v>
      </c>
      <c r="E60" s="4" t="s">
        <v>91</v>
      </c>
      <c r="F60" s="4"/>
      <c r="G60" s="6">
        <v>280.92</v>
      </c>
      <c r="H60" s="6"/>
      <c r="I60" s="6"/>
      <c r="J60" s="6"/>
      <c r="K60" s="6">
        <v>280.92</v>
      </c>
      <c r="L60" s="6">
        <v>58.99</v>
      </c>
      <c r="M60" s="6"/>
      <c r="N60" s="6"/>
      <c r="O60" s="6">
        <v>58.99</v>
      </c>
      <c r="P60" s="6"/>
      <c r="Q60" s="6"/>
      <c r="R60" s="6">
        <v>339.91</v>
      </c>
      <c r="S60" s="4" t="s">
        <v>35</v>
      </c>
      <c r="T60" s="6">
        <v>339.91</v>
      </c>
      <c r="U60" s="6"/>
      <c r="V60" s="10">
        <v>45705</v>
      </c>
      <c r="W60" t="str">
        <f t="shared" ca="1" si="0"/>
        <v>VENCIDA</v>
      </c>
    </row>
    <row r="61" spans="1:27" s="12" customFormat="1" ht="24" x14ac:dyDescent="0.25">
      <c r="A61" s="4">
        <v>2500059</v>
      </c>
      <c r="B61" s="5">
        <v>45674</v>
      </c>
      <c r="C61" s="4">
        <v>504100499</v>
      </c>
      <c r="D61" s="4" t="s">
        <v>92</v>
      </c>
      <c r="E61" s="4" t="s">
        <v>93</v>
      </c>
      <c r="F61" s="4" t="s">
        <v>94</v>
      </c>
      <c r="G61" s="6">
        <v>3853.97</v>
      </c>
      <c r="H61" s="6"/>
      <c r="I61" s="6"/>
      <c r="J61" s="6"/>
      <c r="K61" s="6">
        <v>3853.97</v>
      </c>
      <c r="L61" s="6">
        <v>809.33</v>
      </c>
      <c r="M61" s="6"/>
      <c r="N61" s="6"/>
      <c r="O61" s="6">
        <v>809.33</v>
      </c>
      <c r="P61" s="6"/>
      <c r="Q61" s="6"/>
      <c r="R61" s="6">
        <v>4663.3</v>
      </c>
      <c r="S61" s="4" t="s">
        <v>42</v>
      </c>
      <c r="T61" s="6">
        <v>2331.65</v>
      </c>
      <c r="U61" s="6">
        <v>2331.65</v>
      </c>
      <c r="V61" s="5">
        <v>45705</v>
      </c>
      <c r="W61" t="str">
        <f t="shared" ca="1" si="0"/>
        <v>VENCIDA</v>
      </c>
      <c r="X61" s="15">
        <v>2331.65</v>
      </c>
      <c r="Y61" s="16">
        <v>45706</v>
      </c>
      <c r="Z61" s="12">
        <v>2331.65</v>
      </c>
      <c r="AA61" s="14">
        <v>45734</v>
      </c>
    </row>
    <row r="62" spans="1:27" s="11" customFormat="1" ht="36" x14ac:dyDescent="0.25">
      <c r="A62" s="4">
        <v>2500060</v>
      </c>
      <c r="B62" s="5">
        <v>45674</v>
      </c>
      <c r="C62" s="4" t="s">
        <v>95</v>
      </c>
      <c r="D62" s="4" t="s">
        <v>96</v>
      </c>
      <c r="E62" s="4" t="s">
        <v>97</v>
      </c>
      <c r="F62" s="4" t="s">
        <v>98</v>
      </c>
      <c r="G62" s="6">
        <v>133.69999999999999</v>
      </c>
      <c r="H62" s="6"/>
      <c r="I62" s="6"/>
      <c r="J62" s="6"/>
      <c r="K62" s="6">
        <v>133.69999999999999</v>
      </c>
      <c r="L62" s="6">
        <v>28.08</v>
      </c>
      <c r="M62" s="6"/>
      <c r="N62" s="6"/>
      <c r="O62" s="6">
        <v>28.08</v>
      </c>
      <c r="P62" s="6"/>
      <c r="Q62" s="6"/>
      <c r="R62" s="6">
        <v>161.78</v>
      </c>
      <c r="S62" s="4" t="s">
        <v>35</v>
      </c>
      <c r="T62" s="6"/>
      <c r="U62" s="6">
        <v>161.78</v>
      </c>
      <c r="V62" s="5">
        <v>45705</v>
      </c>
      <c r="W62" t="str">
        <f t="shared" ca="1" si="0"/>
        <v>VENCIDA</v>
      </c>
    </row>
    <row r="63" spans="1:27" s="12" customFormat="1" ht="36" x14ac:dyDescent="0.25">
      <c r="A63" s="7">
        <v>2500061</v>
      </c>
      <c r="B63" s="8">
        <v>45672</v>
      </c>
      <c r="C63" s="7">
        <v>1201144424</v>
      </c>
      <c r="D63" s="7" t="s">
        <v>32</v>
      </c>
      <c r="E63" s="7" t="s">
        <v>33</v>
      </c>
      <c r="F63" s="7" t="s">
        <v>34</v>
      </c>
      <c r="G63" s="9">
        <v>179.62</v>
      </c>
      <c r="H63" s="9"/>
      <c r="I63" s="9"/>
      <c r="J63" s="9"/>
      <c r="K63" s="9">
        <v>179.62</v>
      </c>
      <c r="L63" s="9">
        <v>37.72</v>
      </c>
      <c r="M63" s="9"/>
      <c r="N63" s="9"/>
      <c r="O63" s="9">
        <v>37.72</v>
      </c>
      <c r="P63" s="9"/>
      <c r="Q63" s="9"/>
      <c r="R63" s="9">
        <v>217.34</v>
      </c>
      <c r="S63" s="7" t="s">
        <v>35</v>
      </c>
      <c r="T63" s="9"/>
      <c r="U63" s="9">
        <v>217.34</v>
      </c>
      <c r="V63" s="5">
        <v>45703</v>
      </c>
      <c r="W63" t="str">
        <f t="shared" ca="1" si="0"/>
        <v>VENCIDA</v>
      </c>
    </row>
    <row r="64" spans="1:27" ht="36" x14ac:dyDescent="0.25">
      <c r="A64" s="4">
        <v>2500062</v>
      </c>
      <c r="B64" s="5">
        <v>45679</v>
      </c>
      <c r="C64" s="4">
        <v>1201146868</v>
      </c>
      <c r="D64" s="4" t="s">
        <v>32</v>
      </c>
      <c r="E64" s="4" t="s">
        <v>33</v>
      </c>
      <c r="F64" s="4" t="s">
        <v>34</v>
      </c>
      <c r="G64" s="6">
        <v>2839.37</v>
      </c>
      <c r="H64" s="6"/>
      <c r="I64" s="6"/>
      <c r="J64" s="6"/>
      <c r="K64" s="6">
        <v>2839.37</v>
      </c>
      <c r="L64" s="6">
        <v>596.27</v>
      </c>
      <c r="M64" s="6"/>
      <c r="N64" s="6"/>
      <c r="O64" s="6">
        <v>596.27</v>
      </c>
      <c r="P64" s="6"/>
      <c r="Q64" s="6"/>
      <c r="R64" s="6">
        <v>3435.64</v>
      </c>
      <c r="S64" s="4" t="s">
        <v>35</v>
      </c>
      <c r="T64" s="6"/>
      <c r="U64" s="6">
        <v>3435.64</v>
      </c>
      <c r="V64" s="5">
        <v>45710</v>
      </c>
      <c r="W64" t="str">
        <f t="shared" ca="1" si="0"/>
        <v>VENCIDA</v>
      </c>
    </row>
    <row r="65" spans="1:27" ht="36" x14ac:dyDescent="0.25">
      <c r="A65" s="7">
        <v>2500063</v>
      </c>
      <c r="B65" s="8">
        <v>45679</v>
      </c>
      <c r="C65" s="7">
        <v>1201146867</v>
      </c>
      <c r="D65" s="7" t="s">
        <v>32</v>
      </c>
      <c r="E65" s="7" t="s">
        <v>33</v>
      </c>
      <c r="F65" s="7" t="s">
        <v>34</v>
      </c>
      <c r="G65" s="9">
        <v>999.9</v>
      </c>
      <c r="H65" s="9"/>
      <c r="I65" s="9"/>
      <c r="J65" s="9"/>
      <c r="K65" s="9">
        <v>999.9</v>
      </c>
      <c r="L65" s="9">
        <v>209.98</v>
      </c>
      <c r="M65" s="9"/>
      <c r="N65" s="9"/>
      <c r="O65" s="9">
        <v>209.98</v>
      </c>
      <c r="P65" s="9"/>
      <c r="Q65" s="9"/>
      <c r="R65" s="9">
        <v>1209.8800000000001</v>
      </c>
      <c r="S65" s="7" t="s">
        <v>35</v>
      </c>
      <c r="T65" s="9"/>
      <c r="U65" s="6">
        <v>1209.8800000000001</v>
      </c>
      <c r="V65" s="5">
        <v>45710</v>
      </c>
      <c r="W65" t="str">
        <f t="shared" ca="1" si="0"/>
        <v>VENCIDA</v>
      </c>
    </row>
    <row r="66" spans="1:27" ht="36" x14ac:dyDescent="0.25">
      <c r="A66" s="4">
        <v>2500064</v>
      </c>
      <c r="B66" s="5">
        <v>45674</v>
      </c>
      <c r="C66" s="4">
        <v>502100212</v>
      </c>
      <c r="D66" s="4" t="s">
        <v>99</v>
      </c>
      <c r="E66" s="4" t="s">
        <v>100</v>
      </c>
      <c r="F66" s="4"/>
      <c r="G66" s="6">
        <v>161.15</v>
      </c>
      <c r="H66" s="6"/>
      <c r="I66" s="6"/>
      <c r="J66" s="6"/>
      <c r="K66" s="6">
        <v>161.15</v>
      </c>
      <c r="L66" s="6">
        <v>33.840000000000003</v>
      </c>
      <c r="M66" s="6"/>
      <c r="N66" s="6"/>
      <c r="O66" s="6">
        <v>33.840000000000003</v>
      </c>
      <c r="P66" s="6"/>
      <c r="Q66" s="6"/>
      <c r="R66" s="6">
        <v>194.99</v>
      </c>
      <c r="S66" s="4" t="s">
        <v>101</v>
      </c>
      <c r="T66" s="6">
        <v>194.99</v>
      </c>
      <c r="U66" s="6"/>
      <c r="V66" s="10">
        <v>45666</v>
      </c>
      <c r="W66" t="str">
        <f t="shared" ref="W66:W129" ca="1" si="1">IF(V66&lt;TODAY(),"VENCIDA",IF(V66=TODAY(),"VENCE HOY",IF(V66&gt;TODAY(),"")))</f>
        <v>VENCIDA</v>
      </c>
    </row>
    <row r="67" spans="1:27" ht="48" x14ac:dyDescent="0.25">
      <c r="A67" s="7">
        <v>2500065</v>
      </c>
      <c r="B67" s="8">
        <v>45674</v>
      </c>
      <c r="C67" s="7">
        <v>117</v>
      </c>
      <c r="D67" s="7" t="s">
        <v>102</v>
      </c>
      <c r="E67" s="7" t="s">
        <v>103</v>
      </c>
      <c r="F67" s="7" t="s">
        <v>104</v>
      </c>
      <c r="G67" s="9">
        <v>2281.75</v>
      </c>
      <c r="H67" s="9"/>
      <c r="I67" s="9"/>
      <c r="J67" s="9"/>
      <c r="K67" s="9">
        <v>2281.75</v>
      </c>
      <c r="L67" s="9">
        <v>479.17</v>
      </c>
      <c r="M67" s="9"/>
      <c r="N67" s="9"/>
      <c r="O67" s="9">
        <v>479.17</v>
      </c>
      <c r="P67" s="9"/>
      <c r="Q67" s="9"/>
      <c r="R67" s="9">
        <v>2760.92</v>
      </c>
      <c r="S67" s="7" t="s">
        <v>55</v>
      </c>
      <c r="T67" s="9">
        <v>2760.92</v>
      </c>
      <c r="U67" s="6"/>
      <c r="V67" s="10">
        <v>45699</v>
      </c>
      <c r="W67" t="str">
        <f t="shared" ca="1" si="1"/>
        <v>VENCIDA</v>
      </c>
    </row>
    <row r="68" spans="1:27" ht="36" x14ac:dyDescent="0.25">
      <c r="A68" s="7">
        <v>2500066</v>
      </c>
      <c r="B68" s="8">
        <v>45678</v>
      </c>
      <c r="C68" s="7">
        <v>1201146050</v>
      </c>
      <c r="D68" s="7" t="s">
        <v>32</v>
      </c>
      <c r="E68" s="7" t="s">
        <v>33</v>
      </c>
      <c r="F68" s="7" t="s">
        <v>34</v>
      </c>
      <c r="G68" s="9">
        <v>684.25</v>
      </c>
      <c r="H68" s="9"/>
      <c r="I68" s="9"/>
      <c r="J68" s="9"/>
      <c r="K68" s="9">
        <v>684.25</v>
      </c>
      <c r="L68" s="9">
        <v>143.69</v>
      </c>
      <c r="M68" s="9"/>
      <c r="N68" s="9"/>
      <c r="O68" s="9">
        <v>143.69</v>
      </c>
      <c r="P68" s="9"/>
      <c r="Q68" s="9"/>
      <c r="R68" s="9">
        <v>827.94</v>
      </c>
      <c r="S68" s="7" t="s">
        <v>35</v>
      </c>
      <c r="T68" s="9"/>
      <c r="U68" s="6">
        <v>827.94</v>
      </c>
      <c r="V68" s="5">
        <v>45709</v>
      </c>
      <c r="W68" t="str">
        <f t="shared" ca="1" si="1"/>
        <v>VENCIDA</v>
      </c>
    </row>
    <row r="69" spans="1:27" ht="48" hidden="1" x14ac:dyDescent="0.25">
      <c r="A69" s="7">
        <v>2500067</v>
      </c>
      <c r="B69" s="8">
        <v>45681</v>
      </c>
      <c r="C69" s="7">
        <v>250310</v>
      </c>
      <c r="D69" s="7" t="s">
        <v>105</v>
      </c>
      <c r="E69" s="7" t="s">
        <v>106</v>
      </c>
      <c r="F69" s="7" t="s">
        <v>107</v>
      </c>
      <c r="G69" s="9">
        <v>57.62</v>
      </c>
      <c r="H69" s="9"/>
      <c r="I69" s="9"/>
      <c r="J69" s="9"/>
      <c r="K69" s="9">
        <v>57.62</v>
      </c>
      <c r="L69" s="9">
        <v>12.1</v>
      </c>
      <c r="M69" s="9"/>
      <c r="N69" s="9"/>
      <c r="O69" s="9">
        <v>12.1</v>
      </c>
      <c r="P69" s="9"/>
      <c r="Q69" s="9"/>
      <c r="R69" s="9">
        <v>69.72</v>
      </c>
      <c r="S69" s="7" t="s">
        <v>42</v>
      </c>
      <c r="T69" s="9"/>
      <c r="U69" s="6">
        <v>69.72</v>
      </c>
      <c r="V69" s="5">
        <v>45741</v>
      </c>
      <c r="W69" t="str">
        <f t="shared" ca="1" si="1"/>
        <v/>
      </c>
    </row>
    <row r="70" spans="1:27" ht="48" hidden="1" x14ac:dyDescent="0.25">
      <c r="A70" s="4">
        <v>2500068</v>
      </c>
      <c r="B70" s="5">
        <v>45673</v>
      </c>
      <c r="C70" s="4">
        <v>1201145016</v>
      </c>
      <c r="D70" s="4" t="s">
        <v>32</v>
      </c>
      <c r="E70" s="4" t="s">
        <v>33</v>
      </c>
      <c r="F70" s="4" t="s">
        <v>34</v>
      </c>
      <c r="G70" s="6">
        <v>5960.8</v>
      </c>
      <c r="H70" s="6"/>
      <c r="I70" s="6"/>
      <c r="J70" s="6"/>
      <c r="K70" s="6">
        <v>5960.8</v>
      </c>
      <c r="L70" s="6">
        <v>1251.77</v>
      </c>
      <c r="M70" s="6"/>
      <c r="N70" s="6"/>
      <c r="O70" s="6">
        <v>1251.77</v>
      </c>
      <c r="P70" s="6"/>
      <c r="Q70" s="6"/>
      <c r="R70" s="6">
        <v>7212.57</v>
      </c>
      <c r="S70" s="4" t="s">
        <v>31</v>
      </c>
      <c r="T70" s="6"/>
      <c r="U70" s="6">
        <v>7212.57</v>
      </c>
      <c r="V70" s="5">
        <v>45732</v>
      </c>
      <c r="W70" t="str">
        <f t="shared" ca="1" si="1"/>
        <v/>
      </c>
    </row>
    <row r="71" spans="1:27" ht="60" x14ac:dyDescent="0.25">
      <c r="A71" s="7">
        <v>2500069</v>
      </c>
      <c r="B71" s="8">
        <v>45672</v>
      </c>
      <c r="C71" s="7">
        <v>484690</v>
      </c>
      <c r="D71" s="7" t="s">
        <v>108</v>
      </c>
      <c r="E71" s="7" t="s">
        <v>109</v>
      </c>
      <c r="F71" s="7" t="s">
        <v>110</v>
      </c>
      <c r="G71" s="9">
        <v>1212.47</v>
      </c>
      <c r="H71" s="9"/>
      <c r="I71" s="9"/>
      <c r="J71" s="9"/>
      <c r="K71" s="9">
        <v>1212.47</v>
      </c>
      <c r="L71" s="9">
        <v>254.62</v>
      </c>
      <c r="M71" s="9"/>
      <c r="N71" s="9"/>
      <c r="O71" s="9">
        <v>254.62</v>
      </c>
      <c r="P71" s="9"/>
      <c r="Q71" s="9"/>
      <c r="R71" s="9">
        <v>1467.09</v>
      </c>
      <c r="S71" s="7" t="s">
        <v>35</v>
      </c>
      <c r="T71" s="6">
        <v>1467.09</v>
      </c>
      <c r="U71" s="6"/>
      <c r="V71" s="10">
        <v>45698</v>
      </c>
      <c r="W71" t="str">
        <f t="shared" ca="1" si="1"/>
        <v>VENCIDA</v>
      </c>
    </row>
    <row r="72" spans="1:27" ht="24" x14ac:dyDescent="0.25">
      <c r="A72" s="4">
        <v>2500070</v>
      </c>
      <c r="B72" s="5">
        <v>45667</v>
      </c>
      <c r="C72" s="4">
        <v>46801</v>
      </c>
      <c r="D72" s="4" t="s">
        <v>111</v>
      </c>
      <c r="E72" s="4" t="s">
        <v>112</v>
      </c>
      <c r="F72" s="4" t="s">
        <v>113</v>
      </c>
      <c r="G72" s="6">
        <v>55.48</v>
      </c>
      <c r="H72" s="6"/>
      <c r="I72" s="6"/>
      <c r="J72" s="6"/>
      <c r="K72" s="6">
        <v>55.48</v>
      </c>
      <c r="L72" s="6">
        <v>11.65</v>
      </c>
      <c r="M72" s="6"/>
      <c r="N72" s="6"/>
      <c r="O72" s="6">
        <v>11.65</v>
      </c>
      <c r="P72" s="6"/>
      <c r="Q72" s="6"/>
      <c r="R72" s="6">
        <v>67.13</v>
      </c>
      <c r="S72" s="4" t="s">
        <v>42</v>
      </c>
      <c r="T72" s="6">
        <v>67.13</v>
      </c>
      <c r="U72" s="6"/>
      <c r="V72" s="10">
        <v>45667</v>
      </c>
      <c r="W72" t="str">
        <f t="shared" ca="1" si="1"/>
        <v>VENCIDA</v>
      </c>
    </row>
    <row r="73" spans="1:27" ht="48" x14ac:dyDescent="0.25">
      <c r="A73" s="4">
        <v>2500071</v>
      </c>
      <c r="B73" s="5">
        <v>45672</v>
      </c>
      <c r="C73" s="4" t="s">
        <v>114</v>
      </c>
      <c r="D73" s="4" t="s">
        <v>115</v>
      </c>
      <c r="E73" s="4" t="s">
        <v>116</v>
      </c>
      <c r="F73" s="4" t="s">
        <v>117</v>
      </c>
      <c r="G73" s="6">
        <v>52.82</v>
      </c>
      <c r="H73" s="6"/>
      <c r="I73" s="6"/>
      <c r="J73" s="6"/>
      <c r="K73" s="6">
        <v>52.82</v>
      </c>
      <c r="L73" s="6">
        <v>11.09</v>
      </c>
      <c r="M73" s="6"/>
      <c r="N73" s="6"/>
      <c r="O73" s="6">
        <v>11.09</v>
      </c>
      <c r="P73" s="6"/>
      <c r="Q73" s="6"/>
      <c r="R73" s="6">
        <v>63.91</v>
      </c>
      <c r="S73" s="4" t="s">
        <v>42</v>
      </c>
      <c r="T73" s="6">
        <v>63.91</v>
      </c>
      <c r="U73" s="6">
        <v>63.91</v>
      </c>
      <c r="V73" s="10">
        <v>45687</v>
      </c>
      <c r="W73" t="str">
        <f t="shared" ca="1" si="1"/>
        <v>VENCIDA</v>
      </c>
    </row>
    <row r="74" spans="1:27" ht="36" x14ac:dyDescent="0.25">
      <c r="A74" s="4">
        <v>2500072</v>
      </c>
      <c r="B74" s="5">
        <v>45672</v>
      </c>
      <c r="C74" s="4" t="s">
        <v>118</v>
      </c>
      <c r="D74" s="4" t="s">
        <v>119</v>
      </c>
      <c r="E74" s="4" t="s">
        <v>120</v>
      </c>
      <c r="F74" s="4" t="s">
        <v>121</v>
      </c>
      <c r="G74" s="6">
        <v>256.04000000000002</v>
      </c>
      <c r="H74" s="6"/>
      <c r="I74" s="6"/>
      <c r="J74" s="6"/>
      <c r="K74" s="6">
        <v>256.04000000000002</v>
      </c>
      <c r="L74" s="6">
        <v>53.77</v>
      </c>
      <c r="M74" s="6"/>
      <c r="N74" s="6"/>
      <c r="O74" s="6">
        <v>53.77</v>
      </c>
      <c r="P74" s="6"/>
      <c r="Q74" s="6"/>
      <c r="R74" s="6">
        <v>309.81</v>
      </c>
      <c r="S74" s="4" t="s">
        <v>101</v>
      </c>
      <c r="T74" s="6">
        <v>309.81</v>
      </c>
      <c r="U74" s="6"/>
      <c r="V74" s="10">
        <v>45699</v>
      </c>
      <c r="W74" t="str">
        <f t="shared" ca="1" si="1"/>
        <v>VENCIDA</v>
      </c>
    </row>
    <row r="75" spans="1:27" ht="36" x14ac:dyDescent="0.25">
      <c r="A75" s="4">
        <v>2500073</v>
      </c>
      <c r="B75" s="5">
        <v>45680</v>
      </c>
      <c r="C75" s="4">
        <v>1201147343</v>
      </c>
      <c r="D75" s="4" t="s">
        <v>32</v>
      </c>
      <c r="E75" s="4" t="s">
        <v>33</v>
      </c>
      <c r="F75" s="4" t="s">
        <v>34</v>
      </c>
      <c r="G75" s="6">
        <v>89.5</v>
      </c>
      <c r="H75" s="6"/>
      <c r="I75" s="6"/>
      <c r="J75" s="6"/>
      <c r="K75" s="6">
        <v>89.5</v>
      </c>
      <c r="L75" s="6">
        <v>18.8</v>
      </c>
      <c r="M75" s="6"/>
      <c r="N75" s="6"/>
      <c r="O75" s="6">
        <v>18.8</v>
      </c>
      <c r="P75" s="6"/>
      <c r="Q75" s="6"/>
      <c r="R75" s="6">
        <v>108.3</v>
      </c>
      <c r="S75" s="4" t="s">
        <v>35</v>
      </c>
      <c r="T75" s="6"/>
      <c r="U75" s="6">
        <v>108.3</v>
      </c>
      <c r="V75" s="5">
        <v>45711</v>
      </c>
      <c r="W75" t="str">
        <f t="shared" ca="1" si="1"/>
        <v>VENCIDA</v>
      </c>
    </row>
    <row r="76" spans="1:27" ht="84" x14ac:dyDescent="0.25">
      <c r="A76" s="7">
        <v>2500074</v>
      </c>
      <c r="B76" s="8">
        <v>45681</v>
      </c>
      <c r="C76" s="7">
        <v>259</v>
      </c>
      <c r="D76" s="7" t="s">
        <v>90</v>
      </c>
      <c r="E76" s="7" t="s">
        <v>91</v>
      </c>
      <c r="F76" s="7"/>
      <c r="G76" s="9">
        <v>136.03</v>
      </c>
      <c r="H76" s="9"/>
      <c r="I76" s="9"/>
      <c r="J76" s="9"/>
      <c r="K76" s="9">
        <v>136.03</v>
      </c>
      <c r="L76" s="9">
        <v>28.57</v>
      </c>
      <c r="M76" s="9"/>
      <c r="N76" s="9"/>
      <c r="O76" s="9">
        <v>28.57</v>
      </c>
      <c r="P76" s="9"/>
      <c r="Q76" s="9"/>
      <c r="R76" s="9">
        <v>164.6</v>
      </c>
      <c r="S76" s="7" t="s">
        <v>31</v>
      </c>
      <c r="T76" s="6">
        <v>164.6</v>
      </c>
      <c r="U76" s="6"/>
      <c r="V76" s="10">
        <v>45712</v>
      </c>
      <c r="W76" t="str">
        <f t="shared" ca="1" si="1"/>
        <v>VENCIDA</v>
      </c>
    </row>
    <row r="77" spans="1:27" ht="24" x14ac:dyDescent="0.25">
      <c r="A77" s="7">
        <v>2500075</v>
      </c>
      <c r="B77" s="8">
        <v>45670</v>
      </c>
      <c r="C77" s="7">
        <v>503100012</v>
      </c>
      <c r="D77" s="7" t="s">
        <v>92</v>
      </c>
      <c r="E77" s="7" t="s">
        <v>93</v>
      </c>
      <c r="F77" s="7" t="s">
        <v>94</v>
      </c>
      <c r="G77" s="9">
        <v>-960</v>
      </c>
      <c r="H77" s="9"/>
      <c r="I77" s="9"/>
      <c r="J77" s="9"/>
      <c r="K77" s="9">
        <v>-960</v>
      </c>
      <c r="L77" s="9">
        <v>-201.6</v>
      </c>
      <c r="M77" s="9"/>
      <c r="N77" s="9"/>
      <c r="O77" s="9">
        <v>-201.6</v>
      </c>
      <c r="P77" s="9"/>
      <c r="Q77" s="9"/>
      <c r="R77" s="9">
        <v>-1161.5999999999999</v>
      </c>
      <c r="S77" s="7" t="s">
        <v>42</v>
      </c>
      <c r="T77" s="9"/>
      <c r="U77" s="6">
        <v>-1161.5999999999999</v>
      </c>
      <c r="V77" s="5">
        <v>45701</v>
      </c>
      <c r="W77" t="str">
        <f t="shared" ca="1" si="1"/>
        <v>VENCIDA</v>
      </c>
      <c r="X77">
        <v>-580.79999999999995</v>
      </c>
      <c r="Y77" s="17">
        <v>45701</v>
      </c>
      <c r="Z77">
        <v>-580.79999999999995</v>
      </c>
      <c r="AA77" s="17">
        <v>45729</v>
      </c>
    </row>
    <row r="78" spans="1:27" ht="60" x14ac:dyDescent="0.25">
      <c r="A78" s="7">
        <v>2500076</v>
      </c>
      <c r="B78" s="8">
        <v>45684</v>
      </c>
      <c r="C78" s="7">
        <v>1114907785</v>
      </c>
      <c r="D78" s="7" t="s">
        <v>36</v>
      </c>
      <c r="E78" s="7" t="s">
        <v>37</v>
      </c>
      <c r="F78" s="7" t="s">
        <v>34</v>
      </c>
      <c r="G78" s="9">
        <v>14087.1</v>
      </c>
      <c r="H78" s="9"/>
      <c r="I78" s="9"/>
      <c r="J78" s="9"/>
      <c r="K78" s="9">
        <v>14087.1</v>
      </c>
      <c r="L78" s="9">
        <v>2958.29</v>
      </c>
      <c r="M78" s="9"/>
      <c r="N78" s="9"/>
      <c r="O78" s="9">
        <v>2958.29</v>
      </c>
      <c r="P78" s="9"/>
      <c r="Q78" s="9"/>
      <c r="R78" s="9">
        <v>17045.39</v>
      </c>
      <c r="S78" s="7" t="s">
        <v>38</v>
      </c>
      <c r="T78" s="9">
        <v>17045.39</v>
      </c>
      <c r="U78" s="6"/>
      <c r="V78" s="10">
        <v>45699</v>
      </c>
      <c r="W78" t="str">
        <f t="shared" ca="1" si="1"/>
        <v>VENCIDA</v>
      </c>
    </row>
    <row r="79" spans="1:27" ht="60" x14ac:dyDescent="0.25">
      <c r="A79" s="4">
        <v>2500077</v>
      </c>
      <c r="B79" s="5">
        <v>45684</v>
      </c>
      <c r="C79" s="4">
        <v>1114906581</v>
      </c>
      <c r="D79" s="4" t="s">
        <v>36</v>
      </c>
      <c r="E79" s="4" t="s">
        <v>37</v>
      </c>
      <c r="F79" s="4" t="s">
        <v>34</v>
      </c>
      <c r="G79" s="6">
        <v>1823.79</v>
      </c>
      <c r="H79" s="6"/>
      <c r="I79" s="6"/>
      <c r="J79" s="6"/>
      <c r="K79" s="6">
        <v>1823.79</v>
      </c>
      <c r="L79" s="6">
        <v>383</v>
      </c>
      <c r="M79" s="6"/>
      <c r="N79" s="6"/>
      <c r="O79" s="6">
        <v>383</v>
      </c>
      <c r="P79" s="6"/>
      <c r="Q79" s="6"/>
      <c r="R79" s="6">
        <v>2206.79</v>
      </c>
      <c r="S79" s="4" t="s">
        <v>38</v>
      </c>
      <c r="T79" s="6">
        <v>2206.79</v>
      </c>
      <c r="U79" s="6"/>
      <c r="V79" s="10">
        <v>45693</v>
      </c>
      <c r="W79" t="str">
        <f t="shared" ca="1" si="1"/>
        <v>VENCIDA</v>
      </c>
    </row>
    <row r="80" spans="1:27" ht="24" x14ac:dyDescent="0.25">
      <c r="A80" s="4">
        <v>2500078</v>
      </c>
      <c r="B80" s="5">
        <v>45673</v>
      </c>
      <c r="C80" s="4" t="s">
        <v>122</v>
      </c>
      <c r="D80" s="4"/>
      <c r="E80" s="4" t="s">
        <v>123</v>
      </c>
      <c r="F80" s="4" t="s">
        <v>124</v>
      </c>
      <c r="G80" s="6">
        <v>41.32</v>
      </c>
      <c r="H80" s="6"/>
      <c r="I80" s="6"/>
      <c r="J80" s="6"/>
      <c r="K80" s="6">
        <v>41.32</v>
      </c>
      <c r="L80" s="6">
        <v>8.68</v>
      </c>
      <c r="M80" s="6"/>
      <c r="N80" s="6"/>
      <c r="O80" s="6">
        <v>8.68</v>
      </c>
      <c r="P80" s="6"/>
      <c r="Q80" s="6"/>
      <c r="R80" s="6">
        <v>50</v>
      </c>
      <c r="S80" s="4" t="s">
        <v>26</v>
      </c>
      <c r="T80" s="6">
        <v>50</v>
      </c>
      <c r="U80" s="6"/>
      <c r="V80" s="10">
        <v>45673</v>
      </c>
      <c r="W80" t="str">
        <f t="shared" ca="1" si="1"/>
        <v>VENCIDA</v>
      </c>
    </row>
    <row r="81" spans="1:23" ht="24" x14ac:dyDescent="0.25">
      <c r="A81" s="7">
        <v>2500079</v>
      </c>
      <c r="B81" s="8">
        <v>45672</v>
      </c>
      <c r="C81" s="7" t="s">
        <v>125</v>
      </c>
      <c r="D81" s="7" t="s">
        <v>78</v>
      </c>
      <c r="E81" s="7" t="s">
        <v>79</v>
      </c>
      <c r="F81" s="7" t="s">
        <v>80</v>
      </c>
      <c r="G81" s="9">
        <v>35.75</v>
      </c>
      <c r="H81" s="9"/>
      <c r="I81" s="9"/>
      <c r="J81" s="9">
        <v>4.18</v>
      </c>
      <c r="K81" s="9">
        <v>39.93</v>
      </c>
      <c r="L81" s="9">
        <v>7.51</v>
      </c>
      <c r="M81" s="9"/>
      <c r="N81" s="9"/>
      <c r="O81" s="9">
        <v>7.51</v>
      </c>
      <c r="P81" s="9"/>
      <c r="Q81" s="9"/>
      <c r="R81" s="9">
        <v>47.44</v>
      </c>
      <c r="S81" s="7" t="s">
        <v>26</v>
      </c>
      <c r="T81" s="9">
        <v>47.44</v>
      </c>
      <c r="U81" s="6"/>
      <c r="V81" s="10">
        <v>45672</v>
      </c>
      <c r="W81" t="str">
        <f t="shared" ca="1" si="1"/>
        <v>VENCIDA</v>
      </c>
    </row>
    <row r="82" spans="1:23" x14ac:dyDescent="0.25">
      <c r="A82" s="7">
        <v>2500080</v>
      </c>
      <c r="B82" s="8">
        <v>45674</v>
      </c>
      <c r="C82" s="7">
        <v>1901320864</v>
      </c>
      <c r="D82" s="7" t="s">
        <v>61</v>
      </c>
      <c r="E82" s="7" t="s">
        <v>62</v>
      </c>
      <c r="F82" s="7" t="s">
        <v>25</v>
      </c>
      <c r="G82" s="9">
        <v>41.32</v>
      </c>
      <c r="H82" s="9"/>
      <c r="I82" s="9"/>
      <c r="J82" s="9"/>
      <c r="K82" s="9">
        <v>41.32</v>
      </c>
      <c r="L82" s="9">
        <v>8.68</v>
      </c>
      <c r="M82" s="9"/>
      <c r="N82" s="9"/>
      <c r="O82" s="9">
        <v>8.68</v>
      </c>
      <c r="P82" s="9"/>
      <c r="Q82" s="9"/>
      <c r="R82" s="9">
        <v>50</v>
      </c>
      <c r="S82" s="7" t="s">
        <v>70</v>
      </c>
      <c r="T82" s="9">
        <v>50</v>
      </c>
      <c r="U82" s="6"/>
      <c r="V82" s="10">
        <v>45674</v>
      </c>
      <c r="W82" t="str">
        <f t="shared" ca="1" si="1"/>
        <v>VENCIDA</v>
      </c>
    </row>
    <row r="83" spans="1:23" ht="24" x14ac:dyDescent="0.25">
      <c r="A83" s="4">
        <v>2500081</v>
      </c>
      <c r="B83" s="5">
        <v>45674</v>
      </c>
      <c r="C83" s="4">
        <v>1402005921</v>
      </c>
      <c r="D83" s="4" t="s">
        <v>61</v>
      </c>
      <c r="E83" s="4" t="s">
        <v>62</v>
      </c>
      <c r="F83" s="4" t="s">
        <v>25</v>
      </c>
      <c r="G83" s="6">
        <v>57.77</v>
      </c>
      <c r="H83" s="6"/>
      <c r="I83" s="6"/>
      <c r="J83" s="6"/>
      <c r="K83" s="6">
        <v>57.77</v>
      </c>
      <c r="L83" s="6">
        <v>12.13</v>
      </c>
      <c r="M83" s="6"/>
      <c r="N83" s="6"/>
      <c r="O83" s="6">
        <v>12.13</v>
      </c>
      <c r="P83" s="6"/>
      <c r="Q83" s="6"/>
      <c r="R83" s="6">
        <v>69.900000000000006</v>
      </c>
      <c r="S83" s="4" t="s">
        <v>26</v>
      </c>
      <c r="T83" s="6">
        <v>69.900000000000006</v>
      </c>
      <c r="U83" s="6"/>
      <c r="V83" s="10">
        <v>45674</v>
      </c>
      <c r="W83" t="str">
        <f t="shared" ca="1" si="1"/>
        <v>VENCIDA</v>
      </c>
    </row>
    <row r="84" spans="1:23" ht="84" x14ac:dyDescent="0.25">
      <c r="A84" s="4">
        <v>2500082</v>
      </c>
      <c r="B84" s="5">
        <v>45677</v>
      </c>
      <c r="C84" s="4" t="s">
        <v>126</v>
      </c>
      <c r="D84" s="4" t="s">
        <v>127</v>
      </c>
      <c r="E84" s="4" t="s">
        <v>128</v>
      </c>
      <c r="F84" s="4"/>
      <c r="G84" s="6">
        <v>17.850000000000001</v>
      </c>
      <c r="H84" s="6"/>
      <c r="I84" s="6"/>
      <c r="J84" s="6"/>
      <c r="K84" s="6">
        <v>17.850000000000001</v>
      </c>
      <c r="L84" s="6">
        <v>3.75</v>
      </c>
      <c r="M84" s="6"/>
      <c r="N84" s="6"/>
      <c r="O84" s="6">
        <v>3.75</v>
      </c>
      <c r="P84" s="6"/>
      <c r="Q84" s="6"/>
      <c r="R84" s="6">
        <v>21.6</v>
      </c>
      <c r="S84" s="4" t="s">
        <v>70</v>
      </c>
      <c r="T84" s="6">
        <v>21.6</v>
      </c>
      <c r="U84" s="6"/>
      <c r="V84" s="10">
        <v>45677</v>
      </c>
      <c r="W84" t="str">
        <f t="shared" ca="1" si="1"/>
        <v>VENCIDA</v>
      </c>
    </row>
    <row r="85" spans="1:23" ht="84" x14ac:dyDescent="0.25">
      <c r="A85" s="7">
        <v>2500083</v>
      </c>
      <c r="B85" s="8">
        <v>45677</v>
      </c>
      <c r="C85" s="7" t="s">
        <v>129</v>
      </c>
      <c r="D85" s="7" t="s">
        <v>130</v>
      </c>
      <c r="E85" s="7" t="s">
        <v>131</v>
      </c>
      <c r="F85" s="7" t="s">
        <v>132</v>
      </c>
      <c r="G85" s="9">
        <v>1668.88</v>
      </c>
      <c r="H85" s="9"/>
      <c r="I85" s="9"/>
      <c r="J85" s="9"/>
      <c r="K85" s="9">
        <v>1668.88</v>
      </c>
      <c r="L85" s="9">
        <v>350.46</v>
      </c>
      <c r="M85" s="9"/>
      <c r="N85" s="9"/>
      <c r="O85" s="9">
        <v>350.46</v>
      </c>
      <c r="P85" s="9"/>
      <c r="Q85" s="9"/>
      <c r="R85" s="9">
        <v>2019.34</v>
      </c>
      <c r="S85" s="7" t="s">
        <v>35</v>
      </c>
      <c r="T85" s="6">
        <v>2019.34</v>
      </c>
      <c r="U85" s="6"/>
      <c r="V85" s="10">
        <v>45708</v>
      </c>
      <c r="W85" t="str">
        <f t="shared" ca="1" si="1"/>
        <v>VENCIDA</v>
      </c>
    </row>
    <row r="86" spans="1:23" ht="24" hidden="1" x14ac:dyDescent="0.25">
      <c r="A86" s="7">
        <v>2500084</v>
      </c>
      <c r="B86" s="8">
        <v>45657</v>
      </c>
      <c r="C86" s="7" t="s">
        <v>133</v>
      </c>
      <c r="D86" s="7" t="s">
        <v>134</v>
      </c>
      <c r="E86" s="7" t="s">
        <v>135</v>
      </c>
      <c r="F86" s="7" t="s">
        <v>136</v>
      </c>
      <c r="G86" s="9">
        <v>95.8</v>
      </c>
      <c r="H86" s="9"/>
      <c r="I86" s="9"/>
      <c r="J86" s="9"/>
      <c r="K86" s="9">
        <v>95.8</v>
      </c>
      <c r="L86" s="9">
        <v>20.12</v>
      </c>
      <c r="M86" s="9"/>
      <c r="N86" s="9"/>
      <c r="O86" s="9">
        <v>20.12</v>
      </c>
      <c r="P86" s="9"/>
      <c r="Q86" s="9"/>
      <c r="R86" s="9">
        <v>115.92</v>
      </c>
      <c r="S86" s="7" t="s">
        <v>26</v>
      </c>
      <c r="T86" s="9">
        <v>115.92</v>
      </c>
      <c r="U86" s="6"/>
      <c r="V86" s="10">
        <v>45657</v>
      </c>
      <c r="W86" t="str">
        <f t="shared" ca="1" si="1"/>
        <v>VENCIDA</v>
      </c>
    </row>
    <row r="87" spans="1:23" ht="24" x14ac:dyDescent="0.25">
      <c r="A87" s="7">
        <v>2500085</v>
      </c>
      <c r="B87" s="8">
        <v>45677</v>
      </c>
      <c r="C87" s="7">
        <v>1901321662</v>
      </c>
      <c r="D87" s="7" t="s">
        <v>61</v>
      </c>
      <c r="E87" s="7" t="s">
        <v>62</v>
      </c>
      <c r="F87" s="7" t="s">
        <v>25</v>
      </c>
      <c r="G87" s="9">
        <v>59.86</v>
      </c>
      <c r="H87" s="9"/>
      <c r="I87" s="9"/>
      <c r="J87" s="9"/>
      <c r="K87" s="9">
        <v>59.86</v>
      </c>
      <c r="L87" s="9">
        <v>12.57</v>
      </c>
      <c r="M87" s="9"/>
      <c r="N87" s="9"/>
      <c r="O87" s="9">
        <v>12.57</v>
      </c>
      <c r="P87" s="9"/>
      <c r="Q87" s="9"/>
      <c r="R87" s="9">
        <v>72.430000000000007</v>
      </c>
      <c r="S87" s="7" t="s">
        <v>26</v>
      </c>
      <c r="T87" s="9">
        <v>72.430000000000007</v>
      </c>
      <c r="U87" s="6"/>
      <c r="V87" s="10">
        <v>45677</v>
      </c>
      <c r="W87" t="str">
        <f t="shared" ca="1" si="1"/>
        <v>VENCIDA</v>
      </c>
    </row>
    <row r="88" spans="1:23" ht="24" x14ac:dyDescent="0.25">
      <c r="A88" s="4">
        <v>2500086</v>
      </c>
      <c r="B88" s="5">
        <v>45677</v>
      </c>
      <c r="C88" s="4">
        <v>1901321661</v>
      </c>
      <c r="D88" s="4" t="s">
        <v>61</v>
      </c>
      <c r="E88" s="4" t="s">
        <v>62</v>
      </c>
      <c r="F88" s="4" t="s">
        <v>25</v>
      </c>
      <c r="G88" s="6">
        <v>130.13</v>
      </c>
      <c r="H88" s="6"/>
      <c r="I88" s="6"/>
      <c r="J88" s="6"/>
      <c r="K88" s="6">
        <v>130.13</v>
      </c>
      <c r="L88" s="6">
        <v>27.33</v>
      </c>
      <c r="M88" s="6"/>
      <c r="N88" s="6"/>
      <c r="O88" s="6">
        <v>27.33</v>
      </c>
      <c r="P88" s="6"/>
      <c r="Q88" s="6"/>
      <c r="R88" s="6">
        <v>157.46</v>
      </c>
      <c r="S88" s="4" t="s">
        <v>26</v>
      </c>
      <c r="T88" s="6">
        <v>157.46</v>
      </c>
      <c r="U88" s="6"/>
      <c r="V88" s="10">
        <v>45677</v>
      </c>
      <c r="W88" t="str">
        <f t="shared" ca="1" si="1"/>
        <v>VENCIDA</v>
      </c>
    </row>
    <row r="89" spans="1:23" x14ac:dyDescent="0.25">
      <c r="A89" s="7">
        <v>2500087</v>
      </c>
      <c r="B89" s="8">
        <v>45679</v>
      </c>
      <c r="C89" s="7">
        <v>1901322733</v>
      </c>
      <c r="D89" s="7" t="s">
        <v>61</v>
      </c>
      <c r="E89" s="7" t="s">
        <v>62</v>
      </c>
      <c r="F89" s="7" t="s">
        <v>25</v>
      </c>
      <c r="G89" s="9">
        <v>16.53</v>
      </c>
      <c r="H89" s="9"/>
      <c r="I89" s="9"/>
      <c r="J89" s="9"/>
      <c r="K89" s="9">
        <v>16.53</v>
      </c>
      <c r="L89" s="9">
        <v>3.47</v>
      </c>
      <c r="M89" s="9"/>
      <c r="N89" s="9"/>
      <c r="O89" s="9">
        <v>3.47</v>
      </c>
      <c r="P89" s="9"/>
      <c r="Q89" s="9"/>
      <c r="R89" s="9">
        <v>20</v>
      </c>
      <c r="S89" s="7" t="s">
        <v>70</v>
      </c>
      <c r="T89" s="9">
        <v>20</v>
      </c>
      <c r="U89" s="6"/>
      <c r="V89" s="10">
        <v>45679</v>
      </c>
      <c r="W89" t="str">
        <f t="shared" ca="1" si="1"/>
        <v>VENCIDA</v>
      </c>
    </row>
    <row r="90" spans="1:23" ht="48" x14ac:dyDescent="0.25">
      <c r="A90" s="4">
        <v>2500088</v>
      </c>
      <c r="B90" s="5">
        <v>45679</v>
      </c>
      <c r="C90" s="4">
        <v>734</v>
      </c>
      <c r="D90" s="4" t="s">
        <v>71</v>
      </c>
      <c r="E90" s="4" t="s">
        <v>72</v>
      </c>
      <c r="F90" s="4" t="s">
        <v>73</v>
      </c>
      <c r="G90" s="6">
        <v>1.61</v>
      </c>
      <c r="H90" s="6"/>
      <c r="I90" s="6"/>
      <c r="J90" s="6"/>
      <c r="K90" s="6">
        <v>1.61</v>
      </c>
      <c r="L90" s="6">
        <v>0.34</v>
      </c>
      <c r="M90" s="6"/>
      <c r="N90" s="6"/>
      <c r="O90" s="6">
        <v>0.34</v>
      </c>
      <c r="P90" s="6"/>
      <c r="Q90" s="6"/>
      <c r="R90" s="6">
        <v>1.95</v>
      </c>
      <c r="S90" s="4" t="s">
        <v>70</v>
      </c>
      <c r="T90" s="6">
        <v>1.95</v>
      </c>
      <c r="U90" s="6"/>
      <c r="V90" s="10">
        <v>45679</v>
      </c>
      <c r="W90" t="str">
        <f t="shared" ca="1" si="1"/>
        <v>VENCIDA</v>
      </c>
    </row>
    <row r="91" spans="1:23" x14ac:dyDescent="0.25">
      <c r="A91" s="4">
        <v>2500089</v>
      </c>
      <c r="B91" s="5">
        <v>45679</v>
      </c>
      <c r="C91" s="4" t="s">
        <v>137</v>
      </c>
      <c r="D91" s="4" t="s">
        <v>78</v>
      </c>
      <c r="E91" s="4" t="s">
        <v>79</v>
      </c>
      <c r="F91" s="4" t="s">
        <v>80</v>
      </c>
      <c r="G91" s="6">
        <v>33.65</v>
      </c>
      <c r="H91" s="6"/>
      <c r="I91" s="6"/>
      <c r="J91" s="6">
        <v>4.18</v>
      </c>
      <c r="K91" s="6">
        <v>37.83</v>
      </c>
      <c r="L91" s="6">
        <v>7.07</v>
      </c>
      <c r="M91" s="6"/>
      <c r="N91" s="6"/>
      <c r="O91" s="6">
        <v>7.07</v>
      </c>
      <c r="P91" s="6"/>
      <c r="Q91" s="6"/>
      <c r="R91" s="6">
        <v>44.9</v>
      </c>
      <c r="S91" s="4" t="s">
        <v>70</v>
      </c>
      <c r="T91" s="6">
        <v>44.9</v>
      </c>
      <c r="U91" s="6"/>
      <c r="V91" s="10">
        <v>45679</v>
      </c>
      <c r="W91" t="str">
        <f t="shared" ca="1" si="1"/>
        <v>VENCIDA</v>
      </c>
    </row>
    <row r="92" spans="1:23" x14ac:dyDescent="0.25">
      <c r="A92" s="7">
        <v>2500090</v>
      </c>
      <c r="B92" s="8">
        <v>45679</v>
      </c>
      <c r="C92" s="7" t="s">
        <v>138</v>
      </c>
      <c r="D92" s="7" t="s">
        <v>78</v>
      </c>
      <c r="E92" s="7" t="s">
        <v>79</v>
      </c>
      <c r="F92" s="7" t="s">
        <v>80</v>
      </c>
      <c r="G92" s="9">
        <v>33.65</v>
      </c>
      <c r="H92" s="9"/>
      <c r="I92" s="9"/>
      <c r="J92" s="9">
        <v>4.18</v>
      </c>
      <c r="K92" s="9">
        <v>37.83</v>
      </c>
      <c r="L92" s="9">
        <v>7.07</v>
      </c>
      <c r="M92" s="9"/>
      <c r="N92" s="9"/>
      <c r="O92" s="9">
        <v>7.07</v>
      </c>
      <c r="P92" s="9"/>
      <c r="Q92" s="9"/>
      <c r="R92" s="9">
        <v>44.9</v>
      </c>
      <c r="S92" s="7" t="s">
        <v>70</v>
      </c>
      <c r="T92" s="9">
        <v>44.9</v>
      </c>
      <c r="U92" s="6"/>
      <c r="V92" s="10">
        <v>45679</v>
      </c>
      <c r="W92" t="str">
        <f t="shared" ca="1" si="1"/>
        <v>VENCIDA</v>
      </c>
    </row>
    <row r="93" spans="1:23" ht="48" hidden="1" x14ac:dyDescent="0.25">
      <c r="A93" s="4">
        <v>2500091</v>
      </c>
      <c r="B93" s="5">
        <v>45679</v>
      </c>
      <c r="C93" s="4">
        <v>254200211</v>
      </c>
      <c r="D93" s="4" t="s">
        <v>139</v>
      </c>
      <c r="E93" s="4" t="s">
        <v>140</v>
      </c>
      <c r="F93" s="4" t="s">
        <v>73</v>
      </c>
      <c r="G93" s="6">
        <v>27.02</v>
      </c>
      <c r="H93" s="6"/>
      <c r="I93" s="6"/>
      <c r="J93" s="6"/>
      <c r="K93" s="6">
        <v>27.02</v>
      </c>
      <c r="L93" s="6">
        <v>5.67</v>
      </c>
      <c r="M93" s="6"/>
      <c r="N93" s="6"/>
      <c r="O93" s="6">
        <v>5.67</v>
      </c>
      <c r="P93" s="6"/>
      <c r="Q93" s="6"/>
      <c r="R93" s="6">
        <v>32.69</v>
      </c>
      <c r="S93" s="4" t="s">
        <v>31</v>
      </c>
      <c r="T93" s="6"/>
      <c r="U93" s="6">
        <v>32.69</v>
      </c>
      <c r="V93" s="5">
        <v>45739</v>
      </c>
      <c r="W93" t="str">
        <f t="shared" ca="1" si="1"/>
        <v/>
      </c>
    </row>
    <row r="94" spans="1:23" ht="48" hidden="1" x14ac:dyDescent="0.25">
      <c r="A94" s="7">
        <v>2500092</v>
      </c>
      <c r="B94" s="8">
        <v>45679</v>
      </c>
      <c r="C94" s="7">
        <v>254600030</v>
      </c>
      <c r="D94" s="7" t="s">
        <v>139</v>
      </c>
      <c r="E94" s="7" t="s">
        <v>140</v>
      </c>
      <c r="F94" s="7" t="s">
        <v>73</v>
      </c>
      <c r="G94" s="9">
        <v>-144.54</v>
      </c>
      <c r="H94" s="9"/>
      <c r="I94" s="9"/>
      <c r="J94" s="9"/>
      <c r="K94" s="9">
        <v>-144.54</v>
      </c>
      <c r="L94" s="9">
        <v>-30.35</v>
      </c>
      <c r="M94" s="9"/>
      <c r="N94" s="9"/>
      <c r="O94" s="9">
        <v>-30.35</v>
      </c>
      <c r="P94" s="9"/>
      <c r="Q94" s="9"/>
      <c r="R94" s="9">
        <v>-174.89</v>
      </c>
      <c r="S94" s="7" t="s">
        <v>31</v>
      </c>
      <c r="T94" s="9"/>
      <c r="U94" s="6">
        <v>-174.89</v>
      </c>
      <c r="V94" s="5">
        <v>45738</v>
      </c>
      <c r="W94" t="str">
        <f t="shared" ca="1" si="1"/>
        <v/>
      </c>
    </row>
    <row r="95" spans="1:23" x14ac:dyDescent="0.25">
      <c r="A95" s="4">
        <v>2500093</v>
      </c>
      <c r="B95" s="5">
        <v>45680</v>
      </c>
      <c r="C95" s="4">
        <v>1901322949</v>
      </c>
      <c r="D95" s="4" t="s">
        <v>61</v>
      </c>
      <c r="E95" s="4" t="s">
        <v>62</v>
      </c>
      <c r="F95" s="4" t="s">
        <v>25</v>
      </c>
      <c r="G95" s="6">
        <v>41.32</v>
      </c>
      <c r="H95" s="6"/>
      <c r="I95" s="6"/>
      <c r="J95" s="6"/>
      <c r="K95" s="6">
        <v>41.32</v>
      </c>
      <c r="L95" s="6">
        <v>8.68</v>
      </c>
      <c r="M95" s="6"/>
      <c r="N95" s="6"/>
      <c r="O95" s="6">
        <v>8.68</v>
      </c>
      <c r="P95" s="6"/>
      <c r="Q95" s="6"/>
      <c r="R95" s="6">
        <v>50</v>
      </c>
      <c r="S95" s="4" t="s">
        <v>70</v>
      </c>
      <c r="T95" s="6">
        <v>50</v>
      </c>
      <c r="U95" s="6"/>
      <c r="V95" s="10">
        <v>45680</v>
      </c>
      <c r="W95" t="str">
        <f t="shared" ca="1" si="1"/>
        <v>VENCIDA</v>
      </c>
    </row>
    <row r="96" spans="1:23" ht="48" x14ac:dyDescent="0.25">
      <c r="A96" s="4">
        <v>2500094</v>
      </c>
      <c r="B96" s="5">
        <v>45679</v>
      </c>
      <c r="C96" s="4" t="s">
        <v>141</v>
      </c>
      <c r="D96" s="4" t="s">
        <v>142</v>
      </c>
      <c r="E96" s="4" t="s">
        <v>143</v>
      </c>
      <c r="F96" s="4" t="s">
        <v>144</v>
      </c>
      <c r="G96" s="6"/>
      <c r="H96" s="6">
        <v>40.909999999999997</v>
      </c>
      <c r="I96" s="6"/>
      <c r="J96" s="6"/>
      <c r="K96" s="6">
        <v>40.909999999999997</v>
      </c>
      <c r="L96" s="6"/>
      <c r="M96" s="6">
        <v>4.09</v>
      </c>
      <c r="N96" s="6"/>
      <c r="O96" s="6">
        <v>4.09</v>
      </c>
      <c r="P96" s="6"/>
      <c r="Q96" s="6"/>
      <c r="R96" s="6">
        <v>45</v>
      </c>
      <c r="S96" s="4" t="s">
        <v>26</v>
      </c>
      <c r="T96" s="6">
        <v>45</v>
      </c>
      <c r="U96" s="6"/>
      <c r="V96" s="10">
        <v>45679</v>
      </c>
      <c r="W96" t="str">
        <f t="shared" ca="1" si="1"/>
        <v>VENCIDA</v>
      </c>
    </row>
    <row r="97" spans="1:23" x14ac:dyDescent="0.25">
      <c r="A97" s="7">
        <v>2500095</v>
      </c>
      <c r="B97" s="8">
        <v>45681</v>
      </c>
      <c r="C97" s="7">
        <v>1901323430</v>
      </c>
      <c r="D97" s="7" t="s">
        <v>61</v>
      </c>
      <c r="E97" s="7" t="s">
        <v>62</v>
      </c>
      <c r="F97" s="7" t="s">
        <v>25</v>
      </c>
      <c r="G97" s="9">
        <v>41.32</v>
      </c>
      <c r="H97" s="9"/>
      <c r="I97" s="9"/>
      <c r="J97" s="9"/>
      <c r="K97" s="9">
        <v>41.32</v>
      </c>
      <c r="L97" s="9">
        <v>8.68</v>
      </c>
      <c r="M97" s="9"/>
      <c r="N97" s="9"/>
      <c r="O97" s="9">
        <v>8.68</v>
      </c>
      <c r="P97" s="9"/>
      <c r="Q97" s="9"/>
      <c r="R97" s="9">
        <v>50</v>
      </c>
      <c r="S97" s="7" t="s">
        <v>70</v>
      </c>
      <c r="T97" s="9">
        <v>50</v>
      </c>
      <c r="U97" s="6"/>
      <c r="V97" s="10">
        <v>45681</v>
      </c>
      <c r="W97" t="str">
        <f t="shared" ca="1" si="1"/>
        <v>VENCIDA</v>
      </c>
    </row>
    <row r="98" spans="1:23" ht="84" x14ac:dyDescent="0.25">
      <c r="A98" s="4">
        <v>2500096</v>
      </c>
      <c r="B98" s="5">
        <v>45681</v>
      </c>
      <c r="C98" s="4" t="s">
        <v>145</v>
      </c>
      <c r="D98" s="4" t="s">
        <v>146</v>
      </c>
      <c r="E98" s="4" t="s">
        <v>147</v>
      </c>
      <c r="F98" s="4" t="s">
        <v>25</v>
      </c>
      <c r="G98" s="6">
        <v>16.53</v>
      </c>
      <c r="H98" s="6"/>
      <c r="I98" s="6"/>
      <c r="J98" s="6"/>
      <c r="K98" s="6">
        <v>16.53</v>
      </c>
      <c r="L98" s="6">
        <v>3.47</v>
      </c>
      <c r="M98" s="6"/>
      <c r="N98" s="6"/>
      <c r="O98" s="6">
        <v>3.47</v>
      </c>
      <c r="P98" s="6"/>
      <c r="Q98" s="6"/>
      <c r="R98" s="6">
        <v>20</v>
      </c>
      <c r="S98" s="4" t="s">
        <v>70</v>
      </c>
      <c r="T98" s="6">
        <v>20</v>
      </c>
      <c r="U98" s="6"/>
      <c r="V98" s="10">
        <v>45681</v>
      </c>
      <c r="W98" t="str">
        <f t="shared" ca="1" si="1"/>
        <v>VENCIDA</v>
      </c>
    </row>
    <row r="99" spans="1:23" ht="36" x14ac:dyDescent="0.25">
      <c r="A99" s="4">
        <v>2500097</v>
      </c>
      <c r="B99" s="5">
        <v>45682</v>
      </c>
      <c r="C99" s="4" t="s">
        <v>148</v>
      </c>
      <c r="D99" s="4" t="s">
        <v>149</v>
      </c>
      <c r="E99" s="4" t="s">
        <v>150</v>
      </c>
      <c r="F99" s="4" t="s">
        <v>151</v>
      </c>
      <c r="G99" s="6">
        <v>117</v>
      </c>
      <c r="H99" s="6"/>
      <c r="I99" s="6"/>
      <c r="J99" s="6"/>
      <c r="K99" s="6">
        <v>117</v>
      </c>
      <c r="L99" s="6">
        <v>24.57</v>
      </c>
      <c r="M99" s="6"/>
      <c r="N99" s="6"/>
      <c r="O99" s="6">
        <v>24.57</v>
      </c>
      <c r="P99" s="6"/>
      <c r="Q99" s="6"/>
      <c r="R99" s="6">
        <v>141.57</v>
      </c>
      <c r="S99" s="4" t="s">
        <v>42</v>
      </c>
      <c r="T99" s="6">
        <v>141.57</v>
      </c>
      <c r="U99" s="6"/>
      <c r="V99" s="10">
        <v>45686</v>
      </c>
      <c r="W99" t="str">
        <f t="shared" ca="1" si="1"/>
        <v>VENCIDA</v>
      </c>
    </row>
    <row r="100" spans="1:23" ht="24" x14ac:dyDescent="0.25">
      <c r="A100" s="4">
        <v>2500098</v>
      </c>
      <c r="B100" s="5">
        <v>45684</v>
      </c>
      <c r="C100" s="4">
        <v>1401205105</v>
      </c>
      <c r="D100" s="4" t="s">
        <v>61</v>
      </c>
      <c r="E100" s="4" t="s">
        <v>62</v>
      </c>
      <c r="F100" s="4" t="s">
        <v>25</v>
      </c>
      <c r="G100" s="6">
        <v>50.26</v>
      </c>
      <c r="H100" s="6"/>
      <c r="I100" s="6"/>
      <c r="J100" s="6">
        <v>0.01</v>
      </c>
      <c r="K100" s="6">
        <v>50.27</v>
      </c>
      <c r="L100" s="6">
        <v>10.55</v>
      </c>
      <c r="M100" s="6"/>
      <c r="N100" s="6"/>
      <c r="O100" s="6">
        <v>10.55</v>
      </c>
      <c r="P100" s="6"/>
      <c r="Q100" s="6"/>
      <c r="R100" s="6">
        <v>60.82</v>
      </c>
      <c r="S100" s="4" t="s">
        <v>26</v>
      </c>
      <c r="T100" s="6">
        <v>60.82</v>
      </c>
      <c r="U100" s="6"/>
      <c r="V100" s="10">
        <v>45684</v>
      </c>
      <c r="W100" t="str">
        <f t="shared" ca="1" si="1"/>
        <v>VENCIDA</v>
      </c>
    </row>
    <row r="101" spans="1:23" ht="48" x14ac:dyDescent="0.25">
      <c r="A101" s="4">
        <v>2500099</v>
      </c>
      <c r="B101" s="5">
        <v>45682</v>
      </c>
      <c r="C101" s="4" t="s">
        <v>152</v>
      </c>
      <c r="D101" s="4" t="s">
        <v>153</v>
      </c>
      <c r="E101" s="4" t="s">
        <v>154</v>
      </c>
      <c r="F101" s="4" t="s">
        <v>155</v>
      </c>
      <c r="G101" s="6">
        <v>51.6</v>
      </c>
      <c r="H101" s="6"/>
      <c r="I101" s="6"/>
      <c r="J101" s="6"/>
      <c r="K101" s="6">
        <v>51.6</v>
      </c>
      <c r="L101" s="6">
        <v>10.84</v>
      </c>
      <c r="M101" s="6"/>
      <c r="N101" s="6"/>
      <c r="O101" s="6">
        <v>10.84</v>
      </c>
      <c r="P101" s="6"/>
      <c r="Q101" s="6"/>
      <c r="R101" s="6">
        <v>62.44</v>
      </c>
      <c r="S101" s="4" t="s">
        <v>156</v>
      </c>
      <c r="T101" s="6">
        <v>62.44</v>
      </c>
      <c r="U101" s="6"/>
      <c r="V101" s="10">
        <v>45687</v>
      </c>
      <c r="W101" t="str">
        <f t="shared" ca="1" si="1"/>
        <v>VENCIDA</v>
      </c>
    </row>
    <row r="102" spans="1:23" ht="24" x14ac:dyDescent="0.25">
      <c r="A102" s="7">
        <v>2500100</v>
      </c>
      <c r="B102" s="8">
        <v>45684</v>
      </c>
      <c r="C102" s="7">
        <v>1901324281</v>
      </c>
      <c r="D102" s="7" t="s">
        <v>61</v>
      </c>
      <c r="E102" s="7" t="s">
        <v>62</v>
      </c>
      <c r="F102" s="7" t="s">
        <v>25</v>
      </c>
      <c r="G102" s="9">
        <v>126.6</v>
      </c>
      <c r="H102" s="9"/>
      <c r="I102" s="9"/>
      <c r="J102" s="9"/>
      <c r="K102" s="9">
        <v>126.6</v>
      </c>
      <c r="L102" s="9">
        <v>26.59</v>
      </c>
      <c r="M102" s="9"/>
      <c r="N102" s="9"/>
      <c r="O102" s="9">
        <v>26.59</v>
      </c>
      <c r="P102" s="9"/>
      <c r="Q102" s="9"/>
      <c r="R102" s="9">
        <v>153.19</v>
      </c>
      <c r="S102" s="7" t="s">
        <v>26</v>
      </c>
      <c r="T102" s="9">
        <v>153.19</v>
      </c>
      <c r="U102" s="6"/>
      <c r="V102" s="10">
        <v>45684</v>
      </c>
      <c r="W102" t="str">
        <f t="shared" ca="1" si="1"/>
        <v>VENCIDA</v>
      </c>
    </row>
    <row r="103" spans="1:23" ht="48" x14ac:dyDescent="0.25">
      <c r="A103" s="4">
        <v>2500101</v>
      </c>
      <c r="B103" s="5">
        <v>45685</v>
      </c>
      <c r="C103" s="4">
        <v>828</v>
      </c>
      <c r="D103" s="4" t="s">
        <v>157</v>
      </c>
      <c r="E103" s="4" t="s">
        <v>158</v>
      </c>
      <c r="F103" s="4" t="s">
        <v>159</v>
      </c>
      <c r="G103" s="6">
        <v>4.05</v>
      </c>
      <c r="H103" s="6"/>
      <c r="I103" s="6"/>
      <c r="J103" s="6"/>
      <c r="K103" s="6">
        <v>4.05</v>
      </c>
      <c r="L103" s="6">
        <v>0.85</v>
      </c>
      <c r="M103" s="6"/>
      <c r="N103" s="6"/>
      <c r="O103" s="6">
        <v>0.85</v>
      </c>
      <c r="P103" s="6"/>
      <c r="Q103" s="6"/>
      <c r="R103" s="6">
        <v>4.9000000000000004</v>
      </c>
      <c r="S103" s="4" t="s">
        <v>70</v>
      </c>
      <c r="T103" s="6">
        <v>4.9000000000000004</v>
      </c>
      <c r="U103" s="6"/>
      <c r="V103" s="10">
        <v>45685</v>
      </c>
      <c r="W103" t="str">
        <f t="shared" ca="1" si="1"/>
        <v>VENCIDA</v>
      </c>
    </row>
    <row r="104" spans="1:23" ht="48" x14ac:dyDescent="0.25">
      <c r="A104" s="7">
        <v>2500102</v>
      </c>
      <c r="B104" s="8">
        <v>45671</v>
      </c>
      <c r="C104" s="7">
        <v>74667</v>
      </c>
      <c r="D104" s="7" t="s">
        <v>157</v>
      </c>
      <c r="E104" s="7" t="s">
        <v>158</v>
      </c>
      <c r="F104" s="7" t="s">
        <v>159</v>
      </c>
      <c r="G104" s="9">
        <v>2.64</v>
      </c>
      <c r="H104" s="9"/>
      <c r="I104" s="9"/>
      <c r="J104" s="9">
        <v>0.01</v>
      </c>
      <c r="K104" s="9">
        <v>2.65</v>
      </c>
      <c r="L104" s="9">
        <v>0.55000000000000004</v>
      </c>
      <c r="M104" s="9"/>
      <c r="N104" s="9"/>
      <c r="O104" s="9">
        <v>0.55000000000000004</v>
      </c>
      <c r="P104" s="9"/>
      <c r="Q104" s="9"/>
      <c r="R104" s="9">
        <v>3.2</v>
      </c>
      <c r="S104" s="7" t="s">
        <v>26</v>
      </c>
      <c r="T104" s="9">
        <v>3.2</v>
      </c>
      <c r="U104" s="6"/>
      <c r="V104" s="10">
        <v>45671</v>
      </c>
      <c r="W104" t="str">
        <f t="shared" ca="1" si="1"/>
        <v>VENCIDA</v>
      </c>
    </row>
    <row r="105" spans="1:23" ht="60" x14ac:dyDescent="0.25">
      <c r="A105" s="4">
        <v>2500103</v>
      </c>
      <c r="B105" s="5">
        <v>45685</v>
      </c>
      <c r="C105" s="13">
        <v>512004320</v>
      </c>
      <c r="D105" s="4" t="s">
        <v>160</v>
      </c>
      <c r="E105" s="4" t="s">
        <v>161</v>
      </c>
      <c r="F105" s="4" t="s">
        <v>84</v>
      </c>
      <c r="G105" s="6">
        <v>38.51</v>
      </c>
      <c r="H105" s="6"/>
      <c r="I105" s="6"/>
      <c r="J105" s="6"/>
      <c r="K105" s="6">
        <v>38.51</v>
      </c>
      <c r="L105" s="6">
        <v>8.09</v>
      </c>
      <c r="M105" s="6"/>
      <c r="N105" s="6"/>
      <c r="O105" s="6">
        <v>8.09</v>
      </c>
      <c r="P105" s="6"/>
      <c r="Q105" s="6"/>
      <c r="R105" s="6">
        <v>46.6</v>
      </c>
      <c r="S105" s="4" t="s">
        <v>70</v>
      </c>
      <c r="T105" s="6">
        <v>46.6</v>
      </c>
      <c r="U105" s="6"/>
      <c r="V105" s="10">
        <v>45685</v>
      </c>
      <c r="W105" t="str">
        <f t="shared" ca="1" si="1"/>
        <v>VENCIDA</v>
      </c>
    </row>
    <row r="106" spans="1:23" ht="48" x14ac:dyDescent="0.25">
      <c r="A106" s="4">
        <v>2500104</v>
      </c>
      <c r="B106" s="5">
        <v>45678</v>
      </c>
      <c r="C106" s="4">
        <v>453338</v>
      </c>
      <c r="D106" s="4" t="s">
        <v>23</v>
      </c>
      <c r="E106" s="4" t="s">
        <v>24</v>
      </c>
      <c r="F106" s="4" t="s">
        <v>25</v>
      </c>
      <c r="G106" s="6">
        <v>57.16</v>
      </c>
      <c r="H106" s="6"/>
      <c r="I106" s="6"/>
      <c r="J106" s="6"/>
      <c r="K106" s="6">
        <v>57.16</v>
      </c>
      <c r="L106" s="6">
        <v>12</v>
      </c>
      <c r="M106" s="6"/>
      <c r="N106" s="6"/>
      <c r="O106" s="6">
        <v>12</v>
      </c>
      <c r="P106" s="6"/>
      <c r="Q106" s="6"/>
      <c r="R106" s="6">
        <v>69.16</v>
      </c>
      <c r="S106" s="4" t="s">
        <v>26</v>
      </c>
      <c r="T106" s="6">
        <v>69.16</v>
      </c>
      <c r="U106" s="6"/>
      <c r="V106" s="10">
        <v>45678</v>
      </c>
      <c r="W106" t="str">
        <f t="shared" ca="1" si="1"/>
        <v>VENCIDA</v>
      </c>
    </row>
    <row r="107" spans="1:23" ht="48" x14ac:dyDescent="0.25">
      <c r="A107" s="7">
        <v>2500105</v>
      </c>
      <c r="B107" s="8">
        <v>45678</v>
      </c>
      <c r="C107" s="7">
        <v>453336</v>
      </c>
      <c r="D107" s="7" t="s">
        <v>23</v>
      </c>
      <c r="E107" s="7" t="s">
        <v>24</v>
      </c>
      <c r="F107" s="7" t="s">
        <v>25</v>
      </c>
      <c r="G107" s="9">
        <v>82.64</v>
      </c>
      <c r="H107" s="9"/>
      <c r="I107" s="9"/>
      <c r="J107" s="9">
        <v>0.01</v>
      </c>
      <c r="K107" s="9">
        <v>82.65</v>
      </c>
      <c r="L107" s="9">
        <v>17.350000000000001</v>
      </c>
      <c r="M107" s="9"/>
      <c r="N107" s="9"/>
      <c r="O107" s="9">
        <v>17.350000000000001</v>
      </c>
      <c r="P107" s="9"/>
      <c r="Q107" s="9"/>
      <c r="R107" s="9">
        <v>100</v>
      </c>
      <c r="S107" s="7" t="s">
        <v>26</v>
      </c>
      <c r="T107" s="9">
        <v>100</v>
      </c>
      <c r="U107" s="6"/>
      <c r="V107" s="10">
        <v>45678</v>
      </c>
      <c r="W107" t="str">
        <f t="shared" ca="1" si="1"/>
        <v>VENCIDA</v>
      </c>
    </row>
    <row r="108" spans="1:23" ht="48" x14ac:dyDescent="0.25">
      <c r="A108" s="4">
        <v>2500106</v>
      </c>
      <c r="B108" s="5">
        <v>45685</v>
      </c>
      <c r="C108" s="4">
        <v>590663</v>
      </c>
      <c r="D108" s="4" t="s">
        <v>23</v>
      </c>
      <c r="E108" s="4" t="s">
        <v>24</v>
      </c>
      <c r="F108" s="4" t="s">
        <v>25</v>
      </c>
      <c r="G108" s="6">
        <v>8.2799999999999994</v>
      </c>
      <c r="H108" s="6"/>
      <c r="I108" s="6"/>
      <c r="J108" s="6"/>
      <c r="K108" s="6">
        <v>8.2799999999999994</v>
      </c>
      <c r="L108" s="6">
        <v>1.74</v>
      </c>
      <c r="M108" s="6"/>
      <c r="N108" s="6"/>
      <c r="O108" s="6">
        <v>1.74</v>
      </c>
      <c r="P108" s="6"/>
      <c r="Q108" s="6"/>
      <c r="R108" s="6">
        <v>10.02</v>
      </c>
      <c r="S108" s="4" t="s">
        <v>26</v>
      </c>
      <c r="T108" s="6">
        <v>10.02</v>
      </c>
      <c r="U108" s="6"/>
      <c r="V108" s="10">
        <v>45685</v>
      </c>
      <c r="W108" t="str">
        <f t="shared" ca="1" si="1"/>
        <v>VENCIDA</v>
      </c>
    </row>
    <row r="109" spans="1:23" ht="48" x14ac:dyDescent="0.25">
      <c r="A109" s="7">
        <v>2500107</v>
      </c>
      <c r="B109" s="8">
        <v>45685</v>
      </c>
      <c r="C109" s="7">
        <v>590666</v>
      </c>
      <c r="D109" s="7" t="s">
        <v>23</v>
      </c>
      <c r="E109" s="7" t="s">
        <v>24</v>
      </c>
      <c r="F109" s="7" t="s">
        <v>25</v>
      </c>
      <c r="G109" s="9">
        <v>77.47</v>
      </c>
      <c r="H109" s="9"/>
      <c r="I109" s="9"/>
      <c r="J109" s="9"/>
      <c r="K109" s="9">
        <v>77.47</v>
      </c>
      <c r="L109" s="9">
        <v>16.27</v>
      </c>
      <c r="M109" s="9"/>
      <c r="N109" s="9"/>
      <c r="O109" s="9">
        <v>16.27</v>
      </c>
      <c r="P109" s="9"/>
      <c r="Q109" s="9"/>
      <c r="R109" s="9">
        <v>93.74</v>
      </c>
      <c r="S109" s="7" t="s">
        <v>26</v>
      </c>
      <c r="T109" s="9">
        <v>93.74</v>
      </c>
      <c r="U109" s="6"/>
      <c r="V109" s="10">
        <v>45685</v>
      </c>
      <c r="W109" t="str">
        <f t="shared" ca="1" si="1"/>
        <v>VENCIDA</v>
      </c>
    </row>
    <row r="110" spans="1:23" ht="48" x14ac:dyDescent="0.25">
      <c r="A110" s="4">
        <v>2500108</v>
      </c>
      <c r="B110" s="5">
        <v>45685</v>
      </c>
      <c r="C110" s="4">
        <v>742010</v>
      </c>
      <c r="D110" s="4" t="s">
        <v>23</v>
      </c>
      <c r="E110" s="4" t="s">
        <v>24</v>
      </c>
      <c r="F110" s="4" t="s">
        <v>25</v>
      </c>
      <c r="G110" s="6">
        <v>54.55</v>
      </c>
      <c r="H110" s="6"/>
      <c r="I110" s="6"/>
      <c r="J110" s="6"/>
      <c r="K110" s="6">
        <v>54.55</v>
      </c>
      <c r="L110" s="6">
        <v>11.46</v>
      </c>
      <c r="M110" s="6"/>
      <c r="N110" s="6"/>
      <c r="O110" s="6">
        <v>11.46</v>
      </c>
      <c r="P110" s="6"/>
      <c r="Q110" s="6"/>
      <c r="R110" s="6">
        <v>66.010000000000005</v>
      </c>
      <c r="S110" s="4" t="s">
        <v>26</v>
      </c>
      <c r="T110" s="6">
        <v>66.010000000000005</v>
      </c>
      <c r="U110" s="6"/>
      <c r="V110" s="10">
        <v>45685</v>
      </c>
      <c r="W110" t="str">
        <f t="shared" ca="1" si="1"/>
        <v>VENCIDA</v>
      </c>
    </row>
    <row r="111" spans="1:23" ht="48" x14ac:dyDescent="0.25">
      <c r="A111" s="7">
        <v>2500109</v>
      </c>
      <c r="B111" s="8">
        <v>45685</v>
      </c>
      <c r="C111" s="7">
        <v>454968</v>
      </c>
      <c r="D111" s="7" t="s">
        <v>23</v>
      </c>
      <c r="E111" s="7" t="s">
        <v>24</v>
      </c>
      <c r="F111" s="7" t="s">
        <v>25</v>
      </c>
      <c r="G111" s="9">
        <v>71.260000000000005</v>
      </c>
      <c r="H111" s="9"/>
      <c r="I111" s="9"/>
      <c r="J111" s="9">
        <v>0.01</v>
      </c>
      <c r="K111" s="9">
        <v>71.27</v>
      </c>
      <c r="L111" s="9">
        <v>14.96</v>
      </c>
      <c r="M111" s="9"/>
      <c r="N111" s="9"/>
      <c r="O111" s="9">
        <v>14.96</v>
      </c>
      <c r="P111" s="9"/>
      <c r="Q111" s="9"/>
      <c r="R111" s="9">
        <v>86.23</v>
      </c>
      <c r="S111" s="7" t="s">
        <v>26</v>
      </c>
      <c r="T111" s="9">
        <v>86.23</v>
      </c>
      <c r="U111" s="6"/>
      <c r="V111" s="10">
        <v>45685</v>
      </c>
      <c r="W111" t="str">
        <f t="shared" ca="1" si="1"/>
        <v>VENCIDA</v>
      </c>
    </row>
    <row r="112" spans="1:23" ht="48" x14ac:dyDescent="0.25">
      <c r="A112" s="4">
        <v>2500110</v>
      </c>
      <c r="B112" s="5">
        <v>45685</v>
      </c>
      <c r="C112" s="4">
        <v>590665</v>
      </c>
      <c r="D112" s="4" t="s">
        <v>23</v>
      </c>
      <c r="E112" s="4" t="s">
        <v>24</v>
      </c>
      <c r="F112" s="4" t="s">
        <v>25</v>
      </c>
      <c r="G112" s="6">
        <v>55.41</v>
      </c>
      <c r="H112" s="6"/>
      <c r="I112" s="6"/>
      <c r="J112" s="6"/>
      <c r="K112" s="6">
        <v>55.41</v>
      </c>
      <c r="L112" s="6">
        <v>11.64</v>
      </c>
      <c r="M112" s="6"/>
      <c r="N112" s="6"/>
      <c r="O112" s="6">
        <v>11.64</v>
      </c>
      <c r="P112" s="6"/>
      <c r="Q112" s="6"/>
      <c r="R112" s="6">
        <v>67.05</v>
      </c>
      <c r="S112" s="4" t="s">
        <v>26</v>
      </c>
      <c r="T112" s="6">
        <v>67.05</v>
      </c>
      <c r="U112" s="6"/>
      <c r="V112" s="10">
        <v>45685</v>
      </c>
      <c r="W112" t="str">
        <f t="shared" ca="1" si="1"/>
        <v>VENCIDA</v>
      </c>
    </row>
    <row r="113" spans="1:27" ht="48" x14ac:dyDescent="0.25">
      <c r="A113" s="7">
        <v>2500111</v>
      </c>
      <c r="B113" s="8">
        <v>45685</v>
      </c>
      <c r="C113" s="7">
        <v>590664</v>
      </c>
      <c r="D113" s="7" t="s">
        <v>23</v>
      </c>
      <c r="E113" s="7" t="s">
        <v>24</v>
      </c>
      <c r="F113" s="7" t="s">
        <v>25</v>
      </c>
      <c r="G113" s="9">
        <v>82.64</v>
      </c>
      <c r="H113" s="9"/>
      <c r="I113" s="9"/>
      <c r="J113" s="9">
        <v>0.01</v>
      </c>
      <c r="K113" s="9">
        <v>82.65</v>
      </c>
      <c r="L113" s="9">
        <v>17.350000000000001</v>
      </c>
      <c r="M113" s="9"/>
      <c r="N113" s="9"/>
      <c r="O113" s="9">
        <v>17.350000000000001</v>
      </c>
      <c r="P113" s="9"/>
      <c r="Q113" s="9"/>
      <c r="R113" s="9">
        <v>100</v>
      </c>
      <c r="S113" s="7" t="s">
        <v>26</v>
      </c>
      <c r="T113" s="9">
        <v>100</v>
      </c>
      <c r="U113" s="6"/>
      <c r="V113" s="10">
        <v>45685</v>
      </c>
      <c r="W113" t="str">
        <f t="shared" ca="1" si="1"/>
        <v>VENCIDA</v>
      </c>
    </row>
    <row r="114" spans="1:27" ht="48" x14ac:dyDescent="0.25">
      <c r="A114" s="4">
        <v>2500112</v>
      </c>
      <c r="B114" s="5">
        <v>45685</v>
      </c>
      <c r="C114" s="4">
        <v>454967</v>
      </c>
      <c r="D114" s="4" t="s">
        <v>23</v>
      </c>
      <c r="E114" s="4" t="s">
        <v>24</v>
      </c>
      <c r="F114" s="4" t="s">
        <v>25</v>
      </c>
      <c r="G114" s="6">
        <v>52.64</v>
      </c>
      <c r="H114" s="6"/>
      <c r="I114" s="6"/>
      <c r="J114" s="6">
        <v>0.01</v>
      </c>
      <c r="K114" s="6">
        <v>52.65</v>
      </c>
      <c r="L114" s="6">
        <v>11.05</v>
      </c>
      <c r="M114" s="6"/>
      <c r="N114" s="6"/>
      <c r="O114" s="6">
        <v>11.05</v>
      </c>
      <c r="P114" s="6"/>
      <c r="Q114" s="6"/>
      <c r="R114" s="6">
        <v>63.7</v>
      </c>
      <c r="S114" s="4" t="s">
        <v>26</v>
      </c>
      <c r="T114" s="6">
        <v>63.7</v>
      </c>
      <c r="U114" s="6"/>
      <c r="V114" s="10">
        <v>45685</v>
      </c>
      <c r="W114" t="str">
        <f t="shared" ca="1" si="1"/>
        <v>VENCIDA</v>
      </c>
    </row>
    <row r="115" spans="1:27" ht="24" x14ac:dyDescent="0.25">
      <c r="A115" s="7">
        <v>2500113</v>
      </c>
      <c r="B115" s="8">
        <v>45681</v>
      </c>
      <c r="C115" s="7" t="s">
        <v>162</v>
      </c>
      <c r="D115" s="7" t="s">
        <v>163</v>
      </c>
      <c r="E115" s="7" t="s">
        <v>164</v>
      </c>
      <c r="F115" s="7" t="s">
        <v>104</v>
      </c>
      <c r="G115" s="9">
        <v>1.53</v>
      </c>
      <c r="H115" s="9"/>
      <c r="I115" s="9"/>
      <c r="J115" s="9"/>
      <c r="K115" s="9">
        <v>1.53</v>
      </c>
      <c r="L115" s="9">
        <v>0.32</v>
      </c>
      <c r="M115" s="9"/>
      <c r="N115" s="9"/>
      <c r="O115" s="9">
        <v>0.32</v>
      </c>
      <c r="P115" s="9"/>
      <c r="Q115" s="9"/>
      <c r="R115" s="9">
        <v>1.85</v>
      </c>
      <c r="S115" s="7" t="s">
        <v>26</v>
      </c>
      <c r="T115" s="9">
        <v>1.85</v>
      </c>
      <c r="U115" s="6"/>
      <c r="V115" s="10">
        <v>45681</v>
      </c>
      <c r="W115" t="str">
        <f t="shared" ca="1" si="1"/>
        <v>VENCIDA</v>
      </c>
    </row>
    <row r="116" spans="1:27" ht="60" x14ac:dyDescent="0.25">
      <c r="A116" s="7">
        <v>2500114</v>
      </c>
      <c r="B116" s="8">
        <v>45659</v>
      </c>
      <c r="C116" s="7" t="s">
        <v>165</v>
      </c>
      <c r="D116" s="7" t="s">
        <v>166</v>
      </c>
      <c r="E116" s="7" t="s">
        <v>167</v>
      </c>
      <c r="F116" s="7" t="s">
        <v>168</v>
      </c>
      <c r="G116" s="9">
        <v>1288.98</v>
      </c>
      <c r="H116" s="9"/>
      <c r="I116" s="9"/>
      <c r="J116" s="9">
        <v>-0.01</v>
      </c>
      <c r="K116" s="9">
        <v>1288.97</v>
      </c>
      <c r="L116" s="9">
        <v>270.69</v>
      </c>
      <c r="M116" s="9"/>
      <c r="N116" s="9"/>
      <c r="O116" s="9">
        <v>270.69</v>
      </c>
      <c r="P116" s="9"/>
      <c r="Q116" s="9"/>
      <c r="R116" s="9">
        <v>1559.66</v>
      </c>
      <c r="S116" s="7" t="s">
        <v>42</v>
      </c>
      <c r="T116" s="9">
        <v>1559.66</v>
      </c>
      <c r="U116" s="6"/>
      <c r="V116" s="10">
        <v>45658</v>
      </c>
      <c r="W116" t="str">
        <f t="shared" ca="1" si="1"/>
        <v>VENCIDA</v>
      </c>
    </row>
    <row r="117" spans="1:27" ht="60" x14ac:dyDescent="0.25">
      <c r="A117" s="7">
        <v>2500115</v>
      </c>
      <c r="B117" s="8">
        <v>45686</v>
      </c>
      <c r="C117" s="7">
        <v>1114908569</v>
      </c>
      <c r="D117" s="7" t="s">
        <v>36</v>
      </c>
      <c r="E117" s="7" t="s">
        <v>37</v>
      </c>
      <c r="F117" s="7" t="s">
        <v>34</v>
      </c>
      <c r="G117" s="9">
        <v>1723.22</v>
      </c>
      <c r="H117" s="9"/>
      <c r="I117" s="9"/>
      <c r="J117" s="9"/>
      <c r="K117" s="9">
        <v>1723.22</v>
      </c>
      <c r="L117" s="9">
        <v>361.88</v>
      </c>
      <c r="M117" s="9"/>
      <c r="N117" s="9"/>
      <c r="O117" s="9">
        <v>361.88</v>
      </c>
      <c r="P117" s="9"/>
      <c r="Q117" s="9"/>
      <c r="R117" s="9">
        <v>2085.1</v>
      </c>
      <c r="S117" s="7" t="s">
        <v>38</v>
      </c>
      <c r="T117" s="6">
        <v>2085.1</v>
      </c>
      <c r="U117" s="6"/>
      <c r="V117" s="10">
        <v>45702</v>
      </c>
      <c r="W117" t="str">
        <f t="shared" ca="1" si="1"/>
        <v>VENCIDA</v>
      </c>
    </row>
    <row r="118" spans="1:27" ht="36" x14ac:dyDescent="0.25">
      <c r="A118" s="7">
        <v>2500116</v>
      </c>
      <c r="B118" s="8">
        <v>45684</v>
      </c>
      <c r="C118" s="7">
        <v>1201148799</v>
      </c>
      <c r="D118" s="7" t="s">
        <v>32</v>
      </c>
      <c r="E118" s="7" t="s">
        <v>33</v>
      </c>
      <c r="F118" s="7" t="s">
        <v>34</v>
      </c>
      <c r="G118" s="9">
        <v>1057.23</v>
      </c>
      <c r="H118" s="9"/>
      <c r="I118" s="9"/>
      <c r="J118" s="9">
        <v>-0.05</v>
      </c>
      <c r="K118" s="9">
        <v>1057.18</v>
      </c>
      <c r="L118" s="9">
        <v>222.02</v>
      </c>
      <c r="M118" s="9"/>
      <c r="N118" s="9"/>
      <c r="O118" s="9">
        <v>222.02</v>
      </c>
      <c r="P118" s="9"/>
      <c r="Q118" s="9"/>
      <c r="R118" s="9">
        <v>1279.2</v>
      </c>
      <c r="S118" s="7" t="s">
        <v>35</v>
      </c>
      <c r="T118" s="9"/>
      <c r="U118" s="6">
        <v>1279.2</v>
      </c>
      <c r="V118" s="5">
        <v>45684</v>
      </c>
      <c r="W118" t="str">
        <f t="shared" ca="1" si="1"/>
        <v>VENCIDA</v>
      </c>
    </row>
    <row r="119" spans="1:27" ht="60" hidden="1" x14ac:dyDescent="0.25">
      <c r="A119" s="7">
        <v>2500117</v>
      </c>
      <c r="B119" s="8">
        <v>45688</v>
      </c>
      <c r="C119" s="7" t="s">
        <v>169</v>
      </c>
      <c r="D119" s="7" t="s">
        <v>170</v>
      </c>
      <c r="E119" s="7" t="s">
        <v>171</v>
      </c>
      <c r="F119" s="7" t="s">
        <v>172</v>
      </c>
      <c r="G119" s="9">
        <v>2011.85</v>
      </c>
      <c r="H119" s="9"/>
      <c r="I119" s="9"/>
      <c r="J119" s="9"/>
      <c r="K119" s="9">
        <v>2011.85</v>
      </c>
      <c r="L119" s="9">
        <v>422.49</v>
      </c>
      <c r="M119" s="9"/>
      <c r="N119" s="9"/>
      <c r="O119" s="9">
        <v>422.49</v>
      </c>
      <c r="P119" s="9"/>
      <c r="Q119" s="9"/>
      <c r="R119" s="9">
        <v>2434.34</v>
      </c>
      <c r="S119" s="7" t="s">
        <v>31</v>
      </c>
      <c r="T119" s="9"/>
      <c r="U119" s="6">
        <v>2434.34</v>
      </c>
      <c r="V119" s="5">
        <v>45748</v>
      </c>
      <c r="W119" t="str">
        <f t="shared" ca="1" si="1"/>
        <v/>
      </c>
    </row>
    <row r="120" spans="1:27" s="11" customFormat="1" ht="24" x14ac:dyDescent="0.25">
      <c r="A120" s="7">
        <v>2500118</v>
      </c>
      <c r="B120" s="8">
        <v>45687</v>
      </c>
      <c r="C120" s="7" t="s">
        <v>173</v>
      </c>
      <c r="D120" s="7"/>
      <c r="E120" s="7" t="s">
        <v>174</v>
      </c>
      <c r="F120" s="7"/>
      <c r="G120" s="9">
        <v>29.72</v>
      </c>
      <c r="H120" s="9"/>
      <c r="I120" s="9"/>
      <c r="J120" s="9"/>
      <c r="K120" s="9">
        <v>29.72</v>
      </c>
      <c r="L120" s="9">
        <v>6.24</v>
      </c>
      <c r="M120" s="9"/>
      <c r="N120" s="9"/>
      <c r="O120" s="9">
        <v>6.24</v>
      </c>
      <c r="P120" s="9"/>
      <c r="Q120" s="9"/>
      <c r="R120" s="9">
        <v>35.96</v>
      </c>
      <c r="S120" s="7" t="s">
        <v>175</v>
      </c>
      <c r="T120" s="9">
        <v>35.96</v>
      </c>
      <c r="U120" s="9"/>
      <c r="V120" s="10">
        <v>45687</v>
      </c>
      <c r="W120" t="str">
        <f t="shared" ca="1" si="1"/>
        <v>VENCIDA</v>
      </c>
    </row>
    <row r="121" spans="1:27" s="12" customFormat="1" ht="36" x14ac:dyDescent="0.25">
      <c r="A121" s="4">
        <v>2500119</v>
      </c>
      <c r="B121" s="5">
        <v>45686</v>
      </c>
      <c r="C121" s="4">
        <v>1201150302</v>
      </c>
      <c r="D121" s="4" t="s">
        <v>32</v>
      </c>
      <c r="E121" s="4" t="s">
        <v>33</v>
      </c>
      <c r="F121" s="4" t="s">
        <v>34</v>
      </c>
      <c r="G121" s="6">
        <v>684.29</v>
      </c>
      <c r="H121" s="6"/>
      <c r="I121" s="6"/>
      <c r="J121" s="6">
        <v>-0.05</v>
      </c>
      <c r="K121" s="6">
        <v>684.24</v>
      </c>
      <c r="L121" s="6">
        <v>143.69999999999999</v>
      </c>
      <c r="M121" s="6"/>
      <c r="N121" s="6"/>
      <c r="O121" s="6">
        <v>143.69999999999999</v>
      </c>
      <c r="P121" s="6"/>
      <c r="Q121" s="6"/>
      <c r="R121" s="6">
        <v>827.94</v>
      </c>
      <c r="S121" s="4" t="s">
        <v>35</v>
      </c>
      <c r="T121" s="6"/>
      <c r="U121" s="6">
        <v>827.94</v>
      </c>
      <c r="V121" s="5">
        <v>45686</v>
      </c>
      <c r="W121" t="str">
        <f t="shared" ca="1" si="1"/>
        <v>VENCIDA</v>
      </c>
    </row>
    <row r="122" spans="1:27" s="11" customFormat="1" ht="24" x14ac:dyDescent="0.25">
      <c r="A122" s="7">
        <v>2500120</v>
      </c>
      <c r="B122" s="8">
        <v>45686</v>
      </c>
      <c r="C122" s="7">
        <v>504101013</v>
      </c>
      <c r="D122" s="7" t="s">
        <v>92</v>
      </c>
      <c r="E122" s="7" t="s">
        <v>93</v>
      </c>
      <c r="F122" s="7" t="s">
        <v>94</v>
      </c>
      <c r="G122" s="9">
        <v>36.92</v>
      </c>
      <c r="H122" s="9"/>
      <c r="I122" s="9"/>
      <c r="J122" s="9"/>
      <c r="K122" s="9">
        <v>36.92</v>
      </c>
      <c r="L122" s="9">
        <v>7.75</v>
      </c>
      <c r="M122" s="9"/>
      <c r="N122" s="9"/>
      <c r="O122" s="9">
        <v>7.75</v>
      </c>
      <c r="P122" s="9"/>
      <c r="Q122" s="9"/>
      <c r="R122" s="9">
        <v>44.67</v>
      </c>
      <c r="S122" s="7" t="s">
        <v>42</v>
      </c>
      <c r="T122" s="9"/>
      <c r="U122" s="9">
        <v>44.67</v>
      </c>
      <c r="V122" s="5">
        <v>45716</v>
      </c>
      <c r="W122" t="str">
        <f t="shared" ca="1" si="1"/>
        <v>VENCIDA</v>
      </c>
      <c r="X122" s="11">
        <v>22.33</v>
      </c>
      <c r="Y122" s="18">
        <v>45716</v>
      </c>
      <c r="Z122" s="11">
        <v>22.33</v>
      </c>
      <c r="AA122" s="18">
        <v>45744</v>
      </c>
    </row>
    <row r="123" spans="1:27" s="12" customFormat="1" ht="48" x14ac:dyDescent="0.25">
      <c r="A123" s="4">
        <v>2500121</v>
      </c>
      <c r="B123" s="5">
        <v>45688</v>
      </c>
      <c r="C123" s="4" t="s">
        <v>176</v>
      </c>
      <c r="D123" s="4" t="s">
        <v>82</v>
      </c>
      <c r="E123" s="4" t="s">
        <v>83</v>
      </c>
      <c r="F123" s="4" t="s">
        <v>84</v>
      </c>
      <c r="G123" s="6">
        <v>3.14</v>
      </c>
      <c r="H123" s="6"/>
      <c r="I123" s="6"/>
      <c r="J123" s="6"/>
      <c r="K123" s="6">
        <v>3.14</v>
      </c>
      <c r="L123" s="6">
        <v>0.66</v>
      </c>
      <c r="M123" s="6"/>
      <c r="N123" s="6"/>
      <c r="O123" s="6">
        <v>0.66</v>
      </c>
      <c r="P123" s="6"/>
      <c r="Q123" s="6"/>
      <c r="R123" s="6">
        <v>3.8</v>
      </c>
      <c r="S123" s="4" t="s">
        <v>70</v>
      </c>
      <c r="T123" s="6">
        <v>3.8</v>
      </c>
      <c r="U123" s="6"/>
      <c r="V123" s="10">
        <v>45688</v>
      </c>
      <c r="W123" t="str">
        <f t="shared" ca="1" si="1"/>
        <v>VENCIDA</v>
      </c>
    </row>
    <row r="124" spans="1:27" s="11" customFormat="1" x14ac:dyDescent="0.25">
      <c r="A124" s="7">
        <v>2500122</v>
      </c>
      <c r="B124" s="8">
        <v>45688</v>
      </c>
      <c r="C124" s="7">
        <v>1901325976</v>
      </c>
      <c r="D124" s="7" t="s">
        <v>61</v>
      </c>
      <c r="E124" s="7" t="s">
        <v>62</v>
      </c>
      <c r="F124" s="7" t="s">
        <v>25</v>
      </c>
      <c r="G124" s="9">
        <v>41.32</v>
      </c>
      <c r="H124" s="9"/>
      <c r="I124" s="9"/>
      <c r="J124" s="9"/>
      <c r="K124" s="9">
        <v>41.32</v>
      </c>
      <c r="L124" s="9">
        <v>8.68</v>
      </c>
      <c r="M124" s="9"/>
      <c r="N124" s="9"/>
      <c r="O124" s="9">
        <v>8.68</v>
      </c>
      <c r="P124" s="9"/>
      <c r="Q124" s="9"/>
      <c r="R124" s="9">
        <v>50</v>
      </c>
      <c r="S124" s="7" t="s">
        <v>70</v>
      </c>
      <c r="T124" s="9">
        <v>50</v>
      </c>
      <c r="U124" s="9"/>
      <c r="V124" s="10">
        <v>45688</v>
      </c>
      <c r="W124" t="str">
        <f t="shared" ca="1" si="1"/>
        <v>VENCIDA</v>
      </c>
    </row>
    <row r="125" spans="1:27" s="12" customFormat="1" ht="36" hidden="1" x14ac:dyDescent="0.25">
      <c r="A125" s="7">
        <v>2500123</v>
      </c>
      <c r="B125" s="8">
        <v>45686</v>
      </c>
      <c r="C125" s="7">
        <v>1201150303</v>
      </c>
      <c r="D125" s="7" t="s">
        <v>32</v>
      </c>
      <c r="E125" s="7" t="s">
        <v>33</v>
      </c>
      <c r="F125" s="7" t="s">
        <v>34</v>
      </c>
      <c r="G125" s="9">
        <v>687.85</v>
      </c>
      <c r="H125" s="9"/>
      <c r="I125" s="9"/>
      <c r="J125" s="9"/>
      <c r="K125" s="9">
        <v>687.85</v>
      </c>
      <c r="L125" s="9">
        <v>144.44999999999999</v>
      </c>
      <c r="M125" s="9"/>
      <c r="N125" s="9"/>
      <c r="O125" s="9">
        <v>144.44999999999999</v>
      </c>
      <c r="P125" s="9"/>
      <c r="Q125" s="9"/>
      <c r="R125" s="9">
        <v>832.3</v>
      </c>
      <c r="S125" s="7" t="s">
        <v>35</v>
      </c>
      <c r="T125" s="9"/>
      <c r="U125" s="9">
        <v>832.3</v>
      </c>
      <c r="V125" s="5">
        <v>45717</v>
      </c>
      <c r="W125" t="str">
        <f t="shared" ca="1" si="1"/>
        <v>VENCIDA</v>
      </c>
    </row>
    <row r="126" spans="1:27" s="11" customFormat="1" ht="36" hidden="1" x14ac:dyDescent="0.25">
      <c r="A126" s="4">
        <v>2500124</v>
      </c>
      <c r="B126" s="5">
        <v>45686</v>
      </c>
      <c r="C126" s="4">
        <v>9113192</v>
      </c>
      <c r="D126" s="4" t="s">
        <v>177</v>
      </c>
      <c r="E126" s="4" t="s">
        <v>178</v>
      </c>
      <c r="F126" s="4" t="s">
        <v>73</v>
      </c>
      <c r="G126" s="6">
        <v>104.33</v>
      </c>
      <c r="H126" s="6"/>
      <c r="I126" s="6"/>
      <c r="J126" s="6"/>
      <c r="K126" s="6">
        <v>104.33</v>
      </c>
      <c r="L126" s="6">
        <v>21.91</v>
      </c>
      <c r="M126" s="6"/>
      <c r="N126" s="6"/>
      <c r="O126" s="6">
        <v>21.91</v>
      </c>
      <c r="P126" s="6"/>
      <c r="Q126" s="6"/>
      <c r="R126" s="6">
        <v>126.24</v>
      </c>
      <c r="S126" s="4" t="s">
        <v>42</v>
      </c>
      <c r="T126" s="6"/>
      <c r="U126" s="6">
        <v>126.24</v>
      </c>
      <c r="V126" s="5">
        <v>45745</v>
      </c>
      <c r="W126" t="str">
        <f t="shared" ca="1" si="1"/>
        <v/>
      </c>
    </row>
    <row r="127" spans="1:27" s="12" customFormat="1" ht="36" hidden="1" x14ac:dyDescent="0.25">
      <c r="A127" s="4">
        <v>2500125</v>
      </c>
      <c r="B127" s="5">
        <v>45688</v>
      </c>
      <c r="C127" s="4">
        <v>8050</v>
      </c>
      <c r="D127" s="4" t="s">
        <v>179</v>
      </c>
      <c r="E127" s="4" t="s">
        <v>180</v>
      </c>
      <c r="F127" s="4" t="s">
        <v>181</v>
      </c>
      <c r="G127" s="6">
        <v>204.62</v>
      </c>
      <c r="H127" s="6"/>
      <c r="I127" s="6"/>
      <c r="J127" s="6"/>
      <c r="K127" s="6">
        <v>204.62</v>
      </c>
      <c r="L127" s="6">
        <v>42.97</v>
      </c>
      <c r="M127" s="6"/>
      <c r="N127" s="6"/>
      <c r="O127" s="6">
        <v>42.97</v>
      </c>
      <c r="P127" s="6"/>
      <c r="Q127" s="6"/>
      <c r="R127" s="6">
        <v>247.59</v>
      </c>
      <c r="S127" s="4" t="s">
        <v>35</v>
      </c>
      <c r="T127" s="6"/>
      <c r="U127" s="6">
        <v>247.59</v>
      </c>
      <c r="V127" s="5">
        <v>45718</v>
      </c>
      <c r="W127" t="str">
        <f t="shared" ca="1" si="1"/>
        <v>VENCIDA</v>
      </c>
    </row>
    <row r="128" spans="1:27" s="11" customFormat="1" ht="36" hidden="1" x14ac:dyDescent="0.25">
      <c r="A128" s="7">
        <v>2500126</v>
      </c>
      <c r="B128" s="8">
        <v>45688</v>
      </c>
      <c r="C128" s="7">
        <v>8045</v>
      </c>
      <c r="D128" s="7" t="s">
        <v>179</v>
      </c>
      <c r="E128" s="7" t="s">
        <v>180</v>
      </c>
      <c r="F128" s="7" t="s">
        <v>181</v>
      </c>
      <c r="G128" s="9">
        <v>231.08</v>
      </c>
      <c r="H128" s="9"/>
      <c r="I128" s="9"/>
      <c r="J128" s="9"/>
      <c r="K128" s="9">
        <v>231.08</v>
      </c>
      <c r="L128" s="9">
        <v>48.53</v>
      </c>
      <c r="M128" s="9"/>
      <c r="N128" s="9"/>
      <c r="O128" s="9">
        <v>48.53</v>
      </c>
      <c r="P128" s="9"/>
      <c r="Q128" s="9"/>
      <c r="R128" s="9">
        <v>279.61</v>
      </c>
      <c r="S128" s="7" t="s">
        <v>42</v>
      </c>
      <c r="T128" s="9"/>
      <c r="U128" s="9">
        <v>279.61</v>
      </c>
      <c r="V128" s="5">
        <v>45718</v>
      </c>
      <c r="W128" t="str">
        <f t="shared" ca="1" si="1"/>
        <v>VENCIDA</v>
      </c>
    </row>
    <row r="129" spans="1:24" s="12" customFormat="1" ht="48" hidden="1" x14ac:dyDescent="0.25">
      <c r="A129" s="4">
        <v>2500127</v>
      </c>
      <c r="B129" s="5">
        <v>45688</v>
      </c>
      <c r="C129" s="4">
        <v>66</v>
      </c>
      <c r="D129" s="4" t="s">
        <v>182</v>
      </c>
      <c r="E129" s="4" t="s">
        <v>183</v>
      </c>
      <c r="F129" s="4" t="s">
        <v>73</v>
      </c>
      <c r="G129" s="6">
        <v>60.06</v>
      </c>
      <c r="H129" s="6"/>
      <c r="I129" s="6"/>
      <c r="J129" s="6"/>
      <c r="K129" s="6">
        <v>60.06</v>
      </c>
      <c r="L129" s="6">
        <v>12.61</v>
      </c>
      <c r="M129" s="6"/>
      <c r="N129" s="6"/>
      <c r="O129" s="6">
        <v>12.61</v>
      </c>
      <c r="P129" s="6"/>
      <c r="Q129" s="6"/>
      <c r="R129" s="6">
        <v>72.67</v>
      </c>
      <c r="S129" s="4" t="s">
        <v>31</v>
      </c>
      <c r="T129" s="6"/>
      <c r="U129" s="6">
        <v>72.67</v>
      </c>
      <c r="V129" s="5">
        <v>45747</v>
      </c>
      <c r="W129" t="str">
        <f t="shared" ca="1" si="1"/>
        <v/>
      </c>
    </row>
    <row r="130" spans="1:24" s="11" customFormat="1" ht="60" x14ac:dyDescent="0.25">
      <c r="A130" s="7">
        <v>2500128</v>
      </c>
      <c r="B130" s="8">
        <v>45688</v>
      </c>
      <c r="C130" s="7">
        <v>484744</v>
      </c>
      <c r="D130" s="7" t="s">
        <v>108</v>
      </c>
      <c r="E130" s="7" t="s">
        <v>109</v>
      </c>
      <c r="F130" s="7" t="s">
        <v>110</v>
      </c>
      <c r="G130" s="9">
        <v>613.45000000000005</v>
      </c>
      <c r="H130" s="9"/>
      <c r="I130" s="9"/>
      <c r="J130" s="9"/>
      <c r="K130" s="9">
        <v>613.45000000000005</v>
      </c>
      <c r="L130" s="9">
        <v>128.82</v>
      </c>
      <c r="M130" s="9"/>
      <c r="N130" s="9"/>
      <c r="O130" s="9">
        <v>128.82</v>
      </c>
      <c r="P130" s="9"/>
      <c r="Q130" s="9"/>
      <c r="R130" s="9">
        <v>742.27</v>
      </c>
      <c r="S130" s="7" t="s">
        <v>35</v>
      </c>
      <c r="T130" s="9">
        <v>742.27</v>
      </c>
      <c r="U130" s="9"/>
      <c r="V130" s="10">
        <v>45712</v>
      </c>
      <c r="W130" t="str">
        <f t="shared" ref="W130:W157" ca="1" si="2">IF(V130&lt;TODAY(),"VENCIDA",IF(V130=TODAY(),"VENCE HOY",IF(V130&gt;TODAY(),"")))</f>
        <v>VENCIDA</v>
      </c>
    </row>
    <row r="131" spans="1:24" s="12" customFormat="1" ht="48" hidden="1" x14ac:dyDescent="0.25">
      <c r="A131" s="7">
        <v>2500129</v>
      </c>
      <c r="B131" s="8">
        <v>45682</v>
      </c>
      <c r="C131" s="7">
        <v>142</v>
      </c>
      <c r="D131" s="7" t="s">
        <v>184</v>
      </c>
      <c r="E131" s="7" t="s">
        <v>185</v>
      </c>
      <c r="F131" s="7" t="s">
        <v>186</v>
      </c>
      <c r="G131" s="9">
        <v>224.77</v>
      </c>
      <c r="H131" s="9"/>
      <c r="I131" s="9"/>
      <c r="J131" s="9"/>
      <c r="K131" s="9">
        <v>224.77</v>
      </c>
      <c r="L131" s="9">
        <v>47.2</v>
      </c>
      <c r="M131" s="9"/>
      <c r="N131" s="9"/>
      <c r="O131" s="9">
        <v>47.2</v>
      </c>
      <c r="P131" s="9"/>
      <c r="Q131" s="9"/>
      <c r="R131" s="9">
        <v>271.97000000000003</v>
      </c>
      <c r="S131" s="7" t="s">
        <v>31</v>
      </c>
      <c r="T131" s="9"/>
      <c r="U131" s="9">
        <v>271.97000000000003</v>
      </c>
      <c r="V131" s="5">
        <v>45741</v>
      </c>
      <c r="W131" t="str">
        <f t="shared" ca="1" si="2"/>
        <v/>
      </c>
    </row>
    <row r="132" spans="1:24" s="11" customFormat="1" ht="48" x14ac:dyDescent="0.25">
      <c r="A132" s="4">
        <v>2500130</v>
      </c>
      <c r="B132" s="5">
        <v>45687</v>
      </c>
      <c r="C132" s="4">
        <v>1</v>
      </c>
      <c r="D132" s="4" t="s">
        <v>187</v>
      </c>
      <c r="E132" s="4" t="s">
        <v>188</v>
      </c>
      <c r="F132" s="4" t="s">
        <v>189</v>
      </c>
      <c r="G132" s="6">
        <v>350</v>
      </c>
      <c r="H132" s="6"/>
      <c r="I132" s="6"/>
      <c r="J132" s="6"/>
      <c r="K132" s="6">
        <v>350</v>
      </c>
      <c r="L132" s="6">
        <v>73.5</v>
      </c>
      <c r="M132" s="6"/>
      <c r="N132" s="6"/>
      <c r="O132" s="6">
        <v>73.5</v>
      </c>
      <c r="P132" s="6">
        <v>52.5</v>
      </c>
      <c r="Q132" s="6">
        <v>15</v>
      </c>
      <c r="R132" s="6">
        <v>371</v>
      </c>
      <c r="S132" s="4" t="s">
        <v>55</v>
      </c>
      <c r="T132" s="6">
        <v>378.5</v>
      </c>
      <c r="U132" s="6">
        <v>-7.5</v>
      </c>
      <c r="V132" s="5">
        <v>45687</v>
      </c>
      <c r="W132" t="str">
        <f t="shared" ca="1" si="2"/>
        <v>VENCIDA</v>
      </c>
      <c r="X132" s="11" t="s">
        <v>228</v>
      </c>
    </row>
    <row r="133" spans="1:24" s="12" customFormat="1" ht="84" x14ac:dyDescent="0.25">
      <c r="A133" s="4">
        <v>2500131</v>
      </c>
      <c r="B133" s="5">
        <v>45686</v>
      </c>
      <c r="C133" s="4"/>
      <c r="D133" s="4" t="s">
        <v>146</v>
      </c>
      <c r="E133" s="4" t="s">
        <v>147</v>
      </c>
      <c r="F133" s="4" t="s">
        <v>25</v>
      </c>
      <c r="G133" s="6">
        <v>16.54</v>
      </c>
      <c r="H133" s="6"/>
      <c r="I133" s="6"/>
      <c r="J133" s="6"/>
      <c r="K133" s="6">
        <v>16.54</v>
      </c>
      <c r="L133" s="6">
        <v>3.47</v>
      </c>
      <c r="M133" s="6"/>
      <c r="N133" s="6"/>
      <c r="O133" s="6">
        <v>3.47</v>
      </c>
      <c r="P133" s="6"/>
      <c r="Q133" s="6"/>
      <c r="R133" s="6">
        <v>20.010000000000002</v>
      </c>
      <c r="S133" s="4" t="s">
        <v>70</v>
      </c>
      <c r="T133" s="6">
        <v>20.010000000000002</v>
      </c>
      <c r="U133" s="6"/>
      <c r="V133" s="10">
        <v>45686</v>
      </c>
      <c r="W133" t="str">
        <f t="shared" ca="1" si="2"/>
        <v>VENCIDA</v>
      </c>
    </row>
    <row r="134" spans="1:24" s="11" customFormat="1" ht="48" x14ac:dyDescent="0.25">
      <c r="A134" s="7">
        <v>2500132</v>
      </c>
      <c r="B134" s="8">
        <v>45688</v>
      </c>
      <c r="C134" s="7" t="s">
        <v>190</v>
      </c>
      <c r="D134" s="7" t="s">
        <v>191</v>
      </c>
      <c r="E134" s="7" t="s">
        <v>192</v>
      </c>
      <c r="F134" s="7" t="s">
        <v>193</v>
      </c>
      <c r="G134" s="9"/>
      <c r="H134" s="9">
        <v>880</v>
      </c>
      <c r="I134" s="9"/>
      <c r="J134" s="9"/>
      <c r="K134" s="9">
        <v>880</v>
      </c>
      <c r="L134" s="9"/>
      <c r="M134" s="9">
        <v>88</v>
      </c>
      <c r="N134" s="9"/>
      <c r="O134" s="9">
        <v>88</v>
      </c>
      <c r="P134" s="9"/>
      <c r="Q134" s="9"/>
      <c r="R134" s="9">
        <v>968</v>
      </c>
      <c r="S134" s="7" t="s">
        <v>101</v>
      </c>
      <c r="T134" s="9">
        <v>968</v>
      </c>
      <c r="U134" s="9"/>
      <c r="V134" s="10">
        <v>45699</v>
      </c>
      <c r="W134" t="str">
        <f t="shared" ca="1" si="2"/>
        <v>VENCIDA</v>
      </c>
    </row>
    <row r="135" spans="1:24" s="12" customFormat="1" x14ac:dyDescent="0.25">
      <c r="A135" s="4">
        <v>2500133</v>
      </c>
      <c r="B135" s="5">
        <v>45686</v>
      </c>
      <c r="C135" s="4">
        <v>19012325112</v>
      </c>
      <c r="D135" s="4" t="s">
        <v>61</v>
      </c>
      <c r="E135" s="4" t="s">
        <v>62</v>
      </c>
      <c r="F135" s="4" t="s">
        <v>25</v>
      </c>
      <c r="G135" s="6">
        <v>95.57</v>
      </c>
      <c r="H135" s="6"/>
      <c r="I135" s="6"/>
      <c r="J135" s="6"/>
      <c r="K135" s="6">
        <v>95.57</v>
      </c>
      <c r="L135" s="6">
        <v>20.07</v>
      </c>
      <c r="M135" s="6"/>
      <c r="N135" s="6"/>
      <c r="O135" s="6">
        <v>20.07</v>
      </c>
      <c r="P135" s="6"/>
      <c r="Q135" s="6"/>
      <c r="R135" s="6">
        <v>115.64</v>
      </c>
      <c r="S135" s="4" t="s">
        <v>70</v>
      </c>
      <c r="T135" s="6">
        <v>115.64</v>
      </c>
      <c r="U135" s="6"/>
      <c r="V135" s="10">
        <v>45686</v>
      </c>
      <c r="W135" t="str">
        <f t="shared" ca="1" si="2"/>
        <v>VENCIDA</v>
      </c>
    </row>
    <row r="136" spans="1:24" s="11" customFormat="1" ht="36" x14ac:dyDescent="0.25">
      <c r="A136" s="7">
        <v>2500134</v>
      </c>
      <c r="B136" s="8">
        <v>45694</v>
      </c>
      <c r="C136" s="7">
        <v>1201152445</v>
      </c>
      <c r="D136" s="7" t="s">
        <v>32</v>
      </c>
      <c r="E136" s="7" t="s">
        <v>33</v>
      </c>
      <c r="F136" s="7" t="s">
        <v>34</v>
      </c>
      <c r="G136" s="9">
        <v>6942.67</v>
      </c>
      <c r="H136" s="9"/>
      <c r="I136" s="9"/>
      <c r="J136" s="9"/>
      <c r="K136" s="9">
        <v>6942.67</v>
      </c>
      <c r="L136" s="9">
        <v>1457.96</v>
      </c>
      <c r="M136" s="9"/>
      <c r="N136" s="9"/>
      <c r="O136" s="9">
        <v>1457.96</v>
      </c>
      <c r="P136" s="9"/>
      <c r="Q136" s="9"/>
      <c r="R136" s="9">
        <v>8400.6299999999992</v>
      </c>
      <c r="S136" s="7" t="s">
        <v>35</v>
      </c>
      <c r="T136" s="9"/>
      <c r="U136" s="9">
        <v>8400.6299999999992</v>
      </c>
      <c r="V136" s="5">
        <v>45750</v>
      </c>
      <c r="W136" t="str">
        <f t="shared" ca="1" si="2"/>
        <v/>
      </c>
    </row>
    <row r="137" spans="1:24" s="12" customFormat="1" ht="36" x14ac:dyDescent="0.25">
      <c r="A137" s="4">
        <v>2500135</v>
      </c>
      <c r="B137" s="5">
        <v>45688</v>
      </c>
      <c r="C137" s="4">
        <v>34648</v>
      </c>
      <c r="D137" s="4" t="s">
        <v>194</v>
      </c>
      <c r="E137" s="4" t="s">
        <v>195</v>
      </c>
      <c r="F137" s="4" t="s">
        <v>73</v>
      </c>
      <c r="G137" s="6">
        <v>52.05</v>
      </c>
      <c r="H137" s="6"/>
      <c r="I137" s="6"/>
      <c r="J137" s="6"/>
      <c r="K137" s="6">
        <v>52.05</v>
      </c>
      <c r="L137" s="6">
        <v>10.93</v>
      </c>
      <c r="M137" s="6"/>
      <c r="N137" s="6"/>
      <c r="O137" s="6">
        <v>10.93</v>
      </c>
      <c r="P137" s="6"/>
      <c r="Q137" s="6"/>
      <c r="R137" s="6">
        <v>62.98</v>
      </c>
      <c r="S137" s="4" t="s">
        <v>42</v>
      </c>
      <c r="T137" s="6"/>
      <c r="U137" s="6">
        <v>62.98</v>
      </c>
      <c r="V137" s="5">
        <v>45748</v>
      </c>
      <c r="W137" t="str">
        <f t="shared" ca="1" si="2"/>
        <v/>
      </c>
    </row>
    <row r="138" spans="1:24" s="11" customFormat="1" ht="36" x14ac:dyDescent="0.25">
      <c r="A138" s="4">
        <v>2500136</v>
      </c>
      <c r="B138" s="5">
        <v>45688</v>
      </c>
      <c r="C138" s="4" t="s">
        <v>196</v>
      </c>
      <c r="D138" s="4" t="s">
        <v>119</v>
      </c>
      <c r="E138" s="4" t="s">
        <v>120</v>
      </c>
      <c r="F138" s="4" t="s">
        <v>121</v>
      </c>
      <c r="G138" s="6">
        <v>376.43</v>
      </c>
      <c r="H138" s="6"/>
      <c r="I138" s="6"/>
      <c r="J138" s="6"/>
      <c r="K138" s="6">
        <v>376.43</v>
      </c>
      <c r="L138" s="6">
        <v>79.05</v>
      </c>
      <c r="M138" s="6"/>
      <c r="N138" s="6"/>
      <c r="O138" s="6">
        <v>79.05</v>
      </c>
      <c r="P138" s="6"/>
      <c r="Q138" s="6"/>
      <c r="R138" s="6">
        <v>455.48</v>
      </c>
      <c r="S138" s="4" t="s">
        <v>101</v>
      </c>
      <c r="T138" s="6">
        <v>455.48</v>
      </c>
      <c r="U138" s="6"/>
      <c r="V138" s="10">
        <v>45699</v>
      </c>
      <c r="W138" t="str">
        <f t="shared" ca="1" si="2"/>
        <v>VENCIDA</v>
      </c>
    </row>
    <row r="139" spans="1:24" s="12" customFormat="1" ht="36" x14ac:dyDescent="0.25">
      <c r="A139" s="7">
        <v>2500137</v>
      </c>
      <c r="B139" s="8">
        <v>45670</v>
      </c>
      <c r="C139" s="7">
        <v>6900003221</v>
      </c>
      <c r="D139" s="7" t="s">
        <v>32</v>
      </c>
      <c r="E139" s="7" t="s">
        <v>33</v>
      </c>
      <c r="F139" s="7" t="s">
        <v>34</v>
      </c>
      <c r="G139" s="9">
        <v>-11576.03</v>
      </c>
      <c r="H139" s="9"/>
      <c r="I139" s="9"/>
      <c r="J139" s="9"/>
      <c r="K139" s="9">
        <v>-11576.03</v>
      </c>
      <c r="L139" s="9">
        <v>-2430.9699999999998</v>
      </c>
      <c r="M139" s="9"/>
      <c r="N139" s="9"/>
      <c r="O139" s="9">
        <v>-2430.9699999999998</v>
      </c>
      <c r="P139" s="9"/>
      <c r="Q139" s="9"/>
      <c r="R139" s="9">
        <v>-14007</v>
      </c>
      <c r="S139" s="7" t="s">
        <v>35</v>
      </c>
      <c r="T139" s="9"/>
      <c r="U139" s="9">
        <v>-14007</v>
      </c>
      <c r="V139" s="5">
        <v>45670</v>
      </c>
      <c r="W139" t="str">
        <f t="shared" ca="1" si="2"/>
        <v>VENCIDA</v>
      </c>
    </row>
    <row r="140" spans="1:24" s="11" customFormat="1" ht="36" x14ac:dyDescent="0.25">
      <c r="A140" s="4">
        <v>2500138</v>
      </c>
      <c r="B140" s="5">
        <v>45672</v>
      </c>
      <c r="C140" s="4">
        <v>6900003518</v>
      </c>
      <c r="D140" s="4" t="s">
        <v>32</v>
      </c>
      <c r="E140" s="4" t="s">
        <v>33</v>
      </c>
      <c r="F140" s="4" t="s">
        <v>34</v>
      </c>
      <c r="G140" s="6">
        <v>-22070.240000000002</v>
      </c>
      <c r="H140" s="6"/>
      <c r="I140" s="6"/>
      <c r="J140" s="6"/>
      <c r="K140" s="6">
        <v>-22070.240000000002</v>
      </c>
      <c r="L140" s="6">
        <v>-4634.75</v>
      </c>
      <c r="M140" s="6"/>
      <c r="N140" s="6"/>
      <c r="O140" s="6">
        <v>-4634.75</v>
      </c>
      <c r="P140" s="6"/>
      <c r="Q140" s="6"/>
      <c r="R140" s="6">
        <v>-26704.99</v>
      </c>
      <c r="S140" s="4" t="s">
        <v>35</v>
      </c>
      <c r="T140" s="6"/>
      <c r="U140" s="6">
        <v>-26704.99</v>
      </c>
      <c r="V140" s="5">
        <v>45703</v>
      </c>
      <c r="W140" t="str">
        <f t="shared" ca="1" si="2"/>
        <v>VENCIDA</v>
      </c>
    </row>
    <row r="141" spans="1:24" s="12" customFormat="1" ht="36" x14ac:dyDescent="0.25">
      <c r="A141" s="7">
        <v>2500139</v>
      </c>
      <c r="B141" s="8">
        <v>45687</v>
      </c>
      <c r="C141" s="7" t="s">
        <v>197</v>
      </c>
      <c r="D141" s="7" t="s">
        <v>44</v>
      </c>
      <c r="E141" s="7" t="s">
        <v>45</v>
      </c>
      <c r="F141" s="7" t="s">
        <v>46</v>
      </c>
      <c r="G141" s="9">
        <v>139.19999999999999</v>
      </c>
      <c r="H141" s="9"/>
      <c r="I141" s="9"/>
      <c r="J141" s="9"/>
      <c r="K141" s="9">
        <v>139.19999999999999</v>
      </c>
      <c r="L141" s="9">
        <v>29.23</v>
      </c>
      <c r="M141" s="9"/>
      <c r="N141" s="9"/>
      <c r="O141" s="9">
        <v>29.23</v>
      </c>
      <c r="P141" s="9"/>
      <c r="Q141" s="9"/>
      <c r="R141" s="9">
        <v>168.43</v>
      </c>
      <c r="S141" s="7" t="s">
        <v>42</v>
      </c>
      <c r="T141" s="9">
        <v>168.43</v>
      </c>
      <c r="U141" s="9"/>
      <c r="V141" s="10">
        <v>45694</v>
      </c>
      <c r="W141" t="str">
        <f t="shared" ca="1" si="2"/>
        <v>VENCIDA</v>
      </c>
    </row>
    <row r="142" spans="1:24" s="11" customFormat="1" ht="48" x14ac:dyDescent="0.25">
      <c r="A142" s="4">
        <v>2500140</v>
      </c>
      <c r="B142" s="5">
        <v>45688</v>
      </c>
      <c r="C142" s="4">
        <v>5166386432</v>
      </c>
      <c r="D142" s="4" t="s">
        <v>198</v>
      </c>
      <c r="E142" s="4" t="s">
        <v>199</v>
      </c>
      <c r="F142" s="4" t="s">
        <v>200</v>
      </c>
      <c r="G142" s="6"/>
      <c r="H142" s="6"/>
      <c r="I142" s="6"/>
      <c r="J142" s="6">
        <v>10.4</v>
      </c>
      <c r="K142" s="6">
        <v>10.4</v>
      </c>
      <c r="L142" s="6"/>
      <c r="M142" s="6"/>
      <c r="N142" s="6"/>
      <c r="O142" s="6"/>
      <c r="P142" s="6"/>
      <c r="Q142" s="6"/>
      <c r="R142" s="6">
        <v>10.4</v>
      </c>
      <c r="S142" s="4" t="s">
        <v>42</v>
      </c>
      <c r="T142" s="6">
        <v>10.4</v>
      </c>
      <c r="U142" s="6"/>
      <c r="V142" s="10">
        <v>45693</v>
      </c>
      <c r="W142" t="str">
        <f t="shared" ca="1" si="2"/>
        <v>VENCIDA</v>
      </c>
    </row>
    <row r="143" spans="1:24" s="12" customFormat="1" ht="48" x14ac:dyDescent="0.25">
      <c r="A143" s="4">
        <v>2500141</v>
      </c>
      <c r="B143" s="5">
        <v>45688</v>
      </c>
      <c r="C143" s="4" t="s">
        <v>201</v>
      </c>
      <c r="D143" s="4" t="s">
        <v>202</v>
      </c>
      <c r="E143" s="4" t="s">
        <v>203</v>
      </c>
      <c r="F143" s="4" t="s">
        <v>204</v>
      </c>
      <c r="G143" s="6">
        <v>506.88</v>
      </c>
      <c r="H143" s="6"/>
      <c r="I143" s="6"/>
      <c r="J143" s="6"/>
      <c r="K143" s="6">
        <v>506.88</v>
      </c>
      <c r="L143" s="6">
        <v>106.44</v>
      </c>
      <c r="M143" s="6"/>
      <c r="N143" s="6"/>
      <c r="O143" s="6">
        <v>106.44</v>
      </c>
      <c r="P143" s="6"/>
      <c r="Q143" s="6"/>
      <c r="R143" s="6">
        <v>613.32000000000005</v>
      </c>
      <c r="S143" s="4" t="s">
        <v>38</v>
      </c>
      <c r="T143" s="6">
        <v>613.32000000000005</v>
      </c>
      <c r="U143" s="6"/>
      <c r="V143" s="10">
        <v>45688</v>
      </c>
      <c r="W143" t="str">
        <f t="shared" ca="1" si="2"/>
        <v>VENCIDA</v>
      </c>
    </row>
    <row r="144" spans="1:24" s="11" customFormat="1" ht="48" x14ac:dyDescent="0.25">
      <c r="A144" s="7">
        <v>2500142</v>
      </c>
      <c r="B144" s="8">
        <v>45688</v>
      </c>
      <c r="C144" s="7" t="s">
        <v>205</v>
      </c>
      <c r="D144" s="7" t="s">
        <v>202</v>
      </c>
      <c r="E144" s="7" t="s">
        <v>203</v>
      </c>
      <c r="F144" s="7" t="s">
        <v>204</v>
      </c>
      <c r="G144" s="9">
        <v>600.96</v>
      </c>
      <c r="H144" s="9"/>
      <c r="I144" s="9"/>
      <c r="J144" s="9"/>
      <c r="K144" s="9">
        <v>600.96</v>
      </c>
      <c r="L144" s="9">
        <v>126.2</v>
      </c>
      <c r="M144" s="9"/>
      <c r="N144" s="9"/>
      <c r="O144" s="9">
        <v>126.2</v>
      </c>
      <c r="P144" s="9"/>
      <c r="Q144" s="9"/>
      <c r="R144" s="9">
        <v>727.16</v>
      </c>
      <c r="S144" s="7" t="s">
        <v>38</v>
      </c>
      <c r="T144" s="9">
        <v>727.16</v>
      </c>
      <c r="U144" s="9"/>
      <c r="V144" s="10">
        <v>45702</v>
      </c>
      <c r="W144" t="str">
        <f t="shared" ca="1" si="2"/>
        <v>VENCIDA</v>
      </c>
    </row>
    <row r="145" spans="1:23" s="12" customFormat="1" ht="36" x14ac:dyDescent="0.25">
      <c r="A145" s="4">
        <v>2500143</v>
      </c>
      <c r="B145" s="5">
        <v>45666</v>
      </c>
      <c r="C145" s="4">
        <v>121</v>
      </c>
      <c r="D145" s="4" t="s">
        <v>206</v>
      </c>
      <c r="E145" s="4" t="s">
        <v>207</v>
      </c>
      <c r="F145" s="4" t="s">
        <v>208</v>
      </c>
      <c r="G145" s="6">
        <v>1500</v>
      </c>
      <c r="H145" s="6"/>
      <c r="I145" s="6"/>
      <c r="J145" s="6"/>
      <c r="K145" s="6">
        <v>1500</v>
      </c>
      <c r="L145" s="6">
        <v>315</v>
      </c>
      <c r="M145" s="6"/>
      <c r="N145" s="6"/>
      <c r="O145" s="6">
        <v>315</v>
      </c>
      <c r="P145" s="6">
        <v>285</v>
      </c>
      <c r="Q145" s="6">
        <v>19</v>
      </c>
      <c r="R145" s="6">
        <v>1530</v>
      </c>
      <c r="S145" s="4" t="s">
        <v>101</v>
      </c>
      <c r="T145" s="6">
        <v>1530</v>
      </c>
      <c r="U145" s="6"/>
      <c r="V145" s="10">
        <v>45666</v>
      </c>
      <c r="W145" t="str">
        <f t="shared" ca="1" si="2"/>
        <v>VENCIDA</v>
      </c>
    </row>
    <row r="146" spans="1:23" s="11" customFormat="1" ht="36" x14ac:dyDescent="0.25">
      <c r="A146" s="7">
        <v>2500144</v>
      </c>
      <c r="B146" s="8">
        <v>45659</v>
      </c>
      <c r="C146" s="7">
        <v>122</v>
      </c>
      <c r="D146" s="7" t="s">
        <v>206</v>
      </c>
      <c r="E146" s="7" t="s">
        <v>207</v>
      </c>
      <c r="F146" s="7" t="s">
        <v>208</v>
      </c>
      <c r="G146" s="9">
        <v>1500</v>
      </c>
      <c r="H146" s="9"/>
      <c r="I146" s="9"/>
      <c r="J146" s="9"/>
      <c r="K146" s="9">
        <v>1500</v>
      </c>
      <c r="L146" s="9">
        <v>315</v>
      </c>
      <c r="M146" s="9"/>
      <c r="N146" s="9"/>
      <c r="O146" s="9">
        <v>315</v>
      </c>
      <c r="P146" s="9">
        <v>285</v>
      </c>
      <c r="Q146" s="9">
        <v>19</v>
      </c>
      <c r="R146" s="9">
        <v>1530</v>
      </c>
      <c r="S146" s="7" t="s">
        <v>101</v>
      </c>
      <c r="T146" s="9">
        <v>1530</v>
      </c>
      <c r="U146" s="9"/>
      <c r="V146" s="10">
        <v>45666</v>
      </c>
      <c r="W146" t="str">
        <f t="shared" ca="1" si="2"/>
        <v>VENCIDA</v>
      </c>
    </row>
    <row r="147" spans="1:23" s="12" customFormat="1" ht="36" x14ac:dyDescent="0.25">
      <c r="A147" s="7">
        <v>2500145</v>
      </c>
      <c r="B147" s="8">
        <v>45659</v>
      </c>
      <c r="C147" s="7">
        <v>40</v>
      </c>
      <c r="D147" s="7" t="s">
        <v>209</v>
      </c>
      <c r="E147" s="7" t="s">
        <v>210</v>
      </c>
      <c r="F147" s="7" t="s">
        <v>211</v>
      </c>
      <c r="G147" s="9">
        <v>1500</v>
      </c>
      <c r="H147" s="9"/>
      <c r="I147" s="9"/>
      <c r="J147" s="9"/>
      <c r="K147" s="9">
        <v>1500</v>
      </c>
      <c r="L147" s="9">
        <v>315</v>
      </c>
      <c r="M147" s="9"/>
      <c r="N147" s="9"/>
      <c r="O147" s="9">
        <v>315</v>
      </c>
      <c r="P147" s="9">
        <v>285</v>
      </c>
      <c r="Q147" s="9">
        <v>19</v>
      </c>
      <c r="R147" s="9">
        <v>1530</v>
      </c>
      <c r="S147" s="7" t="s">
        <v>101</v>
      </c>
      <c r="T147" s="9">
        <v>1530</v>
      </c>
      <c r="U147" s="9"/>
      <c r="V147" s="10">
        <v>45666</v>
      </c>
      <c r="W147" t="str">
        <f t="shared" ca="1" si="2"/>
        <v>VENCIDA</v>
      </c>
    </row>
    <row r="148" spans="1:23" s="11" customFormat="1" ht="36" x14ac:dyDescent="0.25">
      <c r="A148" s="4">
        <v>2500146</v>
      </c>
      <c r="B148" s="5">
        <v>45666</v>
      </c>
      <c r="C148" s="4">
        <v>39</v>
      </c>
      <c r="D148" s="4" t="s">
        <v>209</v>
      </c>
      <c r="E148" s="4" t="s">
        <v>210</v>
      </c>
      <c r="F148" s="4" t="s">
        <v>211</v>
      </c>
      <c r="G148" s="6">
        <v>1500</v>
      </c>
      <c r="H148" s="6"/>
      <c r="I148" s="6"/>
      <c r="J148" s="6"/>
      <c r="K148" s="6">
        <v>1500</v>
      </c>
      <c r="L148" s="6">
        <v>315</v>
      </c>
      <c r="M148" s="6"/>
      <c r="N148" s="6"/>
      <c r="O148" s="6">
        <v>315</v>
      </c>
      <c r="P148" s="6">
        <v>285</v>
      </c>
      <c r="Q148" s="6">
        <v>19</v>
      </c>
      <c r="R148" s="6">
        <v>1530</v>
      </c>
      <c r="S148" s="4" t="s">
        <v>101</v>
      </c>
      <c r="T148" s="6">
        <v>1530</v>
      </c>
      <c r="U148" s="6"/>
      <c r="V148" s="10">
        <v>45666</v>
      </c>
      <c r="W148" t="str">
        <f t="shared" ca="1" si="2"/>
        <v>VENCIDA</v>
      </c>
    </row>
    <row r="149" spans="1:23" s="12" customFormat="1" ht="48" hidden="1" x14ac:dyDescent="0.25">
      <c r="A149" s="7">
        <v>2500147</v>
      </c>
      <c r="B149" s="8">
        <v>45688</v>
      </c>
      <c r="C149" s="7">
        <v>25254200438</v>
      </c>
      <c r="D149" s="7" t="s">
        <v>139</v>
      </c>
      <c r="E149" s="7" t="s">
        <v>140</v>
      </c>
      <c r="F149" s="7" t="s">
        <v>73</v>
      </c>
      <c r="G149" s="9">
        <v>170.84</v>
      </c>
      <c r="H149" s="9"/>
      <c r="I149" s="9"/>
      <c r="J149" s="9"/>
      <c r="K149" s="9">
        <v>170.84</v>
      </c>
      <c r="L149" s="9">
        <v>35.880000000000003</v>
      </c>
      <c r="M149" s="9"/>
      <c r="N149" s="9"/>
      <c r="O149" s="9">
        <v>35.880000000000003</v>
      </c>
      <c r="P149" s="9"/>
      <c r="Q149" s="9"/>
      <c r="R149" s="9">
        <v>206.72</v>
      </c>
      <c r="S149" s="7" t="s">
        <v>31</v>
      </c>
      <c r="T149" s="9"/>
      <c r="U149" s="9">
        <v>206.72</v>
      </c>
      <c r="V149" s="5">
        <v>45747</v>
      </c>
      <c r="W149" t="str">
        <f t="shared" ca="1" si="2"/>
        <v/>
      </c>
    </row>
    <row r="150" spans="1:23" s="11" customFormat="1" ht="84" x14ac:dyDescent="0.25">
      <c r="A150" s="4">
        <v>2500148</v>
      </c>
      <c r="B150" s="5">
        <v>45679</v>
      </c>
      <c r="C150" s="4">
        <v>8181250000025</v>
      </c>
      <c r="D150" s="4" t="s">
        <v>212</v>
      </c>
      <c r="E150" s="4" t="s">
        <v>213</v>
      </c>
      <c r="F150" s="4" t="s">
        <v>214</v>
      </c>
      <c r="G150" s="6">
        <v>38.69</v>
      </c>
      <c r="H150" s="6"/>
      <c r="I150" s="6"/>
      <c r="J150" s="6"/>
      <c r="K150" s="6">
        <v>38.69</v>
      </c>
      <c r="L150" s="6">
        <v>8.1199999999999992</v>
      </c>
      <c r="M150" s="6"/>
      <c r="N150" s="6"/>
      <c r="O150" s="6">
        <v>8.1199999999999992</v>
      </c>
      <c r="P150" s="6"/>
      <c r="Q150" s="6"/>
      <c r="R150" s="6">
        <v>46.81</v>
      </c>
      <c r="S150" s="4" t="s">
        <v>35</v>
      </c>
      <c r="T150" s="6">
        <v>46.81</v>
      </c>
      <c r="U150" s="6"/>
      <c r="V150" s="10">
        <v>45691</v>
      </c>
      <c r="W150" t="str">
        <f t="shared" ca="1" si="2"/>
        <v>VENCIDA</v>
      </c>
    </row>
    <row r="151" spans="1:23" s="12" customFormat="1" ht="84" x14ac:dyDescent="0.25">
      <c r="A151" s="7">
        <v>2500149</v>
      </c>
      <c r="B151" s="8">
        <v>45679</v>
      </c>
      <c r="C151" s="7">
        <v>73712500002672</v>
      </c>
      <c r="D151" s="7" t="s">
        <v>212</v>
      </c>
      <c r="E151" s="7" t="s">
        <v>213</v>
      </c>
      <c r="F151" s="7" t="s">
        <v>214</v>
      </c>
      <c r="G151" s="9">
        <v>30.5</v>
      </c>
      <c r="H151" s="9"/>
      <c r="I151" s="9"/>
      <c r="J151" s="9"/>
      <c r="K151" s="9">
        <v>30.5</v>
      </c>
      <c r="L151" s="9">
        <v>6.41</v>
      </c>
      <c r="M151" s="9"/>
      <c r="N151" s="9"/>
      <c r="O151" s="9">
        <v>6.41</v>
      </c>
      <c r="P151" s="9"/>
      <c r="Q151" s="9"/>
      <c r="R151" s="9">
        <v>36.909999999999997</v>
      </c>
      <c r="S151" s="7" t="s">
        <v>35</v>
      </c>
      <c r="T151" s="9">
        <v>36.909999999999997</v>
      </c>
      <c r="U151" s="9"/>
      <c r="V151" s="10">
        <v>45691</v>
      </c>
      <c r="W151" t="str">
        <f t="shared" ca="1" si="2"/>
        <v>VENCIDA</v>
      </c>
    </row>
    <row r="152" spans="1:23" s="11" customFormat="1" ht="36" x14ac:dyDescent="0.25">
      <c r="A152" s="7">
        <v>2500150</v>
      </c>
      <c r="B152" s="8">
        <v>45659</v>
      </c>
      <c r="C152" s="7">
        <v>29391458</v>
      </c>
      <c r="D152" s="7" t="s">
        <v>215</v>
      </c>
      <c r="E152" s="7" t="s">
        <v>216</v>
      </c>
      <c r="F152" s="7" t="s">
        <v>217</v>
      </c>
      <c r="G152" s="9"/>
      <c r="H152" s="9"/>
      <c r="I152" s="9"/>
      <c r="J152" s="9">
        <v>94</v>
      </c>
      <c r="K152" s="9">
        <v>94</v>
      </c>
      <c r="L152" s="9"/>
      <c r="M152" s="9"/>
      <c r="N152" s="9"/>
      <c r="O152" s="9"/>
      <c r="P152" s="9"/>
      <c r="Q152" s="9"/>
      <c r="R152" s="9">
        <v>94</v>
      </c>
      <c r="S152" s="7" t="s">
        <v>42</v>
      </c>
      <c r="T152" s="9">
        <v>94</v>
      </c>
      <c r="U152" s="9"/>
      <c r="V152" s="10">
        <v>45666</v>
      </c>
      <c r="W152" t="str">
        <f t="shared" ca="1" si="2"/>
        <v>VENCIDA</v>
      </c>
    </row>
    <row r="153" spans="1:23" s="12" customFormat="1" ht="36" x14ac:dyDescent="0.25">
      <c r="A153" s="4">
        <v>2500151</v>
      </c>
      <c r="B153" s="5">
        <v>45688</v>
      </c>
      <c r="C153" s="4" t="s">
        <v>218</v>
      </c>
      <c r="D153" s="4" t="s">
        <v>219</v>
      </c>
      <c r="E153" s="4" t="s">
        <v>220</v>
      </c>
      <c r="F153" s="4" t="s">
        <v>221</v>
      </c>
      <c r="G153" s="6">
        <v>45.33</v>
      </c>
      <c r="H153" s="6"/>
      <c r="I153" s="6"/>
      <c r="J153" s="6">
        <v>284.55</v>
      </c>
      <c r="K153" s="6">
        <v>329.88</v>
      </c>
      <c r="L153" s="6">
        <v>9.52</v>
      </c>
      <c r="M153" s="6"/>
      <c r="N153" s="6"/>
      <c r="O153" s="6">
        <v>9.52</v>
      </c>
      <c r="P153" s="6"/>
      <c r="Q153" s="6"/>
      <c r="R153" s="6">
        <v>339.4</v>
      </c>
      <c r="S153" s="4" t="s">
        <v>26</v>
      </c>
      <c r="T153" s="6">
        <v>339.4</v>
      </c>
      <c r="U153" s="6"/>
      <c r="V153" s="10">
        <v>45688</v>
      </c>
      <c r="W153" t="str">
        <f t="shared" ca="1" si="2"/>
        <v>VENCIDA</v>
      </c>
    </row>
    <row r="154" spans="1:23" s="11" customFormat="1" ht="60" x14ac:dyDescent="0.25">
      <c r="A154" s="4">
        <v>2500152</v>
      </c>
      <c r="B154" s="5">
        <v>45673</v>
      </c>
      <c r="C154" s="4" t="s">
        <v>222</v>
      </c>
      <c r="D154" s="4" t="s">
        <v>223</v>
      </c>
      <c r="E154" s="4" t="s">
        <v>224</v>
      </c>
      <c r="F154" s="4" t="s">
        <v>225</v>
      </c>
      <c r="G154" s="6">
        <v>29.99</v>
      </c>
      <c r="H154" s="6"/>
      <c r="I154" s="6"/>
      <c r="J154" s="6"/>
      <c r="K154" s="6">
        <v>29.99</v>
      </c>
      <c r="L154" s="6">
        <v>6.3</v>
      </c>
      <c r="M154" s="6"/>
      <c r="N154" s="6"/>
      <c r="O154" s="6">
        <v>6.3</v>
      </c>
      <c r="P154" s="6"/>
      <c r="Q154" s="6"/>
      <c r="R154" s="6">
        <v>36.29</v>
      </c>
      <c r="S154" s="4" t="s">
        <v>26</v>
      </c>
      <c r="T154" s="6">
        <v>36.29</v>
      </c>
      <c r="U154" s="6"/>
      <c r="V154" s="10">
        <v>45673</v>
      </c>
      <c r="W154" t="str">
        <f t="shared" ca="1" si="2"/>
        <v>VENCIDA</v>
      </c>
    </row>
    <row r="155" spans="1:23" s="12" customFormat="1" ht="24" x14ac:dyDescent="0.25">
      <c r="A155" s="7">
        <v>2500153</v>
      </c>
      <c r="B155" s="8">
        <v>45688</v>
      </c>
      <c r="C155" s="7" t="s">
        <v>226</v>
      </c>
      <c r="D155" s="7" t="s">
        <v>134</v>
      </c>
      <c r="E155" s="7" t="s">
        <v>135</v>
      </c>
      <c r="F155" s="7" t="s">
        <v>136</v>
      </c>
      <c r="G155" s="9">
        <v>106.57</v>
      </c>
      <c r="H155" s="9"/>
      <c r="I155" s="9"/>
      <c r="J155" s="9">
        <v>-0.01</v>
      </c>
      <c r="K155" s="9">
        <v>106.56</v>
      </c>
      <c r="L155" s="9">
        <v>22.38</v>
      </c>
      <c r="M155" s="9"/>
      <c r="N155" s="9"/>
      <c r="O155" s="9">
        <v>22.38</v>
      </c>
      <c r="P155" s="9"/>
      <c r="Q155" s="9"/>
      <c r="R155" s="9">
        <v>128.94</v>
      </c>
      <c r="S155" s="7" t="s">
        <v>26</v>
      </c>
      <c r="T155" s="9">
        <v>128.94</v>
      </c>
      <c r="U155" s="9"/>
      <c r="V155" s="10">
        <v>45688</v>
      </c>
      <c r="W155" t="str">
        <f t="shared" ca="1" si="2"/>
        <v>VENCIDA</v>
      </c>
    </row>
    <row r="156" spans="1:23" s="11" customFormat="1" ht="24" x14ac:dyDescent="0.25">
      <c r="A156" s="7">
        <v>2500154</v>
      </c>
      <c r="B156" s="8">
        <v>45686</v>
      </c>
      <c r="C156" s="7">
        <v>1201150723</v>
      </c>
      <c r="D156" s="7" t="s">
        <v>32</v>
      </c>
      <c r="E156" s="7" t="s">
        <v>33</v>
      </c>
      <c r="F156" s="7" t="s">
        <v>34</v>
      </c>
      <c r="G156" s="9">
        <v>61832.14</v>
      </c>
      <c r="H156" s="9"/>
      <c r="I156" s="9"/>
      <c r="J156" s="9"/>
      <c r="K156" s="9">
        <v>61832.14</v>
      </c>
      <c r="L156" s="9">
        <v>12984.75</v>
      </c>
      <c r="M156" s="9"/>
      <c r="N156" s="9"/>
      <c r="O156" s="9">
        <v>12984.75</v>
      </c>
      <c r="P156" s="9"/>
      <c r="Q156" s="9"/>
      <c r="R156" s="9">
        <v>74816.89</v>
      </c>
      <c r="S156" s="7" t="s">
        <v>227</v>
      </c>
      <c r="T156" s="9"/>
      <c r="U156" s="9">
        <v>74816.89</v>
      </c>
      <c r="V156" s="5">
        <v>45806</v>
      </c>
      <c r="W156" t="str">
        <f t="shared" ca="1" si="2"/>
        <v/>
      </c>
    </row>
    <row r="157" spans="1:23" s="12" customFormat="1" ht="24" x14ac:dyDescent="0.25">
      <c r="A157" s="4">
        <v>2500155</v>
      </c>
      <c r="B157" s="5">
        <v>45687</v>
      </c>
      <c r="C157" s="4">
        <v>1201150725</v>
      </c>
      <c r="D157" s="4" t="s">
        <v>32</v>
      </c>
      <c r="E157" s="4" t="s">
        <v>33</v>
      </c>
      <c r="F157" s="4" t="s">
        <v>34</v>
      </c>
      <c r="G157" s="6">
        <v>82998.289999999994</v>
      </c>
      <c r="H157" s="6"/>
      <c r="I157" s="6"/>
      <c r="J157" s="6"/>
      <c r="K157" s="6">
        <v>82998.289999999994</v>
      </c>
      <c r="L157" s="6">
        <v>17429.64</v>
      </c>
      <c r="M157" s="6"/>
      <c r="N157" s="6"/>
      <c r="O157" s="6">
        <v>17429.64</v>
      </c>
      <c r="P157" s="6"/>
      <c r="Q157" s="6"/>
      <c r="R157" s="6">
        <v>100427.93</v>
      </c>
      <c r="S157" s="4" t="s">
        <v>227</v>
      </c>
      <c r="T157" s="6"/>
      <c r="U157" s="6">
        <v>100427.93</v>
      </c>
      <c r="V157" s="5">
        <v>45807</v>
      </c>
      <c r="W157" t="str">
        <f t="shared" ca="1" si="2"/>
        <v/>
      </c>
    </row>
  </sheetData>
  <autoFilter ref="A1:W157" xr:uid="{72DE490C-5136-4606-B0F5-903DB2E40430}">
    <filterColumn colId="21">
      <filters>
        <dateGroupItem year="2025" month="1" dateTimeGrouping="month"/>
        <dateGroupItem year="2025" month="2" dateTimeGrouping="month"/>
      </filters>
    </filterColumn>
  </autoFilter>
  <conditionalFormatting sqref="W2:W157">
    <cfRule type="containsText" dxfId="12" priority="1" operator="containsText" text="VENCIDA">
      <formula>NOT(ISERROR(SEARCH("VENCIDA",W2)))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6FF2A-77A1-40BB-B787-610C88D61D40}">
  <dimension ref="A1:AA151"/>
  <sheetViews>
    <sheetView topLeftCell="A137" zoomScale="80" zoomScaleNormal="80" workbookViewId="0">
      <selection activeCell="C148" sqref="C148"/>
    </sheetView>
  </sheetViews>
  <sheetFormatPr baseColWidth="10" defaultRowHeight="15" x14ac:dyDescent="0.25"/>
  <cols>
    <col min="3" max="3" width="16.140625" customWidth="1"/>
  </cols>
  <sheetData>
    <row r="1" spans="1:23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3" t="s">
        <v>22</v>
      </c>
    </row>
    <row r="2" spans="1:23" s="11" customFormat="1" ht="48" x14ac:dyDescent="0.25">
      <c r="A2" s="4">
        <v>2500156</v>
      </c>
      <c r="B2" s="5">
        <v>45692</v>
      </c>
      <c r="C2" s="4">
        <v>456675</v>
      </c>
      <c r="D2" s="4" t="s">
        <v>23</v>
      </c>
      <c r="E2" s="4" t="s">
        <v>24</v>
      </c>
      <c r="F2" s="4" t="s">
        <v>25</v>
      </c>
      <c r="G2" s="6">
        <v>41.33</v>
      </c>
      <c r="H2" s="6"/>
      <c r="I2" s="6"/>
      <c r="J2" s="6"/>
      <c r="K2" s="6">
        <v>41.33</v>
      </c>
      <c r="L2" s="6">
        <v>8.68</v>
      </c>
      <c r="M2" s="6"/>
      <c r="N2" s="6"/>
      <c r="O2" s="6">
        <v>8.68</v>
      </c>
      <c r="P2" s="6"/>
      <c r="Q2" s="6"/>
      <c r="R2" s="6">
        <v>50.01</v>
      </c>
      <c r="S2" s="4" t="s">
        <v>26</v>
      </c>
      <c r="T2" s="6">
        <v>50.01</v>
      </c>
      <c r="U2" s="6"/>
      <c r="V2" s="10">
        <v>45692</v>
      </c>
      <c r="W2" t="str">
        <f t="shared" ref="W2:W23" ca="1" si="0">IF(V2&lt;TODAY(),"VENCIDA",IF(V2=TODAY(),"VENCE HOY",IF(V2&gt;TODAY(),"")))</f>
        <v>VENCIDA</v>
      </c>
    </row>
    <row r="3" spans="1:23" s="12" customFormat="1" ht="48" x14ac:dyDescent="0.25">
      <c r="A3" s="7">
        <v>2500157</v>
      </c>
      <c r="B3" s="8">
        <v>45692</v>
      </c>
      <c r="C3" s="7">
        <v>592000</v>
      </c>
      <c r="D3" s="7" t="s">
        <v>23</v>
      </c>
      <c r="E3" s="7" t="s">
        <v>24</v>
      </c>
      <c r="F3" s="7" t="s">
        <v>25</v>
      </c>
      <c r="G3" s="9">
        <v>38.86</v>
      </c>
      <c r="H3" s="9"/>
      <c r="I3" s="9"/>
      <c r="J3" s="9"/>
      <c r="K3" s="9">
        <v>38.86</v>
      </c>
      <c r="L3" s="9">
        <v>8.16</v>
      </c>
      <c r="M3" s="9"/>
      <c r="N3" s="9"/>
      <c r="O3" s="9">
        <v>8.16</v>
      </c>
      <c r="P3" s="9"/>
      <c r="Q3" s="9"/>
      <c r="R3" s="9">
        <v>47.02</v>
      </c>
      <c r="S3" s="7" t="s">
        <v>26</v>
      </c>
      <c r="T3" s="9">
        <v>47.02</v>
      </c>
      <c r="U3" s="9"/>
      <c r="V3" s="10">
        <v>45692</v>
      </c>
      <c r="W3" t="str">
        <f t="shared" ca="1" si="0"/>
        <v>VENCIDA</v>
      </c>
    </row>
    <row r="4" spans="1:23" s="11" customFormat="1" ht="48" x14ac:dyDescent="0.25">
      <c r="A4" s="4">
        <v>2500158</v>
      </c>
      <c r="B4" s="5">
        <v>45692</v>
      </c>
      <c r="C4" s="4">
        <v>743355</v>
      </c>
      <c r="D4" s="4" t="s">
        <v>23</v>
      </c>
      <c r="E4" s="4" t="s">
        <v>24</v>
      </c>
      <c r="F4" s="4" t="s">
        <v>25</v>
      </c>
      <c r="G4" s="6">
        <v>57.02</v>
      </c>
      <c r="H4" s="6"/>
      <c r="I4" s="6"/>
      <c r="J4" s="6">
        <v>0.01</v>
      </c>
      <c r="K4" s="6">
        <v>57.03</v>
      </c>
      <c r="L4" s="6">
        <v>11.97</v>
      </c>
      <c r="M4" s="6"/>
      <c r="N4" s="6"/>
      <c r="O4" s="6">
        <v>11.97</v>
      </c>
      <c r="P4" s="6"/>
      <c r="Q4" s="6"/>
      <c r="R4" s="6">
        <v>69</v>
      </c>
      <c r="S4" s="4" t="s">
        <v>26</v>
      </c>
      <c r="T4" s="6">
        <v>69</v>
      </c>
      <c r="U4" s="6"/>
      <c r="V4" s="10">
        <v>45692</v>
      </c>
      <c r="W4" t="str">
        <f t="shared" ca="1" si="0"/>
        <v>VENCIDA</v>
      </c>
    </row>
    <row r="5" spans="1:23" s="12" customFormat="1" ht="48" x14ac:dyDescent="0.25">
      <c r="A5" s="7">
        <v>2500159</v>
      </c>
      <c r="B5" s="8">
        <v>45692</v>
      </c>
      <c r="C5" s="7">
        <v>743357</v>
      </c>
      <c r="D5" s="7" t="s">
        <v>23</v>
      </c>
      <c r="E5" s="7" t="s">
        <v>24</v>
      </c>
      <c r="F5" s="7" t="s">
        <v>25</v>
      </c>
      <c r="G5" s="9">
        <v>56.74</v>
      </c>
      <c r="H5" s="9"/>
      <c r="I5" s="9"/>
      <c r="J5" s="9"/>
      <c r="K5" s="9">
        <v>56.74</v>
      </c>
      <c r="L5" s="9">
        <v>11.92</v>
      </c>
      <c r="M5" s="9"/>
      <c r="N5" s="9"/>
      <c r="O5" s="9">
        <v>11.92</v>
      </c>
      <c r="P5" s="9"/>
      <c r="Q5" s="9"/>
      <c r="R5" s="9">
        <v>68.66</v>
      </c>
      <c r="S5" s="7" t="s">
        <v>26</v>
      </c>
      <c r="T5" s="9">
        <v>68.66</v>
      </c>
      <c r="U5" s="9"/>
      <c r="V5" s="10">
        <v>45692</v>
      </c>
      <c r="W5" t="str">
        <f t="shared" ca="1" si="0"/>
        <v>VENCIDA</v>
      </c>
    </row>
    <row r="6" spans="1:23" s="11" customFormat="1" ht="48" x14ac:dyDescent="0.25">
      <c r="A6" s="4">
        <v>2500160</v>
      </c>
      <c r="B6" s="5">
        <v>45692</v>
      </c>
      <c r="C6" s="4">
        <v>62034</v>
      </c>
      <c r="D6" s="4" t="s">
        <v>23</v>
      </c>
      <c r="E6" s="4" t="s">
        <v>24</v>
      </c>
      <c r="F6" s="4" t="s">
        <v>25</v>
      </c>
      <c r="G6" s="6">
        <v>82.01</v>
      </c>
      <c r="H6" s="6"/>
      <c r="I6" s="6"/>
      <c r="J6" s="6"/>
      <c r="K6" s="6">
        <v>82.01</v>
      </c>
      <c r="L6" s="6">
        <v>17.22</v>
      </c>
      <c r="M6" s="6"/>
      <c r="N6" s="6"/>
      <c r="O6" s="6">
        <v>17.22</v>
      </c>
      <c r="P6" s="6"/>
      <c r="Q6" s="6"/>
      <c r="R6" s="6">
        <v>99.23</v>
      </c>
      <c r="S6" s="4" t="s">
        <v>26</v>
      </c>
      <c r="T6" s="6">
        <v>99.23</v>
      </c>
      <c r="U6" s="6"/>
      <c r="V6" s="10">
        <v>45692</v>
      </c>
      <c r="W6" t="str">
        <f t="shared" ca="1" si="0"/>
        <v>VENCIDA</v>
      </c>
    </row>
    <row r="7" spans="1:23" s="12" customFormat="1" ht="48" x14ac:dyDescent="0.25">
      <c r="A7" s="7">
        <v>2500161</v>
      </c>
      <c r="B7" s="8">
        <v>45692</v>
      </c>
      <c r="C7" s="7">
        <v>743359</v>
      </c>
      <c r="D7" s="7" t="s">
        <v>23</v>
      </c>
      <c r="E7" s="7" t="s">
        <v>24</v>
      </c>
      <c r="F7" s="7" t="s">
        <v>25</v>
      </c>
      <c r="G7" s="9">
        <v>44.34</v>
      </c>
      <c r="H7" s="9"/>
      <c r="I7" s="9"/>
      <c r="J7" s="9"/>
      <c r="K7" s="9">
        <v>44.34</v>
      </c>
      <c r="L7" s="9">
        <v>9.31</v>
      </c>
      <c r="M7" s="9"/>
      <c r="N7" s="9"/>
      <c r="O7" s="9">
        <v>9.31</v>
      </c>
      <c r="P7" s="9"/>
      <c r="Q7" s="9"/>
      <c r="R7" s="9">
        <v>53.65</v>
      </c>
      <c r="S7" s="7" t="s">
        <v>26</v>
      </c>
      <c r="T7" s="9">
        <v>53.65</v>
      </c>
      <c r="U7" s="9"/>
      <c r="V7" s="10">
        <v>45692</v>
      </c>
      <c r="W7" t="str">
        <f t="shared" ca="1" si="0"/>
        <v>VENCIDA</v>
      </c>
    </row>
    <row r="8" spans="1:23" s="11" customFormat="1" ht="48" x14ac:dyDescent="0.25">
      <c r="A8" s="4">
        <v>2500162</v>
      </c>
      <c r="B8" s="5">
        <v>45692</v>
      </c>
      <c r="C8" s="4">
        <v>743361</v>
      </c>
      <c r="D8" s="4" t="s">
        <v>23</v>
      </c>
      <c r="E8" s="4" t="s">
        <v>24</v>
      </c>
      <c r="F8" s="4" t="s">
        <v>25</v>
      </c>
      <c r="G8" s="6">
        <v>53.85</v>
      </c>
      <c r="H8" s="6"/>
      <c r="I8" s="6"/>
      <c r="J8" s="6"/>
      <c r="K8" s="6">
        <v>53.85</v>
      </c>
      <c r="L8" s="6">
        <v>11.31</v>
      </c>
      <c r="M8" s="6"/>
      <c r="N8" s="6"/>
      <c r="O8" s="6">
        <v>11.31</v>
      </c>
      <c r="P8" s="6"/>
      <c r="Q8" s="6"/>
      <c r="R8" s="6">
        <v>65.16</v>
      </c>
      <c r="S8" s="4" t="s">
        <v>26</v>
      </c>
      <c r="T8" s="6">
        <v>65.16</v>
      </c>
      <c r="U8" s="6"/>
      <c r="V8" s="10">
        <v>45692</v>
      </c>
      <c r="W8" t="str">
        <f t="shared" ca="1" si="0"/>
        <v>VENCIDA</v>
      </c>
    </row>
    <row r="9" spans="1:23" s="12" customFormat="1" ht="48" x14ac:dyDescent="0.25">
      <c r="A9" s="7">
        <v>2500163</v>
      </c>
      <c r="B9" s="8">
        <v>45689</v>
      </c>
      <c r="C9" s="7" t="s">
        <v>264</v>
      </c>
      <c r="D9" s="7" t="s">
        <v>52</v>
      </c>
      <c r="E9" s="7" t="s">
        <v>53</v>
      </c>
      <c r="F9" s="7" t="s">
        <v>54</v>
      </c>
      <c r="G9" s="9">
        <v>1800</v>
      </c>
      <c r="H9" s="9"/>
      <c r="I9" s="9"/>
      <c r="J9" s="9"/>
      <c r="K9" s="9">
        <v>1800</v>
      </c>
      <c r="L9" s="9">
        <v>378</v>
      </c>
      <c r="M9" s="9"/>
      <c r="N9" s="9"/>
      <c r="O9" s="9">
        <v>378</v>
      </c>
      <c r="P9" s="9">
        <v>342</v>
      </c>
      <c r="Q9" s="9">
        <v>19</v>
      </c>
      <c r="R9" s="9">
        <v>1836</v>
      </c>
      <c r="S9" s="7" t="s">
        <v>55</v>
      </c>
      <c r="T9" s="9"/>
      <c r="U9" s="9">
        <v>1836</v>
      </c>
      <c r="V9" s="5">
        <v>45689</v>
      </c>
      <c r="W9" t="str">
        <f t="shared" ca="1" si="0"/>
        <v>VENCIDA</v>
      </c>
    </row>
    <row r="10" spans="1:23" s="11" customFormat="1" ht="48" x14ac:dyDescent="0.25">
      <c r="A10" s="4">
        <v>2500164</v>
      </c>
      <c r="B10" s="5">
        <v>45689</v>
      </c>
      <c r="C10" s="4" t="s">
        <v>265</v>
      </c>
      <c r="D10" s="4" t="s">
        <v>52</v>
      </c>
      <c r="E10" s="4" t="s">
        <v>53</v>
      </c>
      <c r="F10" s="4" t="s">
        <v>54</v>
      </c>
      <c r="G10" s="6">
        <v>1800</v>
      </c>
      <c r="H10" s="6"/>
      <c r="I10" s="6"/>
      <c r="J10" s="6"/>
      <c r="K10" s="6">
        <v>1800</v>
      </c>
      <c r="L10" s="6">
        <v>378</v>
      </c>
      <c r="M10" s="6"/>
      <c r="N10" s="6"/>
      <c r="O10" s="6">
        <v>378</v>
      </c>
      <c r="P10" s="6">
        <v>342</v>
      </c>
      <c r="Q10" s="6">
        <v>19</v>
      </c>
      <c r="R10" s="6">
        <v>1836</v>
      </c>
      <c r="S10" s="4" t="s">
        <v>55</v>
      </c>
      <c r="T10" s="6"/>
      <c r="U10" s="6">
        <v>1836</v>
      </c>
      <c r="V10" s="5">
        <v>45689</v>
      </c>
      <c r="W10" t="str">
        <f t="shared" ca="1" si="0"/>
        <v>VENCIDA</v>
      </c>
    </row>
    <row r="11" spans="1:23" s="12" customFormat="1" ht="48" x14ac:dyDescent="0.25">
      <c r="A11" s="4">
        <v>2500165</v>
      </c>
      <c r="B11" s="5">
        <v>45688</v>
      </c>
      <c r="C11" s="4" t="s">
        <v>266</v>
      </c>
      <c r="D11" s="4" t="s">
        <v>267</v>
      </c>
      <c r="E11" s="4" t="s">
        <v>268</v>
      </c>
      <c r="F11" s="4" t="s">
        <v>269</v>
      </c>
      <c r="G11" s="6">
        <v>49.5</v>
      </c>
      <c r="H11" s="6"/>
      <c r="I11" s="6"/>
      <c r="J11" s="6"/>
      <c r="K11" s="6">
        <v>49.5</v>
      </c>
      <c r="L11" s="6">
        <v>10.4</v>
      </c>
      <c r="M11" s="6"/>
      <c r="N11" s="6"/>
      <c r="O11" s="6">
        <v>10.4</v>
      </c>
      <c r="P11" s="6"/>
      <c r="Q11" s="6"/>
      <c r="R11" s="6">
        <v>59.9</v>
      </c>
      <c r="S11" s="4" t="s">
        <v>42</v>
      </c>
      <c r="T11" s="6">
        <v>59.9</v>
      </c>
      <c r="U11" s="6"/>
      <c r="V11" s="5">
        <v>45698</v>
      </c>
      <c r="W11" t="str">
        <f t="shared" ca="1" si="0"/>
        <v>VENCIDA</v>
      </c>
    </row>
    <row r="12" spans="1:23" s="11" customFormat="1" ht="60" x14ac:dyDescent="0.25">
      <c r="A12" s="7">
        <v>2500166</v>
      </c>
      <c r="B12" s="8">
        <v>45689</v>
      </c>
      <c r="C12" s="7" t="s">
        <v>270</v>
      </c>
      <c r="D12" s="7" t="s">
        <v>58</v>
      </c>
      <c r="E12" s="7" t="s">
        <v>59</v>
      </c>
      <c r="F12" s="7" t="s">
        <v>60</v>
      </c>
      <c r="G12" s="9">
        <v>700</v>
      </c>
      <c r="H12" s="9"/>
      <c r="I12" s="9"/>
      <c r="J12" s="9"/>
      <c r="K12" s="9">
        <v>700</v>
      </c>
      <c r="L12" s="9">
        <v>147</v>
      </c>
      <c r="M12" s="9"/>
      <c r="N12" s="9"/>
      <c r="O12" s="9">
        <v>147</v>
      </c>
      <c r="P12" s="9"/>
      <c r="Q12" s="9"/>
      <c r="R12" s="9">
        <v>847</v>
      </c>
      <c r="S12" s="7" t="s">
        <v>42</v>
      </c>
      <c r="T12" s="9"/>
      <c r="U12" s="9">
        <v>847</v>
      </c>
      <c r="V12" s="5">
        <v>45689</v>
      </c>
      <c r="W12" t="str">
        <f t="shared" ca="1" si="0"/>
        <v>VENCIDA</v>
      </c>
    </row>
    <row r="13" spans="1:23" s="12" customFormat="1" ht="60" x14ac:dyDescent="0.25">
      <c r="A13" s="4">
        <v>2500167</v>
      </c>
      <c r="B13" s="5">
        <v>45689</v>
      </c>
      <c r="C13" s="4" t="s">
        <v>271</v>
      </c>
      <c r="D13" s="4" t="s">
        <v>58</v>
      </c>
      <c r="E13" s="4" t="s">
        <v>59</v>
      </c>
      <c r="F13" s="4" t="s">
        <v>60</v>
      </c>
      <c r="G13" s="6">
        <v>210</v>
      </c>
      <c r="H13" s="6"/>
      <c r="I13" s="6"/>
      <c r="J13" s="6"/>
      <c r="K13" s="6">
        <v>210</v>
      </c>
      <c r="L13" s="6">
        <v>44.1</v>
      </c>
      <c r="M13" s="6"/>
      <c r="N13" s="6"/>
      <c r="O13" s="6">
        <v>44.1</v>
      </c>
      <c r="P13" s="6"/>
      <c r="Q13" s="6"/>
      <c r="R13" s="6">
        <v>254.1</v>
      </c>
      <c r="S13" s="4" t="s">
        <v>42</v>
      </c>
      <c r="T13" s="6"/>
      <c r="U13" s="6">
        <v>254.1</v>
      </c>
      <c r="V13" s="5">
        <v>45689</v>
      </c>
      <c r="W13" t="str">
        <f t="shared" ca="1" si="0"/>
        <v>VENCIDA</v>
      </c>
    </row>
    <row r="14" spans="1:23" s="11" customFormat="1" ht="36" x14ac:dyDescent="0.25">
      <c r="A14" s="7">
        <v>2500168</v>
      </c>
      <c r="B14" s="8">
        <v>45691</v>
      </c>
      <c r="C14" s="7">
        <v>2250043</v>
      </c>
      <c r="D14" s="7" t="s">
        <v>39</v>
      </c>
      <c r="E14" s="7" t="s">
        <v>40</v>
      </c>
      <c r="F14" s="7" t="s">
        <v>41</v>
      </c>
      <c r="G14" s="9">
        <v>90</v>
      </c>
      <c r="H14" s="9"/>
      <c r="I14" s="9"/>
      <c r="J14" s="9"/>
      <c r="K14" s="9">
        <v>90</v>
      </c>
      <c r="L14" s="9">
        <v>18.899999999999999</v>
      </c>
      <c r="M14" s="9"/>
      <c r="N14" s="9"/>
      <c r="O14" s="9">
        <v>18.899999999999999</v>
      </c>
      <c r="P14" s="9"/>
      <c r="Q14" s="9"/>
      <c r="R14" s="9">
        <v>108.9</v>
      </c>
      <c r="S14" s="7" t="s">
        <v>42</v>
      </c>
      <c r="T14" s="9">
        <v>108.9</v>
      </c>
      <c r="U14" s="9"/>
      <c r="V14" s="10">
        <v>45693</v>
      </c>
      <c r="W14" t="str">
        <f t="shared" ca="1" si="0"/>
        <v>VENCIDA</v>
      </c>
    </row>
    <row r="15" spans="1:23" s="12" customFormat="1" ht="36" x14ac:dyDescent="0.25">
      <c r="A15" s="4">
        <v>2500169</v>
      </c>
      <c r="B15" s="5">
        <v>45691</v>
      </c>
      <c r="C15" s="4">
        <v>2250044</v>
      </c>
      <c r="D15" s="4" t="s">
        <v>39</v>
      </c>
      <c r="E15" s="4" t="s">
        <v>40</v>
      </c>
      <c r="F15" s="4" t="s">
        <v>41</v>
      </c>
      <c r="G15" s="6">
        <v>200</v>
      </c>
      <c r="H15" s="6"/>
      <c r="I15" s="6"/>
      <c r="J15" s="6"/>
      <c r="K15" s="6">
        <v>200</v>
      </c>
      <c r="L15" s="6">
        <v>42</v>
      </c>
      <c r="M15" s="6"/>
      <c r="N15" s="6"/>
      <c r="O15" s="6">
        <v>42</v>
      </c>
      <c r="P15" s="6"/>
      <c r="Q15" s="6"/>
      <c r="R15" s="6">
        <v>242</v>
      </c>
      <c r="S15" s="4" t="s">
        <v>42</v>
      </c>
      <c r="T15" s="6">
        <v>242</v>
      </c>
      <c r="U15" s="6"/>
      <c r="V15" s="10">
        <v>45693</v>
      </c>
      <c r="W15" t="str">
        <f t="shared" ca="1" si="0"/>
        <v>VENCIDA</v>
      </c>
    </row>
    <row r="16" spans="1:23" s="11" customFormat="1" ht="24" x14ac:dyDescent="0.25">
      <c r="A16" s="4">
        <v>2500170</v>
      </c>
      <c r="B16" s="5">
        <v>45693</v>
      </c>
      <c r="C16" s="4">
        <v>47359</v>
      </c>
      <c r="D16" s="4" t="s">
        <v>111</v>
      </c>
      <c r="E16" s="4" t="s">
        <v>112</v>
      </c>
      <c r="F16" s="4" t="s">
        <v>113</v>
      </c>
      <c r="G16" s="6">
        <v>73.62</v>
      </c>
      <c r="H16" s="6"/>
      <c r="I16" s="6"/>
      <c r="J16" s="6"/>
      <c r="K16" s="6">
        <v>73.62</v>
      </c>
      <c r="L16" s="6">
        <v>15.46</v>
      </c>
      <c r="M16" s="6"/>
      <c r="N16" s="6"/>
      <c r="O16" s="6">
        <v>15.46</v>
      </c>
      <c r="P16" s="6"/>
      <c r="Q16" s="6"/>
      <c r="R16" s="6">
        <v>89.08</v>
      </c>
      <c r="S16" s="4" t="s">
        <v>42</v>
      </c>
      <c r="T16" s="6">
        <v>89.08</v>
      </c>
      <c r="U16" s="6"/>
      <c r="V16" s="10">
        <v>45713</v>
      </c>
      <c r="W16" t="str">
        <f t="shared" ca="1" si="0"/>
        <v>VENCIDA</v>
      </c>
    </row>
    <row r="17" spans="1:23" s="12" customFormat="1" ht="60" x14ac:dyDescent="0.25">
      <c r="A17" s="4">
        <v>2500171</v>
      </c>
      <c r="B17" s="5">
        <v>45659</v>
      </c>
      <c r="C17" s="4" t="s">
        <v>272</v>
      </c>
      <c r="D17" s="4" t="s">
        <v>273</v>
      </c>
      <c r="E17" s="4" t="s">
        <v>274</v>
      </c>
      <c r="F17" s="4" t="s">
        <v>275</v>
      </c>
      <c r="G17" s="6">
        <v>1456.62</v>
      </c>
      <c r="H17" s="6"/>
      <c r="I17" s="6"/>
      <c r="J17" s="6"/>
      <c r="K17" s="6">
        <v>1456.62</v>
      </c>
      <c r="L17" s="6">
        <v>305.89</v>
      </c>
      <c r="M17" s="6"/>
      <c r="N17" s="6"/>
      <c r="O17" s="6">
        <v>305.89</v>
      </c>
      <c r="P17" s="6">
        <v>218.49</v>
      </c>
      <c r="Q17" s="6">
        <v>15</v>
      </c>
      <c r="R17" s="6">
        <v>1544.02</v>
      </c>
      <c r="S17" s="4" t="s">
        <v>242</v>
      </c>
      <c r="T17" s="6">
        <v>1544.02</v>
      </c>
      <c r="U17" s="6"/>
      <c r="V17" s="10">
        <v>45708</v>
      </c>
      <c r="W17" t="str">
        <f t="shared" ca="1" si="0"/>
        <v>VENCIDA</v>
      </c>
    </row>
    <row r="18" spans="1:23" s="11" customFormat="1" ht="60" x14ac:dyDescent="0.25">
      <c r="A18" s="7">
        <v>2500172</v>
      </c>
      <c r="B18" s="8">
        <v>45692</v>
      </c>
      <c r="C18" s="7" t="s">
        <v>276</v>
      </c>
      <c r="D18" s="7" t="s">
        <v>273</v>
      </c>
      <c r="E18" s="7" t="s">
        <v>274</v>
      </c>
      <c r="F18" s="7" t="s">
        <v>275</v>
      </c>
      <c r="G18" s="9">
        <v>1456.62</v>
      </c>
      <c r="H18" s="9"/>
      <c r="I18" s="9"/>
      <c r="J18" s="9"/>
      <c r="K18" s="9">
        <v>1456.62</v>
      </c>
      <c r="L18" s="9">
        <v>305.89</v>
      </c>
      <c r="M18" s="9"/>
      <c r="N18" s="9"/>
      <c r="O18" s="9">
        <v>305.89</v>
      </c>
      <c r="P18" s="9">
        <v>218.49</v>
      </c>
      <c r="Q18" s="9">
        <v>15</v>
      </c>
      <c r="R18" s="9">
        <v>1544.02</v>
      </c>
      <c r="S18" s="7" t="s">
        <v>242</v>
      </c>
      <c r="T18" s="9">
        <v>1544.02</v>
      </c>
      <c r="U18" s="9"/>
      <c r="V18" s="10">
        <v>45708</v>
      </c>
      <c r="W18" t="str">
        <f t="shared" ca="1" si="0"/>
        <v>VENCIDA</v>
      </c>
    </row>
    <row r="19" spans="1:23" s="12" customFormat="1" ht="60" x14ac:dyDescent="0.25">
      <c r="A19" s="4">
        <v>2500173</v>
      </c>
      <c r="B19" s="5">
        <v>45691</v>
      </c>
      <c r="C19" s="4" t="s">
        <v>277</v>
      </c>
      <c r="D19" s="4" t="s">
        <v>48</v>
      </c>
      <c r="E19" s="4" t="s">
        <v>49</v>
      </c>
      <c r="F19" s="4" t="s">
        <v>50</v>
      </c>
      <c r="G19" s="6">
        <v>1990</v>
      </c>
      <c r="H19" s="6"/>
      <c r="I19" s="6"/>
      <c r="J19" s="6"/>
      <c r="K19" s="6">
        <v>1990</v>
      </c>
      <c r="L19" s="6">
        <v>417.9</v>
      </c>
      <c r="M19" s="6"/>
      <c r="N19" s="6"/>
      <c r="O19" s="6">
        <v>417.9</v>
      </c>
      <c r="P19" s="6"/>
      <c r="Q19" s="6"/>
      <c r="R19" s="6">
        <v>2407.9</v>
      </c>
      <c r="S19" s="4" t="s">
        <v>35</v>
      </c>
      <c r="T19" s="6">
        <v>2407.9</v>
      </c>
      <c r="U19" s="6"/>
      <c r="V19" s="10">
        <v>45691</v>
      </c>
      <c r="W19" t="str">
        <f t="shared" ca="1" si="0"/>
        <v>VENCIDA</v>
      </c>
    </row>
    <row r="20" spans="1:23" s="11" customFormat="1" ht="36" x14ac:dyDescent="0.25">
      <c r="A20" s="7">
        <v>2500174</v>
      </c>
      <c r="B20" s="8">
        <v>45688</v>
      </c>
      <c r="C20" s="7" t="s">
        <v>278</v>
      </c>
      <c r="D20" s="7" t="s">
        <v>279</v>
      </c>
      <c r="E20" s="7" t="s">
        <v>280</v>
      </c>
      <c r="F20" s="7" t="s">
        <v>281</v>
      </c>
      <c r="G20" s="9">
        <v>123</v>
      </c>
      <c r="H20" s="9"/>
      <c r="I20" s="9"/>
      <c r="J20" s="9"/>
      <c r="K20" s="9">
        <v>123</v>
      </c>
      <c r="L20" s="9">
        <v>25.83</v>
      </c>
      <c r="M20" s="9"/>
      <c r="N20" s="9"/>
      <c r="O20" s="9">
        <v>25.83</v>
      </c>
      <c r="P20" s="9"/>
      <c r="Q20" s="9"/>
      <c r="R20" s="9">
        <v>148.83000000000001</v>
      </c>
      <c r="S20" s="7" t="s">
        <v>291</v>
      </c>
      <c r="T20" s="9">
        <v>148.84</v>
      </c>
      <c r="U20" s="9">
        <v>-0.01</v>
      </c>
      <c r="V20" s="5">
        <v>45688</v>
      </c>
      <c r="W20" t="str">
        <f t="shared" ca="1" si="0"/>
        <v>VENCIDA</v>
      </c>
    </row>
    <row r="21" spans="1:23" s="12" customFormat="1" ht="48" x14ac:dyDescent="0.25">
      <c r="A21" s="7">
        <v>2500175</v>
      </c>
      <c r="B21" s="8">
        <v>45674</v>
      </c>
      <c r="C21" s="7" t="s">
        <v>282</v>
      </c>
      <c r="D21" s="7" t="s">
        <v>283</v>
      </c>
      <c r="E21" s="7" t="s">
        <v>284</v>
      </c>
      <c r="F21" s="7"/>
      <c r="G21" s="9">
        <v>300</v>
      </c>
      <c r="H21" s="9"/>
      <c r="I21" s="9"/>
      <c r="J21" s="9"/>
      <c r="K21" s="9">
        <v>300</v>
      </c>
      <c r="L21" s="9">
        <v>63</v>
      </c>
      <c r="M21" s="9"/>
      <c r="N21" s="9"/>
      <c r="O21" s="9">
        <v>63</v>
      </c>
      <c r="P21" s="9"/>
      <c r="Q21" s="9"/>
      <c r="R21" s="9">
        <v>363</v>
      </c>
      <c r="S21" s="7" t="s">
        <v>285</v>
      </c>
      <c r="T21" s="9">
        <v>363</v>
      </c>
      <c r="U21" s="9"/>
      <c r="V21" s="10">
        <v>45674</v>
      </c>
      <c r="W21" t="str">
        <f t="shared" ca="1" si="0"/>
        <v>VENCIDA</v>
      </c>
    </row>
    <row r="22" spans="1:23" s="11" customFormat="1" ht="48" x14ac:dyDescent="0.25">
      <c r="A22" s="7">
        <v>2500176</v>
      </c>
      <c r="B22" s="8">
        <v>45716</v>
      </c>
      <c r="C22" s="7" t="s">
        <v>286</v>
      </c>
      <c r="D22" s="7" t="s">
        <v>115</v>
      </c>
      <c r="E22" s="7" t="s">
        <v>116</v>
      </c>
      <c r="F22" s="7" t="s">
        <v>117</v>
      </c>
      <c r="G22" s="9">
        <v>135.69</v>
      </c>
      <c r="H22" s="9"/>
      <c r="I22" s="9"/>
      <c r="J22" s="9"/>
      <c r="K22" s="9">
        <v>135.69</v>
      </c>
      <c r="L22" s="9">
        <v>28.49</v>
      </c>
      <c r="M22" s="9"/>
      <c r="N22" s="9"/>
      <c r="O22" s="9">
        <v>28.49</v>
      </c>
      <c r="P22" s="9"/>
      <c r="Q22" s="9"/>
      <c r="R22" s="9">
        <v>164.18</v>
      </c>
      <c r="S22" s="7" t="s">
        <v>42</v>
      </c>
      <c r="T22" s="9"/>
      <c r="U22" s="9">
        <v>164.18</v>
      </c>
      <c r="V22" s="5">
        <v>45716</v>
      </c>
      <c r="W22" t="str">
        <f t="shared" ca="1" si="0"/>
        <v>VENCIDA</v>
      </c>
    </row>
    <row r="23" spans="1:23" s="12" customFormat="1" ht="48" x14ac:dyDescent="0.25">
      <c r="A23" s="7">
        <v>2500177</v>
      </c>
      <c r="B23" s="8">
        <v>45688</v>
      </c>
      <c r="C23" s="7" t="s">
        <v>287</v>
      </c>
      <c r="D23" s="7" t="s">
        <v>288</v>
      </c>
      <c r="E23" s="7" t="s">
        <v>289</v>
      </c>
      <c r="F23" s="7" t="s">
        <v>290</v>
      </c>
      <c r="G23" s="9">
        <v>29.88</v>
      </c>
      <c r="H23" s="9"/>
      <c r="I23" s="9"/>
      <c r="J23" s="9"/>
      <c r="K23" s="9">
        <v>29.88</v>
      </c>
      <c r="L23" s="9">
        <v>6.27</v>
      </c>
      <c r="M23" s="9"/>
      <c r="N23" s="9"/>
      <c r="O23" s="9">
        <v>6.27</v>
      </c>
      <c r="P23" s="9"/>
      <c r="Q23" s="9"/>
      <c r="R23" s="9">
        <v>36.15</v>
      </c>
      <c r="S23" s="7" t="s">
        <v>101</v>
      </c>
      <c r="T23" s="9"/>
      <c r="U23" s="9">
        <v>36.15</v>
      </c>
      <c r="V23" s="5">
        <v>45688</v>
      </c>
      <c r="W23" t="str">
        <f t="shared" ca="1" si="0"/>
        <v>VENCIDA</v>
      </c>
    </row>
    <row r="24" spans="1:23" ht="24" x14ac:dyDescent="0.25">
      <c r="A24" s="4">
        <v>2500178</v>
      </c>
      <c r="B24" s="5">
        <v>45691</v>
      </c>
      <c r="C24" s="4">
        <v>1901327181</v>
      </c>
      <c r="D24" s="4" t="s">
        <v>61</v>
      </c>
      <c r="E24" s="4" t="s">
        <v>62</v>
      </c>
      <c r="F24" s="4" t="s">
        <v>25</v>
      </c>
      <c r="G24" s="6">
        <v>58.55</v>
      </c>
      <c r="H24" s="6"/>
      <c r="I24" s="6"/>
      <c r="J24" s="6">
        <v>-0.01</v>
      </c>
      <c r="K24" s="6">
        <v>58.54</v>
      </c>
      <c r="L24" s="6">
        <v>12.3</v>
      </c>
      <c r="M24" s="6"/>
      <c r="N24" s="6"/>
      <c r="O24" s="6">
        <v>12.3</v>
      </c>
      <c r="P24" s="6"/>
      <c r="Q24" s="6"/>
      <c r="R24" s="6">
        <v>70.84</v>
      </c>
      <c r="S24" s="4" t="s">
        <v>26</v>
      </c>
      <c r="T24" s="6">
        <v>70.84</v>
      </c>
      <c r="U24" s="6"/>
      <c r="V24" s="10">
        <v>45691</v>
      </c>
      <c r="W24" t="str">
        <f t="shared" ref="W24:W87" ca="1" si="1">IF(V24&lt;TODAY(),"VENCIDA",IF(V24=TODAY(),"VENCE HOY",IF(V24&gt;TODAY(),"")))</f>
        <v>VENCIDA</v>
      </c>
    </row>
    <row r="25" spans="1:23" ht="24" x14ac:dyDescent="0.25">
      <c r="A25" s="7">
        <v>2500179</v>
      </c>
      <c r="B25" s="8">
        <v>45691</v>
      </c>
      <c r="C25" s="7">
        <v>1401206767</v>
      </c>
      <c r="D25" s="7" t="s">
        <v>61</v>
      </c>
      <c r="E25" s="7" t="s">
        <v>62</v>
      </c>
      <c r="F25" s="7" t="s">
        <v>25</v>
      </c>
      <c r="G25" s="9">
        <v>48.72</v>
      </c>
      <c r="H25" s="9"/>
      <c r="I25" s="9"/>
      <c r="J25" s="9"/>
      <c r="K25" s="9">
        <v>48.72</v>
      </c>
      <c r="L25" s="9">
        <v>10.23</v>
      </c>
      <c r="M25" s="9"/>
      <c r="N25" s="9"/>
      <c r="O25" s="9">
        <v>10.23</v>
      </c>
      <c r="P25" s="9"/>
      <c r="Q25" s="9"/>
      <c r="R25" s="9">
        <v>58.95</v>
      </c>
      <c r="S25" s="7" t="s">
        <v>26</v>
      </c>
      <c r="T25" s="9">
        <v>58.95</v>
      </c>
      <c r="U25" s="9"/>
      <c r="V25" s="10">
        <v>45691</v>
      </c>
      <c r="W25" t="str">
        <f t="shared" ca="1" si="1"/>
        <v>VENCIDA</v>
      </c>
    </row>
    <row r="26" spans="1:23" ht="36" x14ac:dyDescent="0.25">
      <c r="A26" s="4">
        <v>2500180</v>
      </c>
      <c r="B26" s="5">
        <v>45692</v>
      </c>
      <c r="C26" s="4">
        <v>1201152445</v>
      </c>
      <c r="D26" s="4" t="s">
        <v>32</v>
      </c>
      <c r="E26" s="4" t="s">
        <v>33</v>
      </c>
      <c r="F26" s="4" t="s">
        <v>34</v>
      </c>
      <c r="G26" s="6">
        <v>6942.67</v>
      </c>
      <c r="H26" s="6"/>
      <c r="I26" s="6"/>
      <c r="J26" s="6"/>
      <c r="K26" s="6">
        <v>6942.67</v>
      </c>
      <c r="L26" s="6">
        <v>1457.96</v>
      </c>
      <c r="M26" s="6"/>
      <c r="N26" s="6"/>
      <c r="O26" s="6">
        <v>1457.96</v>
      </c>
      <c r="P26" s="6"/>
      <c r="Q26" s="6"/>
      <c r="R26" s="6">
        <v>8400.6299999999992</v>
      </c>
      <c r="S26" s="4" t="s">
        <v>35</v>
      </c>
      <c r="T26" s="6"/>
      <c r="U26" s="6">
        <v>8400.6299999999992</v>
      </c>
      <c r="V26" s="5">
        <v>45720</v>
      </c>
      <c r="W26" t="str">
        <f t="shared" ca="1" si="1"/>
        <v>VENCIDA</v>
      </c>
    </row>
    <row r="27" spans="1:23" ht="36" x14ac:dyDescent="0.25">
      <c r="A27" s="4">
        <v>2500181</v>
      </c>
      <c r="B27" s="5">
        <v>45691</v>
      </c>
      <c r="C27" s="4" t="s">
        <v>229</v>
      </c>
      <c r="D27" s="4" t="s">
        <v>230</v>
      </c>
      <c r="E27" s="4" t="s">
        <v>231</v>
      </c>
      <c r="F27" s="4" t="s">
        <v>232</v>
      </c>
      <c r="G27" s="6">
        <v>1250.4000000000001</v>
      </c>
      <c r="H27" s="6"/>
      <c r="I27" s="6"/>
      <c r="J27" s="6"/>
      <c r="K27" s="6">
        <v>1250.4000000000001</v>
      </c>
      <c r="L27" s="6">
        <v>262.58</v>
      </c>
      <c r="M27" s="6"/>
      <c r="N27" s="6"/>
      <c r="O27" s="6">
        <v>262.58</v>
      </c>
      <c r="P27" s="6"/>
      <c r="Q27" s="6"/>
      <c r="R27" s="6">
        <v>1512.98</v>
      </c>
      <c r="S27" s="4" t="s">
        <v>101</v>
      </c>
      <c r="T27" s="6"/>
      <c r="U27" s="6">
        <v>1512.98</v>
      </c>
      <c r="V27" s="5">
        <v>45719</v>
      </c>
      <c r="W27" t="str">
        <f t="shared" ca="1" si="1"/>
        <v>VENCIDA</v>
      </c>
    </row>
    <row r="28" spans="1:23" ht="48" x14ac:dyDescent="0.25">
      <c r="A28" s="4">
        <v>2500182</v>
      </c>
      <c r="B28" s="5">
        <v>45691</v>
      </c>
      <c r="C28" s="4" t="s">
        <v>233</v>
      </c>
      <c r="D28" s="4" t="s">
        <v>234</v>
      </c>
      <c r="E28" s="4" t="s">
        <v>235</v>
      </c>
      <c r="F28" s="4" t="s">
        <v>236</v>
      </c>
      <c r="G28" s="6">
        <v>1965</v>
      </c>
      <c r="H28" s="6"/>
      <c r="I28" s="6"/>
      <c r="J28" s="6"/>
      <c r="K28" s="6">
        <v>1965</v>
      </c>
      <c r="L28" s="6">
        <v>412.65</v>
      </c>
      <c r="M28" s="6"/>
      <c r="N28" s="6"/>
      <c r="O28" s="6">
        <v>412.65</v>
      </c>
      <c r="P28" s="6"/>
      <c r="Q28" s="6"/>
      <c r="R28" s="6">
        <v>2377.65</v>
      </c>
      <c r="S28" s="4" t="s">
        <v>101</v>
      </c>
      <c r="T28" s="6">
        <v>2377.65</v>
      </c>
      <c r="U28" s="6"/>
      <c r="V28" s="10">
        <v>45695</v>
      </c>
      <c r="W28" t="str">
        <f t="shared" ca="1" si="1"/>
        <v>VENCIDA</v>
      </c>
    </row>
    <row r="29" spans="1:23" ht="60" x14ac:dyDescent="0.25">
      <c r="A29" s="7">
        <v>2500183</v>
      </c>
      <c r="B29" s="8">
        <v>45694</v>
      </c>
      <c r="C29" s="7">
        <v>1114910503</v>
      </c>
      <c r="D29" s="7" t="s">
        <v>36</v>
      </c>
      <c r="E29" s="7" t="s">
        <v>37</v>
      </c>
      <c r="F29" s="7" t="s">
        <v>34</v>
      </c>
      <c r="G29" s="9">
        <v>10233.56</v>
      </c>
      <c r="H29" s="9"/>
      <c r="I29" s="9"/>
      <c r="J29" s="9"/>
      <c r="K29" s="9">
        <v>10233.56</v>
      </c>
      <c r="L29" s="9">
        <v>2149.0500000000002</v>
      </c>
      <c r="M29" s="9"/>
      <c r="N29" s="9"/>
      <c r="O29" s="9">
        <v>2149.0500000000002</v>
      </c>
      <c r="P29" s="9"/>
      <c r="Q29" s="9"/>
      <c r="R29" s="9">
        <v>12382.61</v>
      </c>
      <c r="S29" s="7" t="s">
        <v>31</v>
      </c>
      <c r="T29" s="9">
        <v>12382.61</v>
      </c>
      <c r="U29" s="9"/>
      <c r="V29" s="10">
        <v>45713</v>
      </c>
      <c r="W29" t="str">
        <f t="shared" ca="1" si="1"/>
        <v>VENCIDA</v>
      </c>
    </row>
    <row r="30" spans="1:23" ht="48" x14ac:dyDescent="0.25">
      <c r="A30" s="4">
        <v>2500184</v>
      </c>
      <c r="B30" s="5">
        <v>45694</v>
      </c>
      <c r="C30" s="4">
        <v>6060037407</v>
      </c>
      <c r="D30" s="4" t="s">
        <v>237</v>
      </c>
      <c r="E30" s="4" t="s">
        <v>238</v>
      </c>
      <c r="F30" s="4" t="s">
        <v>172</v>
      </c>
      <c r="G30" s="6">
        <v>671.2</v>
      </c>
      <c r="H30" s="6"/>
      <c r="I30" s="6"/>
      <c r="J30" s="6"/>
      <c r="K30" s="6">
        <v>671.2</v>
      </c>
      <c r="L30" s="6">
        <v>140.94999999999999</v>
      </c>
      <c r="M30" s="6"/>
      <c r="N30" s="6"/>
      <c r="O30" s="6">
        <v>140.94999999999999</v>
      </c>
      <c r="P30" s="6"/>
      <c r="Q30" s="6"/>
      <c r="R30" s="6">
        <v>812.15</v>
      </c>
      <c r="S30" s="4" t="s">
        <v>31</v>
      </c>
      <c r="T30" s="6"/>
      <c r="U30" s="6">
        <v>812.15</v>
      </c>
      <c r="V30" s="5">
        <v>45753</v>
      </c>
      <c r="W30" t="str">
        <f t="shared" ca="1" si="1"/>
        <v/>
      </c>
    </row>
    <row r="31" spans="1:23" ht="36" x14ac:dyDescent="0.25">
      <c r="A31" s="7">
        <v>2500185</v>
      </c>
      <c r="B31" s="8">
        <v>45693</v>
      </c>
      <c r="C31" s="7">
        <v>1201152912</v>
      </c>
      <c r="D31" s="7" t="s">
        <v>32</v>
      </c>
      <c r="E31" s="7" t="s">
        <v>33</v>
      </c>
      <c r="F31" s="7" t="s">
        <v>34</v>
      </c>
      <c r="G31" s="9">
        <v>2541.71</v>
      </c>
      <c r="H31" s="9"/>
      <c r="I31" s="9"/>
      <c r="J31" s="9"/>
      <c r="K31" s="9">
        <v>2541.71</v>
      </c>
      <c r="L31" s="9">
        <v>533.76</v>
      </c>
      <c r="M31" s="9"/>
      <c r="N31" s="9"/>
      <c r="O31" s="9">
        <v>533.76</v>
      </c>
      <c r="P31" s="9"/>
      <c r="Q31" s="9"/>
      <c r="R31" s="9">
        <v>3075.47</v>
      </c>
      <c r="S31" s="7" t="s">
        <v>35</v>
      </c>
      <c r="T31" s="9"/>
      <c r="U31" s="9">
        <v>3075.47</v>
      </c>
      <c r="V31" s="5">
        <v>45721</v>
      </c>
      <c r="W31" t="str">
        <f t="shared" ca="1" si="1"/>
        <v>VENCIDA</v>
      </c>
    </row>
    <row r="32" spans="1:23" ht="60" x14ac:dyDescent="0.25">
      <c r="A32" s="4">
        <v>2500186</v>
      </c>
      <c r="B32" s="5">
        <v>45702</v>
      </c>
      <c r="C32" s="4">
        <v>15</v>
      </c>
      <c r="D32" s="4" t="s">
        <v>239</v>
      </c>
      <c r="E32" s="4" t="s">
        <v>240</v>
      </c>
      <c r="F32" s="4" t="s">
        <v>241</v>
      </c>
      <c r="G32" s="6">
        <v>10000</v>
      </c>
      <c r="H32" s="6"/>
      <c r="I32" s="6"/>
      <c r="J32" s="6"/>
      <c r="K32" s="6">
        <v>10000</v>
      </c>
      <c r="L32" s="6">
        <v>2100</v>
      </c>
      <c r="M32" s="6"/>
      <c r="N32" s="6"/>
      <c r="O32" s="6">
        <v>2100</v>
      </c>
      <c r="P32" s="6"/>
      <c r="Q32" s="6"/>
      <c r="R32" s="6">
        <v>12100</v>
      </c>
      <c r="S32" s="4" t="s">
        <v>242</v>
      </c>
      <c r="T32" s="6">
        <v>12100</v>
      </c>
      <c r="U32" s="6"/>
      <c r="V32" s="10">
        <v>45691</v>
      </c>
      <c r="W32" t="str">
        <f t="shared" ca="1" si="1"/>
        <v>VENCIDA</v>
      </c>
    </row>
    <row r="33" spans="1:27" ht="24" x14ac:dyDescent="0.25">
      <c r="A33" s="4">
        <v>2500187</v>
      </c>
      <c r="B33" s="5">
        <v>45694</v>
      </c>
      <c r="C33" s="4">
        <v>504101422</v>
      </c>
      <c r="D33" s="4" t="s">
        <v>92</v>
      </c>
      <c r="E33" s="4" t="s">
        <v>93</v>
      </c>
      <c r="F33" s="4" t="s">
        <v>94</v>
      </c>
      <c r="G33" s="6">
        <v>400.32</v>
      </c>
      <c r="H33" s="6"/>
      <c r="I33" s="6"/>
      <c r="J33" s="6"/>
      <c r="K33" s="6">
        <v>400.32</v>
      </c>
      <c r="L33" s="6">
        <v>84.07</v>
      </c>
      <c r="M33" s="6"/>
      <c r="N33" s="6"/>
      <c r="O33" s="6">
        <v>84.07</v>
      </c>
      <c r="P33" s="6"/>
      <c r="Q33" s="6"/>
      <c r="R33" s="6">
        <v>484.39</v>
      </c>
      <c r="S33" s="4" t="s">
        <v>42</v>
      </c>
      <c r="T33" s="6"/>
      <c r="U33" s="6">
        <v>484.39</v>
      </c>
      <c r="V33" s="5">
        <v>45722</v>
      </c>
      <c r="W33" t="str">
        <f t="shared" ca="1" si="1"/>
        <v>VENCIDA</v>
      </c>
      <c r="X33">
        <v>242.19</v>
      </c>
      <c r="Y33" s="17">
        <v>45722</v>
      </c>
      <c r="Z33">
        <v>242.2</v>
      </c>
      <c r="AA33" s="17">
        <v>45753</v>
      </c>
    </row>
    <row r="34" spans="1:27" ht="48" x14ac:dyDescent="0.25">
      <c r="A34" s="4">
        <v>2500188</v>
      </c>
      <c r="B34" s="5">
        <v>45698</v>
      </c>
      <c r="C34" s="4">
        <v>312</v>
      </c>
      <c r="D34" s="4" t="s">
        <v>184</v>
      </c>
      <c r="E34" s="4" t="s">
        <v>185</v>
      </c>
      <c r="F34" s="4" t="s">
        <v>186</v>
      </c>
      <c r="G34" s="6">
        <v>91.06</v>
      </c>
      <c r="H34" s="6"/>
      <c r="I34" s="6"/>
      <c r="J34" s="6"/>
      <c r="K34" s="6">
        <v>91.06</v>
      </c>
      <c r="L34" s="6">
        <v>19.12</v>
      </c>
      <c r="M34" s="6"/>
      <c r="N34" s="6"/>
      <c r="O34" s="6">
        <v>19.12</v>
      </c>
      <c r="P34" s="6"/>
      <c r="Q34" s="6"/>
      <c r="R34" s="6">
        <v>110.18</v>
      </c>
      <c r="S34" s="4" t="s">
        <v>31</v>
      </c>
      <c r="T34" s="6"/>
      <c r="U34" s="6">
        <v>110.18</v>
      </c>
      <c r="V34" s="5">
        <v>45757</v>
      </c>
      <c r="W34" t="str">
        <f t="shared" ca="1" si="1"/>
        <v/>
      </c>
    </row>
    <row r="35" spans="1:27" ht="24" x14ac:dyDescent="0.25">
      <c r="A35" s="7">
        <v>2500189</v>
      </c>
      <c r="B35" s="8">
        <v>45699</v>
      </c>
      <c r="C35" s="7">
        <v>1901330140</v>
      </c>
      <c r="D35" s="7" t="s">
        <v>61</v>
      </c>
      <c r="E35" s="7" t="s">
        <v>62</v>
      </c>
      <c r="F35" s="7" t="s">
        <v>25</v>
      </c>
      <c r="G35" s="9">
        <v>129.69</v>
      </c>
      <c r="H35" s="9"/>
      <c r="I35" s="9"/>
      <c r="J35" s="9">
        <v>0.01</v>
      </c>
      <c r="K35" s="9">
        <v>129.69999999999999</v>
      </c>
      <c r="L35" s="9">
        <v>27.23</v>
      </c>
      <c r="M35" s="9"/>
      <c r="N35" s="9"/>
      <c r="O35" s="9">
        <v>27.23</v>
      </c>
      <c r="P35" s="9"/>
      <c r="Q35" s="9"/>
      <c r="R35" s="9">
        <v>156.93</v>
      </c>
      <c r="S35" s="7" t="s">
        <v>26</v>
      </c>
      <c r="T35" s="9">
        <v>156.93</v>
      </c>
      <c r="U35" s="9"/>
      <c r="V35" s="10">
        <v>45699</v>
      </c>
      <c r="W35" t="str">
        <f t="shared" ca="1" si="1"/>
        <v>VENCIDA</v>
      </c>
    </row>
    <row r="36" spans="1:27" ht="36" x14ac:dyDescent="0.25">
      <c r="A36" s="4">
        <v>2500190</v>
      </c>
      <c r="B36" s="5">
        <v>45695</v>
      </c>
      <c r="C36" s="4" t="s">
        <v>243</v>
      </c>
      <c r="D36" s="4" t="s">
        <v>44</v>
      </c>
      <c r="E36" s="4" t="s">
        <v>45</v>
      </c>
      <c r="F36" s="4" t="s">
        <v>46</v>
      </c>
      <c r="G36" s="6">
        <v>810.25</v>
      </c>
      <c r="H36" s="6"/>
      <c r="I36" s="6"/>
      <c r="J36" s="6"/>
      <c r="K36" s="6">
        <v>810.25</v>
      </c>
      <c r="L36" s="6">
        <v>170.15</v>
      </c>
      <c r="M36" s="6"/>
      <c r="N36" s="6"/>
      <c r="O36" s="6">
        <v>170.15</v>
      </c>
      <c r="P36" s="6"/>
      <c r="Q36" s="6"/>
      <c r="R36" s="6">
        <v>980.4</v>
      </c>
      <c r="S36" s="4" t="s">
        <v>42</v>
      </c>
      <c r="T36" s="6">
        <v>980.4</v>
      </c>
      <c r="U36" s="6"/>
      <c r="V36" s="10">
        <v>45702</v>
      </c>
      <c r="W36" t="str">
        <f t="shared" ca="1" si="1"/>
        <v>VENCIDA</v>
      </c>
    </row>
    <row r="37" spans="1:27" ht="24" x14ac:dyDescent="0.25">
      <c r="A37" s="4">
        <v>2500191</v>
      </c>
      <c r="B37" s="5">
        <v>45695</v>
      </c>
      <c r="C37" s="4">
        <v>1901329028</v>
      </c>
      <c r="D37" s="4" t="s">
        <v>61</v>
      </c>
      <c r="E37" s="4" t="s">
        <v>62</v>
      </c>
      <c r="F37" s="4" t="s">
        <v>25</v>
      </c>
      <c r="G37" s="6">
        <v>52.45</v>
      </c>
      <c r="H37" s="6"/>
      <c r="I37" s="6"/>
      <c r="J37" s="6"/>
      <c r="K37" s="6">
        <v>52.45</v>
      </c>
      <c r="L37" s="6">
        <v>11.01</v>
      </c>
      <c r="M37" s="6"/>
      <c r="N37" s="6"/>
      <c r="O37" s="6">
        <v>11.01</v>
      </c>
      <c r="P37" s="6"/>
      <c r="Q37" s="6"/>
      <c r="R37" s="6">
        <v>63.46</v>
      </c>
      <c r="S37" s="4" t="s">
        <v>26</v>
      </c>
      <c r="T37" s="6">
        <v>63.46</v>
      </c>
      <c r="U37" s="6"/>
      <c r="V37" s="10">
        <v>45695</v>
      </c>
      <c r="W37" t="str">
        <f t="shared" ca="1" si="1"/>
        <v>VENCIDA</v>
      </c>
    </row>
    <row r="38" spans="1:27" ht="48" x14ac:dyDescent="0.25">
      <c r="A38" s="7">
        <v>2500192</v>
      </c>
      <c r="B38" s="8">
        <v>45698</v>
      </c>
      <c r="C38" s="7" t="s">
        <v>244</v>
      </c>
      <c r="D38" s="7" t="s">
        <v>245</v>
      </c>
      <c r="E38" s="7" t="s">
        <v>246</v>
      </c>
      <c r="F38" s="7" t="s">
        <v>247</v>
      </c>
      <c r="G38" s="9">
        <v>-9.44</v>
      </c>
      <c r="H38" s="9"/>
      <c r="I38" s="9"/>
      <c r="J38" s="9"/>
      <c r="K38" s="9">
        <v>-9.44</v>
      </c>
      <c r="L38" s="9">
        <v>-1.98</v>
      </c>
      <c r="M38" s="9"/>
      <c r="N38" s="9"/>
      <c r="O38" s="9">
        <v>-1.98</v>
      </c>
      <c r="P38" s="9"/>
      <c r="Q38" s="9"/>
      <c r="R38" s="9">
        <v>-11.42</v>
      </c>
      <c r="S38" s="7" t="s">
        <v>42</v>
      </c>
      <c r="T38" s="9"/>
      <c r="U38" s="9">
        <v>-11.42</v>
      </c>
      <c r="V38" s="5">
        <v>45698</v>
      </c>
      <c r="W38" t="str">
        <f t="shared" ca="1" si="1"/>
        <v>VENCIDA</v>
      </c>
    </row>
    <row r="39" spans="1:27" ht="36" x14ac:dyDescent="0.25">
      <c r="A39" s="4">
        <v>2500193</v>
      </c>
      <c r="B39" s="5">
        <v>45695</v>
      </c>
      <c r="C39" s="4" t="s">
        <v>248</v>
      </c>
      <c r="D39" s="4" t="s">
        <v>96</v>
      </c>
      <c r="E39" s="4" t="s">
        <v>97</v>
      </c>
      <c r="F39" s="4" t="s">
        <v>98</v>
      </c>
      <c r="G39" s="6">
        <v>-133.69999999999999</v>
      </c>
      <c r="H39" s="6"/>
      <c r="I39" s="6"/>
      <c r="J39" s="6"/>
      <c r="K39" s="6">
        <v>-133.69999999999999</v>
      </c>
      <c r="L39" s="6">
        <v>-28.08</v>
      </c>
      <c r="M39" s="6"/>
      <c r="N39" s="6"/>
      <c r="O39" s="6">
        <v>-28.08</v>
      </c>
      <c r="P39" s="6"/>
      <c r="Q39" s="6"/>
      <c r="R39" s="6">
        <v>-161.78</v>
      </c>
      <c r="S39" s="4" t="s">
        <v>42</v>
      </c>
      <c r="T39" s="6"/>
      <c r="U39" s="6">
        <v>-161.78</v>
      </c>
      <c r="V39" s="5">
        <v>45695</v>
      </c>
      <c r="W39" t="str">
        <f t="shared" ca="1" si="1"/>
        <v>VENCIDA</v>
      </c>
    </row>
    <row r="40" spans="1:27" ht="48" x14ac:dyDescent="0.25">
      <c r="A40" s="7">
        <v>2500194</v>
      </c>
      <c r="B40" s="8">
        <v>45660</v>
      </c>
      <c r="C40" s="7">
        <v>57</v>
      </c>
      <c r="D40" s="7" t="s">
        <v>71</v>
      </c>
      <c r="E40" s="7" t="s">
        <v>72</v>
      </c>
      <c r="F40" s="7" t="s">
        <v>73</v>
      </c>
      <c r="G40" s="9">
        <v>10.7</v>
      </c>
      <c r="H40" s="9"/>
      <c r="I40" s="9"/>
      <c r="J40" s="9"/>
      <c r="K40" s="9">
        <v>10.7</v>
      </c>
      <c r="L40" s="9">
        <v>2.25</v>
      </c>
      <c r="M40" s="9"/>
      <c r="N40" s="9"/>
      <c r="O40" s="9">
        <v>2.25</v>
      </c>
      <c r="P40" s="9"/>
      <c r="Q40" s="9"/>
      <c r="R40" s="9">
        <v>12.95</v>
      </c>
      <c r="S40" s="7" t="s">
        <v>70</v>
      </c>
      <c r="T40" s="9">
        <v>12.95</v>
      </c>
      <c r="U40" s="9"/>
      <c r="V40" s="10">
        <v>45660</v>
      </c>
      <c r="W40" t="str">
        <f t="shared" ca="1" si="1"/>
        <v>VENCIDA</v>
      </c>
    </row>
    <row r="41" spans="1:27" ht="60" x14ac:dyDescent="0.25">
      <c r="A41" s="7">
        <v>2500195</v>
      </c>
      <c r="B41" s="8">
        <v>46011</v>
      </c>
      <c r="C41" s="7" t="s">
        <v>249</v>
      </c>
      <c r="D41" s="7" t="s">
        <v>250</v>
      </c>
      <c r="E41" s="7" t="s">
        <v>251</v>
      </c>
      <c r="F41" s="7"/>
      <c r="G41" s="9">
        <v>4.9000000000000004</v>
      </c>
      <c r="H41" s="9"/>
      <c r="I41" s="9"/>
      <c r="J41" s="9"/>
      <c r="K41" s="9">
        <v>4.9000000000000004</v>
      </c>
      <c r="L41" s="9">
        <v>1.03</v>
      </c>
      <c r="M41" s="9"/>
      <c r="N41" s="9"/>
      <c r="O41" s="9">
        <v>1.03</v>
      </c>
      <c r="P41" s="9"/>
      <c r="Q41" s="9"/>
      <c r="R41" s="9">
        <v>5.93</v>
      </c>
      <c r="S41" s="7" t="s">
        <v>70</v>
      </c>
      <c r="T41" s="9">
        <v>5.93</v>
      </c>
      <c r="U41" s="9"/>
      <c r="V41" s="10">
        <v>46011</v>
      </c>
      <c r="W41" t="str">
        <f t="shared" ca="1" si="1"/>
        <v/>
      </c>
    </row>
    <row r="42" spans="1:27" ht="36" x14ac:dyDescent="0.25">
      <c r="A42" s="4">
        <v>2500196</v>
      </c>
      <c r="B42" s="5">
        <v>45694</v>
      </c>
      <c r="C42" s="4">
        <v>1201153321</v>
      </c>
      <c r="D42" s="4" t="s">
        <v>32</v>
      </c>
      <c r="E42" s="4" t="s">
        <v>33</v>
      </c>
      <c r="F42" s="4" t="s">
        <v>34</v>
      </c>
      <c r="G42" s="6">
        <v>211.86</v>
      </c>
      <c r="H42" s="6"/>
      <c r="I42" s="6"/>
      <c r="J42" s="6"/>
      <c r="K42" s="6">
        <v>211.86</v>
      </c>
      <c r="L42" s="6">
        <v>44.49</v>
      </c>
      <c r="M42" s="6"/>
      <c r="N42" s="6"/>
      <c r="O42" s="6">
        <v>44.49</v>
      </c>
      <c r="P42" s="6"/>
      <c r="Q42" s="6"/>
      <c r="R42" s="6">
        <v>256.35000000000002</v>
      </c>
      <c r="S42" s="4" t="s">
        <v>35</v>
      </c>
      <c r="T42" s="6"/>
      <c r="U42" s="6">
        <v>256.35000000000002</v>
      </c>
      <c r="V42" s="5">
        <v>45722</v>
      </c>
      <c r="W42" t="str">
        <f t="shared" ca="1" si="1"/>
        <v>VENCIDA</v>
      </c>
    </row>
    <row r="43" spans="1:27" ht="36" x14ac:dyDescent="0.25">
      <c r="A43" s="7">
        <v>2500197</v>
      </c>
      <c r="B43" s="8">
        <v>45694</v>
      </c>
      <c r="C43" s="7">
        <v>1201153322</v>
      </c>
      <c r="D43" s="7" t="s">
        <v>32</v>
      </c>
      <c r="E43" s="7" t="s">
        <v>33</v>
      </c>
      <c r="F43" s="7" t="s">
        <v>34</v>
      </c>
      <c r="G43" s="9">
        <v>4606.1099999999997</v>
      </c>
      <c r="H43" s="9"/>
      <c r="I43" s="9"/>
      <c r="J43" s="9"/>
      <c r="K43" s="9">
        <v>4606.1099999999997</v>
      </c>
      <c r="L43" s="9">
        <v>967.28</v>
      </c>
      <c r="M43" s="9"/>
      <c r="N43" s="9"/>
      <c r="O43" s="9">
        <v>967.28</v>
      </c>
      <c r="P43" s="9"/>
      <c r="Q43" s="9"/>
      <c r="R43" s="9">
        <v>5573.39</v>
      </c>
      <c r="S43" s="7" t="s">
        <v>35</v>
      </c>
      <c r="T43" s="9"/>
      <c r="U43" s="9">
        <v>5573.39</v>
      </c>
      <c r="V43" s="5">
        <v>45722</v>
      </c>
      <c r="W43" t="str">
        <f t="shared" ca="1" si="1"/>
        <v>VENCIDA</v>
      </c>
    </row>
    <row r="44" spans="1:27" ht="48" x14ac:dyDescent="0.25">
      <c r="A44" s="7">
        <v>2500198</v>
      </c>
      <c r="B44" s="8">
        <v>45698</v>
      </c>
      <c r="C44" s="7">
        <v>9135463</v>
      </c>
      <c r="D44" s="7" t="s">
        <v>177</v>
      </c>
      <c r="E44" s="7" t="s">
        <v>178</v>
      </c>
      <c r="F44" s="7" t="s">
        <v>73</v>
      </c>
      <c r="G44" s="9">
        <v>83.66</v>
      </c>
      <c r="H44" s="9"/>
      <c r="I44" s="9"/>
      <c r="J44" s="9"/>
      <c r="K44" s="9">
        <v>83.66</v>
      </c>
      <c r="L44" s="9">
        <v>17.57</v>
      </c>
      <c r="M44" s="9"/>
      <c r="N44" s="9"/>
      <c r="O44" s="9">
        <v>17.57</v>
      </c>
      <c r="P44" s="9"/>
      <c r="Q44" s="9"/>
      <c r="R44" s="9">
        <v>101.23</v>
      </c>
      <c r="S44" s="7" t="s">
        <v>31</v>
      </c>
      <c r="T44" s="9"/>
      <c r="U44" s="9">
        <v>101.23</v>
      </c>
      <c r="V44" s="5">
        <v>45757</v>
      </c>
      <c r="W44" t="str">
        <f t="shared" ca="1" si="1"/>
        <v/>
      </c>
    </row>
    <row r="45" spans="1:27" ht="36" x14ac:dyDescent="0.25">
      <c r="A45" s="4">
        <v>2500199</v>
      </c>
      <c r="B45" s="5">
        <v>45698</v>
      </c>
      <c r="C45" s="4">
        <v>1201154284</v>
      </c>
      <c r="D45" s="4" t="s">
        <v>32</v>
      </c>
      <c r="E45" s="4" t="s">
        <v>33</v>
      </c>
      <c r="F45" s="4" t="s">
        <v>34</v>
      </c>
      <c r="G45" s="6">
        <v>5592.82</v>
      </c>
      <c r="H45" s="6"/>
      <c r="I45" s="6"/>
      <c r="J45" s="6"/>
      <c r="K45" s="6">
        <v>5592.82</v>
      </c>
      <c r="L45" s="6">
        <v>1174.49</v>
      </c>
      <c r="M45" s="6"/>
      <c r="N45" s="6"/>
      <c r="O45" s="6">
        <v>1174.49</v>
      </c>
      <c r="P45" s="6"/>
      <c r="Q45" s="6"/>
      <c r="R45" s="6">
        <v>6767.31</v>
      </c>
      <c r="S45" s="4" t="s">
        <v>35</v>
      </c>
      <c r="T45" s="6"/>
      <c r="U45" s="6">
        <v>6767.31</v>
      </c>
      <c r="V45" s="5">
        <v>45698</v>
      </c>
      <c r="W45" t="str">
        <f t="shared" ca="1" si="1"/>
        <v>VENCIDA</v>
      </c>
    </row>
    <row r="46" spans="1:27" ht="36" x14ac:dyDescent="0.25">
      <c r="A46" s="4">
        <v>2500200</v>
      </c>
      <c r="B46" s="5">
        <v>45700</v>
      </c>
      <c r="C46" s="4" t="s">
        <v>252</v>
      </c>
      <c r="D46" s="4" t="s">
        <v>253</v>
      </c>
      <c r="E46" s="4" t="s">
        <v>254</v>
      </c>
      <c r="F46" s="4" t="s">
        <v>255</v>
      </c>
      <c r="G46" s="6">
        <v>152.47999999999999</v>
      </c>
      <c r="H46" s="6"/>
      <c r="I46" s="6"/>
      <c r="J46" s="6"/>
      <c r="K46" s="6">
        <v>152.47999999999999</v>
      </c>
      <c r="L46" s="6">
        <v>32.020000000000003</v>
      </c>
      <c r="M46" s="6"/>
      <c r="N46" s="6"/>
      <c r="O46" s="6">
        <v>32.020000000000003</v>
      </c>
      <c r="P46" s="6"/>
      <c r="Q46" s="6"/>
      <c r="R46" s="6">
        <v>184.5</v>
      </c>
      <c r="S46" s="4" t="s">
        <v>26</v>
      </c>
      <c r="T46" s="6">
        <v>184.5</v>
      </c>
      <c r="U46" s="6"/>
      <c r="V46" s="10">
        <v>45700</v>
      </c>
      <c r="W46" t="str">
        <f t="shared" ca="1" si="1"/>
        <v>VENCIDA</v>
      </c>
    </row>
    <row r="47" spans="1:27" ht="36" x14ac:dyDescent="0.25">
      <c r="A47" s="4">
        <v>2500201</v>
      </c>
      <c r="B47" s="5">
        <v>45694</v>
      </c>
      <c r="C47" s="4">
        <v>1201153450</v>
      </c>
      <c r="D47" s="4" t="s">
        <v>32</v>
      </c>
      <c r="E47" s="4" t="s">
        <v>33</v>
      </c>
      <c r="F47" s="4" t="s">
        <v>34</v>
      </c>
      <c r="G47" s="6">
        <v>838.41</v>
      </c>
      <c r="H47" s="6"/>
      <c r="I47" s="6"/>
      <c r="J47" s="6"/>
      <c r="K47" s="6">
        <v>838.41</v>
      </c>
      <c r="L47" s="6">
        <v>176.07</v>
      </c>
      <c r="M47" s="6"/>
      <c r="N47" s="6"/>
      <c r="O47" s="6">
        <v>176.07</v>
      </c>
      <c r="P47" s="6"/>
      <c r="Q47" s="6"/>
      <c r="R47" s="6">
        <v>1014.48</v>
      </c>
      <c r="S47" s="4" t="s">
        <v>35</v>
      </c>
      <c r="T47" s="6"/>
      <c r="U47" s="6">
        <v>1014.48</v>
      </c>
      <c r="V47" s="5">
        <v>45694</v>
      </c>
      <c r="W47" t="str">
        <f t="shared" ca="1" si="1"/>
        <v>VENCIDA</v>
      </c>
    </row>
    <row r="48" spans="1:27" ht="36" x14ac:dyDescent="0.25">
      <c r="A48" s="7">
        <v>2500202</v>
      </c>
      <c r="B48" s="8">
        <v>45694</v>
      </c>
      <c r="C48" s="7">
        <v>1201153451</v>
      </c>
      <c r="D48" s="7" t="s">
        <v>32</v>
      </c>
      <c r="E48" s="7" t="s">
        <v>33</v>
      </c>
      <c r="F48" s="7" t="s">
        <v>34</v>
      </c>
      <c r="G48" s="9">
        <v>624.71</v>
      </c>
      <c r="H48" s="9"/>
      <c r="I48" s="9"/>
      <c r="J48" s="9"/>
      <c r="K48" s="9">
        <v>624.71</v>
      </c>
      <c r="L48" s="9">
        <v>131.19</v>
      </c>
      <c r="M48" s="9"/>
      <c r="N48" s="9"/>
      <c r="O48" s="9">
        <v>131.19</v>
      </c>
      <c r="P48" s="9"/>
      <c r="Q48" s="9"/>
      <c r="R48" s="9">
        <v>755.9</v>
      </c>
      <c r="S48" s="7" t="s">
        <v>35</v>
      </c>
      <c r="T48" s="9"/>
      <c r="U48" s="9">
        <v>755.9</v>
      </c>
      <c r="V48" s="5">
        <v>45694</v>
      </c>
      <c r="W48" t="str">
        <f t="shared" ca="1" si="1"/>
        <v>VENCIDA</v>
      </c>
    </row>
    <row r="49" spans="1:23" ht="24" x14ac:dyDescent="0.25">
      <c r="A49" s="4">
        <v>2500203</v>
      </c>
      <c r="B49" s="5">
        <v>45701</v>
      </c>
      <c r="C49" s="4">
        <v>1902040199</v>
      </c>
      <c r="D49" s="4" t="s">
        <v>61</v>
      </c>
      <c r="E49" s="4" t="s">
        <v>62</v>
      </c>
      <c r="F49" s="4" t="s">
        <v>25</v>
      </c>
      <c r="G49" s="6">
        <v>82.64</v>
      </c>
      <c r="H49" s="6"/>
      <c r="I49" s="6"/>
      <c r="J49" s="6">
        <v>0.01</v>
      </c>
      <c r="K49" s="6">
        <v>82.65</v>
      </c>
      <c r="L49" s="6">
        <v>17.350000000000001</v>
      </c>
      <c r="M49" s="6"/>
      <c r="N49" s="6"/>
      <c r="O49" s="6">
        <v>17.350000000000001</v>
      </c>
      <c r="P49" s="6"/>
      <c r="Q49" s="6"/>
      <c r="R49" s="6">
        <v>100</v>
      </c>
      <c r="S49" s="4" t="s">
        <v>26</v>
      </c>
      <c r="T49" s="6">
        <v>100</v>
      </c>
      <c r="U49" s="6"/>
      <c r="V49" s="10">
        <v>45701</v>
      </c>
      <c r="W49" t="str">
        <f t="shared" ca="1" si="1"/>
        <v>VENCIDA</v>
      </c>
    </row>
    <row r="50" spans="1:23" ht="24" x14ac:dyDescent="0.25">
      <c r="A50" s="7">
        <v>2500204</v>
      </c>
      <c r="B50" s="8">
        <v>45701</v>
      </c>
      <c r="C50" s="7">
        <v>1401209238</v>
      </c>
      <c r="D50" s="7" t="s">
        <v>61</v>
      </c>
      <c r="E50" s="7" t="s">
        <v>62</v>
      </c>
      <c r="F50" s="7" t="s">
        <v>25</v>
      </c>
      <c r="G50" s="9">
        <v>61.24</v>
      </c>
      <c r="H50" s="9"/>
      <c r="I50" s="9"/>
      <c r="J50" s="9"/>
      <c r="K50" s="9">
        <v>61.24</v>
      </c>
      <c r="L50" s="9">
        <v>12.86</v>
      </c>
      <c r="M50" s="9"/>
      <c r="N50" s="9"/>
      <c r="O50" s="9">
        <v>12.86</v>
      </c>
      <c r="P50" s="9"/>
      <c r="Q50" s="9"/>
      <c r="R50" s="9">
        <v>74.099999999999994</v>
      </c>
      <c r="S50" s="7" t="s">
        <v>26</v>
      </c>
      <c r="T50" s="9">
        <v>74.099999999999994</v>
      </c>
      <c r="U50" s="9"/>
      <c r="V50" s="10">
        <v>45701</v>
      </c>
      <c r="W50" t="str">
        <f t="shared" ca="1" si="1"/>
        <v>VENCIDA</v>
      </c>
    </row>
    <row r="51" spans="1:23" ht="48" x14ac:dyDescent="0.25">
      <c r="A51" s="4">
        <v>2500205</v>
      </c>
      <c r="B51" s="5">
        <v>45702</v>
      </c>
      <c r="C51" s="4">
        <v>745335</v>
      </c>
      <c r="D51" s="4" t="s">
        <v>23</v>
      </c>
      <c r="E51" s="4" t="s">
        <v>24</v>
      </c>
      <c r="F51" s="4" t="s">
        <v>25</v>
      </c>
      <c r="G51" s="6">
        <v>82.64</v>
      </c>
      <c r="H51" s="6"/>
      <c r="I51" s="6"/>
      <c r="J51" s="6">
        <v>0.01</v>
      </c>
      <c r="K51" s="6">
        <v>82.65</v>
      </c>
      <c r="L51" s="6">
        <v>17.350000000000001</v>
      </c>
      <c r="M51" s="6"/>
      <c r="N51" s="6"/>
      <c r="O51" s="6">
        <v>17.350000000000001</v>
      </c>
      <c r="P51" s="6"/>
      <c r="Q51" s="6"/>
      <c r="R51" s="6">
        <v>100</v>
      </c>
      <c r="S51" s="4" t="s">
        <v>26</v>
      </c>
      <c r="T51" s="6">
        <v>100</v>
      </c>
      <c r="U51" s="6"/>
      <c r="V51" s="10">
        <v>45702</v>
      </c>
      <c r="W51" t="str">
        <f t="shared" ca="1" si="1"/>
        <v>VENCIDA</v>
      </c>
    </row>
    <row r="52" spans="1:23" ht="48" x14ac:dyDescent="0.25">
      <c r="A52" s="4">
        <v>2500206</v>
      </c>
      <c r="B52" s="5">
        <v>45703</v>
      </c>
      <c r="C52" s="4" t="s">
        <v>256</v>
      </c>
      <c r="D52" s="4" t="s">
        <v>245</v>
      </c>
      <c r="E52" s="4" t="s">
        <v>246</v>
      </c>
      <c r="F52" s="4" t="s">
        <v>247</v>
      </c>
      <c r="G52" s="6">
        <v>477.19</v>
      </c>
      <c r="H52" s="6"/>
      <c r="I52" s="6"/>
      <c r="J52" s="6">
        <v>-9.5399999999999991</v>
      </c>
      <c r="K52" s="6">
        <v>467.65</v>
      </c>
      <c r="L52" s="6">
        <v>98.21</v>
      </c>
      <c r="M52" s="6"/>
      <c r="N52" s="6"/>
      <c r="O52" s="6">
        <v>98.21</v>
      </c>
      <c r="P52" s="6"/>
      <c r="Q52" s="6"/>
      <c r="R52" s="6">
        <v>565.86</v>
      </c>
      <c r="S52" s="4" t="s">
        <v>42</v>
      </c>
      <c r="T52" s="6"/>
      <c r="U52" s="6">
        <v>565.86</v>
      </c>
      <c r="V52" s="5">
        <v>45718</v>
      </c>
      <c r="W52" t="str">
        <f t="shared" ca="1" si="1"/>
        <v>VENCIDA</v>
      </c>
    </row>
    <row r="53" spans="1:23" ht="48" x14ac:dyDescent="0.25">
      <c r="A53" s="7">
        <v>2500207</v>
      </c>
      <c r="B53" s="8">
        <v>45703</v>
      </c>
      <c r="C53" s="7" t="s">
        <v>257</v>
      </c>
      <c r="D53" s="7" t="s">
        <v>115</v>
      </c>
      <c r="E53" s="7" t="s">
        <v>116</v>
      </c>
      <c r="F53" s="7" t="s">
        <v>117</v>
      </c>
      <c r="G53" s="9">
        <v>241.87</v>
      </c>
      <c r="H53" s="9"/>
      <c r="I53" s="9"/>
      <c r="J53" s="9"/>
      <c r="K53" s="9">
        <v>241.87</v>
      </c>
      <c r="L53" s="9">
        <v>50.79</v>
      </c>
      <c r="M53" s="9"/>
      <c r="N53" s="9"/>
      <c r="O53" s="9">
        <v>50.79</v>
      </c>
      <c r="P53" s="9"/>
      <c r="Q53" s="9"/>
      <c r="R53" s="9">
        <v>292.66000000000003</v>
      </c>
      <c r="S53" s="7" t="s">
        <v>42</v>
      </c>
      <c r="T53" s="9"/>
      <c r="U53" s="9">
        <v>292.66000000000003</v>
      </c>
      <c r="V53" s="5">
        <v>45716</v>
      </c>
      <c r="W53" t="str">
        <f t="shared" ca="1" si="1"/>
        <v>VENCIDA</v>
      </c>
    </row>
    <row r="54" spans="1:23" ht="36" x14ac:dyDescent="0.25">
      <c r="A54" s="7">
        <v>2500208</v>
      </c>
      <c r="B54" s="8">
        <v>45701</v>
      </c>
      <c r="C54" s="7">
        <v>1201155686</v>
      </c>
      <c r="D54" s="7" t="s">
        <v>32</v>
      </c>
      <c r="E54" s="7" t="s">
        <v>33</v>
      </c>
      <c r="F54" s="7" t="s">
        <v>34</v>
      </c>
      <c r="G54" s="9">
        <v>5085.83</v>
      </c>
      <c r="H54" s="9"/>
      <c r="I54" s="9"/>
      <c r="J54" s="9"/>
      <c r="K54" s="9">
        <v>5085.83</v>
      </c>
      <c r="L54" s="9">
        <v>1068.02</v>
      </c>
      <c r="M54" s="9"/>
      <c r="N54" s="9"/>
      <c r="O54" s="9">
        <v>1068.02</v>
      </c>
      <c r="P54" s="9"/>
      <c r="Q54" s="9"/>
      <c r="R54" s="9">
        <v>6153.85</v>
      </c>
      <c r="S54" s="7" t="s">
        <v>35</v>
      </c>
      <c r="T54" s="9"/>
      <c r="U54" s="9">
        <v>6153.85</v>
      </c>
      <c r="V54" s="5">
        <v>45729</v>
      </c>
      <c r="W54" t="str">
        <f t="shared" ca="1" si="1"/>
        <v/>
      </c>
    </row>
    <row r="55" spans="1:23" ht="24" x14ac:dyDescent="0.25">
      <c r="A55" s="7">
        <v>2500209</v>
      </c>
      <c r="B55" s="8">
        <v>45705</v>
      </c>
      <c r="C55" s="7" t="s">
        <v>258</v>
      </c>
      <c r="D55" s="7" t="s">
        <v>28</v>
      </c>
      <c r="E55" s="7" t="s">
        <v>29</v>
      </c>
      <c r="F55" s="7" t="s">
        <v>30</v>
      </c>
      <c r="G55" s="9">
        <v>-841.5</v>
      </c>
      <c r="H55" s="9"/>
      <c r="I55" s="9"/>
      <c r="J55" s="9"/>
      <c r="K55" s="9">
        <v>-841.5</v>
      </c>
      <c r="L55" s="9">
        <v>-176.72</v>
      </c>
      <c r="M55" s="9"/>
      <c r="N55" s="9"/>
      <c r="O55" s="9">
        <v>-176.72</v>
      </c>
      <c r="P55" s="9"/>
      <c r="Q55" s="9"/>
      <c r="R55" s="9">
        <v>-1018.22</v>
      </c>
      <c r="S55" s="7" t="s">
        <v>101</v>
      </c>
      <c r="T55" s="9"/>
      <c r="U55" s="9">
        <v>-1018.22</v>
      </c>
      <c r="V55" s="5">
        <v>45765</v>
      </c>
      <c r="W55" t="str">
        <f t="shared" ca="1" si="1"/>
        <v/>
      </c>
    </row>
    <row r="56" spans="1:23" ht="60" x14ac:dyDescent="0.25">
      <c r="A56" s="4">
        <v>2500210</v>
      </c>
      <c r="B56" s="5">
        <v>45691</v>
      </c>
      <c r="C56" s="4" t="s">
        <v>259</v>
      </c>
      <c r="D56" s="4" t="s">
        <v>166</v>
      </c>
      <c r="E56" s="4" t="s">
        <v>167</v>
      </c>
      <c r="F56" s="4" t="s">
        <v>168</v>
      </c>
      <c r="G56" s="6">
        <v>1288.98</v>
      </c>
      <c r="H56" s="6"/>
      <c r="I56" s="6"/>
      <c r="J56" s="6">
        <v>-0.01</v>
      </c>
      <c r="K56" s="6">
        <v>1288.97</v>
      </c>
      <c r="L56" s="6">
        <v>270.69</v>
      </c>
      <c r="M56" s="6"/>
      <c r="N56" s="6"/>
      <c r="O56" s="6">
        <v>270.69</v>
      </c>
      <c r="P56" s="6"/>
      <c r="Q56" s="6"/>
      <c r="R56" s="6">
        <v>1559.66</v>
      </c>
      <c r="S56" s="4" t="s">
        <v>42</v>
      </c>
      <c r="T56" s="6">
        <v>1559.66</v>
      </c>
      <c r="U56" s="6"/>
      <c r="V56" s="10">
        <v>45691</v>
      </c>
      <c r="W56" t="str">
        <f t="shared" ca="1" si="1"/>
        <v>VENCIDA</v>
      </c>
    </row>
    <row r="57" spans="1:23" ht="48" x14ac:dyDescent="0.25">
      <c r="A57" s="4">
        <v>2500211</v>
      </c>
      <c r="B57" s="5">
        <v>45689</v>
      </c>
      <c r="C57" s="4" t="s">
        <v>260</v>
      </c>
      <c r="D57" s="4" t="s">
        <v>65</v>
      </c>
      <c r="E57" s="4" t="s">
        <v>66</v>
      </c>
      <c r="F57" s="4" t="s">
        <v>67</v>
      </c>
      <c r="G57" s="6">
        <v>491.93</v>
      </c>
      <c r="H57" s="6"/>
      <c r="I57" s="6"/>
      <c r="J57" s="6"/>
      <c r="K57" s="6">
        <v>491.93</v>
      </c>
      <c r="L57" s="6">
        <v>103.31</v>
      </c>
      <c r="M57" s="6"/>
      <c r="N57" s="6"/>
      <c r="O57" s="6">
        <v>103.31</v>
      </c>
      <c r="P57" s="6"/>
      <c r="Q57" s="6"/>
      <c r="R57" s="6">
        <v>595.24</v>
      </c>
      <c r="S57" s="4" t="s">
        <v>42</v>
      </c>
      <c r="T57" s="6">
        <v>595.24</v>
      </c>
      <c r="U57" s="6"/>
      <c r="V57" s="10">
        <v>45691</v>
      </c>
      <c r="W57" t="str">
        <f t="shared" ca="1" si="1"/>
        <v>VENCIDA</v>
      </c>
    </row>
    <row r="58" spans="1:23" ht="36" x14ac:dyDescent="0.25">
      <c r="A58" s="4">
        <v>2500212</v>
      </c>
      <c r="B58" s="5">
        <v>45702</v>
      </c>
      <c r="C58" s="4">
        <v>9144571</v>
      </c>
      <c r="D58" s="4" t="s">
        <v>177</v>
      </c>
      <c r="E58" s="4" t="s">
        <v>178</v>
      </c>
      <c r="F58" s="4" t="s">
        <v>73</v>
      </c>
      <c r="G58" s="6">
        <v>1292</v>
      </c>
      <c r="H58" s="6"/>
      <c r="I58" s="6"/>
      <c r="J58" s="6"/>
      <c r="K58" s="6">
        <v>1292</v>
      </c>
      <c r="L58" s="6">
        <v>271.32</v>
      </c>
      <c r="M58" s="6"/>
      <c r="N58" s="6"/>
      <c r="O58" s="6">
        <v>271.32</v>
      </c>
      <c r="P58" s="6"/>
      <c r="Q58" s="6"/>
      <c r="R58" s="6">
        <v>1563.32</v>
      </c>
      <c r="S58" s="4" t="s">
        <v>42</v>
      </c>
      <c r="T58" s="6"/>
      <c r="U58" s="6">
        <v>1563.32</v>
      </c>
      <c r="V58" s="5">
        <v>45762</v>
      </c>
      <c r="W58" t="str">
        <f t="shared" ca="1" si="1"/>
        <v/>
      </c>
    </row>
    <row r="59" spans="1:23" ht="60" x14ac:dyDescent="0.25">
      <c r="A59" s="4">
        <v>2500213</v>
      </c>
      <c r="B59" s="5">
        <v>45702</v>
      </c>
      <c r="C59" s="4" t="s">
        <v>261</v>
      </c>
      <c r="D59" s="4" t="s">
        <v>262</v>
      </c>
      <c r="E59" s="4" t="s">
        <v>263</v>
      </c>
      <c r="F59" s="4" t="s">
        <v>104</v>
      </c>
      <c r="G59" s="6">
        <v>159.57</v>
      </c>
      <c r="H59" s="6"/>
      <c r="I59" s="6"/>
      <c r="J59" s="6"/>
      <c r="K59" s="6">
        <v>159.57</v>
      </c>
      <c r="L59" s="6">
        <v>33.51</v>
      </c>
      <c r="M59" s="6"/>
      <c r="N59" s="6"/>
      <c r="O59" s="6">
        <v>33.51</v>
      </c>
      <c r="P59" s="6"/>
      <c r="Q59" s="6"/>
      <c r="R59" s="6">
        <v>193.08</v>
      </c>
      <c r="S59" s="4" t="s">
        <v>42</v>
      </c>
      <c r="T59" s="6">
        <v>193.08</v>
      </c>
      <c r="U59" s="6"/>
      <c r="V59" s="10">
        <v>45706</v>
      </c>
      <c r="W59" t="str">
        <f t="shared" ca="1" si="1"/>
        <v>VENCIDA</v>
      </c>
    </row>
    <row r="60" spans="1:23" s="11" customFormat="1" ht="48" x14ac:dyDescent="0.25">
      <c r="A60" s="4">
        <v>2500214</v>
      </c>
      <c r="B60" s="5">
        <v>45706</v>
      </c>
      <c r="C60" s="4" t="s">
        <v>292</v>
      </c>
      <c r="D60" s="4" t="s">
        <v>293</v>
      </c>
      <c r="E60" s="4" t="s">
        <v>294</v>
      </c>
      <c r="F60" s="4" t="s">
        <v>247</v>
      </c>
      <c r="G60" s="6">
        <v>2958.8</v>
      </c>
      <c r="H60" s="6"/>
      <c r="I60" s="6"/>
      <c r="J60" s="6"/>
      <c r="K60" s="6">
        <v>2958.8</v>
      </c>
      <c r="L60" s="6">
        <v>621.35</v>
      </c>
      <c r="M60" s="6"/>
      <c r="N60" s="6"/>
      <c r="O60" s="6">
        <v>621.35</v>
      </c>
      <c r="P60" s="6"/>
      <c r="Q60" s="6"/>
      <c r="R60" s="6">
        <v>3580.15</v>
      </c>
      <c r="S60" s="4" t="s">
        <v>31</v>
      </c>
      <c r="T60" s="6"/>
      <c r="U60" s="6">
        <v>3580.15</v>
      </c>
      <c r="V60" s="5">
        <v>45766</v>
      </c>
      <c r="W60" t="str">
        <f t="shared" ca="1" si="1"/>
        <v/>
      </c>
    </row>
    <row r="61" spans="1:23" s="12" customFormat="1" ht="60" x14ac:dyDescent="0.25">
      <c r="A61" s="7">
        <v>2500215</v>
      </c>
      <c r="B61" s="8">
        <v>45707</v>
      </c>
      <c r="C61" s="7">
        <v>1114913358</v>
      </c>
      <c r="D61" s="7" t="s">
        <v>36</v>
      </c>
      <c r="E61" s="7" t="s">
        <v>37</v>
      </c>
      <c r="F61" s="7" t="s">
        <v>34</v>
      </c>
      <c r="G61" s="9">
        <v>10262.700000000001</v>
      </c>
      <c r="H61" s="9"/>
      <c r="I61" s="9"/>
      <c r="J61" s="9"/>
      <c r="K61" s="9">
        <v>10262.700000000001</v>
      </c>
      <c r="L61" s="9">
        <v>2155.17</v>
      </c>
      <c r="M61" s="9"/>
      <c r="N61" s="9"/>
      <c r="O61" s="9">
        <v>2155.17</v>
      </c>
      <c r="P61" s="9"/>
      <c r="Q61" s="9"/>
      <c r="R61" s="9">
        <v>12417.87</v>
      </c>
      <c r="S61" s="7" t="s">
        <v>227</v>
      </c>
      <c r="T61" s="9"/>
      <c r="U61" s="9">
        <v>12417.87</v>
      </c>
      <c r="V61" s="5">
        <v>45772</v>
      </c>
      <c r="W61" t="str">
        <f t="shared" ca="1" si="1"/>
        <v/>
      </c>
    </row>
    <row r="62" spans="1:23" s="11" customFormat="1" ht="60" x14ac:dyDescent="0.25">
      <c r="A62" s="7">
        <v>2500216</v>
      </c>
      <c r="B62" s="8">
        <v>45703</v>
      </c>
      <c r="C62" s="7">
        <v>484885</v>
      </c>
      <c r="D62" s="7" t="s">
        <v>108</v>
      </c>
      <c r="E62" s="7" t="s">
        <v>109</v>
      </c>
      <c r="F62" s="7" t="s">
        <v>110</v>
      </c>
      <c r="G62" s="9">
        <v>447.02</v>
      </c>
      <c r="H62" s="9"/>
      <c r="I62" s="9"/>
      <c r="J62" s="9"/>
      <c r="K62" s="9">
        <v>447.02</v>
      </c>
      <c r="L62" s="9">
        <v>93.87</v>
      </c>
      <c r="M62" s="9"/>
      <c r="N62" s="9"/>
      <c r="O62" s="9">
        <v>93.87</v>
      </c>
      <c r="P62" s="9"/>
      <c r="Q62" s="9"/>
      <c r="R62" s="9">
        <v>540.89</v>
      </c>
      <c r="S62" s="7" t="s">
        <v>35</v>
      </c>
      <c r="T62" s="9"/>
      <c r="U62" s="9">
        <v>540.89</v>
      </c>
      <c r="V62" s="5">
        <v>45724</v>
      </c>
      <c r="W62" t="str">
        <f t="shared" ca="1" si="1"/>
        <v>VENCIDA</v>
      </c>
    </row>
    <row r="63" spans="1:23" s="12" customFormat="1" ht="36" x14ac:dyDescent="0.25">
      <c r="A63" s="7">
        <v>2500217</v>
      </c>
      <c r="B63" s="8">
        <v>45708</v>
      </c>
      <c r="C63" s="7">
        <v>8</v>
      </c>
      <c r="D63" s="7" t="s">
        <v>295</v>
      </c>
      <c r="E63" s="7" t="s">
        <v>296</v>
      </c>
      <c r="F63" s="7"/>
      <c r="G63" s="9">
        <v>4.26</v>
      </c>
      <c r="H63" s="9"/>
      <c r="I63" s="9"/>
      <c r="J63" s="9"/>
      <c r="K63" s="9">
        <v>4.26</v>
      </c>
      <c r="L63" s="9">
        <v>0.89</v>
      </c>
      <c r="M63" s="9"/>
      <c r="N63" s="9"/>
      <c r="O63" s="9">
        <v>0.89</v>
      </c>
      <c r="P63" s="9"/>
      <c r="Q63" s="9"/>
      <c r="R63" s="9">
        <v>5.15</v>
      </c>
      <c r="S63" s="7" t="s">
        <v>70</v>
      </c>
      <c r="T63" s="9">
        <v>5.15</v>
      </c>
      <c r="U63" s="9"/>
      <c r="V63" s="10">
        <v>45708</v>
      </c>
      <c r="W63" t="str">
        <f t="shared" ca="1" si="1"/>
        <v>VENCIDA</v>
      </c>
    </row>
    <row r="64" spans="1:23" s="11" customFormat="1" ht="48" x14ac:dyDescent="0.25">
      <c r="A64" s="7">
        <v>2500218</v>
      </c>
      <c r="B64" s="8">
        <v>45705</v>
      </c>
      <c r="C64" s="7">
        <v>594295</v>
      </c>
      <c r="D64" s="7" t="s">
        <v>23</v>
      </c>
      <c r="E64" s="7" t="s">
        <v>24</v>
      </c>
      <c r="F64" s="7" t="s">
        <v>25</v>
      </c>
      <c r="G64" s="9">
        <v>39.549999999999997</v>
      </c>
      <c r="H64" s="9"/>
      <c r="I64" s="9"/>
      <c r="J64" s="9">
        <v>-0.01</v>
      </c>
      <c r="K64" s="9">
        <v>39.54</v>
      </c>
      <c r="L64" s="9">
        <v>8.31</v>
      </c>
      <c r="M64" s="9"/>
      <c r="N64" s="9"/>
      <c r="O64" s="9">
        <v>8.31</v>
      </c>
      <c r="P64" s="9"/>
      <c r="Q64" s="9"/>
      <c r="R64" s="9">
        <v>47.85</v>
      </c>
      <c r="S64" s="7" t="s">
        <v>26</v>
      </c>
      <c r="T64" s="9">
        <v>47.85</v>
      </c>
      <c r="U64" s="9"/>
      <c r="V64" s="10">
        <v>45705</v>
      </c>
      <c r="W64" t="str">
        <f t="shared" ca="1" si="1"/>
        <v>VENCIDA</v>
      </c>
    </row>
    <row r="65" spans="1:23" s="12" customFormat="1" ht="48" x14ac:dyDescent="0.25">
      <c r="A65" s="4">
        <v>2500219</v>
      </c>
      <c r="B65" s="5">
        <v>45705</v>
      </c>
      <c r="C65" s="4">
        <v>594296</v>
      </c>
      <c r="D65" s="4" t="s">
        <v>23</v>
      </c>
      <c r="E65" s="4" t="s">
        <v>24</v>
      </c>
      <c r="F65" s="4" t="s">
        <v>25</v>
      </c>
      <c r="G65" s="6">
        <v>47.11</v>
      </c>
      <c r="H65" s="6"/>
      <c r="I65" s="6"/>
      <c r="J65" s="6"/>
      <c r="K65" s="6">
        <v>47.11</v>
      </c>
      <c r="L65" s="6">
        <v>9.89</v>
      </c>
      <c r="M65" s="6"/>
      <c r="N65" s="6"/>
      <c r="O65" s="6">
        <v>9.89</v>
      </c>
      <c r="P65" s="6"/>
      <c r="Q65" s="6"/>
      <c r="R65" s="6">
        <v>57</v>
      </c>
      <c r="S65" s="4" t="s">
        <v>26</v>
      </c>
      <c r="T65" s="6">
        <v>57</v>
      </c>
      <c r="U65" s="6"/>
      <c r="V65" s="10">
        <v>45705</v>
      </c>
      <c r="W65" t="str">
        <f t="shared" ca="1" si="1"/>
        <v>VENCIDA</v>
      </c>
    </row>
    <row r="66" spans="1:23" s="11" customFormat="1" ht="48" x14ac:dyDescent="0.25">
      <c r="A66" s="7">
        <v>2500220</v>
      </c>
      <c r="B66" s="8">
        <v>45705</v>
      </c>
      <c r="C66" s="7">
        <v>745911</v>
      </c>
      <c r="D66" s="7" t="s">
        <v>23</v>
      </c>
      <c r="E66" s="7" t="s">
        <v>24</v>
      </c>
      <c r="F66" s="7" t="s">
        <v>25</v>
      </c>
      <c r="G66" s="9">
        <v>43.03</v>
      </c>
      <c r="H66" s="9"/>
      <c r="I66" s="9"/>
      <c r="J66" s="9"/>
      <c r="K66" s="9">
        <v>43.03</v>
      </c>
      <c r="L66" s="9">
        <v>9.0399999999999991</v>
      </c>
      <c r="M66" s="9"/>
      <c r="N66" s="9"/>
      <c r="O66" s="9">
        <v>9.0399999999999991</v>
      </c>
      <c r="P66" s="9"/>
      <c r="Q66" s="9"/>
      <c r="R66" s="9">
        <v>52.07</v>
      </c>
      <c r="S66" s="7" t="s">
        <v>26</v>
      </c>
      <c r="T66" s="9">
        <v>52.07</v>
      </c>
      <c r="U66" s="9"/>
      <c r="V66" s="10">
        <v>45705</v>
      </c>
      <c r="W66" t="str">
        <f t="shared" ca="1" si="1"/>
        <v>VENCIDA</v>
      </c>
    </row>
    <row r="67" spans="1:23" s="12" customFormat="1" ht="48" x14ac:dyDescent="0.25">
      <c r="A67" s="4">
        <v>2500221</v>
      </c>
      <c r="B67" s="5">
        <v>45705</v>
      </c>
      <c r="C67" s="4">
        <v>459832</v>
      </c>
      <c r="D67" s="4" t="s">
        <v>23</v>
      </c>
      <c r="E67" s="4" t="s">
        <v>24</v>
      </c>
      <c r="F67" s="4" t="s">
        <v>25</v>
      </c>
      <c r="G67" s="6">
        <v>55.68</v>
      </c>
      <c r="H67" s="6"/>
      <c r="I67" s="6"/>
      <c r="J67" s="6"/>
      <c r="K67" s="6">
        <v>55.68</v>
      </c>
      <c r="L67" s="6">
        <v>11.69</v>
      </c>
      <c r="M67" s="6"/>
      <c r="N67" s="6"/>
      <c r="O67" s="6">
        <v>11.69</v>
      </c>
      <c r="P67" s="6"/>
      <c r="Q67" s="6"/>
      <c r="R67" s="6">
        <v>67.37</v>
      </c>
      <c r="S67" s="4" t="s">
        <v>26</v>
      </c>
      <c r="T67" s="6">
        <v>67.37</v>
      </c>
      <c r="U67" s="6"/>
      <c r="V67" s="10">
        <v>45705</v>
      </c>
      <c r="W67" t="str">
        <f t="shared" ca="1" si="1"/>
        <v>VENCIDA</v>
      </c>
    </row>
    <row r="68" spans="1:23" s="11" customFormat="1" ht="48" x14ac:dyDescent="0.25">
      <c r="A68" s="7">
        <v>2500222</v>
      </c>
      <c r="B68" s="8">
        <v>45705</v>
      </c>
      <c r="C68" s="7">
        <v>54292</v>
      </c>
      <c r="D68" s="7" t="s">
        <v>23</v>
      </c>
      <c r="E68" s="7" t="s">
        <v>24</v>
      </c>
      <c r="F68" s="7" t="s">
        <v>25</v>
      </c>
      <c r="G68" s="9">
        <v>47.86</v>
      </c>
      <c r="H68" s="9"/>
      <c r="I68" s="9"/>
      <c r="J68" s="9"/>
      <c r="K68" s="9">
        <v>47.86</v>
      </c>
      <c r="L68" s="9">
        <v>10.050000000000001</v>
      </c>
      <c r="M68" s="9"/>
      <c r="N68" s="9"/>
      <c r="O68" s="9">
        <v>10.050000000000001</v>
      </c>
      <c r="P68" s="9"/>
      <c r="Q68" s="9"/>
      <c r="R68" s="9">
        <v>57.91</v>
      </c>
      <c r="S68" s="7" t="s">
        <v>26</v>
      </c>
      <c r="T68" s="9">
        <v>57.91</v>
      </c>
      <c r="U68" s="9"/>
      <c r="V68" s="10">
        <v>45705</v>
      </c>
      <c r="W68" t="str">
        <f t="shared" ca="1" si="1"/>
        <v>VENCIDA</v>
      </c>
    </row>
    <row r="69" spans="1:23" s="12" customFormat="1" ht="48" x14ac:dyDescent="0.25">
      <c r="A69" s="4">
        <v>2500223</v>
      </c>
      <c r="B69" s="5">
        <v>45705</v>
      </c>
      <c r="C69" s="4">
        <v>459833</v>
      </c>
      <c r="D69" s="4" t="s">
        <v>23</v>
      </c>
      <c r="E69" s="4" t="s">
        <v>24</v>
      </c>
      <c r="F69" s="4" t="s">
        <v>25</v>
      </c>
      <c r="G69" s="6">
        <v>72.45</v>
      </c>
      <c r="H69" s="6"/>
      <c r="I69" s="6"/>
      <c r="J69" s="6"/>
      <c r="K69" s="6">
        <v>72.45</v>
      </c>
      <c r="L69" s="6">
        <v>15.21</v>
      </c>
      <c r="M69" s="6"/>
      <c r="N69" s="6"/>
      <c r="O69" s="6">
        <v>15.21</v>
      </c>
      <c r="P69" s="6"/>
      <c r="Q69" s="6"/>
      <c r="R69" s="6">
        <v>87.66</v>
      </c>
      <c r="S69" s="4" t="s">
        <v>26</v>
      </c>
      <c r="T69" s="6">
        <v>87.66</v>
      </c>
      <c r="U69" s="6"/>
      <c r="V69" s="10">
        <v>45705</v>
      </c>
      <c r="W69" t="str">
        <f t="shared" ca="1" si="1"/>
        <v>VENCIDA</v>
      </c>
    </row>
    <row r="70" spans="1:23" s="11" customFormat="1" ht="48" x14ac:dyDescent="0.25">
      <c r="A70" s="4">
        <v>2500224</v>
      </c>
      <c r="B70" s="5">
        <v>45702</v>
      </c>
      <c r="C70" s="4">
        <v>745335</v>
      </c>
      <c r="D70" s="4" t="s">
        <v>23</v>
      </c>
      <c r="E70" s="4" t="s">
        <v>24</v>
      </c>
      <c r="F70" s="4" t="s">
        <v>25</v>
      </c>
      <c r="G70" s="6">
        <v>82.64</v>
      </c>
      <c r="H70" s="6"/>
      <c r="I70" s="6"/>
      <c r="J70" s="6">
        <v>0.01</v>
      </c>
      <c r="K70" s="6">
        <v>82.65</v>
      </c>
      <c r="L70" s="6">
        <v>17.350000000000001</v>
      </c>
      <c r="M70" s="6"/>
      <c r="N70" s="6"/>
      <c r="O70" s="6">
        <v>17.350000000000001</v>
      </c>
      <c r="P70" s="6"/>
      <c r="Q70" s="6"/>
      <c r="R70" s="6">
        <v>100</v>
      </c>
      <c r="S70" s="4" t="s">
        <v>26</v>
      </c>
      <c r="T70" s="6">
        <v>100</v>
      </c>
      <c r="U70" s="6"/>
      <c r="V70" s="10">
        <v>45702</v>
      </c>
      <c r="W70" t="str">
        <f t="shared" ca="1" si="1"/>
        <v>VENCIDA</v>
      </c>
    </row>
    <row r="71" spans="1:23" s="12" customFormat="1" ht="48" x14ac:dyDescent="0.25">
      <c r="A71" s="7">
        <v>2500225</v>
      </c>
      <c r="B71" s="8">
        <v>45702</v>
      </c>
      <c r="C71" s="7">
        <v>745334</v>
      </c>
      <c r="D71" s="7" t="s">
        <v>23</v>
      </c>
      <c r="E71" s="7" t="s">
        <v>24</v>
      </c>
      <c r="F71" s="7" t="s">
        <v>25</v>
      </c>
      <c r="G71" s="9">
        <v>57.85</v>
      </c>
      <c r="H71" s="9"/>
      <c r="I71" s="9"/>
      <c r="J71" s="9"/>
      <c r="K71" s="9">
        <v>57.85</v>
      </c>
      <c r="L71" s="9">
        <v>12.15</v>
      </c>
      <c r="M71" s="9"/>
      <c r="N71" s="9"/>
      <c r="O71" s="9">
        <v>12.15</v>
      </c>
      <c r="P71" s="9"/>
      <c r="Q71" s="9"/>
      <c r="R71" s="9">
        <v>70</v>
      </c>
      <c r="S71" s="7" t="s">
        <v>26</v>
      </c>
      <c r="T71" s="9">
        <v>70</v>
      </c>
      <c r="U71" s="9"/>
      <c r="V71" s="10">
        <v>45702</v>
      </c>
      <c r="W71" t="str">
        <f t="shared" ca="1" si="1"/>
        <v>VENCIDA</v>
      </c>
    </row>
    <row r="72" spans="1:23" s="11" customFormat="1" ht="48" x14ac:dyDescent="0.25">
      <c r="A72" s="4">
        <v>2500226</v>
      </c>
      <c r="B72" s="5">
        <v>45702</v>
      </c>
      <c r="C72" s="4">
        <v>458171</v>
      </c>
      <c r="D72" s="4" t="s">
        <v>23</v>
      </c>
      <c r="E72" s="4" t="s">
        <v>24</v>
      </c>
      <c r="F72" s="4" t="s">
        <v>25</v>
      </c>
      <c r="G72" s="6">
        <v>58.5</v>
      </c>
      <c r="H72" s="6"/>
      <c r="I72" s="6"/>
      <c r="J72" s="6"/>
      <c r="K72" s="6">
        <v>58.5</v>
      </c>
      <c r="L72" s="6">
        <v>12.29</v>
      </c>
      <c r="M72" s="6"/>
      <c r="N72" s="6"/>
      <c r="O72" s="6">
        <v>12.29</v>
      </c>
      <c r="P72" s="6"/>
      <c r="Q72" s="6"/>
      <c r="R72" s="6">
        <v>70.790000000000006</v>
      </c>
      <c r="S72" s="4" t="s">
        <v>26</v>
      </c>
      <c r="T72" s="6">
        <v>70.790000000000006</v>
      </c>
      <c r="U72" s="6"/>
      <c r="V72" s="10">
        <v>45702</v>
      </c>
      <c r="W72" t="str">
        <f t="shared" ca="1" si="1"/>
        <v>VENCIDA</v>
      </c>
    </row>
    <row r="73" spans="1:23" s="12" customFormat="1" ht="48" x14ac:dyDescent="0.25">
      <c r="A73" s="7">
        <v>2500227</v>
      </c>
      <c r="B73" s="8">
        <v>45702</v>
      </c>
      <c r="C73" s="7">
        <v>593759</v>
      </c>
      <c r="D73" s="7" t="s">
        <v>23</v>
      </c>
      <c r="E73" s="7" t="s">
        <v>24</v>
      </c>
      <c r="F73" s="7" t="s">
        <v>25</v>
      </c>
      <c r="G73" s="9">
        <v>59.02</v>
      </c>
      <c r="H73" s="9"/>
      <c r="I73" s="9"/>
      <c r="J73" s="9">
        <v>0.01</v>
      </c>
      <c r="K73" s="9">
        <v>59.03</v>
      </c>
      <c r="L73" s="9">
        <v>12.39</v>
      </c>
      <c r="M73" s="9"/>
      <c r="N73" s="9"/>
      <c r="O73" s="9">
        <v>12.39</v>
      </c>
      <c r="P73" s="9"/>
      <c r="Q73" s="9"/>
      <c r="R73" s="9">
        <v>71.42</v>
      </c>
      <c r="S73" s="7" t="s">
        <v>26</v>
      </c>
      <c r="T73" s="9">
        <v>71.42</v>
      </c>
      <c r="U73" s="9"/>
      <c r="V73" s="10">
        <v>45702</v>
      </c>
      <c r="W73" t="str">
        <f t="shared" ca="1" si="1"/>
        <v>VENCIDA</v>
      </c>
    </row>
    <row r="74" spans="1:23" s="11" customFormat="1" ht="48" x14ac:dyDescent="0.25">
      <c r="A74" s="4">
        <v>2500228</v>
      </c>
      <c r="B74" s="5">
        <v>45702</v>
      </c>
      <c r="C74" s="4">
        <v>593758</v>
      </c>
      <c r="D74" s="4" t="s">
        <v>23</v>
      </c>
      <c r="E74" s="4" t="s">
        <v>24</v>
      </c>
      <c r="F74" s="4" t="s">
        <v>25</v>
      </c>
      <c r="G74" s="6">
        <v>62.12</v>
      </c>
      <c r="H74" s="6"/>
      <c r="I74" s="6"/>
      <c r="J74" s="6"/>
      <c r="K74" s="6">
        <v>62.12</v>
      </c>
      <c r="L74" s="6">
        <v>13.05</v>
      </c>
      <c r="M74" s="6"/>
      <c r="N74" s="6"/>
      <c r="O74" s="6">
        <v>13.05</v>
      </c>
      <c r="P74" s="6"/>
      <c r="Q74" s="6"/>
      <c r="R74" s="6">
        <v>75.17</v>
      </c>
      <c r="S74" s="4" t="s">
        <v>26</v>
      </c>
      <c r="T74" s="6">
        <v>75.17</v>
      </c>
      <c r="U74" s="6"/>
      <c r="V74" s="10">
        <v>45702</v>
      </c>
      <c r="W74" t="str">
        <f t="shared" ca="1" si="1"/>
        <v>VENCIDA</v>
      </c>
    </row>
    <row r="75" spans="1:23" s="12" customFormat="1" ht="24" x14ac:dyDescent="0.25">
      <c r="A75" s="7">
        <v>2500229</v>
      </c>
      <c r="B75" s="8">
        <v>45701</v>
      </c>
      <c r="C75" s="7">
        <v>4</v>
      </c>
      <c r="D75" s="7" t="s">
        <v>297</v>
      </c>
      <c r="E75" s="7" t="s">
        <v>298</v>
      </c>
      <c r="F75" s="7" t="s">
        <v>299</v>
      </c>
      <c r="G75" s="9"/>
      <c r="H75" s="9">
        <v>27.09</v>
      </c>
      <c r="I75" s="9"/>
      <c r="J75" s="9"/>
      <c r="K75" s="9">
        <v>27.09</v>
      </c>
      <c r="L75" s="9"/>
      <c r="M75" s="9">
        <v>2.71</v>
      </c>
      <c r="N75" s="9"/>
      <c r="O75" s="9">
        <v>2.71</v>
      </c>
      <c r="P75" s="9"/>
      <c r="Q75" s="9"/>
      <c r="R75" s="9">
        <v>29.8</v>
      </c>
      <c r="S75" s="7" t="s">
        <v>70</v>
      </c>
      <c r="T75" s="9">
        <v>29.8</v>
      </c>
      <c r="U75" s="9"/>
      <c r="V75" s="10">
        <v>45701</v>
      </c>
      <c r="W75" t="str">
        <f t="shared" ca="1" si="1"/>
        <v>VENCIDA</v>
      </c>
    </row>
    <row r="76" spans="1:23" s="11" customFormat="1" ht="36" x14ac:dyDescent="0.25">
      <c r="A76" s="7">
        <v>2500230</v>
      </c>
      <c r="B76" s="5">
        <v>45716</v>
      </c>
      <c r="C76" s="4" t="s">
        <v>351</v>
      </c>
      <c r="D76" s="4" t="s">
        <v>219</v>
      </c>
      <c r="E76" s="4" t="s">
        <v>220</v>
      </c>
      <c r="F76" s="4" t="s">
        <v>221</v>
      </c>
      <c r="G76" s="6">
        <v>57.43</v>
      </c>
      <c r="H76" s="6"/>
      <c r="I76" s="6"/>
      <c r="J76" s="6">
        <v>101.8</v>
      </c>
      <c r="K76" s="6">
        <v>159.22999999999999</v>
      </c>
      <c r="L76" s="6">
        <v>12.06</v>
      </c>
      <c r="M76" s="6"/>
      <c r="N76" s="6"/>
      <c r="O76" s="6">
        <v>12.06</v>
      </c>
      <c r="P76" s="6"/>
      <c r="Q76" s="6"/>
      <c r="R76" s="6">
        <v>171.29</v>
      </c>
      <c r="S76" s="4" t="s">
        <v>352</v>
      </c>
      <c r="T76" s="6">
        <v>171.29</v>
      </c>
      <c r="U76" s="6"/>
      <c r="V76" s="10">
        <v>45716</v>
      </c>
      <c r="W76" t="str">
        <f t="shared" ca="1" si="1"/>
        <v>VENCIDA</v>
      </c>
    </row>
    <row r="77" spans="1:23" s="12" customFormat="1" ht="48" x14ac:dyDescent="0.25">
      <c r="A77" s="4">
        <v>2500231</v>
      </c>
      <c r="B77" s="5">
        <v>45705</v>
      </c>
      <c r="C77" s="4">
        <v>745914</v>
      </c>
      <c r="D77" s="4" t="s">
        <v>23</v>
      </c>
      <c r="E77" s="4" t="s">
        <v>24</v>
      </c>
      <c r="F77" s="4" t="s">
        <v>25</v>
      </c>
      <c r="G77" s="6">
        <v>51.84</v>
      </c>
      <c r="H77" s="6"/>
      <c r="I77" s="6"/>
      <c r="J77" s="6"/>
      <c r="K77" s="6">
        <v>51.84</v>
      </c>
      <c r="L77" s="6">
        <v>10.89</v>
      </c>
      <c r="M77" s="6"/>
      <c r="N77" s="6"/>
      <c r="O77" s="6">
        <v>10.89</v>
      </c>
      <c r="P77" s="6"/>
      <c r="Q77" s="6"/>
      <c r="R77" s="6">
        <v>62.73</v>
      </c>
      <c r="S77" s="4" t="s">
        <v>26</v>
      </c>
      <c r="T77" s="6">
        <v>62.73</v>
      </c>
      <c r="U77" s="6"/>
      <c r="V77" s="10">
        <v>45705</v>
      </c>
      <c r="W77" t="str">
        <f t="shared" ca="1" si="1"/>
        <v>VENCIDA</v>
      </c>
    </row>
    <row r="78" spans="1:23" s="11" customFormat="1" ht="24" x14ac:dyDescent="0.25">
      <c r="A78" s="4">
        <v>2500232</v>
      </c>
      <c r="B78" s="5">
        <v>45701</v>
      </c>
      <c r="C78" s="4">
        <v>660</v>
      </c>
      <c r="D78" s="4" t="s">
        <v>300</v>
      </c>
      <c r="E78" s="4" t="s">
        <v>301</v>
      </c>
      <c r="F78" s="4" t="s">
        <v>25</v>
      </c>
      <c r="G78" s="6">
        <v>23.73</v>
      </c>
      <c r="H78" s="6"/>
      <c r="I78" s="6"/>
      <c r="J78" s="6"/>
      <c r="K78" s="6">
        <v>23.73</v>
      </c>
      <c r="L78" s="6">
        <v>4.9800000000000004</v>
      </c>
      <c r="M78" s="6"/>
      <c r="N78" s="6"/>
      <c r="O78" s="6">
        <v>4.9800000000000004</v>
      </c>
      <c r="P78" s="6"/>
      <c r="Q78" s="6"/>
      <c r="R78" s="6">
        <v>28.71</v>
      </c>
      <c r="S78" s="4" t="s">
        <v>70</v>
      </c>
      <c r="T78" s="6">
        <v>28.71</v>
      </c>
      <c r="U78" s="6"/>
      <c r="V78" s="10">
        <v>45701</v>
      </c>
      <c r="W78" t="str">
        <f t="shared" ca="1" si="1"/>
        <v>VENCIDA</v>
      </c>
    </row>
    <row r="79" spans="1:23" s="12" customFormat="1" ht="36" x14ac:dyDescent="0.25">
      <c r="A79" s="7">
        <v>2500233</v>
      </c>
      <c r="B79" s="8">
        <v>45702</v>
      </c>
      <c r="C79" s="7" t="s">
        <v>302</v>
      </c>
      <c r="D79" s="7" t="s">
        <v>119</v>
      </c>
      <c r="E79" s="7" t="s">
        <v>120</v>
      </c>
      <c r="F79" s="7" t="s">
        <v>121</v>
      </c>
      <c r="G79" s="9">
        <v>16.53</v>
      </c>
      <c r="H79" s="9"/>
      <c r="I79" s="9"/>
      <c r="J79" s="9"/>
      <c r="K79" s="9">
        <v>16.53</v>
      </c>
      <c r="L79" s="9">
        <v>3.47</v>
      </c>
      <c r="M79" s="9"/>
      <c r="N79" s="9"/>
      <c r="O79" s="9">
        <v>3.47</v>
      </c>
      <c r="P79" s="9"/>
      <c r="Q79" s="9"/>
      <c r="R79" s="9">
        <v>20</v>
      </c>
      <c r="S79" s="7" t="s">
        <v>101</v>
      </c>
      <c r="T79" s="9"/>
      <c r="U79" s="9">
        <v>20</v>
      </c>
      <c r="V79" s="5">
        <v>45703</v>
      </c>
      <c r="W79" t="str">
        <f t="shared" ca="1" si="1"/>
        <v>VENCIDA</v>
      </c>
    </row>
    <row r="80" spans="1:23" ht="60" x14ac:dyDescent="0.25">
      <c r="A80" s="4">
        <v>2500234</v>
      </c>
      <c r="B80" s="5">
        <v>45712</v>
      </c>
      <c r="C80" s="4">
        <v>1114914216</v>
      </c>
      <c r="D80" s="4" t="s">
        <v>36</v>
      </c>
      <c r="E80" s="4" t="s">
        <v>37</v>
      </c>
      <c r="F80" s="4" t="s">
        <v>34</v>
      </c>
      <c r="G80" s="6">
        <v>24295.97</v>
      </c>
      <c r="H80" s="6"/>
      <c r="I80" s="6"/>
      <c r="J80" s="6">
        <v>-0.04</v>
      </c>
      <c r="K80" s="6">
        <v>24295.93</v>
      </c>
      <c r="L80" s="6">
        <v>5102.1499999999996</v>
      </c>
      <c r="M80" s="6"/>
      <c r="N80" s="6"/>
      <c r="O80" s="6">
        <v>5102.1499999999996</v>
      </c>
      <c r="P80" s="6"/>
      <c r="Q80" s="6"/>
      <c r="R80" s="6">
        <v>29398.080000000002</v>
      </c>
      <c r="S80" s="4" t="s">
        <v>227</v>
      </c>
      <c r="T80" s="6"/>
      <c r="U80" s="6">
        <v>29398.080000000002</v>
      </c>
      <c r="V80" s="5">
        <v>45772</v>
      </c>
      <c r="W80" t="str">
        <f t="shared" ca="1" si="1"/>
        <v/>
      </c>
    </row>
    <row r="81" spans="1:23" ht="60" x14ac:dyDescent="0.25">
      <c r="A81" s="7">
        <v>2500235</v>
      </c>
      <c r="B81" s="8">
        <v>45708</v>
      </c>
      <c r="C81" s="7">
        <v>1114913600</v>
      </c>
      <c r="D81" s="7" t="s">
        <v>36</v>
      </c>
      <c r="E81" s="7" t="s">
        <v>37</v>
      </c>
      <c r="F81" s="7" t="s">
        <v>34</v>
      </c>
      <c r="G81" s="9">
        <v>72345.17</v>
      </c>
      <c r="H81" s="9"/>
      <c r="I81" s="9"/>
      <c r="J81" s="9">
        <v>-0.05</v>
      </c>
      <c r="K81" s="9">
        <v>72345.119999999995</v>
      </c>
      <c r="L81" s="9">
        <v>15192.49</v>
      </c>
      <c r="M81" s="9"/>
      <c r="N81" s="9"/>
      <c r="O81" s="9">
        <v>15192.49</v>
      </c>
      <c r="P81" s="9"/>
      <c r="Q81" s="9"/>
      <c r="R81" s="9">
        <v>87537.61</v>
      </c>
      <c r="S81" s="7" t="s">
        <v>227</v>
      </c>
      <c r="T81" s="9"/>
      <c r="U81" s="9">
        <v>87537.61</v>
      </c>
      <c r="V81" s="5">
        <v>45828</v>
      </c>
      <c r="W81" t="str">
        <f t="shared" ca="1" si="1"/>
        <v/>
      </c>
    </row>
    <row r="82" spans="1:23" ht="24" x14ac:dyDescent="0.25">
      <c r="A82" s="4">
        <v>2500236</v>
      </c>
      <c r="B82" s="5">
        <v>45699</v>
      </c>
      <c r="C82" s="4">
        <v>1201154755</v>
      </c>
      <c r="D82" s="4" t="s">
        <v>32</v>
      </c>
      <c r="E82" s="4" t="s">
        <v>33</v>
      </c>
      <c r="F82" s="4" t="s">
        <v>34</v>
      </c>
      <c r="G82" s="6">
        <v>589.05999999999995</v>
      </c>
      <c r="H82" s="6"/>
      <c r="I82" s="6"/>
      <c r="J82" s="6"/>
      <c r="K82" s="6">
        <v>589.05999999999995</v>
      </c>
      <c r="L82" s="6">
        <v>123.7</v>
      </c>
      <c r="M82" s="6"/>
      <c r="N82" s="6"/>
      <c r="O82" s="6">
        <v>123.7</v>
      </c>
      <c r="P82" s="6"/>
      <c r="Q82" s="6"/>
      <c r="R82" s="6">
        <v>712.76</v>
      </c>
      <c r="S82" s="4" t="s">
        <v>303</v>
      </c>
      <c r="T82" s="6"/>
      <c r="U82" s="6">
        <v>712.76</v>
      </c>
      <c r="V82" s="5">
        <v>45758</v>
      </c>
      <c r="W82" t="str">
        <f t="shared" ca="1" si="1"/>
        <v/>
      </c>
    </row>
    <row r="83" spans="1:23" ht="36" x14ac:dyDescent="0.25">
      <c r="A83" s="7">
        <v>2500237</v>
      </c>
      <c r="B83" s="8">
        <v>45710</v>
      </c>
      <c r="C83" s="7">
        <v>62001</v>
      </c>
      <c r="D83" s="7" t="s">
        <v>194</v>
      </c>
      <c r="E83" s="7" t="s">
        <v>195</v>
      </c>
      <c r="F83" s="7" t="s">
        <v>73</v>
      </c>
      <c r="G83" s="9">
        <v>72.650000000000006</v>
      </c>
      <c r="H83" s="9"/>
      <c r="I83" s="9"/>
      <c r="J83" s="9"/>
      <c r="K83" s="9">
        <v>72.650000000000006</v>
      </c>
      <c r="L83" s="9">
        <v>15.26</v>
      </c>
      <c r="M83" s="9"/>
      <c r="N83" s="9"/>
      <c r="O83" s="9">
        <v>15.26</v>
      </c>
      <c r="P83" s="9"/>
      <c r="Q83" s="9"/>
      <c r="R83" s="9">
        <v>87.91</v>
      </c>
      <c r="S83" s="7" t="s">
        <v>42</v>
      </c>
      <c r="T83" s="9"/>
      <c r="U83" s="9">
        <v>87.91</v>
      </c>
      <c r="V83" s="5">
        <v>45770</v>
      </c>
      <c r="W83" t="str">
        <f t="shared" ca="1" si="1"/>
        <v/>
      </c>
    </row>
    <row r="84" spans="1:23" ht="36" x14ac:dyDescent="0.25">
      <c r="A84" s="4">
        <v>2500238</v>
      </c>
      <c r="B84" s="5">
        <v>45714</v>
      </c>
      <c r="C84" s="4" t="s">
        <v>304</v>
      </c>
      <c r="D84" s="4" t="s">
        <v>96</v>
      </c>
      <c r="E84" s="4" t="s">
        <v>97</v>
      </c>
      <c r="F84" s="4" t="s">
        <v>98</v>
      </c>
      <c r="G84" s="6">
        <v>-497.25</v>
      </c>
      <c r="H84" s="6"/>
      <c r="I84" s="6"/>
      <c r="J84" s="6"/>
      <c r="K84" s="6">
        <v>-497.25</v>
      </c>
      <c r="L84" s="6">
        <v>-104.42</v>
      </c>
      <c r="M84" s="6"/>
      <c r="N84" s="6"/>
      <c r="O84" s="6">
        <v>-104.42</v>
      </c>
      <c r="P84" s="6"/>
      <c r="Q84" s="6"/>
      <c r="R84" s="6">
        <v>-601.66999999999996</v>
      </c>
      <c r="S84" s="4" t="s">
        <v>42</v>
      </c>
      <c r="T84" s="6"/>
      <c r="U84" s="6">
        <v>-601.66999999999996</v>
      </c>
      <c r="V84" s="5">
        <v>45742</v>
      </c>
      <c r="W84" t="str">
        <f t="shared" ca="1" si="1"/>
        <v/>
      </c>
    </row>
    <row r="85" spans="1:23" ht="36" x14ac:dyDescent="0.25">
      <c r="A85" s="7">
        <v>2500239</v>
      </c>
      <c r="B85" s="8">
        <v>45714</v>
      </c>
      <c r="C85" s="7" t="s">
        <v>305</v>
      </c>
      <c r="D85" s="7" t="s">
        <v>96</v>
      </c>
      <c r="E85" s="7" t="s">
        <v>97</v>
      </c>
      <c r="F85" s="7" t="s">
        <v>98</v>
      </c>
      <c r="G85" s="9">
        <v>497.25</v>
      </c>
      <c r="H85" s="9"/>
      <c r="I85" s="9"/>
      <c r="J85" s="9"/>
      <c r="K85" s="9">
        <v>497.25</v>
      </c>
      <c r="L85" s="9">
        <v>104.42</v>
      </c>
      <c r="M85" s="9"/>
      <c r="N85" s="9"/>
      <c r="O85" s="9">
        <v>104.42</v>
      </c>
      <c r="P85" s="9"/>
      <c r="Q85" s="9"/>
      <c r="R85" s="9">
        <v>601.66999999999996</v>
      </c>
      <c r="S85" s="7" t="s">
        <v>42</v>
      </c>
      <c r="T85" s="9"/>
      <c r="U85" s="9">
        <v>601.66999999999996</v>
      </c>
      <c r="V85" s="5">
        <v>45742</v>
      </c>
      <c r="W85" t="str">
        <f t="shared" ca="1" si="1"/>
        <v/>
      </c>
    </row>
    <row r="86" spans="1:23" ht="36" x14ac:dyDescent="0.25">
      <c r="A86" s="4">
        <v>2500240</v>
      </c>
      <c r="B86" s="5">
        <v>45714</v>
      </c>
      <c r="C86" s="4" t="s">
        <v>306</v>
      </c>
      <c r="D86" s="4" t="s">
        <v>96</v>
      </c>
      <c r="E86" s="4" t="s">
        <v>97</v>
      </c>
      <c r="F86" s="4" t="s">
        <v>98</v>
      </c>
      <c r="G86" s="6">
        <v>1936.35</v>
      </c>
      <c r="H86" s="6"/>
      <c r="I86" s="6"/>
      <c r="J86" s="6"/>
      <c r="K86" s="6">
        <v>1936.35</v>
      </c>
      <c r="L86" s="6">
        <v>406.63</v>
      </c>
      <c r="M86" s="6"/>
      <c r="N86" s="6"/>
      <c r="O86" s="6">
        <v>406.63</v>
      </c>
      <c r="P86" s="6"/>
      <c r="Q86" s="6"/>
      <c r="R86" s="6">
        <v>2342.98</v>
      </c>
      <c r="S86" s="4" t="s">
        <v>42</v>
      </c>
      <c r="T86" s="6"/>
      <c r="U86" s="6">
        <v>2342.98</v>
      </c>
      <c r="V86" s="5">
        <v>45742</v>
      </c>
      <c r="W86" t="str">
        <f t="shared" ca="1" si="1"/>
        <v/>
      </c>
    </row>
    <row r="87" spans="1:23" s="12" customFormat="1" ht="36" x14ac:dyDescent="0.25">
      <c r="A87" s="7">
        <v>2500241</v>
      </c>
      <c r="B87" s="8">
        <v>45713</v>
      </c>
      <c r="C87" s="7">
        <v>1201160116</v>
      </c>
      <c r="D87" s="7" t="s">
        <v>32</v>
      </c>
      <c r="E87" s="7" t="s">
        <v>33</v>
      </c>
      <c r="F87" s="7" t="s">
        <v>34</v>
      </c>
      <c r="G87" s="9">
        <v>1127.79</v>
      </c>
      <c r="H87" s="9"/>
      <c r="I87" s="9"/>
      <c r="J87" s="9">
        <v>-0.04</v>
      </c>
      <c r="K87" s="9">
        <v>1127.75</v>
      </c>
      <c r="L87" s="9">
        <v>236.84</v>
      </c>
      <c r="M87" s="9"/>
      <c r="N87" s="9"/>
      <c r="O87" s="9">
        <v>236.84</v>
      </c>
      <c r="P87" s="9"/>
      <c r="Q87" s="9"/>
      <c r="R87" s="9">
        <v>1364.59</v>
      </c>
      <c r="S87" s="7" t="s">
        <v>35</v>
      </c>
      <c r="T87" s="9"/>
      <c r="U87" s="9">
        <v>1364.59</v>
      </c>
      <c r="V87" s="5">
        <v>45741</v>
      </c>
      <c r="W87" t="str">
        <f t="shared" ca="1" si="1"/>
        <v/>
      </c>
    </row>
    <row r="88" spans="1:23" s="11" customFormat="1" ht="36" x14ac:dyDescent="0.25">
      <c r="A88" s="4">
        <v>2500242</v>
      </c>
      <c r="B88" s="5">
        <v>45713</v>
      </c>
      <c r="C88" s="4">
        <v>1201160115</v>
      </c>
      <c r="D88" s="4" t="s">
        <v>32</v>
      </c>
      <c r="E88" s="4" t="s">
        <v>33</v>
      </c>
      <c r="F88" s="4" t="s">
        <v>34</v>
      </c>
      <c r="G88" s="6">
        <v>422.12</v>
      </c>
      <c r="H88" s="6"/>
      <c r="I88" s="6"/>
      <c r="J88" s="6">
        <v>-0.02</v>
      </c>
      <c r="K88" s="6">
        <v>422.1</v>
      </c>
      <c r="L88" s="6">
        <v>88.65</v>
      </c>
      <c r="M88" s="6"/>
      <c r="N88" s="6"/>
      <c r="O88" s="6">
        <v>88.65</v>
      </c>
      <c r="P88" s="6"/>
      <c r="Q88" s="6"/>
      <c r="R88" s="6">
        <v>510.75</v>
      </c>
      <c r="S88" s="4" t="s">
        <v>35</v>
      </c>
      <c r="T88" s="6"/>
      <c r="U88" s="6">
        <v>510.75</v>
      </c>
      <c r="V88" s="5">
        <v>45713</v>
      </c>
      <c r="W88" t="str">
        <f t="shared" ref="W88:W151" ca="1" si="2">IF(V88&lt;TODAY(),"VENCIDA",IF(V88=TODAY(),"VENCE HOY",IF(V88&gt;TODAY(),"")))</f>
        <v>VENCIDA</v>
      </c>
    </row>
    <row r="89" spans="1:23" s="12" customFormat="1" ht="48" x14ac:dyDescent="0.25">
      <c r="A89" s="4">
        <v>2500243</v>
      </c>
      <c r="B89" s="5">
        <v>45713</v>
      </c>
      <c r="C89" s="4">
        <v>475</v>
      </c>
      <c r="D89" s="4" t="s">
        <v>184</v>
      </c>
      <c r="E89" s="4" t="s">
        <v>185</v>
      </c>
      <c r="F89" s="4" t="s">
        <v>186</v>
      </c>
      <c r="G89" s="6">
        <v>6164.3</v>
      </c>
      <c r="H89" s="6"/>
      <c r="I89" s="6"/>
      <c r="J89" s="6"/>
      <c r="K89" s="6">
        <v>6164.3</v>
      </c>
      <c r="L89" s="6">
        <v>1294.5</v>
      </c>
      <c r="M89" s="6"/>
      <c r="N89" s="6"/>
      <c r="O89" s="6">
        <v>1294.5</v>
      </c>
      <c r="P89" s="6"/>
      <c r="Q89" s="6"/>
      <c r="R89" s="6">
        <v>7458.8</v>
      </c>
      <c r="S89" s="4" t="s">
        <v>31</v>
      </c>
      <c r="T89" s="6"/>
      <c r="U89" s="6">
        <v>7458.8</v>
      </c>
      <c r="V89" s="5">
        <v>45772</v>
      </c>
      <c r="W89" t="str">
        <f t="shared" ca="1" si="2"/>
        <v/>
      </c>
    </row>
    <row r="90" spans="1:23" s="11" customFormat="1" ht="48" x14ac:dyDescent="0.25">
      <c r="A90" s="4">
        <v>2500244</v>
      </c>
      <c r="B90" s="5">
        <v>45713</v>
      </c>
      <c r="C90" s="4" t="s">
        <v>307</v>
      </c>
      <c r="D90" s="4" t="s">
        <v>283</v>
      </c>
      <c r="E90" s="4" t="s">
        <v>284</v>
      </c>
      <c r="F90" s="4"/>
      <c r="G90" s="6">
        <v>300</v>
      </c>
      <c r="H90" s="6"/>
      <c r="I90" s="6"/>
      <c r="J90" s="6"/>
      <c r="K90" s="6">
        <v>300</v>
      </c>
      <c r="L90" s="6">
        <v>63</v>
      </c>
      <c r="M90" s="6"/>
      <c r="N90" s="6"/>
      <c r="O90" s="6">
        <v>63</v>
      </c>
      <c r="P90" s="6"/>
      <c r="Q90" s="6"/>
      <c r="R90" s="6">
        <v>363</v>
      </c>
      <c r="S90" s="4" t="s">
        <v>55</v>
      </c>
      <c r="T90" s="6"/>
      <c r="U90" s="6">
        <v>363</v>
      </c>
      <c r="V90" s="5">
        <v>45713</v>
      </c>
      <c r="W90" t="str">
        <f t="shared" ca="1" si="2"/>
        <v>VENCIDA</v>
      </c>
    </row>
    <row r="91" spans="1:23" s="12" customFormat="1" ht="48" x14ac:dyDescent="0.25">
      <c r="A91" s="7">
        <v>2500245</v>
      </c>
      <c r="B91" s="8">
        <v>45713</v>
      </c>
      <c r="C91" s="7">
        <v>25254200870</v>
      </c>
      <c r="D91" s="7" t="s">
        <v>139</v>
      </c>
      <c r="E91" s="7" t="s">
        <v>140</v>
      </c>
      <c r="F91" s="7" t="s">
        <v>73</v>
      </c>
      <c r="G91" s="9">
        <v>2630.68</v>
      </c>
      <c r="H91" s="9"/>
      <c r="I91" s="9"/>
      <c r="J91" s="9"/>
      <c r="K91" s="9">
        <v>2630.68</v>
      </c>
      <c r="L91" s="9">
        <v>552.44000000000005</v>
      </c>
      <c r="M91" s="9"/>
      <c r="N91" s="9"/>
      <c r="O91" s="9">
        <v>552.44000000000005</v>
      </c>
      <c r="P91" s="9"/>
      <c r="Q91" s="9"/>
      <c r="R91" s="9">
        <v>3183.12</v>
      </c>
      <c r="S91" s="7" t="s">
        <v>31</v>
      </c>
      <c r="T91" s="9"/>
      <c r="U91" s="9">
        <v>3183.12</v>
      </c>
      <c r="V91" s="5">
        <v>45772</v>
      </c>
      <c r="W91" t="str">
        <f t="shared" ca="1" si="2"/>
        <v/>
      </c>
    </row>
    <row r="92" spans="1:23" s="11" customFormat="1" ht="84" x14ac:dyDescent="0.25">
      <c r="A92" s="7">
        <v>2500246</v>
      </c>
      <c r="B92" s="8">
        <v>45709</v>
      </c>
      <c r="C92" s="7">
        <v>659</v>
      </c>
      <c r="D92" s="7" t="s">
        <v>90</v>
      </c>
      <c r="E92" s="7" t="s">
        <v>91</v>
      </c>
      <c r="F92" s="7"/>
      <c r="G92" s="9">
        <v>8.9</v>
      </c>
      <c r="H92" s="9"/>
      <c r="I92" s="9"/>
      <c r="J92" s="9"/>
      <c r="K92" s="9">
        <v>8.9</v>
      </c>
      <c r="L92" s="9">
        <v>1.87</v>
      </c>
      <c r="M92" s="9"/>
      <c r="N92" s="9"/>
      <c r="O92" s="9">
        <v>1.87</v>
      </c>
      <c r="P92" s="9"/>
      <c r="Q92" s="9"/>
      <c r="R92" s="9">
        <v>10.77</v>
      </c>
      <c r="S92" s="7" t="s">
        <v>31</v>
      </c>
      <c r="T92" s="9"/>
      <c r="U92" s="9">
        <v>10.77</v>
      </c>
      <c r="V92" s="5">
        <v>45739</v>
      </c>
      <c r="W92" t="str">
        <f t="shared" ca="1" si="2"/>
        <v/>
      </c>
    </row>
    <row r="93" spans="1:23" s="12" customFormat="1" ht="48" x14ac:dyDescent="0.25">
      <c r="A93" s="7">
        <v>2500247</v>
      </c>
      <c r="B93" s="8">
        <v>45713</v>
      </c>
      <c r="C93" s="7">
        <v>595662</v>
      </c>
      <c r="D93" s="7" t="s">
        <v>23</v>
      </c>
      <c r="E93" s="7" t="s">
        <v>24</v>
      </c>
      <c r="F93" s="7" t="s">
        <v>25</v>
      </c>
      <c r="G93" s="9">
        <v>44.85</v>
      </c>
      <c r="H93" s="9"/>
      <c r="I93" s="9"/>
      <c r="J93" s="9"/>
      <c r="K93" s="9">
        <v>44.85</v>
      </c>
      <c r="L93" s="9">
        <v>9.42</v>
      </c>
      <c r="M93" s="9"/>
      <c r="N93" s="9"/>
      <c r="O93" s="9">
        <v>9.42</v>
      </c>
      <c r="P93" s="9"/>
      <c r="Q93" s="9"/>
      <c r="R93" s="9">
        <v>54.27</v>
      </c>
      <c r="S93" s="7" t="s">
        <v>26</v>
      </c>
      <c r="T93" s="9">
        <v>54.27</v>
      </c>
      <c r="U93" s="9"/>
      <c r="V93" s="10">
        <v>45713</v>
      </c>
      <c r="W93" t="str">
        <f t="shared" ca="1" si="2"/>
        <v>VENCIDA</v>
      </c>
    </row>
    <row r="94" spans="1:23" s="11" customFormat="1" ht="48" x14ac:dyDescent="0.25">
      <c r="A94" s="7">
        <v>2500248</v>
      </c>
      <c r="B94" s="8">
        <v>45713</v>
      </c>
      <c r="C94" s="7" t="s">
        <v>308</v>
      </c>
      <c r="D94" s="7" t="s">
        <v>153</v>
      </c>
      <c r="E94" s="7" t="s">
        <v>154</v>
      </c>
      <c r="F94" s="7" t="s">
        <v>155</v>
      </c>
      <c r="G94" s="9">
        <v>51.6</v>
      </c>
      <c r="H94" s="9"/>
      <c r="I94" s="9"/>
      <c r="J94" s="9"/>
      <c r="K94" s="9">
        <v>51.6</v>
      </c>
      <c r="L94" s="9">
        <v>10.84</v>
      </c>
      <c r="M94" s="9"/>
      <c r="N94" s="9"/>
      <c r="O94" s="9">
        <v>10.84</v>
      </c>
      <c r="P94" s="9"/>
      <c r="Q94" s="9"/>
      <c r="R94" s="9">
        <v>62.44</v>
      </c>
      <c r="S94" s="7" t="s">
        <v>156</v>
      </c>
      <c r="T94" s="9"/>
      <c r="U94" s="9">
        <v>62.44</v>
      </c>
      <c r="V94" s="5">
        <v>45713</v>
      </c>
      <c r="W94" t="str">
        <f t="shared" ca="1" si="2"/>
        <v>VENCIDA</v>
      </c>
    </row>
    <row r="95" spans="1:23" s="12" customFormat="1" ht="24" x14ac:dyDescent="0.25">
      <c r="A95" s="4">
        <v>2500249</v>
      </c>
      <c r="B95" s="5">
        <v>45709</v>
      </c>
      <c r="C95" s="4">
        <v>1901334123</v>
      </c>
      <c r="D95" s="4" t="s">
        <v>61</v>
      </c>
      <c r="E95" s="4" t="s">
        <v>62</v>
      </c>
      <c r="F95" s="4" t="s">
        <v>25</v>
      </c>
      <c r="G95" s="6">
        <v>153.28</v>
      </c>
      <c r="H95" s="6"/>
      <c r="I95" s="6"/>
      <c r="J95" s="6"/>
      <c r="K95" s="6">
        <v>153.28</v>
      </c>
      <c r="L95" s="6">
        <v>32.19</v>
      </c>
      <c r="M95" s="6"/>
      <c r="N95" s="6"/>
      <c r="O95" s="6">
        <v>32.19</v>
      </c>
      <c r="P95" s="6"/>
      <c r="Q95" s="6"/>
      <c r="R95" s="6">
        <v>185.47</v>
      </c>
      <c r="S95" s="4" t="s">
        <v>26</v>
      </c>
      <c r="T95" s="6">
        <v>185.47</v>
      </c>
      <c r="U95" s="6"/>
      <c r="V95" s="10">
        <v>45709</v>
      </c>
      <c r="W95" t="str">
        <f t="shared" ca="1" si="2"/>
        <v>VENCIDA</v>
      </c>
    </row>
    <row r="96" spans="1:23" s="11" customFormat="1" ht="48" x14ac:dyDescent="0.25">
      <c r="A96" s="4">
        <v>2500250</v>
      </c>
      <c r="B96" s="5">
        <v>45709</v>
      </c>
      <c r="C96" s="4">
        <v>918</v>
      </c>
      <c r="D96" s="4" t="s">
        <v>71</v>
      </c>
      <c r="E96" s="4" t="s">
        <v>72</v>
      </c>
      <c r="F96" s="4" t="s">
        <v>73</v>
      </c>
      <c r="G96" s="6">
        <v>29.71</v>
      </c>
      <c r="H96" s="6"/>
      <c r="I96" s="6"/>
      <c r="J96" s="6"/>
      <c r="K96" s="6">
        <v>29.71</v>
      </c>
      <c r="L96" s="6">
        <v>6.24</v>
      </c>
      <c r="M96" s="6"/>
      <c r="N96" s="6"/>
      <c r="O96" s="6">
        <v>6.24</v>
      </c>
      <c r="P96" s="6"/>
      <c r="Q96" s="6"/>
      <c r="R96" s="6">
        <v>35.950000000000003</v>
      </c>
      <c r="S96" s="4" t="s">
        <v>70</v>
      </c>
      <c r="T96" s="6">
        <v>35.950000000000003</v>
      </c>
      <c r="U96" s="6"/>
      <c r="V96" s="10">
        <v>45709</v>
      </c>
      <c r="W96" t="str">
        <f t="shared" ca="1" si="2"/>
        <v>VENCIDA</v>
      </c>
    </row>
    <row r="97" spans="1:23" s="12" customFormat="1" ht="24" x14ac:dyDescent="0.25">
      <c r="A97" s="7">
        <v>2500251</v>
      </c>
      <c r="B97" s="8">
        <v>45710</v>
      </c>
      <c r="C97" s="7">
        <v>2785</v>
      </c>
      <c r="D97" s="7" t="s">
        <v>300</v>
      </c>
      <c r="E97" s="7" t="s">
        <v>301</v>
      </c>
      <c r="F97" s="7" t="s">
        <v>25</v>
      </c>
      <c r="G97" s="9">
        <v>34.31</v>
      </c>
      <c r="H97" s="9"/>
      <c r="I97" s="9"/>
      <c r="J97" s="9"/>
      <c r="K97" s="9">
        <v>34.31</v>
      </c>
      <c r="L97" s="9">
        <v>7.21</v>
      </c>
      <c r="M97" s="9"/>
      <c r="N97" s="9"/>
      <c r="O97" s="9">
        <v>7.21</v>
      </c>
      <c r="P97" s="9"/>
      <c r="Q97" s="9"/>
      <c r="R97" s="9">
        <v>41.52</v>
      </c>
      <c r="S97" s="7" t="s">
        <v>70</v>
      </c>
      <c r="T97" s="9">
        <v>41.52</v>
      </c>
      <c r="U97" s="9"/>
      <c r="V97" s="10">
        <v>45710</v>
      </c>
      <c r="W97" t="str">
        <f t="shared" ca="1" si="2"/>
        <v>VENCIDA</v>
      </c>
    </row>
    <row r="98" spans="1:23" s="11" customFormat="1" ht="60" x14ac:dyDescent="0.25">
      <c r="A98" s="4">
        <v>2500252</v>
      </c>
      <c r="B98" s="5">
        <v>45713</v>
      </c>
      <c r="C98" s="4">
        <v>1114914511</v>
      </c>
      <c r="D98" s="4" t="s">
        <v>36</v>
      </c>
      <c r="E98" s="4" t="s">
        <v>37</v>
      </c>
      <c r="F98" s="4" t="s">
        <v>34</v>
      </c>
      <c r="G98" s="6">
        <v>12315.24</v>
      </c>
      <c r="H98" s="6"/>
      <c r="I98" s="6"/>
      <c r="J98" s="6"/>
      <c r="K98" s="6">
        <v>12315.24</v>
      </c>
      <c r="L98" s="6">
        <v>2586.1999999999998</v>
      </c>
      <c r="M98" s="6"/>
      <c r="N98" s="6"/>
      <c r="O98" s="6">
        <v>2586.1999999999998</v>
      </c>
      <c r="P98" s="6"/>
      <c r="Q98" s="6"/>
      <c r="R98" s="6">
        <v>14901.44</v>
      </c>
      <c r="S98" s="4" t="s">
        <v>227</v>
      </c>
      <c r="T98" s="6"/>
      <c r="U98" s="6">
        <v>14901.44</v>
      </c>
      <c r="V98" s="5">
        <v>45833</v>
      </c>
      <c r="W98" t="str">
        <f t="shared" ca="1" si="2"/>
        <v/>
      </c>
    </row>
    <row r="99" spans="1:23" s="12" customFormat="1" ht="24" x14ac:dyDescent="0.25">
      <c r="A99" s="7">
        <v>2500253</v>
      </c>
      <c r="B99" s="8">
        <v>45716</v>
      </c>
      <c r="C99" s="7"/>
      <c r="D99" s="7" t="s">
        <v>61</v>
      </c>
      <c r="E99" s="7" t="s">
        <v>62</v>
      </c>
      <c r="F99" s="7" t="s">
        <v>25</v>
      </c>
      <c r="G99" s="9">
        <v>105.71</v>
      </c>
      <c r="H99" s="9"/>
      <c r="I99" s="9"/>
      <c r="J99" s="9"/>
      <c r="K99" s="9">
        <v>105.71</v>
      </c>
      <c r="L99" s="9">
        <v>22.2</v>
      </c>
      <c r="M99" s="9"/>
      <c r="N99" s="9"/>
      <c r="O99" s="9">
        <v>22.2</v>
      </c>
      <c r="P99" s="9"/>
      <c r="Q99" s="9"/>
      <c r="R99" s="9">
        <v>127.91</v>
      </c>
      <c r="S99" s="7" t="s">
        <v>26</v>
      </c>
      <c r="T99" s="9">
        <v>127.91</v>
      </c>
      <c r="U99" s="9"/>
      <c r="V99" s="10">
        <v>45716</v>
      </c>
      <c r="W99" t="str">
        <f t="shared" ca="1" si="2"/>
        <v>VENCIDA</v>
      </c>
    </row>
    <row r="100" spans="1:23" s="11" customFormat="1" ht="24" x14ac:dyDescent="0.25">
      <c r="A100" s="4">
        <v>2500254</v>
      </c>
      <c r="B100" s="5">
        <v>45716</v>
      </c>
      <c r="C100" s="4">
        <v>1901336995</v>
      </c>
      <c r="D100" s="4" t="s">
        <v>61</v>
      </c>
      <c r="E100" s="4" t="s">
        <v>62</v>
      </c>
      <c r="F100" s="4" t="s">
        <v>25</v>
      </c>
      <c r="G100" s="6">
        <v>126.72</v>
      </c>
      <c r="H100" s="6"/>
      <c r="I100" s="6"/>
      <c r="J100" s="6">
        <v>0.01</v>
      </c>
      <c r="K100" s="6">
        <v>126.73</v>
      </c>
      <c r="L100" s="6">
        <v>26.61</v>
      </c>
      <c r="M100" s="6"/>
      <c r="N100" s="6"/>
      <c r="O100" s="6">
        <v>26.61</v>
      </c>
      <c r="P100" s="6"/>
      <c r="Q100" s="6"/>
      <c r="R100" s="6">
        <v>153.34</v>
      </c>
      <c r="S100" s="4" t="s">
        <v>26</v>
      </c>
      <c r="T100" s="6">
        <v>153.34</v>
      </c>
      <c r="U100" s="6"/>
      <c r="V100" s="10">
        <v>45716</v>
      </c>
      <c r="W100" t="str">
        <f t="shared" ca="1" si="2"/>
        <v>VENCIDA</v>
      </c>
    </row>
    <row r="101" spans="1:23" s="12" customFormat="1" ht="24" x14ac:dyDescent="0.25">
      <c r="A101" s="4">
        <v>2500255</v>
      </c>
      <c r="B101" s="5">
        <v>45716</v>
      </c>
      <c r="C101" s="4" t="s">
        <v>309</v>
      </c>
      <c r="D101" s="4" t="s">
        <v>78</v>
      </c>
      <c r="E101" s="4" t="s">
        <v>79</v>
      </c>
      <c r="F101" s="4" t="s">
        <v>80</v>
      </c>
      <c r="G101" s="6">
        <v>33.65</v>
      </c>
      <c r="H101" s="6"/>
      <c r="I101" s="6"/>
      <c r="J101" s="6">
        <v>4.18</v>
      </c>
      <c r="K101" s="6">
        <v>37.83</v>
      </c>
      <c r="L101" s="6">
        <v>7.07</v>
      </c>
      <c r="M101" s="6"/>
      <c r="N101" s="6"/>
      <c r="O101" s="6">
        <v>7.07</v>
      </c>
      <c r="P101" s="6"/>
      <c r="Q101" s="6"/>
      <c r="R101" s="6">
        <v>44.9</v>
      </c>
      <c r="S101" s="4" t="s">
        <v>70</v>
      </c>
      <c r="T101" s="6">
        <v>44.9</v>
      </c>
      <c r="U101" s="6"/>
      <c r="V101" s="10">
        <v>45716</v>
      </c>
      <c r="W101" t="str">
        <f t="shared" ca="1" si="2"/>
        <v>VENCIDA</v>
      </c>
    </row>
    <row r="102" spans="1:23" s="11" customFormat="1" ht="24" x14ac:dyDescent="0.25">
      <c r="A102" s="4">
        <v>2500256</v>
      </c>
      <c r="B102" s="5">
        <v>45687</v>
      </c>
      <c r="C102" s="4">
        <v>1902039378</v>
      </c>
      <c r="D102" s="4" t="s">
        <v>61</v>
      </c>
      <c r="E102" s="4" t="s">
        <v>62</v>
      </c>
      <c r="F102" s="4" t="s">
        <v>25</v>
      </c>
      <c r="G102" s="6">
        <v>95.57</v>
      </c>
      <c r="H102" s="6"/>
      <c r="I102" s="6"/>
      <c r="J102" s="6"/>
      <c r="K102" s="6">
        <v>95.57</v>
      </c>
      <c r="L102" s="6">
        <v>20.07</v>
      </c>
      <c r="M102" s="6"/>
      <c r="N102" s="6"/>
      <c r="O102" s="6">
        <v>20.07</v>
      </c>
      <c r="P102" s="6"/>
      <c r="Q102" s="6"/>
      <c r="R102" s="6">
        <v>115.64</v>
      </c>
      <c r="S102" s="4" t="s">
        <v>26</v>
      </c>
      <c r="T102" s="6">
        <v>115.64</v>
      </c>
      <c r="U102" s="6"/>
      <c r="V102" s="10">
        <v>45687</v>
      </c>
      <c r="W102" t="str">
        <f t="shared" ca="1" si="2"/>
        <v>VENCIDA</v>
      </c>
    </row>
    <row r="103" spans="1:23" s="12" customFormat="1" ht="48" x14ac:dyDescent="0.25">
      <c r="A103" s="4">
        <v>2500257</v>
      </c>
      <c r="B103" s="5">
        <v>45716</v>
      </c>
      <c r="C103" s="4" t="s">
        <v>310</v>
      </c>
      <c r="D103" s="4" t="s">
        <v>311</v>
      </c>
      <c r="E103" s="4" t="s">
        <v>312</v>
      </c>
      <c r="F103" s="4" t="s">
        <v>313</v>
      </c>
      <c r="G103" s="6">
        <v>571.20000000000005</v>
      </c>
      <c r="H103" s="6"/>
      <c r="I103" s="6"/>
      <c r="J103" s="6"/>
      <c r="K103" s="6">
        <v>571.20000000000005</v>
      </c>
      <c r="L103" s="6">
        <v>119.95</v>
      </c>
      <c r="M103" s="6"/>
      <c r="N103" s="6"/>
      <c r="O103" s="6">
        <v>119.95</v>
      </c>
      <c r="P103" s="6"/>
      <c r="Q103" s="6"/>
      <c r="R103" s="6">
        <v>691.15</v>
      </c>
      <c r="S103" s="4" t="s">
        <v>101</v>
      </c>
      <c r="T103" s="6"/>
      <c r="U103" s="6">
        <v>691.15</v>
      </c>
      <c r="V103" s="5">
        <v>45744</v>
      </c>
      <c r="W103" t="str">
        <f t="shared" ca="1" si="2"/>
        <v/>
      </c>
    </row>
    <row r="104" spans="1:23" s="11" customFormat="1" ht="36" x14ac:dyDescent="0.25">
      <c r="A104" s="4">
        <v>2500258</v>
      </c>
      <c r="B104" s="5">
        <v>45719</v>
      </c>
      <c r="C104" s="4"/>
      <c r="D104" s="4" t="s">
        <v>314</v>
      </c>
      <c r="E104" s="4" t="s">
        <v>315</v>
      </c>
      <c r="F104" s="4" t="s">
        <v>84</v>
      </c>
      <c r="G104" s="6">
        <v>7.98</v>
      </c>
      <c r="H104" s="6"/>
      <c r="I104" s="6"/>
      <c r="J104" s="6">
        <v>-0.01</v>
      </c>
      <c r="K104" s="6">
        <v>7.97</v>
      </c>
      <c r="L104" s="6">
        <v>1.68</v>
      </c>
      <c r="M104" s="6"/>
      <c r="N104" s="6"/>
      <c r="O104" s="6">
        <v>1.68</v>
      </c>
      <c r="P104" s="6"/>
      <c r="Q104" s="6"/>
      <c r="R104" s="6">
        <v>9.65</v>
      </c>
      <c r="S104" s="4" t="s">
        <v>70</v>
      </c>
      <c r="T104" s="6">
        <v>9.65</v>
      </c>
      <c r="U104" s="6"/>
      <c r="V104" s="10">
        <v>45719</v>
      </c>
      <c r="W104" t="str">
        <f t="shared" ca="1" si="2"/>
        <v>VENCIDA</v>
      </c>
    </row>
    <row r="105" spans="1:23" s="12" customFormat="1" ht="60" x14ac:dyDescent="0.25">
      <c r="A105" s="4">
        <v>2500259</v>
      </c>
      <c r="B105" s="5">
        <v>45716</v>
      </c>
      <c r="C105" s="4" t="s">
        <v>316</v>
      </c>
      <c r="D105" s="4" t="s">
        <v>170</v>
      </c>
      <c r="E105" s="4" t="s">
        <v>171</v>
      </c>
      <c r="F105" s="4" t="s">
        <v>172</v>
      </c>
      <c r="G105" s="6">
        <v>7296.5</v>
      </c>
      <c r="H105" s="6"/>
      <c r="I105" s="6"/>
      <c r="J105" s="6"/>
      <c r="K105" s="6">
        <v>7296.5</v>
      </c>
      <c r="L105" s="6">
        <v>1532.27</v>
      </c>
      <c r="M105" s="6"/>
      <c r="N105" s="6"/>
      <c r="O105" s="6">
        <v>1532.27</v>
      </c>
      <c r="P105" s="6"/>
      <c r="Q105" s="6"/>
      <c r="R105" s="6">
        <v>8828.77</v>
      </c>
      <c r="S105" s="4" t="s">
        <v>35</v>
      </c>
      <c r="T105" s="6"/>
      <c r="U105" s="6">
        <v>8828.77</v>
      </c>
      <c r="V105" s="5">
        <v>45776</v>
      </c>
      <c r="W105" t="str">
        <f t="shared" ca="1" si="2"/>
        <v/>
      </c>
    </row>
    <row r="106" spans="1:23" s="11" customFormat="1" ht="36" x14ac:dyDescent="0.25">
      <c r="A106" s="4">
        <v>2500260</v>
      </c>
      <c r="B106" s="5">
        <v>45716</v>
      </c>
      <c r="C106" s="4" t="s">
        <v>317</v>
      </c>
      <c r="D106" s="4" t="s">
        <v>279</v>
      </c>
      <c r="E106" s="4" t="s">
        <v>280</v>
      </c>
      <c r="F106" s="4" t="s">
        <v>281</v>
      </c>
      <c r="G106" s="6">
        <v>602.21</v>
      </c>
      <c r="H106" s="6"/>
      <c r="I106" s="6"/>
      <c r="J106" s="6">
        <v>-0.02</v>
      </c>
      <c r="K106" s="6">
        <v>602.19000000000005</v>
      </c>
      <c r="L106" s="6">
        <v>126.46</v>
      </c>
      <c r="M106" s="6"/>
      <c r="N106" s="6"/>
      <c r="O106" s="6">
        <v>126.46</v>
      </c>
      <c r="P106" s="6"/>
      <c r="Q106" s="6"/>
      <c r="R106" s="6">
        <v>728.65</v>
      </c>
      <c r="S106" s="4" t="s">
        <v>101</v>
      </c>
      <c r="T106" s="6"/>
      <c r="U106" s="6">
        <v>728.65</v>
      </c>
      <c r="V106" s="5">
        <v>45716</v>
      </c>
      <c r="W106" t="str">
        <f t="shared" ca="1" si="2"/>
        <v>VENCIDA</v>
      </c>
    </row>
    <row r="107" spans="1:23" s="12" customFormat="1" ht="24" x14ac:dyDescent="0.25">
      <c r="A107" s="7">
        <v>2500261</v>
      </c>
      <c r="B107" s="8">
        <v>45716</v>
      </c>
      <c r="C107" s="7">
        <v>1401213187</v>
      </c>
      <c r="D107" s="7" t="s">
        <v>61</v>
      </c>
      <c r="E107" s="7" t="s">
        <v>62</v>
      </c>
      <c r="F107" s="7" t="s">
        <v>25</v>
      </c>
      <c r="G107" s="9">
        <v>58.99</v>
      </c>
      <c r="H107" s="9"/>
      <c r="I107" s="9"/>
      <c r="J107" s="9"/>
      <c r="K107" s="9">
        <v>58.99</v>
      </c>
      <c r="L107" s="9">
        <v>12.39</v>
      </c>
      <c r="M107" s="9"/>
      <c r="N107" s="9"/>
      <c r="O107" s="9">
        <v>12.39</v>
      </c>
      <c r="P107" s="9"/>
      <c r="Q107" s="9"/>
      <c r="R107" s="9">
        <v>71.38</v>
      </c>
      <c r="S107" s="7" t="s">
        <v>26</v>
      </c>
      <c r="T107" s="9">
        <v>71.38</v>
      </c>
      <c r="U107" s="9"/>
      <c r="V107" s="10">
        <v>45716</v>
      </c>
      <c r="W107" t="str">
        <f t="shared" ca="1" si="2"/>
        <v>VENCIDA</v>
      </c>
    </row>
    <row r="108" spans="1:23" s="11" customFormat="1" ht="24" x14ac:dyDescent="0.25">
      <c r="A108" s="4">
        <v>2500262</v>
      </c>
      <c r="B108" s="5">
        <v>45716</v>
      </c>
      <c r="C108" s="4">
        <v>1901336980</v>
      </c>
      <c r="D108" s="4" t="s">
        <v>61</v>
      </c>
      <c r="E108" s="4" t="s">
        <v>62</v>
      </c>
      <c r="F108" s="4" t="s">
        <v>25</v>
      </c>
      <c r="G108" s="6">
        <v>41.32</v>
      </c>
      <c r="H108" s="6"/>
      <c r="I108" s="6"/>
      <c r="J108" s="6"/>
      <c r="K108" s="6">
        <v>41.32</v>
      </c>
      <c r="L108" s="6">
        <v>8.68</v>
      </c>
      <c r="M108" s="6"/>
      <c r="N108" s="6"/>
      <c r="O108" s="6">
        <v>8.68</v>
      </c>
      <c r="P108" s="6"/>
      <c r="Q108" s="6"/>
      <c r="R108" s="6">
        <v>50</v>
      </c>
      <c r="S108" s="4" t="s">
        <v>26</v>
      </c>
      <c r="T108" s="6">
        <v>50</v>
      </c>
      <c r="U108" s="6"/>
      <c r="V108" s="10">
        <v>45716</v>
      </c>
      <c r="W108" t="str">
        <f t="shared" ca="1" si="2"/>
        <v>VENCIDA</v>
      </c>
    </row>
    <row r="109" spans="1:23" s="12" customFormat="1" ht="48" x14ac:dyDescent="0.25">
      <c r="A109" s="7">
        <v>2500263</v>
      </c>
      <c r="B109" s="8">
        <v>45715</v>
      </c>
      <c r="C109" s="7">
        <v>250812</v>
      </c>
      <c r="D109" s="7" t="s">
        <v>318</v>
      </c>
      <c r="E109" s="7" t="s">
        <v>319</v>
      </c>
      <c r="F109" s="7" t="s">
        <v>320</v>
      </c>
      <c r="G109" s="9">
        <v>1276.8699999999999</v>
      </c>
      <c r="H109" s="9"/>
      <c r="I109" s="9"/>
      <c r="J109" s="9"/>
      <c r="K109" s="9">
        <v>1276.8699999999999</v>
      </c>
      <c r="L109" s="9">
        <v>268.14</v>
      </c>
      <c r="M109" s="9"/>
      <c r="N109" s="9"/>
      <c r="O109" s="9">
        <v>268.14</v>
      </c>
      <c r="P109" s="9"/>
      <c r="Q109" s="9"/>
      <c r="R109" s="9">
        <v>1545.01</v>
      </c>
      <c r="S109" s="7" t="s">
        <v>101</v>
      </c>
      <c r="T109" s="9">
        <v>1545.01</v>
      </c>
      <c r="U109" s="9"/>
      <c r="V109" s="10">
        <v>45720</v>
      </c>
      <c r="W109" t="str">
        <f t="shared" ca="1" si="2"/>
        <v>VENCIDA</v>
      </c>
    </row>
    <row r="110" spans="1:23" s="11" customFormat="1" ht="48" x14ac:dyDescent="0.25">
      <c r="A110" s="4">
        <v>2500264</v>
      </c>
      <c r="B110" s="5">
        <v>45716</v>
      </c>
      <c r="C110" s="4">
        <v>5188158080</v>
      </c>
      <c r="D110" s="4" t="s">
        <v>198</v>
      </c>
      <c r="E110" s="4" t="s">
        <v>199</v>
      </c>
      <c r="F110" s="4" t="s">
        <v>200</v>
      </c>
      <c r="G110" s="6"/>
      <c r="H110" s="6"/>
      <c r="I110" s="6"/>
      <c r="J110" s="6">
        <v>10.4</v>
      </c>
      <c r="K110" s="6">
        <v>10.4</v>
      </c>
      <c r="L110" s="6"/>
      <c r="M110" s="6"/>
      <c r="N110" s="6"/>
      <c r="O110" s="6"/>
      <c r="P110" s="6"/>
      <c r="Q110" s="6"/>
      <c r="R110" s="6">
        <v>10.4</v>
      </c>
      <c r="S110" s="4" t="s">
        <v>42</v>
      </c>
      <c r="T110" s="6"/>
      <c r="U110" s="6">
        <v>10.4</v>
      </c>
      <c r="V110" s="5">
        <v>45716</v>
      </c>
      <c r="W110" t="str">
        <f t="shared" ca="1" si="2"/>
        <v>VENCIDA</v>
      </c>
    </row>
    <row r="111" spans="1:23" s="12" customFormat="1" ht="84" x14ac:dyDescent="0.25">
      <c r="A111" s="7">
        <v>2500265</v>
      </c>
      <c r="B111" s="8">
        <v>45707</v>
      </c>
      <c r="C111" s="7">
        <v>81812500000068</v>
      </c>
      <c r="D111" s="7" t="s">
        <v>212</v>
      </c>
      <c r="E111" s="7" t="s">
        <v>213</v>
      </c>
      <c r="F111" s="7" t="s">
        <v>214</v>
      </c>
      <c r="G111" s="9">
        <v>38.69</v>
      </c>
      <c r="H111" s="9"/>
      <c r="I111" s="9"/>
      <c r="J111" s="9"/>
      <c r="K111" s="9">
        <v>38.69</v>
      </c>
      <c r="L111" s="9">
        <v>8.1199999999999992</v>
      </c>
      <c r="M111" s="9"/>
      <c r="N111" s="9"/>
      <c r="O111" s="9">
        <v>8.1199999999999992</v>
      </c>
      <c r="P111" s="9"/>
      <c r="Q111" s="9"/>
      <c r="R111" s="9">
        <v>46.81</v>
      </c>
      <c r="S111" s="7" t="s">
        <v>35</v>
      </c>
      <c r="T111" s="9"/>
      <c r="U111" s="9">
        <v>46.81</v>
      </c>
      <c r="V111" s="5">
        <v>45707</v>
      </c>
      <c r="W111" t="str">
        <f t="shared" ca="1" si="2"/>
        <v>VENCIDA</v>
      </c>
    </row>
    <row r="112" spans="1:23" s="11" customFormat="1" ht="84" x14ac:dyDescent="0.25">
      <c r="A112" s="4">
        <v>2500266</v>
      </c>
      <c r="B112" s="5">
        <v>45707</v>
      </c>
      <c r="C112" s="4">
        <v>73712500005683</v>
      </c>
      <c r="D112" s="4" t="s">
        <v>212</v>
      </c>
      <c r="E112" s="4" t="s">
        <v>213</v>
      </c>
      <c r="F112" s="4" t="s">
        <v>214</v>
      </c>
      <c r="G112" s="6">
        <v>30.5</v>
      </c>
      <c r="H112" s="6"/>
      <c r="I112" s="6"/>
      <c r="J112" s="6"/>
      <c r="K112" s="6">
        <v>30.5</v>
      </c>
      <c r="L112" s="6">
        <v>6.41</v>
      </c>
      <c r="M112" s="6"/>
      <c r="N112" s="6"/>
      <c r="O112" s="6">
        <v>6.41</v>
      </c>
      <c r="P112" s="6"/>
      <c r="Q112" s="6"/>
      <c r="R112" s="6">
        <v>36.909999999999997</v>
      </c>
      <c r="S112" s="4" t="s">
        <v>35</v>
      </c>
      <c r="T112" s="6"/>
      <c r="U112" s="6">
        <v>36.909999999999997</v>
      </c>
      <c r="V112" s="5">
        <v>45707</v>
      </c>
      <c r="W112" t="str">
        <f t="shared" ca="1" si="2"/>
        <v>VENCIDA</v>
      </c>
    </row>
    <row r="113" spans="1:23" s="12" customFormat="1" ht="24" x14ac:dyDescent="0.25">
      <c r="A113" s="7">
        <v>2500267</v>
      </c>
      <c r="B113" s="8">
        <v>45715</v>
      </c>
      <c r="C113" s="7">
        <v>71257</v>
      </c>
      <c r="D113" s="7" t="s">
        <v>321</v>
      </c>
      <c r="E113" s="7" t="s">
        <v>322</v>
      </c>
      <c r="F113" s="7" t="s">
        <v>323</v>
      </c>
      <c r="G113" s="9">
        <v>16.53</v>
      </c>
      <c r="H113" s="9"/>
      <c r="I113" s="9"/>
      <c r="J113" s="9"/>
      <c r="K113" s="9">
        <v>16.53</v>
      </c>
      <c r="L113" s="9">
        <v>3.47</v>
      </c>
      <c r="M113" s="9"/>
      <c r="N113" s="9"/>
      <c r="O113" s="9">
        <v>3.47</v>
      </c>
      <c r="P113" s="9"/>
      <c r="Q113" s="9"/>
      <c r="R113" s="9">
        <v>20</v>
      </c>
      <c r="S113" s="7" t="s">
        <v>70</v>
      </c>
      <c r="T113" s="9">
        <v>20</v>
      </c>
      <c r="U113" s="9"/>
      <c r="V113" s="10">
        <v>45715</v>
      </c>
      <c r="W113" t="str">
        <f t="shared" ca="1" si="2"/>
        <v>VENCIDA</v>
      </c>
    </row>
    <row r="114" spans="1:23" s="11" customFormat="1" ht="48" x14ac:dyDescent="0.25">
      <c r="A114" s="4">
        <v>2500268</v>
      </c>
      <c r="B114" s="5">
        <v>45707</v>
      </c>
      <c r="C114" s="4" t="s">
        <v>324</v>
      </c>
      <c r="D114" s="4" t="s">
        <v>65</v>
      </c>
      <c r="E114" s="4" t="s">
        <v>66</v>
      </c>
      <c r="F114" s="4" t="s">
        <v>67</v>
      </c>
      <c r="G114" s="6">
        <v>38.840000000000003</v>
      </c>
      <c r="H114" s="6"/>
      <c r="I114" s="6"/>
      <c r="J114" s="6"/>
      <c r="K114" s="6">
        <v>38.840000000000003</v>
      </c>
      <c r="L114" s="6">
        <v>8.16</v>
      </c>
      <c r="M114" s="6"/>
      <c r="N114" s="6"/>
      <c r="O114" s="6">
        <v>8.16</v>
      </c>
      <c r="P114" s="6"/>
      <c r="Q114" s="6"/>
      <c r="R114" s="6">
        <v>47</v>
      </c>
      <c r="S114" s="4" t="s">
        <v>42</v>
      </c>
      <c r="T114" s="6">
        <v>47</v>
      </c>
      <c r="U114" s="6"/>
      <c r="V114" s="10">
        <v>45707</v>
      </c>
      <c r="W114" t="str">
        <f t="shared" ca="1" si="2"/>
        <v>VENCIDA</v>
      </c>
    </row>
    <row r="115" spans="1:23" s="12" customFormat="1" ht="60" x14ac:dyDescent="0.25">
      <c r="A115" s="7">
        <v>2500269</v>
      </c>
      <c r="B115" s="8">
        <v>45716</v>
      </c>
      <c r="C115" s="7">
        <v>484976</v>
      </c>
      <c r="D115" s="7" t="s">
        <v>108</v>
      </c>
      <c r="E115" s="7" t="s">
        <v>109</v>
      </c>
      <c r="F115" s="7" t="s">
        <v>110</v>
      </c>
      <c r="G115" s="9">
        <v>3744.4</v>
      </c>
      <c r="H115" s="9"/>
      <c r="I115" s="9"/>
      <c r="J115" s="9"/>
      <c r="K115" s="9">
        <v>3744.4</v>
      </c>
      <c r="L115" s="9">
        <v>786.32</v>
      </c>
      <c r="M115" s="9"/>
      <c r="N115" s="9"/>
      <c r="O115" s="9">
        <v>786.32</v>
      </c>
      <c r="P115" s="9"/>
      <c r="Q115" s="9"/>
      <c r="R115" s="9">
        <v>4530.72</v>
      </c>
      <c r="S115" s="7" t="s">
        <v>35</v>
      </c>
      <c r="T115" s="9"/>
      <c r="U115" s="9">
        <v>4530.72</v>
      </c>
      <c r="V115" s="5">
        <v>45739</v>
      </c>
      <c r="W115" t="str">
        <f t="shared" ca="1" si="2"/>
        <v/>
      </c>
    </row>
    <row r="116" spans="1:23" s="11" customFormat="1" ht="36" x14ac:dyDescent="0.25">
      <c r="A116" s="7">
        <v>2500270</v>
      </c>
      <c r="B116" s="8">
        <v>45716</v>
      </c>
      <c r="C116" s="7">
        <v>73199</v>
      </c>
      <c r="D116" s="7" t="s">
        <v>194</v>
      </c>
      <c r="E116" s="7" t="s">
        <v>195</v>
      </c>
      <c r="F116" s="7" t="s">
        <v>73</v>
      </c>
      <c r="G116" s="9">
        <v>13.76</v>
      </c>
      <c r="H116" s="9"/>
      <c r="I116" s="9"/>
      <c r="J116" s="9"/>
      <c r="K116" s="9">
        <v>13.76</v>
      </c>
      <c r="L116" s="9">
        <v>2.89</v>
      </c>
      <c r="M116" s="9"/>
      <c r="N116" s="9"/>
      <c r="O116" s="9">
        <v>2.89</v>
      </c>
      <c r="P116" s="9"/>
      <c r="Q116" s="9"/>
      <c r="R116" s="9">
        <v>16.649999999999999</v>
      </c>
      <c r="S116" s="7" t="s">
        <v>42</v>
      </c>
      <c r="T116" s="9"/>
      <c r="U116" s="9">
        <v>16.649999999999999</v>
      </c>
      <c r="V116" s="5">
        <v>45776</v>
      </c>
      <c r="W116" t="str">
        <f t="shared" ca="1" si="2"/>
        <v/>
      </c>
    </row>
    <row r="117" spans="1:23" s="12" customFormat="1" ht="36" x14ac:dyDescent="0.25">
      <c r="A117" s="7">
        <v>2500271</v>
      </c>
      <c r="B117" s="8">
        <v>45713</v>
      </c>
      <c r="C117" s="7" t="s">
        <v>325</v>
      </c>
      <c r="D117" s="7" t="s">
        <v>149</v>
      </c>
      <c r="E117" s="7" t="s">
        <v>150</v>
      </c>
      <c r="F117" s="7" t="s">
        <v>151</v>
      </c>
      <c r="G117" s="9">
        <v>117</v>
      </c>
      <c r="H117" s="9"/>
      <c r="I117" s="9"/>
      <c r="J117" s="9"/>
      <c r="K117" s="9">
        <v>117</v>
      </c>
      <c r="L117" s="9">
        <v>24.57</v>
      </c>
      <c r="M117" s="9"/>
      <c r="N117" s="9"/>
      <c r="O117" s="9">
        <v>24.57</v>
      </c>
      <c r="P117" s="9"/>
      <c r="Q117" s="9"/>
      <c r="R117" s="9">
        <v>141.57</v>
      </c>
      <c r="S117" s="7" t="s">
        <v>42</v>
      </c>
      <c r="T117" s="9">
        <v>141.57</v>
      </c>
      <c r="U117" s="9"/>
      <c r="V117" s="10">
        <v>45715</v>
      </c>
      <c r="W117" t="str">
        <f t="shared" ca="1" si="2"/>
        <v>VENCIDA</v>
      </c>
    </row>
    <row r="118" spans="1:23" s="11" customFormat="1" ht="48" x14ac:dyDescent="0.25">
      <c r="A118" s="7">
        <v>2500272</v>
      </c>
      <c r="B118" s="8">
        <v>45716</v>
      </c>
      <c r="C118" s="7" t="s">
        <v>326</v>
      </c>
      <c r="D118" s="7" t="s">
        <v>267</v>
      </c>
      <c r="E118" s="7" t="s">
        <v>268</v>
      </c>
      <c r="F118" s="7" t="s">
        <v>269</v>
      </c>
      <c r="G118" s="9">
        <v>49.5</v>
      </c>
      <c r="H118" s="9"/>
      <c r="I118" s="9"/>
      <c r="J118" s="9"/>
      <c r="K118" s="9">
        <v>49.5</v>
      </c>
      <c r="L118" s="9">
        <v>10.4</v>
      </c>
      <c r="M118" s="9"/>
      <c r="N118" s="9"/>
      <c r="O118" s="9">
        <v>10.4</v>
      </c>
      <c r="P118" s="9"/>
      <c r="Q118" s="9"/>
      <c r="R118" s="9">
        <v>59.9</v>
      </c>
      <c r="S118" s="7" t="s">
        <v>42</v>
      </c>
      <c r="T118" s="9"/>
      <c r="U118" s="9">
        <v>59.9</v>
      </c>
      <c r="V118" s="5">
        <v>45721</v>
      </c>
      <c r="W118" t="str">
        <f t="shared" ca="1" si="2"/>
        <v>VENCIDA</v>
      </c>
    </row>
    <row r="119" spans="1:23" s="12" customFormat="1" ht="48" x14ac:dyDescent="0.25">
      <c r="A119" s="4">
        <v>2500273</v>
      </c>
      <c r="B119" s="5">
        <v>45716</v>
      </c>
      <c r="C119" s="4" t="s">
        <v>327</v>
      </c>
      <c r="D119" s="4" t="s">
        <v>288</v>
      </c>
      <c r="E119" s="4" t="s">
        <v>289</v>
      </c>
      <c r="F119" s="4" t="s">
        <v>290</v>
      </c>
      <c r="G119" s="6">
        <v>23.82</v>
      </c>
      <c r="H119" s="6"/>
      <c r="I119" s="6"/>
      <c r="J119" s="6"/>
      <c r="K119" s="6">
        <v>23.82</v>
      </c>
      <c r="L119" s="6">
        <v>5</v>
      </c>
      <c r="M119" s="6"/>
      <c r="N119" s="6"/>
      <c r="O119" s="6">
        <v>5</v>
      </c>
      <c r="P119" s="6"/>
      <c r="Q119" s="6"/>
      <c r="R119" s="6">
        <v>28.82</v>
      </c>
      <c r="S119" s="4" t="s">
        <v>101</v>
      </c>
      <c r="T119" s="6"/>
      <c r="U119" s="6">
        <v>28.82</v>
      </c>
      <c r="V119" s="5">
        <v>45716</v>
      </c>
      <c r="W119" t="str">
        <f t="shared" ca="1" si="2"/>
        <v>VENCIDA</v>
      </c>
    </row>
    <row r="120" spans="1:23" s="11" customFormat="1" ht="36" x14ac:dyDescent="0.25">
      <c r="A120" s="4">
        <v>2500274</v>
      </c>
      <c r="B120" s="5">
        <v>45716</v>
      </c>
      <c r="C120" s="4"/>
      <c r="D120" s="4" t="s">
        <v>44</v>
      </c>
      <c r="E120" s="4" t="s">
        <v>45</v>
      </c>
      <c r="F120" s="4" t="s">
        <v>46</v>
      </c>
      <c r="G120" s="6">
        <v>121.6</v>
      </c>
      <c r="H120" s="6"/>
      <c r="I120" s="6"/>
      <c r="J120" s="6"/>
      <c r="K120" s="6">
        <v>121.6</v>
      </c>
      <c r="L120" s="6">
        <v>25.54</v>
      </c>
      <c r="M120" s="6"/>
      <c r="N120" s="6"/>
      <c r="O120" s="6">
        <v>25.54</v>
      </c>
      <c r="P120" s="6"/>
      <c r="Q120" s="6"/>
      <c r="R120" s="6">
        <v>147.13999999999999</v>
      </c>
      <c r="S120" s="4" t="s">
        <v>42</v>
      </c>
      <c r="T120" s="6"/>
      <c r="U120" s="6">
        <v>147.13999999999999</v>
      </c>
      <c r="V120" s="5">
        <v>45723</v>
      </c>
      <c r="W120" t="str">
        <f t="shared" ca="1" si="2"/>
        <v>VENCIDA</v>
      </c>
    </row>
    <row r="121" spans="1:23" s="12" customFormat="1" ht="36" x14ac:dyDescent="0.25">
      <c r="A121" s="7">
        <v>2500275</v>
      </c>
      <c r="B121" s="8">
        <v>45716</v>
      </c>
      <c r="C121" s="7">
        <v>10264</v>
      </c>
      <c r="D121" s="7" t="s">
        <v>179</v>
      </c>
      <c r="E121" s="7" t="s">
        <v>180</v>
      </c>
      <c r="F121" s="7" t="s">
        <v>181</v>
      </c>
      <c r="G121" s="9">
        <v>183.01</v>
      </c>
      <c r="H121" s="9"/>
      <c r="I121" s="9"/>
      <c r="J121" s="9"/>
      <c r="K121" s="9">
        <v>183.01</v>
      </c>
      <c r="L121" s="9">
        <v>38.43</v>
      </c>
      <c r="M121" s="9"/>
      <c r="N121" s="9"/>
      <c r="O121" s="9">
        <v>38.43</v>
      </c>
      <c r="P121" s="9"/>
      <c r="Q121" s="9"/>
      <c r="R121" s="9">
        <v>221.44</v>
      </c>
      <c r="S121" s="7" t="s">
        <v>35</v>
      </c>
      <c r="T121" s="9"/>
      <c r="U121" s="9">
        <v>221.44</v>
      </c>
      <c r="V121" s="5">
        <v>45746</v>
      </c>
      <c r="W121" t="str">
        <f t="shared" ca="1" si="2"/>
        <v/>
      </c>
    </row>
    <row r="122" spans="1:23" s="11" customFormat="1" ht="36" x14ac:dyDescent="0.25">
      <c r="A122" s="4">
        <v>2500276</v>
      </c>
      <c r="B122" s="5">
        <v>45716</v>
      </c>
      <c r="C122" s="4">
        <v>10258</v>
      </c>
      <c r="D122" s="4" t="s">
        <v>179</v>
      </c>
      <c r="E122" s="4" t="s">
        <v>180</v>
      </c>
      <c r="F122" s="4" t="s">
        <v>181</v>
      </c>
      <c r="G122" s="6">
        <v>249.05</v>
      </c>
      <c r="H122" s="6"/>
      <c r="I122" s="6"/>
      <c r="J122" s="6"/>
      <c r="K122" s="6">
        <v>249.05</v>
      </c>
      <c r="L122" s="6">
        <v>52.3</v>
      </c>
      <c r="M122" s="6"/>
      <c r="N122" s="6"/>
      <c r="O122" s="6">
        <v>52.3</v>
      </c>
      <c r="P122" s="6"/>
      <c r="Q122" s="6"/>
      <c r="R122" s="6">
        <v>301.35000000000002</v>
      </c>
      <c r="S122" s="4" t="s">
        <v>35</v>
      </c>
      <c r="T122" s="6"/>
      <c r="U122" s="6">
        <v>301.35000000000002</v>
      </c>
      <c r="V122" s="5">
        <v>45746</v>
      </c>
      <c r="W122" t="str">
        <f t="shared" ca="1" si="2"/>
        <v/>
      </c>
    </row>
    <row r="123" spans="1:23" s="12" customFormat="1" ht="36" x14ac:dyDescent="0.25">
      <c r="A123" s="7">
        <v>2500277</v>
      </c>
      <c r="B123" s="8">
        <v>45716</v>
      </c>
      <c r="C123" s="7">
        <v>10254</v>
      </c>
      <c r="D123" s="7" t="s">
        <v>179</v>
      </c>
      <c r="E123" s="7" t="s">
        <v>180</v>
      </c>
      <c r="F123" s="7" t="s">
        <v>181</v>
      </c>
      <c r="G123" s="9">
        <v>178.16</v>
      </c>
      <c r="H123" s="9"/>
      <c r="I123" s="9"/>
      <c r="J123" s="9"/>
      <c r="K123" s="9">
        <v>178.16</v>
      </c>
      <c r="L123" s="9">
        <v>37.409999999999997</v>
      </c>
      <c r="M123" s="9"/>
      <c r="N123" s="9"/>
      <c r="O123" s="9">
        <v>37.409999999999997</v>
      </c>
      <c r="P123" s="9"/>
      <c r="Q123" s="9"/>
      <c r="R123" s="9">
        <v>215.57</v>
      </c>
      <c r="S123" s="7" t="s">
        <v>35</v>
      </c>
      <c r="T123" s="9"/>
      <c r="U123" s="9">
        <v>215.57</v>
      </c>
      <c r="V123" s="5">
        <v>45746</v>
      </c>
      <c r="W123" t="str">
        <f t="shared" ca="1" si="2"/>
        <v/>
      </c>
    </row>
    <row r="124" spans="1:23" s="11" customFormat="1" ht="60" x14ac:dyDescent="0.25">
      <c r="A124" s="7">
        <v>2500278</v>
      </c>
      <c r="B124" s="8">
        <v>45704</v>
      </c>
      <c r="C124" s="7" t="s">
        <v>328</v>
      </c>
      <c r="D124" s="7" t="s">
        <v>223</v>
      </c>
      <c r="E124" s="7" t="s">
        <v>224</v>
      </c>
      <c r="F124" s="7" t="s">
        <v>225</v>
      </c>
      <c r="G124" s="9">
        <v>29.99</v>
      </c>
      <c r="H124" s="9"/>
      <c r="I124" s="9"/>
      <c r="J124" s="9"/>
      <c r="K124" s="9">
        <v>29.99</v>
      </c>
      <c r="L124" s="9">
        <v>6.3</v>
      </c>
      <c r="M124" s="9"/>
      <c r="N124" s="9"/>
      <c r="O124" s="9">
        <v>6.3</v>
      </c>
      <c r="P124" s="9"/>
      <c r="Q124" s="9"/>
      <c r="R124" s="9">
        <v>36.29</v>
      </c>
      <c r="S124" s="7" t="s">
        <v>26</v>
      </c>
      <c r="T124" s="9">
        <v>36.29</v>
      </c>
      <c r="U124" s="9"/>
      <c r="V124" s="10">
        <v>45704</v>
      </c>
      <c r="W124" t="str">
        <f t="shared" ca="1" si="2"/>
        <v>VENCIDA</v>
      </c>
    </row>
    <row r="125" spans="1:23" s="12" customFormat="1" ht="48" x14ac:dyDescent="0.25">
      <c r="A125" s="7">
        <v>2500279</v>
      </c>
      <c r="B125" s="8">
        <v>45716</v>
      </c>
      <c r="C125" s="7">
        <v>25254201092</v>
      </c>
      <c r="D125" s="7" t="s">
        <v>139</v>
      </c>
      <c r="E125" s="7" t="s">
        <v>140</v>
      </c>
      <c r="F125" s="7" t="s">
        <v>73</v>
      </c>
      <c r="G125" s="9">
        <v>1710.25</v>
      </c>
      <c r="H125" s="9"/>
      <c r="I125" s="9"/>
      <c r="J125" s="9"/>
      <c r="K125" s="9">
        <v>1710.25</v>
      </c>
      <c r="L125" s="9">
        <v>359.15</v>
      </c>
      <c r="M125" s="9"/>
      <c r="N125" s="9"/>
      <c r="O125" s="9">
        <v>359.15</v>
      </c>
      <c r="P125" s="9"/>
      <c r="Q125" s="9"/>
      <c r="R125" s="9">
        <v>2069.4</v>
      </c>
      <c r="S125" s="7" t="s">
        <v>31</v>
      </c>
      <c r="T125" s="9"/>
      <c r="U125" s="9">
        <v>2069.4</v>
      </c>
      <c r="V125" s="5">
        <v>45776</v>
      </c>
      <c r="W125" t="str">
        <f t="shared" ca="1" si="2"/>
        <v/>
      </c>
    </row>
    <row r="126" spans="1:23" s="11" customFormat="1" ht="60" x14ac:dyDescent="0.25">
      <c r="A126" s="4">
        <v>2500280</v>
      </c>
      <c r="B126" s="5">
        <v>45689</v>
      </c>
      <c r="C126" s="4"/>
      <c r="D126" s="4" t="s">
        <v>329</v>
      </c>
      <c r="E126" s="4" t="s">
        <v>330</v>
      </c>
      <c r="F126" s="4" t="s">
        <v>331</v>
      </c>
      <c r="G126" s="6">
        <v>123.97</v>
      </c>
      <c r="H126" s="6"/>
      <c r="I126" s="6"/>
      <c r="J126" s="6"/>
      <c r="K126" s="6">
        <v>123.97</v>
      </c>
      <c r="L126" s="6">
        <v>26.03</v>
      </c>
      <c r="M126" s="6"/>
      <c r="N126" s="6"/>
      <c r="O126" s="6">
        <v>26.03</v>
      </c>
      <c r="P126" s="6"/>
      <c r="Q126" s="6"/>
      <c r="R126" s="6">
        <v>150</v>
      </c>
      <c r="S126" s="4" t="s">
        <v>42</v>
      </c>
      <c r="T126" s="6">
        <v>150</v>
      </c>
      <c r="U126" s="6"/>
      <c r="V126" s="10">
        <v>45693</v>
      </c>
      <c r="W126" t="str">
        <f t="shared" ca="1" si="2"/>
        <v>VENCIDA</v>
      </c>
    </row>
    <row r="127" spans="1:23" s="12" customFormat="1" ht="36" x14ac:dyDescent="0.25">
      <c r="A127" s="7">
        <v>2500281</v>
      </c>
      <c r="B127" s="8">
        <v>45692</v>
      </c>
      <c r="C127" s="7">
        <v>123</v>
      </c>
      <c r="D127" s="7" t="s">
        <v>206</v>
      </c>
      <c r="E127" s="7" t="s">
        <v>207</v>
      </c>
      <c r="F127" s="7" t="s">
        <v>208</v>
      </c>
      <c r="G127" s="9">
        <v>1500</v>
      </c>
      <c r="H127" s="9"/>
      <c r="I127" s="9"/>
      <c r="J127" s="9"/>
      <c r="K127" s="9">
        <v>1500</v>
      </c>
      <c r="L127" s="9">
        <v>315</v>
      </c>
      <c r="M127" s="9"/>
      <c r="N127" s="9"/>
      <c r="O127" s="9">
        <v>315</v>
      </c>
      <c r="P127" s="9">
        <v>285</v>
      </c>
      <c r="Q127" s="9">
        <v>19</v>
      </c>
      <c r="R127" s="9">
        <v>1530</v>
      </c>
      <c r="S127" s="7" t="s">
        <v>101</v>
      </c>
      <c r="T127" s="9">
        <v>1530</v>
      </c>
      <c r="U127" s="9"/>
      <c r="V127" s="10">
        <v>45691</v>
      </c>
      <c r="W127" t="str">
        <f t="shared" ca="1" si="2"/>
        <v>VENCIDA</v>
      </c>
    </row>
    <row r="128" spans="1:23" s="11" customFormat="1" ht="36" x14ac:dyDescent="0.25">
      <c r="A128" s="4">
        <v>2500282</v>
      </c>
      <c r="B128" s="5">
        <v>45692</v>
      </c>
      <c r="C128" s="4">
        <v>124</v>
      </c>
      <c r="D128" s="4" t="s">
        <v>206</v>
      </c>
      <c r="E128" s="4" t="s">
        <v>207</v>
      </c>
      <c r="F128" s="4" t="s">
        <v>208</v>
      </c>
      <c r="G128" s="6">
        <v>1500</v>
      </c>
      <c r="H128" s="6"/>
      <c r="I128" s="6"/>
      <c r="J128" s="6"/>
      <c r="K128" s="6">
        <v>1500</v>
      </c>
      <c r="L128" s="6">
        <v>315</v>
      </c>
      <c r="M128" s="6"/>
      <c r="N128" s="6"/>
      <c r="O128" s="6">
        <v>315</v>
      </c>
      <c r="P128" s="6">
        <v>285</v>
      </c>
      <c r="Q128" s="6">
        <v>19</v>
      </c>
      <c r="R128" s="6">
        <v>1530</v>
      </c>
      <c r="S128" s="4" t="s">
        <v>101</v>
      </c>
      <c r="T128" s="6">
        <v>1530</v>
      </c>
      <c r="U128" s="6"/>
      <c r="V128" s="10">
        <v>45691</v>
      </c>
      <c r="W128" t="str">
        <f t="shared" ca="1" si="2"/>
        <v>VENCIDA</v>
      </c>
    </row>
    <row r="129" spans="1:26" s="12" customFormat="1" ht="36" x14ac:dyDescent="0.25">
      <c r="A129" s="7">
        <v>2500283</v>
      </c>
      <c r="B129" s="8">
        <v>45692</v>
      </c>
      <c r="C129" s="7">
        <v>41</v>
      </c>
      <c r="D129" s="7" t="s">
        <v>209</v>
      </c>
      <c r="E129" s="7" t="s">
        <v>210</v>
      </c>
      <c r="F129" s="7" t="s">
        <v>211</v>
      </c>
      <c r="G129" s="9">
        <v>1500</v>
      </c>
      <c r="H129" s="9"/>
      <c r="I129" s="9"/>
      <c r="J129" s="9"/>
      <c r="K129" s="9">
        <v>1500</v>
      </c>
      <c r="L129" s="9">
        <v>315</v>
      </c>
      <c r="M129" s="9"/>
      <c r="N129" s="9"/>
      <c r="O129" s="9">
        <v>315</v>
      </c>
      <c r="P129" s="9">
        <v>285</v>
      </c>
      <c r="Q129" s="9">
        <v>19</v>
      </c>
      <c r="R129" s="9">
        <v>1530</v>
      </c>
      <c r="S129" s="7" t="s">
        <v>101</v>
      </c>
      <c r="T129" s="9">
        <v>1530</v>
      </c>
      <c r="U129" s="9"/>
      <c r="V129" s="10">
        <v>45691</v>
      </c>
      <c r="W129" t="str">
        <f t="shared" ca="1" si="2"/>
        <v>VENCIDA</v>
      </c>
    </row>
    <row r="130" spans="1:26" s="11" customFormat="1" ht="36" x14ac:dyDescent="0.25">
      <c r="A130" s="4">
        <v>2500284</v>
      </c>
      <c r="B130" s="5">
        <v>45692</v>
      </c>
      <c r="C130" s="4">
        <v>42</v>
      </c>
      <c r="D130" s="4" t="s">
        <v>209</v>
      </c>
      <c r="E130" s="4" t="s">
        <v>210</v>
      </c>
      <c r="F130" s="4" t="s">
        <v>211</v>
      </c>
      <c r="G130" s="6">
        <v>1500</v>
      </c>
      <c r="H130" s="6"/>
      <c r="I130" s="6"/>
      <c r="J130" s="6"/>
      <c r="K130" s="6">
        <v>1500</v>
      </c>
      <c r="L130" s="6">
        <v>315</v>
      </c>
      <c r="M130" s="6"/>
      <c r="N130" s="6"/>
      <c r="O130" s="6">
        <v>315</v>
      </c>
      <c r="P130" s="6">
        <v>285</v>
      </c>
      <c r="Q130" s="6">
        <v>19</v>
      </c>
      <c r="R130" s="6">
        <v>1530</v>
      </c>
      <c r="S130" s="4" t="s">
        <v>101</v>
      </c>
      <c r="T130" s="6">
        <v>1530</v>
      </c>
      <c r="U130" s="6"/>
      <c r="V130" s="10">
        <v>45691</v>
      </c>
      <c r="W130" t="str">
        <f t="shared" ca="1" si="2"/>
        <v>VENCIDA</v>
      </c>
    </row>
    <row r="131" spans="1:26" s="12" customFormat="1" ht="48" x14ac:dyDescent="0.25">
      <c r="A131" s="7">
        <v>2500285</v>
      </c>
      <c r="B131" s="8">
        <v>45716</v>
      </c>
      <c r="C131" s="7" t="s">
        <v>332</v>
      </c>
      <c r="D131" s="7" t="s">
        <v>202</v>
      </c>
      <c r="E131" s="7" t="s">
        <v>203</v>
      </c>
      <c r="F131" s="7" t="s">
        <v>204</v>
      </c>
      <c r="G131" s="9">
        <v>371.79</v>
      </c>
      <c r="H131" s="9"/>
      <c r="I131" s="9"/>
      <c r="J131" s="9"/>
      <c r="K131" s="9">
        <v>371.79</v>
      </c>
      <c r="L131" s="9">
        <v>78.08</v>
      </c>
      <c r="M131" s="9"/>
      <c r="N131" s="9"/>
      <c r="O131" s="9">
        <v>78.08</v>
      </c>
      <c r="P131" s="9"/>
      <c r="Q131" s="9"/>
      <c r="R131" s="9">
        <v>449.87</v>
      </c>
      <c r="S131" s="7" t="s">
        <v>38</v>
      </c>
      <c r="T131" s="9">
        <v>449.87</v>
      </c>
      <c r="U131" s="9"/>
      <c r="V131" s="10">
        <v>45716</v>
      </c>
      <c r="W131" t="str">
        <f t="shared" ca="1" si="2"/>
        <v>VENCIDA</v>
      </c>
    </row>
    <row r="132" spans="1:26" s="11" customFormat="1" ht="36" x14ac:dyDescent="0.25">
      <c r="A132" s="4">
        <v>2500286</v>
      </c>
      <c r="B132" s="5">
        <v>45715</v>
      </c>
      <c r="C132" s="4"/>
      <c r="D132" s="4" t="s">
        <v>333</v>
      </c>
      <c r="E132" s="4" t="s">
        <v>334</v>
      </c>
      <c r="F132" s="4" t="s">
        <v>335</v>
      </c>
      <c r="G132" s="6">
        <v>371.9</v>
      </c>
      <c r="H132" s="6"/>
      <c r="I132" s="6"/>
      <c r="J132" s="6"/>
      <c r="K132" s="6">
        <v>371.9</v>
      </c>
      <c r="L132" s="6">
        <v>78.099999999999994</v>
      </c>
      <c r="M132" s="6"/>
      <c r="N132" s="6"/>
      <c r="O132" s="6">
        <v>78.099999999999994</v>
      </c>
      <c r="P132" s="6"/>
      <c r="Q132" s="6"/>
      <c r="R132" s="6">
        <v>450</v>
      </c>
      <c r="S132" s="4" t="s">
        <v>101</v>
      </c>
      <c r="T132" s="6"/>
      <c r="U132" s="6">
        <v>450</v>
      </c>
      <c r="V132" s="5">
        <v>45715</v>
      </c>
      <c r="W132" t="str">
        <f t="shared" ca="1" si="2"/>
        <v>VENCIDA</v>
      </c>
    </row>
    <row r="133" spans="1:26" s="12" customFormat="1" ht="24" x14ac:dyDescent="0.25">
      <c r="A133" s="4">
        <v>2500287</v>
      </c>
      <c r="B133" s="5">
        <v>45667</v>
      </c>
      <c r="C133" s="4">
        <v>504100190</v>
      </c>
      <c r="D133" s="4" t="s">
        <v>92</v>
      </c>
      <c r="E133" s="4" t="s">
        <v>93</v>
      </c>
      <c r="F133" s="4" t="s">
        <v>94</v>
      </c>
      <c r="G133" s="6">
        <v>169.86</v>
      </c>
      <c r="H133" s="6"/>
      <c r="I133" s="6"/>
      <c r="J133" s="6"/>
      <c r="K133" s="6">
        <v>169.86</v>
      </c>
      <c r="L133" s="6">
        <v>35.67</v>
      </c>
      <c r="M133" s="6"/>
      <c r="N133" s="6"/>
      <c r="O133" s="6">
        <v>35.67</v>
      </c>
      <c r="P133" s="6"/>
      <c r="Q133" s="6"/>
      <c r="R133" s="6">
        <v>205.53</v>
      </c>
      <c r="S133" s="4" t="s">
        <v>42</v>
      </c>
      <c r="T133" s="6">
        <v>102.76</v>
      </c>
      <c r="U133" s="6">
        <v>102.77</v>
      </c>
      <c r="V133" s="5">
        <v>45698</v>
      </c>
      <c r="W133" s="15">
        <v>102.76</v>
      </c>
      <c r="X133" s="16">
        <v>45708</v>
      </c>
      <c r="Y133" s="12">
        <v>102.77</v>
      </c>
      <c r="Z133" s="14">
        <v>45698</v>
      </c>
    </row>
    <row r="134" spans="1:26" s="11" customFormat="1" ht="48" x14ac:dyDescent="0.25">
      <c r="A134" s="7">
        <v>2500288</v>
      </c>
      <c r="B134" s="8">
        <v>45716</v>
      </c>
      <c r="C134" s="7" t="s">
        <v>336</v>
      </c>
      <c r="D134" s="7" t="s">
        <v>191</v>
      </c>
      <c r="E134" s="7" t="s">
        <v>192</v>
      </c>
      <c r="F134" s="7" t="s">
        <v>193</v>
      </c>
      <c r="G134" s="9"/>
      <c r="H134" s="9">
        <v>880</v>
      </c>
      <c r="I134" s="9"/>
      <c r="J134" s="9"/>
      <c r="K134" s="9">
        <v>880</v>
      </c>
      <c r="L134" s="9"/>
      <c r="M134" s="9">
        <v>88</v>
      </c>
      <c r="N134" s="9"/>
      <c r="O134" s="9">
        <v>88</v>
      </c>
      <c r="P134" s="9"/>
      <c r="Q134" s="9"/>
      <c r="R134" s="9">
        <v>968</v>
      </c>
      <c r="S134" s="7" t="s">
        <v>101</v>
      </c>
      <c r="T134" s="9"/>
      <c r="U134" s="9">
        <v>968</v>
      </c>
      <c r="V134" s="5">
        <v>45716</v>
      </c>
      <c r="W134" t="str">
        <f t="shared" ca="1" si="2"/>
        <v>VENCIDA</v>
      </c>
    </row>
    <row r="135" spans="1:26" s="12" customFormat="1" ht="48" x14ac:dyDescent="0.25">
      <c r="A135" s="4">
        <v>2500289</v>
      </c>
      <c r="B135" s="5">
        <v>45716</v>
      </c>
      <c r="C135" s="4">
        <v>256</v>
      </c>
      <c r="D135" s="4" t="s">
        <v>182</v>
      </c>
      <c r="E135" s="4" t="s">
        <v>183</v>
      </c>
      <c r="F135" s="4" t="s">
        <v>73</v>
      </c>
      <c r="G135" s="6">
        <v>120</v>
      </c>
      <c r="H135" s="6"/>
      <c r="I135" s="6"/>
      <c r="J135" s="6"/>
      <c r="K135" s="6">
        <v>120</v>
      </c>
      <c r="L135" s="6">
        <v>25.2</v>
      </c>
      <c r="M135" s="6"/>
      <c r="N135" s="6"/>
      <c r="O135" s="6">
        <v>25.2</v>
      </c>
      <c r="P135" s="6"/>
      <c r="Q135" s="6"/>
      <c r="R135" s="6">
        <v>145.19999999999999</v>
      </c>
      <c r="S135" s="4" t="s">
        <v>31</v>
      </c>
      <c r="T135" s="6"/>
      <c r="U135" s="6">
        <v>145.19999999999999</v>
      </c>
      <c r="V135" s="5">
        <v>45716</v>
      </c>
      <c r="W135" t="str">
        <f t="shared" ca="1" si="2"/>
        <v>VENCIDA</v>
      </c>
    </row>
    <row r="136" spans="1:26" s="11" customFormat="1" ht="48" x14ac:dyDescent="0.25">
      <c r="A136" s="7">
        <v>2500290</v>
      </c>
      <c r="B136" s="8">
        <v>45716</v>
      </c>
      <c r="C136" s="7">
        <v>255</v>
      </c>
      <c r="D136" s="7" t="s">
        <v>182</v>
      </c>
      <c r="E136" s="7" t="s">
        <v>183</v>
      </c>
      <c r="F136" s="7" t="s">
        <v>73</v>
      </c>
      <c r="G136" s="9">
        <v>85.8</v>
      </c>
      <c r="H136" s="9"/>
      <c r="I136" s="9"/>
      <c r="J136" s="9"/>
      <c r="K136" s="9">
        <v>85.8</v>
      </c>
      <c r="L136" s="9">
        <v>18.02</v>
      </c>
      <c r="M136" s="9"/>
      <c r="N136" s="9"/>
      <c r="O136" s="9">
        <v>18.02</v>
      </c>
      <c r="P136" s="9"/>
      <c r="Q136" s="9"/>
      <c r="R136" s="9">
        <v>103.82</v>
      </c>
      <c r="S136" s="7" t="s">
        <v>31</v>
      </c>
      <c r="T136" s="9"/>
      <c r="U136" s="9">
        <v>103.82</v>
      </c>
      <c r="V136" s="5">
        <v>45775</v>
      </c>
      <c r="W136" t="str">
        <f t="shared" ca="1" si="2"/>
        <v/>
      </c>
    </row>
    <row r="137" spans="1:26" s="12" customFormat="1" ht="24" x14ac:dyDescent="0.25">
      <c r="A137" s="4">
        <v>2500291</v>
      </c>
      <c r="B137" s="5">
        <v>45681</v>
      </c>
      <c r="C137" s="4">
        <v>34</v>
      </c>
      <c r="D137" s="4" t="s">
        <v>337</v>
      </c>
      <c r="E137" s="4" t="s">
        <v>338</v>
      </c>
      <c r="F137" s="4"/>
      <c r="G137" s="6">
        <v>46.38</v>
      </c>
      <c r="H137" s="6"/>
      <c r="I137" s="6"/>
      <c r="J137" s="6"/>
      <c r="K137" s="6">
        <v>46.38</v>
      </c>
      <c r="L137" s="6">
        <v>9.74</v>
      </c>
      <c r="M137" s="6"/>
      <c r="N137" s="6"/>
      <c r="O137" s="6">
        <v>9.74</v>
      </c>
      <c r="P137" s="6"/>
      <c r="Q137" s="6"/>
      <c r="R137" s="6">
        <v>56.12</v>
      </c>
      <c r="S137" s="4" t="s">
        <v>101</v>
      </c>
      <c r="T137" s="6"/>
      <c r="U137" s="6">
        <v>56.12</v>
      </c>
      <c r="V137" s="5">
        <v>45681</v>
      </c>
      <c r="W137" t="str">
        <f t="shared" ca="1" si="2"/>
        <v>VENCIDA</v>
      </c>
    </row>
    <row r="138" spans="1:26" s="11" customFormat="1" ht="36" x14ac:dyDescent="0.25">
      <c r="A138" s="7">
        <v>2500292</v>
      </c>
      <c r="B138" s="8">
        <v>45726</v>
      </c>
      <c r="C138" s="7"/>
      <c r="D138" s="7" t="s">
        <v>339</v>
      </c>
      <c r="E138" s="7" t="s">
        <v>340</v>
      </c>
      <c r="F138" s="7" t="s">
        <v>25</v>
      </c>
      <c r="G138" s="9">
        <v>86.58</v>
      </c>
      <c r="H138" s="9"/>
      <c r="I138" s="9"/>
      <c r="J138" s="9"/>
      <c r="K138" s="9">
        <v>86.58</v>
      </c>
      <c r="L138" s="9">
        <v>18.18</v>
      </c>
      <c r="M138" s="9"/>
      <c r="N138" s="9"/>
      <c r="O138" s="9">
        <v>18.18</v>
      </c>
      <c r="P138" s="9"/>
      <c r="Q138" s="9"/>
      <c r="R138" s="9">
        <v>104.76</v>
      </c>
      <c r="S138" s="7" t="s">
        <v>26</v>
      </c>
      <c r="T138" s="9">
        <v>104.76</v>
      </c>
      <c r="U138" s="9"/>
      <c r="V138" s="10">
        <v>45726</v>
      </c>
      <c r="W138" t="str">
        <f t="shared" ca="1" si="2"/>
        <v>VENCE HOY</v>
      </c>
    </row>
    <row r="139" spans="1:26" s="12" customFormat="1" ht="48" x14ac:dyDescent="0.25">
      <c r="A139" s="4">
        <v>2500293</v>
      </c>
      <c r="B139" s="5">
        <v>45726</v>
      </c>
      <c r="C139" s="4"/>
      <c r="D139" s="4" t="s">
        <v>142</v>
      </c>
      <c r="E139" s="4" t="s">
        <v>143</v>
      </c>
      <c r="F139" s="4" t="s">
        <v>144</v>
      </c>
      <c r="G139" s="6"/>
      <c r="H139" s="6">
        <v>103.27</v>
      </c>
      <c r="I139" s="6"/>
      <c r="J139" s="6"/>
      <c r="K139" s="6">
        <v>103.27</v>
      </c>
      <c r="L139" s="6"/>
      <c r="M139" s="6">
        <v>10.33</v>
      </c>
      <c r="N139" s="6"/>
      <c r="O139" s="6">
        <v>10.33</v>
      </c>
      <c r="P139" s="6"/>
      <c r="Q139" s="6"/>
      <c r="R139" s="6">
        <v>113.6</v>
      </c>
      <c r="S139" s="4" t="s">
        <v>26</v>
      </c>
      <c r="T139" s="6">
        <v>113.6</v>
      </c>
      <c r="U139" s="6"/>
      <c r="V139" s="10">
        <v>45726</v>
      </c>
      <c r="W139" t="str">
        <f t="shared" ca="1" si="2"/>
        <v>VENCE HOY</v>
      </c>
    </row>
    <row r="140" spans="1:26" s="11" customFormat="1" ht="24" x14ac:dyDescent="0.25">
      <c r="A140" s="7">
        <v>2500294</v>
      </c>
      <c r="B140" s="8">
        <v>45721</v>
      </c>
      <c r="C140" s="7">
        <v>18</v>
      </c>
      <c r="D140" s="7" t="s">
        <v>297</v>
      </c>
      <c r="E140" s="7" t="s">
        <v>298</v>
      </c>
      <c r="F140" s="7" t="s">
        <v>299</v>
      </c>
      <c r="G140" s="9"/>
      <c r="H140" s="9">
        <v>30.27</v>
      </c>
      <c r="I140" s="9"/>
      <c r="J140" s="9"/>
      <c r="K140" s="9">
        <v>30.27</v>
      </c>
      <c r="L140" s="9"/>
      <c r="M140" s="9">
        <v>3.03</v>
      </c>
      <c r="N140" s="9"/>
      <c r="O140" s="9">
        <v>3.03</v>
      </c>
      <c r="P140" s="9"/>
      <c r="Q140" s="9"/>
      <c r="R140" s="9">
        <v>33.299999999999997</v>
      </c>
      <c r="S140" s="7" t="s">
        <v>26</v>
      </c>
      <c r="T140" s="9">
        <v>33.299999999999997</v>
      </c>
      <c r="U140" s="9"/>
      <c r="V140" s="10">
        <v>45721</v>
      </c>
      <c r="W140" t="str">
        <f t="shared" ca="1" si="2"/>
        <v>VENCIDA</v>
      </c>
    </row>
    <row r="141" spans="1:26" s="12" customFormat="1" ht="24" x14ac:dyDescent="0.25">
      <c r="A141" s="4">
        <v>2500295</v>
      </c>
      <c r="B141" s="5">
        <v>45720</v>
      </c>
      <c r="C141" s="4"/>
      <c r="D141" s="4" t="s">
        <v>297</v>
      </c>
      <c r="E141" s="4" t="s">
        <v>298</v>
      </c>
      <c r="F141" s="4" t="s">
        <v>299</v>
      </c>
      <c r="G141" s="6"/>
      <c r="H141" s="6">
        <v>13.55</v>
      </c>
      <c r="I141" s="6"/>
      <c r="J141" s="6">
        <v>-0.01</v>
      </c>
      <c r="K141" s="6">
        <v>13.54</v>
      </c>
      <c r="L141" s="6"/>
      <c r="M141" s="6">
        <v>1.36</v>
      </c>
      <c r="N141" s="6"/>
      <c r="O141" s="6">
        <v>1.36</v>
      </c>
      <c r="P141" s="6"/>
      <c r="Q141" s="6"/>
      <c r="R141" s="6">
        <v>14.9</v>
      </c>
      <c r="S141" s="4" t="s">
        <v>26</v>
      </c>
      <c r="T141" s="6">
        <v>14.9</v>
      </c>
      <c r="U141" s="6"/>
      <c r="V141" s="10">
        <v>45720</v>
      </c>
      <c r="W141" t="str">
        <f t="shared" ca="1" si="2"/>
        <v>VENCIDA</v>
      </c>
    </row>
    <row r="142" spans="1:26" s="11" customFormat="1" ht="24" x14ac:dyDescent="0.25">
      <c r="A142" s="7">
        <v>2500296</v>
      </c>
      <c r="B142" s="8">
        <v>45714</v>
      </c>
      <c r="C142" s="7">
        <v>4792</v>
      </c>
      <c r="D142" s="7" t="s">
        <v>297</v>
      </c>
      <c r="E142" s="7" t="s">
        <v>298</v>
      </c>
      <c r="F142" s="7" t="s">
        <v>299</v>
      </c>
      <c r="G142" s="9"/>
      <c r="H142" s="9">
        <v>13.64</v>
      </c>
      <c r="I142" s="9"/>
      <c r="J142" s="9"/>
      <c r="K142" s="9">
        <v>13.64</v>
      </c>
      <c r="L142" s="9"/>
      <c r="M142" s="9">
        <v>1.36</v>
      </c>
      <c r="N142" s="9"/>
      <c r="O142" s="9">
        <v>1.36</v>
      </c>
      <c r="P142" s="9"/>
      <c r="Q142" s="9"/>
      <c r="R142" s="9">
        <v>15</v>
      </c>
      <c r="S142" s="7" t="s">
        <v>70</v>
      </c>
      <c r="T142" s="9">
        <v>15</v>
      </c>
      <c r="U142" s="9"/>
      <c r="V142" s="10">
        <v>45714</v>
      </c>
      <c r="W142" t="str">
        <f t="shared" ca="1" si="2"/>
        <v>VENCIDA</v>
      </c>
    </row>
    <row r="143" spans="1:26" s="12" customFormat="1" ht="24" x14ac:dyDescent="0.25">
      <c r="A143" s="7">
        <v>2500297</v>
      </c>
      <c r="B143" s="8">
        <v>45707</v>
      </c>
      <c r="C143" s="7"/>
      <c r="D143" s="7" t="s">
        <v>297</v>
      </c>
      <c r="E143" s="7" t="s">
        <v>298</v>
      </c>
      <c r="F143" s="7" t="s">
        <v>299</v>
      </c>
      <c r="G143" s="9"/>
      <c r="H143" s="9">
        <v>38.82</v>
      </c>
      <c r="I143" s="9"/>
      <c r="J143" s="9"/>
      <c r="K143" s="9">
        <v>38.82</v>
      </c>
      <c r="L143" s="9"/>
      <c r="M143" s="9">
        <v>3.88</v>
      </c>
      <c r="N143" s="9"/>
      <c r="O143" s="9">
        <v>3.88</v>
      </c>
      <c r="P143" s="9"/>
      <c r="Q143" s="9"/>
      <c r="R143" s="9">
        <v>42.7</v>
      </c>
      <c r="S143" s="7" t="s">
        <v>26</v>
      </c>
      <c r="T143" s="9">
        <v>42.7</v>
      </c>
      <c r="U143" s="9"/>
      <c r="V143" s="10">
        <v>45707</v>
      </c>
      <c r="W143" t="str">
        <f t="shared" ca="1" si="2"/>
        <v>VENCIDA</v>
      </c>
    </row>
    <row r="144" spans="1:26" s="11" customFormat="1" ht="48" x14ac:dyDescent="0.25">
      <c r="A144" s="4">
        <v>2500298</v>
      </c>
      <c r="B144" s="5">
        <v>45709</v>
      </c>
      <c r="C144" s="4">
        <v>461019</v>
      </c>
      <c r="D144" s="4" t="s">
        <v>23</v>
      </c>
      <c r="E144" s="4" t="s">
        <v>24</v>
      </c>
      <c r="F144" s="4" t="s">
        <v>25</v>
      </c>
      <c r="G144" s="6">
        <v>63.74</v>
      </c>
      <c r="H144" s="6"/>
      <c r="I144" s="6"/>
      <c r="J144" s="6">
        <v>-0.01</v>
      </c>
      <c r="K144" s="6">
        <v>63.73</v>
      </c>
      <c r="L144" s="6">
        <v>13.39</v>
      </c>
      <c r="M144" s="6"/>
      <c r="N144" s="6"/>
      <c r="O144" s="6">
        <v>13.39</v>
      </c>
      <c r="P144" s="6"/>
      <c r="Q144" s="6"/>
      <c r="R144" s="6">
        <v>77.12</v>
      </c>
      <c r="S144" s="4" t="s">
        <v>26</v>
      </c>
      <c r="T144" s="6">
        <v>77.12</v>
      </c>
      <c r="U144" s="6"/>
      <c r="V144" s="10">
        <v>45709</v>
      </c>
      <c r="W144" t="str">
        <f t="shared" ca="1" si="2"/>
        <v>VENCIDA</v>
      </c>
    </row>
    <row r="145" spans="1:23" s="12" customFormat="1" ht="36" x14ac:dyDescent="0.25">
      <c r="A145" s="7">
        <v>2500299</v>
      </c>
      <c r="B145" s="8">
        <v>45678</v>
      </c>
      <c r="C145" s="7" t="s">
        <v>341</v>
      </c>
      <c r="D145" s="7" t="s">
        <v>342</v>
      </c>
      <c r="E145" s="7" t="s">
        <v>343</v>
      </c>
      <c r="F145" s="7"/>
      <c r="G145" s="9"/>
      <c r="H145" s="9">
        <v>68.180000000000007</v>
      </c>
      <c r="I145" s="9"/>
      <c r="J145" s="9"/>
      <c r="K145" s="9">
        <v>68.180000000000007</v>
      </c>
      <c r="L145" s="9"/>
      <c r="M145" s="9">
        <v>6.82</v>
      </c>
      <c r="N145" s="9"/>
      <c r="O145" s="9">
        <v>6.82</v>
      </c>
      <c r="P145" s="9"/>
      <c r="Q145" s="9"/>
      <c r="R145" s="9">
        <v>75</v>
      </c>
      <c r="S145" s="7" t="s">
        <v>26</v>
      </c>
      <c r="T145" s="9">
        <v>75</v>
      </c>
      <c r="U145" s="9"/>
      <c r="V145" s="10">
        <v>45678</v>
      </c>
      <c r="W145" t="str">
        <f t="shared" ca="1" si="2"/>
        <v>VENCIDA</v>
      </c>
    </row>
    <row r="146" spans="1:23" s="11" customFormat="1" ht="24" x14ac:dyDescent="0.25">
      <c r="A146" s="7">
        <v>2500300</v>
      </c>
      <c r="B146" s="8">
        <v>45699</v>
      </c>
      <c r="C146" s="7"/>
      <c r="D146" s="7" t="s">
        <v>297</v>
      </c>
      <c r="E146" s="7" t="s">
        <v>298</v>
      </c>
      <c r="F146" s="7" t="s">
        <v>299</v>
      </c>
      <c r="G146" s="9"/>
      <c r="H146" s="9">
        <v>39.82</v>
      </c>
      <c r="I146" s="9"/>
      <c r="J146" s="9"/>
      <c r="K146" s="9">
        <v>39.82</v>
      </c>
      <c r="L146" s="9"/>
      <c r="M146" s="9">
        <v>3.98</v>
      </c>
      <c r="N146" s="9"/>
      <c r="O146" s="9">
        <v>3.98</v>
      </c>
      <c r="P146" s="9"/>
      <c r="Q146" s="9"/>
      <c r="R146" s="9">
        <v>43.8</v>
      </c>
      <c r="S146" s="7" t="s">
        <v>26</v>
      </c>
      <c r="T146" s="9">
        <v>43.8</v>
      </c>
      <c r="U146" s="9"/>
      <c r="V146" s="10">
        <v>45699</v>
      </c>
      <c r="W146" t="str">
        <f t="shared" ca="1" si="2"/>
        <v>VENCIDA</v>
      </c>
    </row>
    <row r="147" spans="1:23" s="12" customFormat="1" ht="24" x14ac:dyDescent="0.25">
      <c r="A147" s="4">
        <v>2500301</v>
      </c>
      <c r="B147" s="5">
        <v>45707</v>
      </c>
      <c r="C147" s="4"/>
      <c r="D147" s="4" t="s">
        <v>297</v>
      </c>
      <c r="E147" s="4" t="s">
        <v>298</v>
      </c>
      <c r="F147" s="4" t="s">
        <v>299</v>
      </c>
      <c r="G147" s="6"/>
      <c r="H147" s="6">
        <v>11.18</v>
      </c>
      <c r="I147" s="6"/>
      <c r="J147" s="6"/>
      <c r="K147" s="6">
        <v>11.18</v>
      </c>
      <c r="L147" s="6"/>
      <c r="M147" s="6">
        <v>1.1200000000000001</v>
      </c>
      <c r="N147" s="6"/>
      <c r="O147" s="6">
        <v>1.1200000000000001</v>
      </c>
      <c r="P147" s="6"/>
      <c r="Q147" s="6"/>
      <c r="R147" s="6">
        <v>12.3</v>
      </c>
      <c r="S147" s="4" t="s">
        <v>26</v>
      </c>
      <c r="T147" s="6">
        <v>12.3</v>
      </c>
      <c r="U147" s="6"/>
      <c r="V147" s="10">
        <v>45707</v>
      </c>
      <c r="W147" t="str">
        <f t="shared" ca="1" si="2"/>
        <v>VENCIDA</v>
      </c>
    </row>
    <row r="148" spans="1:23" s="11" customFormat="1" ht="48" x14ac:dyDescent="0.25">
      <c r="A148" s="4">
        <v>2500302</v>
      </c>
      <c r="B148" s="5">
        <v>45716</v>
      </c>
      <c r="C148" s="4" t="s">
        <v>344</v>
      </c>
      <c r="D148" s="4" t="s">
        <v>202</v>
      </c>
      <c r="E148" s="4" t="s">
        <v>203</v>
      </c>
      <c r="F148" s="4" t="s">
        <v>204</v>
      </c>
      <c r="G148" s="6">
        <v>582.17999999999995</v>
      </c>
      <c r="H148" s="6"/>
      <c r="I148" s="6"/>
      <c r="J148" s="6"/>
      <c r="K148" s="6">
        <v>582.17999999999995</v>
      </c>
      <c r="L148" s="6">
        <v>122.26</v>
      </c>
      <c r="M148" s="6"/>
      <c r="N148" s="6"/>
      <c r="O148" s="6">
        <v>122.26</v>
      </c>
      <c r="P148" s="6"/>
      <c r="Q148" s="6"/>
      <c r="R148" s="6">
        <v>704.44</v>
      </c>
      <c r="S148" s="4" t="s">
        <v>38</v>
      </c>
      <c r="T148" s="6"/>
      <c r="U148" s="6">
        <v>704.44</v>
      </c>
      <c r="V148" s="5">
        <v>45716</v>
      </c>
      <c r="W148" t="str">
        <f t="shared" ca="1" si="2"/>
        <v>VENCIDA</v>
      </c>
    </row>
    <row r="149" spans="1:23" s="12" customFormat="1" ht="24" x14ac:dyDescent="0.25">
      <c r="A149" s="4">
        <v>2500303</v>
      </c>
      <c r="B149" s="5">
        <v>45726</v>
      </c>
      <c r="C149" s="4"/>
      <c r="D149" s="4" t="s">
        <v>297</v>
      </c>
      <c r="E149" s="4" t="s">
        <v>298</v>
      </c>
      <c r="F149" s="4" t="s">
        <v>299</v>
      </c>
      <c r="G149" s="6"/>
      <c r="H149" s="6">
        <v>27.09</v>
      </c>
      <c r="I149" s="6"/>
      <c r="J149" s="6"/>
      <c r="K149" s="6">
        <v>27.09</v>
      </c>
      <c r="L149" s="6"/>
      <c r="M149" s="6">
        <v>2.71</v>
      </c>
      <c r="N149" s="6"/>
      <c r="O149" s="6">
        <v>2.71</v>
      </c>
      <c r="P149" s="6"/>
      <c r="Q149" s="6"/>
      <c r="R149" s="6">
        <v>29.8</v>
      </c>
      <c r="S149" s="4" t="s">
        <v>26</v>
      </c>
      <c r="T149" s="6">
        <v>29.8</v>
      </c>
      <c r="U149" s="6"/>
      <c r="V149" s="10">
        <v>45726</v>
      </c>
      <c r="W149" t="str">
        <f t="shared" ca="1" si="2"/>
        <v>VENCE HOY</v>
      </c>
    </row>
    <row r="150" spans="1:23" s="11" customFormat="1" ht="36" x14ac:dyDescent="0.25">
      <c r="A150" s="7">
        <v>2500304</v>
      </c>
      <c r="B150" s="8">
        <v>45726</v>
      </c>
      <c r="C150" s="19">
        <v>202500004865</v>
      </c>
      <c r="D150" s="7" t="s">
        <v>345</v>
      </c>
      <c r="E150" s="7" t="s">
        <v>346</v>
      </c>
      <c r="F150" s="7" t="s">
        <v>347</v>
      </c>
      <c r="G150" s="9">
        <v>75.19</v>
      </c>
      <c r="H150" s="9"/>
      <c r="I150" s="9"/>
      <c r="J150" s="9"/>
      <c r="K150" s="9">
        <v>75.19</v>
      </c>
      <c r="L150" s="9">
        <v>15.79</v>
      </c>
      <c r="M150" s="9"/>
      <c r="N150" s="9"/>
      <c r="O150" s="9">
        <v>15.79</v>
      </c>
      <c r="P150" s="9"/>
      <c r="Q150" s="9"/>
      <c r="R150" s="9">
        <v>90.98</v>
      </c>
      <c r="S150" s="7" t="s">
        <v>70</v>
      </c>
      <c r="T150" s="9">
        <v>90.98</v>
      </c>
      <c r="U150" s="9"/>
      <c r="V150" s="10">
        <v>45726</v>
      </c>
      <c r="W150" t="str">
        <f t="shared" ca="1" si="2"/>
        <v>VENCE HOY</v>
      </c>
    </row>
    <row r="151" spans="1:23" s="12" customFormat="1" ht="60" x14ac:dyDescent="0.25">
      <c r="A151" s="4">
        <v>2500305</v>
      </c>
      <c r="B151" s="5">
        <v>45695</v>
      </c>
      <c r="C151" s="4" t="s">
        <v>348</v>
      </c>
      <c r="D151" s="4" t="s">
        <v>349</v>
      </c>
      <c r="E151" s="4" t="s">
        <v>350</v>
      </c>
      <c r="F151" s="4"/>
      <c r="G151" s="6"/>
      <c r="H151" s="6">
        <v>31.91</v>
      </c>
      <c r="I151" s="6"/>
      <c r="J151" s="6"/>
      <c r="K151" s="6">
        <v>31.91</v>
      </c>
      <c r="L151" s="6"/>
      <c r="M151" s="6">
        <v>3.19</v>
      </c>
      <c r="N151" s="6"/>
      <c r="O151" s="6">
        <v>3.19</v>
      </c>
      <c r="P151" s="6"/>
      <c r="Q151" s="6"/>
      <c r="R151" s="6">
        <v>35.1</v>
      </c>
      <c r="S151" s="4" t="s">
        <v>26</v>
      </c>
      <c r="T151" s="6">
        <v>35.1</v>
      </c>
      <c r="U151" s="6"/>
      <c r="V151" s="10">
        <v>45695</v>
      </c>
      <c r="W151" t="str">
        <f t="shared" ca="1" si="2"/>
        <v>VENCIDA</v>
      </c>
    </row>
  </sheetData>
  <autoFilter ref="A1:W151" xr:uid="{FB56FF2A-77A1-40BB-B787-610C88D61D40}"/>
  <conditionalFormatting sqref="W2:W132">
    <cfRule type="containsText" dxfId="11" priority="2" operator="containsText" text="VENCIDA">
      <formula>NOT(ISERROR(SEARCH("VENCIDA",W2)))</formula>
    </cfRule>
  </conditionalFormatting>
  <conditionalFormatting sqref="W134:W151">
    <cfRule type="containsText" dxfId="10" priority="1" operator="containsText" text="VENCIDA">
      <formula>NOT(ISERROR(SEARCH("VENCIDA",W134)))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BFA18-A198-40F5-BA2C-93C9B5B808C3}">
  <dimension ref="A1:W37"/>
  <sheetViews>
    <sheetView workbookViewId="0">
      <selection sqref="A1:XFD1048576"/>
    </sheetView>
  </sheetViews>
  <sheetFormatPr baseColWidth="10" defaultRowHeight="15" x14ac:dyDescent="0.25"/>
  <sheetData>
    <row r="1" spans="1:23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3" t="s">
        <v>22</v>
      </c>
    </row>
    <row r="2" spans="1:23" x14ac:dyDescent="0.25">
      <c r="W2" t="str">
        <f t="shared" ref="W2:W37" ca="1" si="0">IF(V2&lt;TODAY(),"VENCIDA",IF(V2=TODAY(),"VENCE HOY",IF(V2&gt;TODAY(),"")))</f>
        <v>VENCIDA</v>
      </c>
    </row>
    <row r="3" spans="1:23" x14ac:dyDescent="0.25">
      <c r="W3" t="str">
        <f t="shared" ca="1" si="0"/>
        <v>VENCIDA</v>
      </c>
    </row>
    <row r="4" spans="1:23" x14ac:dyDescent="0.25">
      <c r="W4" t="str">
        <f t="shared" ca="1" si="0"/>
        <v>VENCIDA</v>
      </c>
    </row>
    <row r="5" spans="1:23" x14ac:dyDescent="0.25">
      <c r="W5" t="str">
        <f t="shared" ca="1" si="0"/>
        <v>VENCIDA</v>
      </c>
    </row>
    <row r="6" spans="1:23" x14ac:dyDescent="0.25">
      <c r="W6" t="str">
        <f t="shared" ca="1" si="0"/>
        <v>VENCIDA</v>
      </c>
    </row>
    <row r="7" spans="1:23" x14ac:dyDescent="0.25">
      <c r="W7" t="str">
        <f t="shared" ca="1" si="0"/>
        <v>VENCIDA</v>
      </c>
    </row>
    <row r="8" spans="1:23" x14ac:dyDescent="0.25">
      <c r="W8" t="str">
        <f t="shared" ca="1" si="0"/>
        <v>VENCIDA</v>
      </c>
    </row>
    <row r="9" spans="1:23" x14ac:dyDescent="0.25">
      <c r="W9" t="str">
        <f t="shared" ca="1" si="0"/>
        <v>VENCIDA</v>
      </c>
    </row>
    <row r="10" spans="1:23" x14ac:dyDescent="0.25">
      <c r="W10" t="str">
        <f t="shared" ca="1" si="0"/>
        <v>VENCIDA</v>
      </c>
    </row>
    <row r="11" spans="1:23" x14ac:dyDescent="0.25">
      <c r="W11" t="str">
        <f t="shared" ca="1" si="0"/>
        <v>VENCIDA</v>
      </c>
    </row>
    <row r="12" spans="1:23" x14ac:dyDescent="0.25">
      <c r="W12" t="str">
        <f t="shared" ca="1" si="0"/>
        <v>VENCIDA</v>
      </c>
    </row>
    <row r="13" spans="1:23" x14ac:dyDescent="0.25">
      <c r="W13" t="str">
        <f t="shared" ca="1" si="0"/>
        <v>VENCIDA</v>
      </c>
    </row>
    <row r="14" spans="1:23" x14ac:dyDescent="0.25">
      <c r="W14" t="str">
        <f t="shared" ca="1" si="0"/>
        <v>VENCIDA</v>
      </c>
    </row>
    <row r="15" spans="1:23" x14ac:dyDescent="0.25">
      <c r="W15" t="str">
        <f t="shared" ca="1" si="0"/>
        <v>VENCIDA</v>
      </c>
    </row>
    <row r="16" spans="1:23" x14ac:dyDescent="0.25">
      <c r="W16" t="str">
        <f t="shared" ca="1" si="0"/>
        <v>VENCIDA</v>
      </c>
    </row>
    <row r="17" spans="23:23" x14ac:dyDescent="0.25">
      <c r="W17" t="str">
        <f t="shared" ca="1" si="0"/>
        <v>VENCIDA</v>
      </c>
    </row>
    <row r="18" spans="23:23" x14ac:dyDescent="0.25">
      <c r="W18" t="str">
        <f t="shared" ca="1" si="0"/>
        <v>VENCIDA</v>
      </c>
    </row>
    <row r="19" spans="23:23" x14ac:dyDescent="0.25">
      <c r="W19" t="str">
        <f t="shared" ca="1" si="0"/>
        <v>VENCIDA</v>
      </c>
    </row>
    <row r="20" spans="23:23" x14ac:dyDescent="0.25">
      <c r="W20" t="str">
        <f t="shared" ca="1" si="0"/>
        <v>VENCIDA</v>
      </c>
    </row>
    <row r="21" spans="23:23" x14ac:dyDescent="0.25">
      <c r="W21" t="str">
        <f t="shared" ca="1" si="0"/>
        <v>VENCIDA</v>
      </c>
    </row>
    <row r="22" spans="23:23" x14ac:dyDescent="0.25">
      <c r="W22" t="str">
        <f t="shared" ca="1" si="0"/>
        <v>VENCIDA</v>
      </c>
    </row>
    <row r="23" spans="23:23" x14ac:dyDescent="0.25">
      <c r="W23" t="str">
        <f t="shared" ca="1" si="0"/>
        <v>VENCIDA</v>
      </c>
    </row>
    <row r="24" spans="23:23" x14ac:dyDescent="0.25">
      <c r="W24" t="str">
        <f t="shared" ca="1" si="0"/>
        <v>VENCIDA</v>
      </c>
    </row>
    <row r="25" spans="23:23" x14ac:dyDescent="0.25">
      <c r="W25" t="str">
        <f t="shared" ca="1" si="0"/>
        <v>VENCIDA</v>
      </c>
    </row>
    <row r="26" spans="23:23" x14ac:dyDescent="0.25">
      <c r="W26" t="str">
        <f t="shared" ca="1" si="0"/>
        <v>VENCIDA</v>
      </c>
    </row>
    <row r="27" spans="23:23" x14ac:dyDescent="0.25">
      <c r="W27" t="str">
        <f t="shared" ca="1" si="0"/>
        <v>VENCIDA</v>
      </c>
    </row>
    <row r="28" spans="23:23" x14ac:dyDescent="0.25">
      <c r="W28" t="str">
        <f t="shared" ca="1" si="0"/>
        <v>VENCIDA</v>
      </c>
    </row>
    <row r="29" spans="23:23" x14ac:dyDescent="0.25">
      <c r="W29" t="str">
        <f t="shared" ca="1" si="0"/>
        <v>VENCIDA</v>
      </c>
    </row>
    <row r="30" spans="23:23" x14ac:dyDescent="0.25">
      <c r="W30" t="str">
        <f t="shared" ca="1" si="0"/>
        <v>VENCIDA</v>
      </c>
    </row>
    <row r="31" spans="23:23" x14ac:dyDescent="0.25">
      <c r="W31" t="str">
        <f t="shared" ca="1" si="0"/>
        <v>VENCIDA</v>
      </c>
    </row>
    <row r="32" spans="23:23" x14ac:dyDescent="0.25">
      <c r="W32" t="str">
        <f t="shared" ca="1" si="0"/>
        <v>VENCIDA</v>
      </c>
    </row>
    <row r="33" spans="23:23" x14ac:dyDescent="0.25">
      <c r="W33" t="str">
        <f t="shared" ca="1" si="0"/>
        <v>VENCIDA</v>
      </c>
    </row>
    <row r="34" spans="23:23" x14ac:dyDescent="0.25">
      <c r="W34" t="str">
        <f t="shared" ca="1" si="0"/>
        <v>VENCIDA</v>
      </c>
    </row>
    <row r="35" spans="23:23" x14ac:dyDescent="0.25">
      <c r="W35" t="str">
        <f t="shared" ca="1" si="0"/>
        <v>VENCIDA</v>
      </c>
    </row>
    <row r="36" spans="23:23" x14ac:dyDescent="0.25">
      <c r="W36" t="str">
        <f t="shared" ca="1" si="0"/>
        <v>VENCIDA</v>
      </c>
    </row>
    <row r="37" spans="23:23" x14ac:dyDescent="0.25">
      <c r="W37" t="str">
        <f t="shared" ca="1" si="0"/>
        <v>VENCIDA</v>
      </c>
    </row>
  </sheetData>
  <conditionalFormatting sqref="W2:W37">
    <cfRule type="containsText" dxfId="9" priority="1" operator="containsText" text="VENCIDA">
      <formula>NOT(ISERROR(SEARCH("VENCIDA",W2)))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79E14-787E-4BB9-8DD0-4B1B7EDF388C}">
  <dimension ref="A1:W37"/>
  <sheetViews>
    <sheetView workbookViewId="0">
      <selection activeCell="A9" sqref="A9"/>
    </sheetView>
  </sheetViews>
  <sheetFormatPr baseColWidth="10" defaultRowHeight="15" x14ac:dyDescent="0.25"/>
  <sheetData>
    <row r="1" spans="1:23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3" t="s">
        <v>22</v>
      </c>
    </row>
    <row r="2" spans="1:23" x14ac:dyDescent="0.25">
      <c r="W2" t="str">
        <f t="shared" ref="W2:W37" ca="1" si="0">IF(V2&lt;TODAY(),"VENCIDA",IF(V2=TODAY(),"VENCE HOY",IF(V2&gt;TODAY(),"")))</f>
        <v>VENCIDA</v>
      </c>
    </row>
    <row r="3" spans="1:23" x14ac:dyDescent="0.25">
      <c r="W3" t="str">
        <f t="shared" ca="1" si="0"/>
        <v>VENCIDA</v>
      </c>
    </row>
    <row r="4" spans="1:23" x14ac:dyDescent="0.25">
      <c r="W4" t="str">
        <f t="shared" ca="1" si="0"/>
        <v>VENCIDA</v>
      </c>
    </row>
    <row r="5" spans="1:23" x14ac:dyDescent="0.25">
      <c r="W5" t="str">
        <f t="shared" ca="1" si="0"/>
        <v>VENCIDA</v>
      </c>
    </row>
    <row r="6" spans="1:23" x14ac:dyDescent="0.25">
      <c r="W6" t="str">
        <f t="shared" ca="1" si="0"/>
        <v>VENCIDA</v>
      </c>
    </row>
    <row r="7" spans="1:23" x14ac:dyDescent="0.25">
      <c r="W7" t="str">
        <f t="shared" ca="1" si="0"/>
        <v>VENCIDA</v>
      </c>
    </row>
    <row r="8" spans="1:23" x14ac:dyDescent="0.25">
      <c r="W8" t="str">
        <f t="shared" ca="1" si="0"/>
        <v>VENCIDA</v>
      </c>
    </row>
    <row r="9" spans="1:23" x14ac:dyDescent="0.25">
      <c r="W9" t="str">
        <f t="shared" ca="1" si="0"/>
        <v>VENCIDA</v>
      </c>
    </row>
    <row r="10" spans="1:23" x14ac:dyDescent="0.25">
      <c r="W10" t="str">
        <f t="shared" ca="1" si="0"/>
        <v>VENCIDA</v>
      </c>
    </row>
    <row r="11" spans="1:23" x14ac:dyDescent="0.25">
      <c r="W11" t="str">
        <f t="shared" ca="1" si="0"/>
        <v>VENCIDA</v>
      </c>
    </row>
    <row r="12" spans="1:23" x14ac:dyDescent="0.25">
      <c r="W12" t="str">
        <f t="shared" ca="1" si="0"/>
        <v>VENCIDA</v>
      </c>
    </row>
    <row r="13" spans="1:23" x14ac:dyDescent="0.25">
      <c r="W13" t="str">
        <f t="shared" ca="1" si="0"/>
        <v>VENCIDA</v>
      </c>
    </row>
    <row r="14" spans="1:23" x14ac:dyDescent="0.25">
      <c r="W14" t="str">
        <f t="shared" ca="1" si="0"/>
        <v>VENCIDA</v>
      </c>
    </row>
    <row r="15" spans="1:23" x14ac:dyDescent="0.25">
      <c r="W15" t="str">
        <f t="shared" ca="1" si="0"/>
        <v>VENCIDA</v>
      </c>
    </row>
    <row r="16" spans="1:23" x14ac:dyDescent="0.25">
      <c r="W16" t="str">
        <f t="shared" ca="1" si="0"/>
        <v>VENCIDA</v>
      </c>
    </row>
    <row r="17" spans="23:23" x14ac:dyDescent="0.25">
      <c r="W17" t="str">
        <f t="shared" ca="1" si="0"/>
        <v>VENCIDA</v>
      </c>
    </row>
    <row r="18" spans="23:23" x14ac:dyDescent="0.25">
      <c r="W18" t="str">
        <f t="shared" ca="1" si="0"/>
        <v>VENCIDA</v>
      </c>
    </row>
    <row r="19" spans="23:23" x14ac:dyDescent="0.25">
      <c r="W19" t="str">
        <f t="shared" ca="1" si="0"/>
        <v>VENCIDA</v>
      </c>
    </row>
    <row r="20" spans="23:23" x14ac:dyDescent="0.25">
      <c r="W20" t="str">
        <f t="shared" ca="1" si="0"/>
        <v>VENCIDA</v>
      </c>
    </row>
    <row r="21" spans="23:23" x14ac:dyDescent="0.25">
      <c r="W21" t="str">
        <f t="shared" ca="1" si="0"/>
        <v>VENCIDA</v>
      </c>
    </row>
    <row r="22" spans="23:23" x14ac:dyDescent="0.25">
      <c r="W22" t="str">
        <f t="shared" ca="1" si="0"/>
        <v>VENCIDA</v>
      </c>
    </row>
    <row r="23" spans="23:23" x14ac:dyDescent="0.25">
      <c r="W23" t="str">
        <f t="shared" ca="1" si="0"/>
        <v>VENCIDA</v>
      </c>
    </row>
    <row r="24" spans="23:23" x14ac:dyDescent="0.25">
      <c r="W24" t="str">
        <f t="shared" ca="1" si="0"/>
        <v>VENCIDA</v>
      </c>
    </row>
    <row r="25" spans="23:23" x14ac:dyDescent="0.25">
      <c r="W25" t="str">
        <f t="shared" ca="1" si="0"/>
        <v>VENCIDA</v>
      </c>
    </row>
    <row r="26" spans="23:23" x14ac:dyDescent="0.25">
      <c r="W26" t="str">
        <f t="shared" ca="1" si="0"/>
        <v>VENCIDA</v>
      </c>
    </row>
    <row r="27" spans="23:23" x14ac:dyDescent="0.25">
      <c r="W27" t="str">
        <f t="shared" ca="1" si="0"/>
        <v>VENCIDA</v>
      </c>
    </row>
    <row r="28" spans="23:23" x14ac:dyDescent="0.25">
      <c r="W28" t="str">
        <f t="shared" ca="1" si="0"/>
        <v>VENCIDA</v>
      </c>
    </row>
    <row r="29" spans="23:23" x14ac:dyDescent="0.25">
      <c r="W29" t="str">
        <f t="shared" ca="1" si="0"/>
        <v>VENCIDA</v>
      </c>
    </row>
    <row r="30" spans="23:23" x14ac:dyDescent="0.25">
      <c r="W30" t="str">
        <f t="shared" ca="1" si="0"/>
        <v>VENCIDA</v>
      </c>
    </row>
    <row r="31" spans="23:23" x14ac:dyDescent="0.25">
      <c r="W31" t="str">
        <f t="shared" ca="1" si="0"/>
        <v>VENCIDA</v>
      </c>
    </row>
    <row r="32" spans="23:23" x14ac:dyDescent="0.25">
      <c r="W32" t="str">
        <f t="shared" ca="1" si="0"/>
        <v>VENCIDA</v>
      </c>
    </row>
    <row r="33" spans="23:23" x14ac:dyDescent="0.25">
      <c r="W33" t="str">
        <f t="shared" ca="1" si="0"/>
        <v>VENCIDA</v>
      </c>
    </row>
    <row r="34" spans="23:23" x14ac:dyDescent="0.25">
      <c r="W34" t="str">
        <f t="shared" ca="1" si="0"/>
        <v>VENCIDA</v>
      </c>
    </row>
    <row r="35" spans="23:23" x14ac:dyDescent="0.25">
      <c r="W35" t="str">
        <f t="shared" ca="1" si="0"/>
        <v>VENCIDA</v>
      </c>
    </row>
    <row r="36" spans="23:23" x14ac:dyDescent="0.25">
      <c r="W36" t="str">
        <f t="shared" ca="1" si="0"/>
        <v>VENCIDA</v>
      </c>
    </row>
    <row r="37" spans="23:23" x14ac:dyDescent="0.25">
      <c r="W37" t="str">
        <f t="shared" ca="1" si="0"/>
        <v>VENCIDA</v>
      </c>
    </row>
  </sheetData>
  <conditionalFormatting sqref="W2:W37">
    <cfRule type="containsText" dxfId="8" priority="1" operator="containsText" text="VENCIDA">
      <formula>NOT(ISERROR(SEARCH("VENCIDA",W2)))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AE79C-02B4-4BDE-89B9-05AFCD43B5FE}">
  <dimension ref="A1:W37"/>
  <sheetViews>
    <sheetView workbookViewId="0">
      <selection sqref="A1:XFD1048576"/>
    </sheetView>
  </sheetViews>
  <sheetFormatPr baseColWidth="10" defaultRowHeight="15" x14ac:dyDescent="0.25"/>
  <sheetData>
    <row r="1" spans="1:23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3" t="s">
        <v>22</v>
      </c>
    </row>
    <row r="2" spans="1:23" x14ac:dyDescent="0.25">
      <c r="W2" t="str">
        <f t="shared" ref="W2:W37" ca="1" si="0">IF(V2&lt;TODAY(),"VENCIDA",IF(V2=TODAY(),"VENCE HOY",IF(V2&gt;TODAY(),"")))</f>
        <v>VENCIDA</v>
      </c>
    </row>
    <row r="3" spans="1:23" x14ac:dyDescent="0.25">
      <c r="W3" t="str">
        <f t="shared" ca="1" si="0"/>
        <v>VENCIDA</v>
      </c>
    </row>
    <row r="4" spans="1:23" x14ac:dyDescent="0.25">
      <c r="W4" t="str">
        <f t="shared" ca="1" si="0"/>
        <v>VENCIDA</v>
      </c>
    </row>
    <row r="5" spans="1:23" x14ac:dyDescent="0.25">
      <c r="W5" t="str">
        <f t="shared" ca="1" si="0"/>
        <v>VENCIDA</v>
      </c>
    </row>
    <row r="6" spans="1:23" x14ac:dyDescent="0.25">
      <c r="W6" t="str">
        <f t="shared" ca="1" si="0"/>
        <v>VENCIDA</v>
      </c>
    </row>
    <row r="7" spans="1:23" x14ac:dyDescent="0.25">
      <c r="W7" t="str">
        <f t="shared" ca="1" si="0"/>
        <v>VENCIDA</v>
      </c>
    </row>
    <row r="8" spans="1:23" x14ac:dyDescent="0.25">
      <c r="W8" t="str">
        <f t="shared" ca="1" si="0"/>
        <v>VENCIDA</v>
      </c>
    </row>
    <row r="9" spans="1:23" x14ac:dyDescent="0.25">
      <c r="W9" t="str">
        <f t="shared" ca="1" si="0"/>
        <v>VENCIDA</v>
      </c>
    </row>
    <row r="10" spans="1:23" x14ac:dyDescent="0.25">
      <c r="W10" t="str">
        <f t="shared" ca="1" si="0"/>
        <v>VENCIDA</v>
      </c>
    </row>
    <row r="11" spans="1:23" x14ac:dyDescent="0.25">
      <c r="W11" t="str">
        <f t="shared" ca="1" si="0"/>
        <v>VENCIDA</v>
      </c>
    </row>
    <row r="12" spans="1:23" x14ac:dyDescent="0.25">
      <c r="W12" t="str">
        <f t="shared" ca="1" si="0"/>
        <v>VENCIDA</v>
      </c>
    </row>
    <row r="13" spans="1:23" x14ac:dyDescent="0.25">
      <c r="W13" t="str">
        <f t="shared" ca="1" si="0"/>
        <v>VENCIDA</v>
      </c>
    </row>
    <row r="14" spans="1:23" x14ac:dyDescent="0.25">
      <c r="W14" t="str">
        <f t="shared" ca="1" si="0"/>
        <v>VENCIDA</v>
      </c>
    </row>
    <row r="15" spans="1:23" x14ac:dyDescent="0.25">
      <c r="W15" t="str">
        <f t="shared" ca="1" si="0"/>
        <v>VENCIDA</v>
      </c>
    </row>
    <row r="16" spans="1:23" x14ac:dyDescent="0.25">
      <c r="W16" t="str">
        <f t="shared" ca="1" si="0"/>
        <v>VENCIDA</v>
      </c>
    </row>
    <row r="17" spans="23:23" x14ac:dyDescent="0.25">
      <c r="W17" t="str">
        <f t="shared" ca="1" si="0"/>
        <v>VENCIDA</v>
      </c>
    </row>
    <row r="18" spans="23:23" x14ac:dyDescent="0.25">
      <c r="W18" t="str">
        <f t="shared" ca="1" si="0"/>
        <v>VENCIDA</v>
      </c>
    </row>
    <row r="19" spans="23:23" x14ac:dyDescent="0.25">
      <c r="W19" t="str">
        <f t="shared" ca="1" si="0"/>
        <v>VENCIDA</v>
      </c>
    </row>
    <row r="20" spans="23:23" x14ac:dyDescent="0.25">
      <c r="W20" t="str">
        <f t="shared" ca="1" si="0"/>
        <v>VENCIDA</v>
      </c>
    </row>
    <row r="21" spans="23:23" x14ac:dyDescent="0.25">
      <c r="W21" t="str">
        <f t="shared" ca="1" si="0"/>
        <v>VENCIDA</v>
      </c>
    </row>
    <row r="22" spans="23:23" x14ac:dyDescent="0.25">
      <c r="W22" t="str">
        <f t="shared" ca="1" si="0"/>
        <v>VENCIDA</v>
      </c>
    </row>
    <row r="23" spans="23:23" x14ac:dyDescent="0.25">
      <c r="W23" t="str">
        <f t="shared" ca="1" si="0"/>
        <v>VENCIDA</v>
      </c>
    </row>
    <row r="24" spans="23:23" x14ac:dyDescent="0.25">
      <c r="W24" t="str">
        <f t="shared" ca="1" si="0"/>
        <v>VENCIDA</v>
      </c>
    </row>
    <row r="25" spans="23:23" x14ac:dyDescent="0.25">
      <c r="W25" t="str">
        <f t="shared" ca="1" si="0"/>
        <v>VENCIDA</v>
      </c>
    </row>
    <row r="26" spans="23:23" x14ac:dyDescent="0.25">
      <c r="W26" t="str">
        <f t="shared" ca="1" si="0"/>
        <v>VENCIDA</v>
      </c>
    </row>
    <row r="27" spans="23:23" x14ac:dyDescent="0.25">
      <c r="W27" t="str">
        <f t="shared" ca="1" si="0"/>
        <v>VENCIDA</v>
      </c>
    </row>
    <row r="28" spans="23:23" x14ac:dyDescent="0.25">
      <c r="W28" t="str">
        <f t="shared" ca="1" si="0"/>
        <v>VENCIDA</v>
      </c>
    </row>
    <row r="29" spans="23:23" x14ac:dyDescent="0.25">
      <c r="W29" t="str">
        <f t="shared" ca="1" si="0"/>
        <v>VENCIDA</v>
      </c>
    </row>
    <row r="30" spans="23:23" x14ac:dyDescent="0.25">
      <c r="W30" t="str">
        <f t="shared" ca="1" si="0"/>
        <v>VENCIDA</v>
      </c>
    </row>
    <row r="31" spans="23:23" x14ac:dyDescent="0.25">
      <c r="W31" t="str">
        <f t="shared" ca="1" si="0"/>
        <v>VENCIDA</v>
      </c>
    </row>
    <row r="32" spans="23:23" x14ac:dyDescent="0.25">
      <c r="W32" t="str">
        <f t="shared" ca="1" si="0"/>
        <v>VENCIDA</v>
      </c>
    </row>
    <row r="33" spans="23:23" x14ac:dyDescent="0.25">
      <c r="W33" t="str">
        <f t="shared" ca="1" si="0"/>
        <v>VENCIDA</v>
      </c>
    </row>
    <row r="34" spans="23:23" x14ac:dyDescent="0.25">
      <c r="W34" t="str">
        <f t="shared" ca="1" si="0"/>
        <v>VENCIDA</v>
      </c>
    </row>
    <row r="35" spans="23:23" x14ac:dyDescent="0.25">
      <c r="W35" t="str">
        <f t="shared" ca="1" si="0"/>
        <v>VENCIDA</v>
      </c>
    </row>
    <row r="36" spans="23:23" x14ac:dyDescent="0.25">
      <c r="W36" t="str">
        <f t="shared" ca="1" si="0"/>
        <v>VENCIDA</v>
      </c>
    </row>
    <row r="37" spans="23:23" x14ac:dyDescent="0.25">
      <c r="W37" t="str">
        <f t="shared" ca="1" si="0"/>
        <v>VENCIDA</v>
      </c>
    </row>
  </sheetData>
  <conditionalFormatting sqref="W2:W37">
    <cfRule type="containsText" dxfId="7" priority="1" operator="containsText" text="VENCIDA">
      <formula>NOT(ISERROR(SEARCH("VENCIDA",W2)))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F85F0-8596-4A9B-A947-696A69BF2115}">
  <dimension ref="A1:W37"/>
  <sheetViews>
    <sheetView workbookViewId="0">
      <selection sqref="A1:XFD1048576"/>
    </sheetView>
  </sheetViews>
  <sheetFormatPr baseColWidth="10" defaultRowHeight="15" x14ac:dyDescent="0.25"/>
  <sheetData>
    <row r="1" spans="1:23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3" t="s">
        <v>22</v>
      </c>
    </row>
    <row r="2" spans="1:23" x14ac:dyDescent="0.25">
      <c r="W2" t="str">
        <f t="shared" ref="W2:W37" ca="1" si="0">IF(V2&lt;TODAY(),"VENCIDA",IF(V2=TODAY(),"VENCE HOY",IF(V2&gt;TODAY(),"")))</f>
        <v>VENCIDA</v>
      </c>
    </row>
    <row r="3" spans="1:23" x14ac:dyDescent="0.25">
      <c r="W3" t="str">
        <f t="shared" ca="1" si="0"/>
        <v>VENCIDA</v>
      </c>
    </row>
    <row r="4" spans="1:23" x14ac:dyDescent="0.25">
      <c r="W4" t="str">
        <f t="shared" ca="1" si="0"/>
        <v>VENCIDA</v>
      </c>
    </row>
    <row r="5" spans="1:23" x14ac:dyDescent="0.25">
      <c r="W5" t="str">
        <f t="shared" ca="1" si="0"/>
        <v>VENCIDA</v>
      </c>
    </row>
    <row r="6" spans="1:23" x14ac:dyDescent="0.25">
      <c r="W6" t="str">
        <f t="shared" ca="1" si="0"/>
        <v>VENCIDA</v>
      </c>
    </row>
    <row r="7" spans="1:23" x14ac:dyDescent="0.25">
      <c r="W7" t="str">
        <f t="shared" ca="1" si="0"/>
        <v>VENCIDA</v>
      </c>
    </row>
    <row r="8" spans="1:23" x14ac:dyDescent="0.25">
      <c r="W8" t="str">
        <f t="shared" ca="1" si="0"/>
        <v>VENCIDA</v>
      </c>
    </row>
    <row r="9" spans="1:23" x14ac:dyDescent="0.25">
      <c r="W9" t="str">
        <f t="shared" ca="1" si="0"/>
        <v>VENCIDA</v>
      </c>
    </row>
    <row r="10" spans="1:23" x14ac:dyDescent="0.25">
      <c r="W10" t="str">
        <f t="shared" ca="1" si="0"/>
        <v>VENCIDA</v>
      </c>
    </row>
    <row r="11" spans="1:23" x14ac:dyDescent="0.25">
      <c r="W11" t="str">
        <f t="shared" ca="1" si="0"/>
        <v>VENCIDA</v>
      </c>
    </row>
    <row r="12" spans="1:23" x14ac:dyDescent="0.25">
      <c r="W12" t="str">
        <f t="shared" ca="1" si="0"/>
        <v>VENCIDA</v>
      </c>
    </row>
    <row r="13" spans="1:23" x14ac:dyDescent="0.25">
      <c r="W13" t="str">
        <f t="shared" ca="1" si="0"/>
        <v>VENCIDA</v>
      </c>
    </row>
    <row r="14" spans="1:23" x14ac:dyDescent="0.25">
      <c r="W14" t="str">
        <f t="shared" ca="1" si="0"/>
        <v>VENCIDA</v>
      </c>
    </row>
    <row r="15" spans="1:23" x14ac:dyDescent="0.25">
      <c r="W15" t="str">
        <f t="shared" ca="1" si="0"/>
        <v>VENCIDA</v>
      </c>
    </row>
    <row r="16" spans="1:23" x14ac:dyDescent="0.25">
      <c r="W16" t="str">
        <f t="shared" ca="1" si="0"/>
        <v>VENCIDA</v>
      </c>
    </row>
    <row r="17" spans="23:23" x14ac:dyDescent="0.25">
      <c r="W17" t="str">
        <f t="shared" ca="1" si="0"/>
        <v>VENCIDA</v>
      </c>
    </row>
    <row r="18" spans="23:23" x14ac:dyDescent="0.25">
      <c r="W18" t="str">
        <f t="shared" ca="1" si="0"/>
        <v>VENCIDA</v>
      </c>
    </row>
    <row r="19" spans="23:23" x14ac:dyDescent="0.25">
      <c r="W19" t="str">
        <f t="shared" ca="1" si="0"/>
        <v>VENCIDA</v>
      </c>
    </row>
    <row r="20" spans="23:23" x14ac:dyDescent="0.25">
      <c r="W20" t="str">
        <f t="shared" ca="1" si="0"/>
        <v>VENCIDA</v>
      </c>
    </row>
    <row r="21" spans="23:23" x14ac:dyDescent="0.25">
      <c r="W21" t="str">
        <f t="shared" ca="1" si="0"/>
        <v>VENCIDA</v>
      </c>
    </row>
    <row r="22" spans="23:23" x14ac:dyDescent="0.25">
      <c r="W22" t="str">
        <f t="shared" ca="1" si="0"/>
        <v>VENCIDA</v>
      </c>
    </row>
    <row r="23" spans="23:23" x14ac:dyDescent="0.25">
      <c r="W23" t="str">
        <f t="shared" ca="1" si="0"/>
        <v>VENCIDA</v>
      </c>
    </row>
    <row r="24" spans="23:23" x14ac:dyDescent="0.25">
      <c r="W24" t="str">
        <f t="shared" ca="1" si="0"/>
        <v>VENCIDA</v>
      </c>
    </row>
    <row r="25" spans="23:23" x14ac:dyDescent="0.25">
      <c r="W25" t="str">
        <f t="shared" ca="1" si="0"/>
        <v>VENCIDA</v>
      </c>
    </row>
    <row r="26" spans="23:23" x14ac:dyDescent="0.25">
      <c r="W26" t="str">
        <f t="shared" ca="1" si="0"/>
        <v>VENCIDA</v>
      </c>
    </row>
    <row r="27" spans="23:23" x14ac:dyDescent="0.25">
      <c r="W27" t="str">
        <f t="shared" ca="1" si="0"/>
        <v>VENCIDA</v>
      </c>
    </row>
    <row r="28" spans="23:23" x14ac:dyDescent="0.25">
      <c r="W28" t="str">
        <f t="shared" ca="1" si="0"/>
        <v>VENCIDA</v>
      </c>
    </row>
    <row r="29" spans="23:23" x14ac:dyDescent="0.25">
      <c r="W29" t="str">
        <f t="shared" ca="1" si="0"/>
        <v>VENCIDA</v>
      </c>
    </row>
    <row r="30" spans="23:23" x14ac:dyDescent="0.25">
      <c r="W30" t="str">
        <f t="shared" ca="1" si="0"/>
        <v>VENCIDA</v>
      </c>
    </row>
    <row r="31" spans="23:23" x14ac:dyDescent="0.25">
      <c r="W31" t="str">
        <f t="shared" ca="1" si="0"/>
        <v>VENCIDA</v>
      </c>
    </row>
    <row r="32" spans="23:23" x14ac:dyDescent="0.25">
      <c r="W32" t="str">
        <f t="shared" ca="1" si="0"/>
        <v>VENCIDA</v>
      </c>
    </row>
    <row r="33" spans="23:23" x14ac:dyDescent="0.25">
      <c r="W33" t="str">
        <f t="shared" ca="1" si="0"/>
        <v>VENCIDA</v>
      </c>
    </row>
    <row r="34" spans="23:23" x14ac:dyDescent="0.25">
      <c r="W34" t="str">
        <f t="shared" ca="1" si="0"/>
        <v>VENCIDA</v>
      </c>
    </row>
    <row r="35" spans="23:23" x14ac:dyDescent="0.25">
      <c r="W35" t="str">
        <f t="shared" ca="1" si="0"/>
        <v>VENCIDA</v>
      </c>
    </row>
    <row r="36" spans="23:23" x14ac:dyDescent="0.25">
      <c r="W36" t="str">
        <f t="shared" ca="1" si="0"/>
        <v>VENCIDA</v>
      </c>
    </row>
    <row r="37" spans="23:23" x14ac:dyDescent="0.25">
      <c r="W37" t="str">
        <f t="shared" ca="1" si="0"/>
        <v>VENCIDA</v>
      </c>
    </row>
  </sheetData>
  <conditionalFormatting sqref="W2:W37">
    <cfRule type="containsText" dxfId="6" priority="1" operator="containsText" text="VENCIDA">
      <formula>NOT(ISERROR(SEARCH("VENCIDA",W2)))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3A2AA-237B-4C98-B925-4583AC017CA2}">
  <dimension ref="A1:W37"/>
  <sheetViews>
    <sheetView workbookViewId="0">
      <selection sqref="A1:XFD1048576"/>
    </sheetView>
  </sheetViews>
  <sheetFormatPr baseColWidth="10" defaultRowHeight="15" x14ac:dyDescent="0.25"/>
  <sheetData>
    <row r="1" spans="1:23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3" t="s">
        <v>22</v>
      </c>
    </row>
    <row r="2" spans="1:23" x14ac:dyDescent="0.25">
      <c r="W2" t="str">
        <f t="shared" ref="W2:W37" ca="1" si="0">IF(V2&lt;TODAY(),"VENCIDA",IF(V2=TODAY(),"VENCE HOY",IF(V2&gt;TODAY(),"")))</f>
        <v>VENCIDA</v>
      </c>
    </row>
    <row r="3" spans="1:23" x14ac:dyDescent="0.25">
      <c r="W3" t="str">
        <f t="shared" ca="1" si="0"/>
        <v>VENCIDA</v>
      </c>
    </row>
    <row r="4" spans="1:23" x14ac:dyDescent="0.25">
      <c r="W4" t="str">
        <f t="shared" ca="1" si="0"/>
        <v>VENCIDA</v>
      </c>
    </row>
    <row r="5" spans="1:23" x14ac:dyDescent="0.25">
      <c r="W5" t="str">
        <f t="shared" ca="1" si="0"/>
        <v>VENCIDA</v>
      </c>
    </row>
    <row r="6" spans="1:23" x14ac:dyDescent="0.25">
      <c r="W6" t="str">
        <f t="shared" ca="1" si="0"/>
        <v>VENCIDA</v>
      </c>
    </row>
    <row r="7" spans="1:23" x14ac:dyDescent="0.25">
      <c r="W7" t="str">
        <f t="shared" ca="1" si="0"/>
        <v>VENCIDA</v>
      </c>
    </row>
    <row r="8" spans="1:23" x14ac:dyDescent="0.25">
      <c r="W8" t="str">
        <f t="shared" ca="1" si="0"/>
        <v>VENCIDA</v>
      </c>
    </row>
    <row r="9" spans="1:23" x14ac:dyDescent="0.25">
      <c r="W9" t="str">
        <f t="shared" ca="1" si="0"/>
        <v>VENCIDA</v>
      </c>
    </row>
    <row r="10" spans="1:23" x14ac:dyDescent="0.25">
      <c r="W10" t="str">
        <f t="shared" ca="1" si="0"/>
        <v>VENCIDA</v>
      </c>
    </row>
    <row r="11" spans="1:23" x14ac:dyDescent="0.25">
      <c r="W11" t="str">
        <f t="shared" ca="1" si="0"/>
        <v>VENCIDA</v>
      </c>
    </row>
    <row r="12" spans="1:23" x14ac:dyDescent="0.25">
      <c r="W12" t="str">
        <f t="shared" ca="1" si="0"/>
        <v>VENCIDA</v>
      </c>
    </row>
    <row r="13" spans="1:23" x14ac:dyDescent="0.25">
      <c r="W13" t="str">
        <f t="shared" ca="1" si="0"/>
        <v>VENCIDA</v>
      </c>
    </row>
    <row r="14" spans="1:23" x14ac:dyDescent="0.25">
      <c r="W14" t="str">
        <f t="shared" ca="1" si="0"/>
        <v>VENCIDA</v>
      </c>
    </row>
    <row r="15" spans="1:23" x14ac:dyDescent="0.25">
      <c r="W15" t="str">
        <f t="shared" ca="1" si="0"/>
        <v>VENCIDA</v>
      </c>
    </row>
    <row r="16" spans="1:23" x14ac:dyDescent="0.25">
      <c r="W16" t="str">
        <f t="shared" ca="1" si="0"/>
        <v>VENCIDA</v>
      </c>
    </row>
    <row r="17" spans="23:23" x14ac:dyDescent="0.25">
      <c r="W17" t="str">
        <f t="shared" ca="1" si="0"/>
        <v>VENCIDA</v>
      </c>
    </row>
    <row r="18" spans="23:23" x14ac:dyDescent="0.25">
      <c r="W18" t="str">
        <f t="shared" ca="1" si="0"/>
        <v>VENCIDA</v>
      </c>
    </row>
    <row r="19" spans="23:23" x14ac:dyDescent="0.25">
      <c r="W19" t="str">
        <f t="shared" ca="1" si="0"/>
        <v>VENCIDA</v>
      </c>
    </row>
    <row r="20" spans="23:23" x14ac:dyDescent="0.25">
      <c r="W20" t="str">
        <f t="shared" ca="1" si="0"/>
        <v>VENCIDA</v>
      </c>
    </row>
    <row r="21" spans="23:23" x14ac:dyDescent="0.25">
      <c r="W21" t="str">
        <f t="shared" ca="1" si="0"/>
        <v>VENCIDA</v>
      </c>
    </row>
    <row r="22" spans="23:23" x14ac:dyDescent="0.25">
      <c r="W22" t="str">
        <f t="shared" ca="1" si="0"/>
        <v>VENCIDA</v>
      </c>
    </row>
    <row r="23" spans="23:23" x14ac:dyDescent="0.25">
      <c r="W23" t="str">
        <f t="shared" ca="1" si="0"/>
        <v>VENCIDA</v>
      </c>
    </row>
    <row r="24" spans="23:23" x14ac:dyDescent="0.25">
      <c r="W24" t="str">
        <f t="shared" ca="1" si="0"/>
        <v>VENCIDA</v>
      </c>
    </row>
    <row r="25" spans="23:23" x14ac:dyDescent="0.25">
      <c r="W25" t="str">
        <f t="shared" ca="1" si="0"/>
        <v>VENCIDA</v>
      </c>
    </row>
    <row r="26" spans="23:23" x14ac:dyDescent="0.25">
      <c r="W26" t="str">
        <f t="shared" ca="1" si="0"/>
        <v>VENCIDA</v>
      </c>
    </row>
    <row r="27" spans="23:23" x14ac:dyDescent="0.25">
      <c r="W27" t="str">
        <f t="shared" ca="1" si="0"/>
        <v>VENCIDA</v>
      </c>
    </row>
    <row r="28" spans="23:23" x14ac:dyDescent="0.25">
      <c r="W28" t="str">
        <f t="shared" ca="1" si="0"/>
        <v>VENCIDA</v>
      </c>
    </row>
    <row r="29" spans="23:23" x14ac:dyDescent="0.25">
      <c r="W29" t="str">
        <f t="shared" ca="1" si="0"/>
        <v>VENCIDA</v>
      </c>
    </row>
    <row r="30" spans="23:23" x14ac:dyDescent="0.25">
      <c r="W30" t="str">
        <f t="shared" ca="1" si="0"/>
        <v>VENCIDA</v>
      </c>
    </row>
    <row r="31" spans="23:23" x14ac:dyDescent="0.25">
      <c r="W31" t="str">
        <f t="shared" ca="1" si="0"/>
        <v>VENCIDA</v>
      </c>
    </row>
    <row r="32" spans="23:23" x14ac:dyDescent="0.25">
      <c r="W32" t="str">
        <f t="shared" ca="1" si="0"/>
        <v>VENCIDA</v>
      </c>
    </row>
    <row r="33" spans="23:23" x14ac:dyDescent="0.25">
      <c r="W33" t="str">
        <f t="shared" ca="1" si="0"/>
        <v>VENCIDA</v>
      </c>
    </row>
    <row r="34" spans="23:23" x14ac:dyDescent="0.25">
      <c r="W34" t="str">
        <f t="shared" ca="1" si="0"/>
        <v>VENCIDA</v>
      </c>
    </row>
    <row r="35" spans="23:23" x14ac:dyDescent="0.25">
      <c r="W35" t="str">
        <f t="shared" ca="1" si="0"/>
        <v>VENCIDA</v>
      </c>
    </row>
    <row r="36" spans="23:23" x14ac:dyDescent="0.25">
      <c r="W36" t="str">
        <f t="shared" ca="1" si="0"/>
        <v>VENCIDA</v>
      </c>
    </row>
    <row r="37" spans="23:23" x14ac:dyDescent="0.25">
      <c r="W37" t="str">
        <f t="shared" ca="1" si="0"/>
        <v>VENCIDA</v>
      </c>
    </row>
  </sheetData>
  <conditionalFormatting sqref="W2:W37">
    <cfRule type="containsText" dxfId="5" priority="1" operator="containsText" text="VENCIDA">
      <formula>NOT(ISERROR(SEARCH("VENCIDA",W2)))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234D-259A-4DE8-A974-2E37B2A2D782}">
  <dimension ref="A1:W37"/>
  <sheetViews>
    <sheetView workbookViewId="0">
      <selection sqref="A1:XFD1048576"/>
    </sheetView>
  </sheetViews>
  <sheetFormatPr baseColWidth="10" defaultRowHeight="15" x14ac:dyDescent="0.25"/>
  <sheetData>
    <row r="1" spans="1:23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3" t="s">
        <v>22</v>
      </c>
    </row>
    <row r="2" spans="1:23" x14ac:dyDescent="0.25">
      <c r="W2" t="str">
        <f t="shared" ref="W2:W37" ca="1" si="0">IF(V2&lt;TODAY(),"VENCIDA",IF(V2=TODAY(),"VENCE HOY",IF(V2&gt;TODAY(),"")))</f>
        <v>VENCIDA</v>
      </c>
    </row>
    <row r="3" spans="1:23" x14ac:dyDescent="0.25">
      <c r="W3" t="str">
        <f t="shared" ca="1" si="0"/>
        <v>VENCIDA</v>
      </c>
    </row>
    <row r="4" spans="1:23" x14ac:dyDescent="0.25">
      <c r="W4" t="str">
        <f t="shared" ca="1" si="0"/>
        <v>VENCIDA</v>
      </c>
    </row>
    <row r="5" spans="1:23" x14ac:dyDescent="0.25">
      <c r="W5" t="str">
        <f t="shared" ca="1" si="0"/>
        <v>VENCIDA</v>
      </c>
    </row>
    <row r="6" spans="1:23" x14ac:dyDescent="0.25">
      <c r="W6" t="str">
        <f t="shared" ca="1" si="0"/>
        <v>VENCIDA</v>
      </c>
    </row>
    <row r="7" spans="1:23" x14ac:dyDescent="0.25">
      <c r="W7" t="str">
        <f t="shared" ca="1" si="0"/>
        <v>VENCIDA</v>
      </c>
    </row>
    <row r="8" spans="1:23" x14ac:dyDescent="0.25">
      <c r="W8" t="str">
        <f t="shared" ca="1" si="0"/>
        <v>VENCIDA</v>
      </c>
    </row>
    <row r="9" spans="1:23" x14ac:dyDescent="0.25">
      <c r="W9" t="str">
        <f t="shared" ca="1" si="0"/>
        <v>VENCIDA</v>
      </c>
    </row>
    <row r="10" spans="1:23" x14ac:dyDescent="0.25">
      <c r="W10" t="str">
        <f t="shared" ca="1" si="0"/>
        <v>VENCIDA</v>
      </c>
    </row>
    <row r="11" spans="1:23" x14ac:dyDescent="0.25">
      <c r="W11" t="str">
        <f t="shared" ca="1" si="0"/>
        <v>VENCIDA</v>
      </c>
    </row>
    <row r="12" spans="1:23" x14ac:dyDescent="0.25">
      <c r="W12" t="str">
        <f t="shared" ca="1" si="0"/>
        <v>VENCIDA</v>
      </c>
    </row>
    <row r="13" spans="1:23" x14ac:dyDescent="0.25">
      <c r="W13" t="str">
        <f t="shared" ca="1" si="0"/>
        <v>VENCIDA</v>
      </c>
    </row>
    <row r="14" spans="1:23" x14ac:dyDescent="0.25">
      <c r="W14" t="str">
        <f t="shared" ca="1" si="0"/>
        <v>VENCIDA</v>
      </c>
    </row>
    <row r="15" spans="1:23" x14ac:dyDescent="0.25">
      <c r="W15" t="str">
        <f t="shared" ca="1" si="0"/>
        <v>VENCIDA</v>
      </c>
    </row>
    <row r="16" spans="1:23" x14ac:dyDescent="0.25">
      <c r="W16" t="str">
        <f t="shared" ca="1" si="0"/>
        <v>VENCIDA</v>
      </c>
    </row>
    <row r="17" spans="23:23" x14ac:dyDescent="0.25">
      <c r="W17" t="str">
        <f t="shared" ca="1" si="0"/>
        <v>VENCIDA</v>
      </c>
    </row>
    <row r="18" spans="23:23" x14ac:dyDescent="0.25">
      <c r="W18" t="str">
        <f t="shared" ca="1" si="0"/>
        <v>VENCIDA</v>
      </c>
    </row>
    <row r="19" spans="23:23" x14ac:dyDescent="0.25">
      <c r="W19" t="str">
        <f t="shared" ca="1" si="0"/>
        <v>VENCIDA</v>
      </c>
    </row>
    <row r="20" spans="23:23" x14ac:dyDescent="0.25">
      <c r="W20" t="str">
        <f t="shared" ca="1" si="0"/>
        <v>VENCIDA</v>
      </c>
    </row>
    <row r="21" spans="23:23" x14ac:dyDescent="0.25">
      <c r="W21" t="str">
        <f t="shared" ca="1" si="0"/>
        <v>VENCIDA</v>
      </c>
    </row>
    <row r="22" spans="23:23" x14ac:dyDescent="0.25">
      <c r="W22" t="str">
        <f t="shared" ca="1" si="0"/>
        <v>VENCIDA</v>
      </c>
    </row>
    <row r="23" spans="23:23" x14ac:dyDescent="0.25">
      <c r="W23" t="str">
        <f t="shared" ca="1" si="0"/>
        <v>VENCIDA</v>
      </c>
    </row>
    <row r="24" spans="23:23" x14ac:dyDescent="0.25">
      <c r="W24" t="str">
        <f t="shared" ca="1" si="0"/>
        <v>VENCIDA</v>
      </c>
    </row>
    <row r="25" spans="23:23" x14ac:dyDescent="0.25">
      <c r="W25" t="str">
        <f t="shared" ca="1" si="0"/>
        <v>VENCIDA</v>
      </c>
    </row>
    <row r="26" spans="23:23" x14ac:dyDescent="0.25">
      <c r="W26" t="str">
        <f t="shared" ca="1" si="0"/>
        <v>VENCIDA</v>
      </c>
    </row>
    <row r="27" spans="23:23" x14ac:dyDescent="0.25">
      <c r="W27" t="str">
        <f t="shared" ca="1" si="0"/>
        <v>VENCIDA</v>
      </c>
    </row>
    <row r="28" spans="23:23" x14ac:dyDescent="0.25">
      <c r="W28" t="str">
        <f t="shared" ca="1" si="0"/>
        <v>VENCIDA</v>
      </c>
    </row>
    <row r="29" spans="23:23" x14ac:dyDescent="0.25">
      <c r="W29" t="str">
        <f t="shared" ca="1" si="0"/>
        <v>VENCIDA</v>
      </c>
    </row>
    <row r="30" spans="23:23" x14ac:dyDescent="0.25">
      <c r="W30" t="str">
        <f t="shared" ca="1" si="0"/>
        <v>VENCIDA</v>
      </c>
    </row>
    <row r="31" spans="23:23" x14ac:dyDescent="0.25">
      <c r="W31" t="str">
        <f t="shared" ca="1" si="0"/>
        <v>VENCIDA</v>
      </c>
    </row>
    <row r="32" spans="23:23" x14ac:dyDescent="0.25">
      <c r="W32" t="str">
        <f t="shared" ca="1" si="0"/>
        <v>VENCIDA</v>
      </c>
    </row>
    <row r="33" spans="23:23" x14ac:dyDescent="0.25">
      <c r="W33" t="str">
        <f t="shared" ca="1" si="0"/>
        <v>VENCIDA</v>
      </c>
    </row>
    <row r="34" spans="23:23" x14ac:dyDescent="0.25">
      <c r="W34" t="str">
        <f t="shared" ca="1" si="0"/>
        <v>VENCIDA</v>
      </c>
    </row>
    <row r="35" spans="23:23" x14ac:dyDescent="0.25">
      <c r="W35" t="str">
        <f t="shared" ca="1" si="0"/>
        <v>VENCIDA</v>
      </c>
    </row>
    <row r="36" spans="23:23" x14ac:dyDescent="0.25">
      <c r="W36" t="str">
        <f t="shared" ca="1" si="0"/>
        <v>VENCIDA</v>
      </c>
    </row>
    <row r="37" spans="23:23" x14ac:dyDescent="0.25">
      <c r="W37" t="str">
        <f t="shared" ca="1" si="0"/>
        <v>VENCIDA</v>
      </c>
    </row>
  </sheetData>
  <conditionalFormatting sqref="W2:W37">
    <cfRule type="containsText" dxfId="4" priority="1" operator="containsText" text="VENCIDA">
      <formula>NOT(ISERROR(SEARCH("VENCIDA",W2)))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BDCD0-A104-4ECC-8ACD-63B3B5DB0FAE}">
  <dimension ref="A1:W37"/>
  <sheetViews>
    <sheetView workbookViewId="0">
      <selection sqref="A1:XFD1048576"/>
    </sheetView>
  </sheetViews>
  <sheetFormatPr baseColWidth="10" defaultRowHeight="15" x14ac:dyDescent="0.25"/>
  <sheetData>
    <row r="1" spans="1:23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3" t="s">
        <v>22</v>
      </c>
    </row>
    <row r="2" spans="1:23" x14ac:dyDescent="0.25">
      <c r="W2" t="str">
        <f t="shared" ref="W2:W37" ca="1" si="0">IF(V2&lt;TODAY(),"VENCIDA",IF(V2=TODAY(),"VENCE HOY",IF(V2&gt;TODAY(),"")))</f>
        <v>VENCIDA</v>
      </c>
    </row>
    <row r="3" spans="1:23" x14ac:dyDescent="0.25">
      <c r="W3" t="str">
        <f t="shared" ca="1" si="0"/>
        <v>VENCIDA</v>
      </c>
    </row>
    <row r="4" spans="1:23" x14ac:dyDescent="0.25">
      <c r="W4" t="str">
        <f t="shared" ca="1" si="0"/>
        <v>VENCIDA</v>
      </c>
    </row>
    <row r="5" spans="1:23" x14ac:dyDescent="0.25">
      <c r="W5" t="str">
        <f t="shared" ca="1" si="0"/>
        <v>VENCIDA</v>
      </c>
    </row>
    <row r="6" spans="1:23" x14ac:dyDescent="0.25">
      <c r="W6" t="str">
        <f t="shared" ca="1" si="0"/>
        <v>VENCIDA</v>
      </c>
    </row>
    <row r="7" spans="1:23" x14ac:dyDescent="0.25">
      <c r="W7" t="str">
        <f t="shared" ca="1" si="0"/>
        <v>VENCIDA</v>
      </c>
    </row>
    <row r="8" spans="1:23" x14ac:dyDescent="0.25">
      <c r="W8" t="str">
        <f t="shared" ca="1" si="0"/>
        <v>VENCIDA</v>
      </c>
    </row>
    <row r="9" spans="1:23" x14ac:dyDescent="0.25">
      <c r="W9" t="str">
        <f t="shared" ca="1" si="0"/>
        <v>VENCIDA</v>
      </c>
    </row>
    <row r="10" spans="1:23" x14ac:dyDescent="0.25">
      <c r="W10" t="str">
        <f t="shared" ca="1" si="0"/>
        <v>VENCIDA</v>
      </c>
    </row>
    <row r="11" spans="1:23" x14ac:dyDescent="0.25">
      <c r="W11" t="str">
        <f t="shared" ca="1" si="0"/>
        <v>VENCIDA</v>
      </c>
    </row>
    <row r="12" spans="1:23" x14ac:dyDescent="0.25">
      <c r="W12" t="str">
        <f t="shared" ca="1" si="0"/>
        <v>VENCIDA</v>
      </c>
    </row>
    <row r="13" spans="1:23" x14ac:dyDescent="0.25">
      <c r="W13" t="str">
        <f t="shared" ca="1" si="0"/>
        <v>VENCIDA</v>
      </c>
    </row>
    <row r="14" spans="1:23" x14ac:dyDescent="0.25">
      <c r="W14" t="str">
        <f t="shared" ca="1" si="0"/>
        <v>VENCIDA</v>
      </c>
    </row>
    <row r="15" spans="1:23" x14ac:dyDescent="0.25">
      <c r="W15" t="str">
        <f t="shared" ca="1" si="0"/>
        <v>VENCIDA</v>
      </c>
    </row>
    <row r="16" spans="1:23" x14ac:dyDescent="0.25">
      <c r="W16" t="str">
        <f t="shared" ca="1" si="0"/>
        <v>VENCIDA</v>
      </c>
    </row>
    <row r="17" spans="23:23" x14ac:dyDescent="0.25">
      <c r="W17" t="str">
        <f t="shared" ca="1" si="0"/>
        <v>VENCIDA</v>
      </c>
    </row>
    <row r="18" spans="23:23" x14ac:dyDescent="0.25">
      <c r="W18" t="str">
        <f t="shared" ca="1" si="0"/>
        <v>VENCIDA</v>
      </c>
    </row>
    <row r="19" spans="23:23" x14ac:dyDescent="0.25">
      <c r="W19" t="str">
        <f t="shared" ca="1" si="0"/>
        <v>VENCIDA</v>
      </c>
    </row>
    <row r="20" spans="23:23" x14ac:dyDescent="0.25">
      <c r="W20" t="str">
        <f t="shared" ca="1" si="0"/>
        <v>VENCIDA</v>
      </c>
    </row>
    <row r="21" spans="23:23" x14ac:dyDescent="0.25">
      <c r="W21" t="str">
        <f t="shared" ca="1" si="0"/>
        <v>VENCIDA</v>
      </c>
    </row>
    <row r="22" spans="23:23" x14ac:dyDescent="0.25">
      <c r="W22" t="str">
        <f t="shared" ca="1" si="0"/>
        <v>VENCIDA</v>
      </c>
    </row>
    <row r="23" spans="23:23" x14ac:dyDescent="0.25">
      <c r="W23" t="str">
        <f t="shared" ca="1" si="0"/>
        <v>VENCIDA</v>
      </c>
    </row>
    <row r="24" spans="23:23" x14ac:dyDescent="0.25">
      <c r="W24" t="str">
        <f t="shared" ca="1" si="0"/>
        <v>VENCIDA</v>
      </c>
    </row>
    <row r="25" spans="23:23" x14ac:dyDescent="0.25">
      <c r="W25" t="str">
        <f t="shared" ca="1" si="0"/>
        <v>VENCIDA</v>
      </c>
    </row>
    <row r="26" spans="23:23" x14ac:dyDescent="0.25">
      <c r="W26" t="str">
        <f t="shared" ca="1" si="0"/>
        <v>VENCIDA</v>
      </c>
    </row>
    <row r="27" spans="23:23" x14ac:dyDescent="0.25">
      <c r="W27" t="str">
        <f t="shared" ca="1" si="0"/>
        <v>VENCIDA</v>
      </c>
    </row>
    <row r="28" spans="23:23" x14ac:dyDescent="0.25">
      <c r="W28" t="str">
        <f t="shared" ca="1" si="0"/>
        <v>VENCIDA</v>
      </c>
    </row>
    <row r="29" spans="23:23" x14ac:dyDescent="0.25">
      <c r="W29" t="str">
        <f t="shared" ca="1" si="0"/>
        <v>VENCIDA</v>
      </c>
    </row>
    <row r="30" spans="23:23" x14ac:dyDescent="0.25">
      <c r="W30" t="str">
        <f t="shared" ca="1" si="0"/>
        <v>VENCIDA</v>
      </c>
    </row>
    <row r="31" spans="23:23" x14ac:dyDescent="0.25">
      <c r="W31" t="str">
        <f t="shared" ca="1" si="0"/>
        <v>VENCIDA</v>
      </c>
    </row>
    <row r="32" spans="23:23" x14ac:dyDescent="0.25">
      <c r="W32" t="str">
        <f t="shared" ca="1" si="0"/>
        <v>VENCIDA</v>
      </c>
    </row>
    <row r="33" spans="23:23" x14ac:dyDescent="0.25">
      <c r="W33" t="str">
        <f t="shared" ca="1" si="0"/>
        <v>VENCIDA</v>
      </c>
    </row>
    <row r="34" spans="23:23" x14ac:dyDescent="0.25">
      <c r="W34" t="str">
        <f t="shared" ca="1" si="0"/>
        <v>VENCIDA</v>
      </c>
    </row>
    <row r="35" spans="23:23" x14ac:dyDescent="0.25">
      <c r="W35" t="str">
        <f t="shared" ca="1" si="0"/>
        <v>VENCIDA</v>
      </c>
    </row>
    <row r="36" spans="23:23" x14ac:dyDescent="0.25">
      <c r="W36" t="str">
        <f t="shared" ca="1" si="0"/>
        <v>VENCIDA</v>
      </c>
    </row>
    <row r="37" spans="23:23" x14ac:dyDescent="0.25">
      <c r="W37" t="str">
        <f t="shared" ca="1" si="0"/>
        <v>VENCIDA</v>
      </c>
    </row>
  </sheetData>
  <conditionalFormatting sqref="W2:W37">
    <cfRule type="containsText" dxfId="3" priority="1" operator="containsText" text="VENCIDA">
      <formula>NOT(ISERROR(SEARCH("VENCIDA",W2)))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E204C-A55B-488B-91A9-78D035C9202C}">
  <dimension ref="A1:W37"/>
  <sheetViews>
    <sheetView workbookViewId="0">
      <selection sqref="A1:XFD1048576"/>
    </sheetView>
  </sheetViews>
  <sheetFormatPr baseColWidth="10" defaultRowHeight="15" x14ac:dyDescent="0.25"/>
  <sheetData>
    <row r="1" spans="1:23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3" t="s">
        <v>22</v>
      </c>
    </row>
    <row r="2" spans="1:23" x14ac:dyDescent="0.25">
      <c r="W2" t="str">
        <f t="shared" ref="W2:W37" ca="1" si="0">IF(V2&lt;TODAY(),"VENCIDA",IF(V2=TODAY(),"VENCE HOY",IF(V2&gt;TODAY(),"")))</f>
        <v>VENCIDA</v>
      </c>
    </row>
    <row r="3" spans="1:23" x14ac:dyDescent="0.25">
      <c r="W3" t="str">
        <f t="shared" ca="1" si="0"/>
        <v>VENCIDA</v>
      </c>
    </row>
    <row r="4" spans="1:23" x14ac:dyDescent="0.25">
      <c r="W4" t="str">
        <f t="shared" ca="1" si="0"/>
        <v>VENCIDA</v>
      </c>
    </row>
    <row r="5" spans="1:23" x14ac:dyDescent="0.25">
      <c r="W5" t="str">
        <f t="shared" ca="1" si="0"/>
        <v>VENCIDA</v>
      </c>
    </row>
    <row r="6" spans="1:23" x14ac:dyDescent="0.25">
      <c r="W6" t="str">
        <f t="shared" ca="1" si="0"/>
        <v>VENCIDA</v>
      </c>
    </row>
    <row r="7" spans="1:23" x14ac:dyDescent="0.25">
      <c r="W7" t="str">
        <f t="shared" ca="1" si="0"/>
        <v>VENCIDA</v>
      </c>
    </row>
    <row r="8" spans="1:23" x14ac:dyDescent="0.25">
      <c r="W8" t="str">
        <f t="shared" ca="1" si="0"/>
        <v>VENCIDA</v>
      </c>
    </row>
    <row r="9" spans="1:23" x14ac:dyDescent="0.25">
      <c r="W9" t="str">
        <f t="shared" ca="1" si="0"/>
        <v>VENCIDA</v>
      </c>
    </row>
    <row r="10" spans="1:23" x14ac:dyDescent="0.25">
      <c r="W10" t="str">
        <f t="shared" ca="1" si="0"/>
        <v>VENCIDA</v>
      </c>
    </row>
    <row r="11" spans="1:23" x14ac:dyDescent="0.25">
      <c r="W11" t="str">
        <f t="shared" ca="1" si="0"/>
        <v>VENCIDA</v>
      </c>
    </row>
    <row r="12" spans="1:23" x14ac:dyDescent="0.25">
      <c r="W12" t="str">
        <f t="shared" ca="1" si="0"/>
        <v>VENCIDA</v>
      </c>
    </row>
    <row r="13" spans="1:23" x14ac:dyDescent="0.25">
      <c r="W13" t="str">
        <f t="shared" ca="1" si="0"/>
        <v>VENCIDA</v>
      </c>
    </row>
    <row r="14" spans="1:23" x14ac:dyDescent="0.25">
      <c r="W14" t="str">
        <f t="shared" ca="1" si="0"/>
        <v>VENCIDA</v>
      </c>
    </row>
    <row r="15" spans="1:23" x14ac:dyDescent="0.25">
      <c r="W15" t="str">
        <f t="shared" ca="1" si="0"/>
        <v>VENCIDA</v>
      </c>
    </row>
    <row r="16" spans="1:23" x14ac:dyDescent="0.25">
      <c r="W16" t="str">
        <f t="shared" ca="1" si="0"/>
        <v>VENCIDA</v>
      </c>
    </row>
    <row r="17" spans="23:23" x14ac:dyDescent="0.25">
      <c r="W17" t="str">
        <f t="shared" ca="1" si="0"/>
        <v>VENCIDA</v>
      </c>
    </row>
    <row r="18" spans="23:23" x14ac:dyDescent="0.25">
      <c r="W18" t="str">
        <f t="shared" ca="1" si="0"/>
        <v>VENCIDA</v>
      </c>
    </row>
    <row r="19" spans="23:23" x14ac:dyDescent="0.25">
      <c r="W19" t="str">
        <f t="shared" ca="1" si="0"/>
        <v>VENCIDA</v>
      </c>
    </row>
    <row r="20" spans="23:23" x14ac:dyDescent="0.25">
      <c r="W20" t="str">
        <f t="shared" ca="1" si="0"/>
        <v>VENCIDA</v>
      </c>
    </row>
    <row r="21" spans="23:23" x14ac:dyDescent="0.25">
      <c r="W21" t="str">
        <f t="shared" ca="1" si="0"/>
        <v>VENCIDA</v>
      </c>
    </row>
    <row r="22" spans="23:23" x14ac:dyDescent="0.25">
      <c r="W22" t="str">
        <f t="shared" ca="1" si="0"/>
        <v>VENCIDA</v>
      </c>
    </row>
    <row r="23" spans="23:23" x14ac:dyDescent="0.25">
      <c r="W23" t="str">
        <f t="shared" ca="1" si="0"/>
        <v>VENCIDA</v>
      </c>
    </row>
    <row r="24" spans="23:23" x14ac:dyDescent="0.25">
      <c r="W24" t="str">
        <f t="shared" ca="1" si="0"/>
        <v>VENCIDA</v>
      </c>
    </row>
    <row r="25" spans="23:23" x14ac:dyDescent="0.25">
      <c r="W25" t="str">
        <f t="shared" ca="1" si="0"/>
        <v>VENCIDA</v>
      </c>
    </row>
    <row r="26" spans="23:23" x14ac:dyDescent="0.25">
      <c r="W26" t="str">
        <f t="shared" ca="1" si="0"/>
        <v>VENCIDA</v>
      </c>
    </row>
    <row r="27" spans="23:23" x14ac:dyDescent="0.25">
      <c r="W27" t="str">
        <f t="shared" ca="1" si="0"/>
        <v>VENCIDA</v>
      </c>
    </row>
    <row r="28" spans="23:23" x14ac:dyDescent="0.25">
      <c r="W28" t="str">
        <f t="shared" ca="1" si="0"/>
        <v>VENCIDA</v>
      </c>
    </row>
    <row r="29" spans="23:23" x14ac:dyDescent="0.25">
      <c r="W29" t="str">
        <f t="shared" ca="1" si="0"/>
        <v>VENCIDA</v>
      </c>
    </row>
    <row r="30" spans="23:23" x14ac:dyDescent="0.25">
      <c r="W30" t="str">
        <f t="shared" ca="1" si="0"/>
        <v>VENCIDA</v>
      </c>
    </row>
    <row r="31" spans="23:23" x14ac:dyDescent="0.25">
      <c r="W31" t="str">
        <f t="shared" ca="1" si="0"/>
        <v>VENCIDA</v>
      </c>
    </row>
    <row r="32" spans="23:23" x14ac:dyDescent="0.25">
      <c r="W32" t="str">
        <f t="shared" ca="1" si="0"/>
        <v>VENCIDA</v>
      </c>
    </row>
    <row r="33" spans="23:23" x14ac:dyDescent="0.25">
      <c r="W33" t="str">
        <f t="shared" ca="1" si="0"/>
        <v>VENCIDA</v>
      </c>
    </row>
    <row r="34" spans="23:23" x14ac:dyDescent="0.25">
      <c r="W34" t="str">
        <f t="shared" ca="1" si="0"/>
        <v>VENCIDA</v>
      </c>
    </row>
    <row r="35" spans="23:23" x14ac:dyDescent="0.25">
      <c r="W35" t="str">
        <f t="shared" ca="1" si="0"/>
        <v>VENCIDA</v>
      </c>
    </row>
    <row r="36" spans="23:23" x14ac:dyDescent="0.25">
      <c r="W36" t="str">
        <f t="shared" ca="1" si="0"/>
        <v>VENCIDA</v>
      </c>
    </row>
    <row r="37" spans="23:23" x14ac:dyDescent="0.25">
      <c r="W37" t="str">
        <f t="shared" ca="1" si="0"/>
        <v>VENCIDA</v>
      </c>
    </row>
  </sheetData>
  <conditionalFormatting sqref="W2:W37">
    <cfRule type="containsText" dxfId="2" priority="1" operator="containsText" text="VENCIDA">
      <formula>NOT(ISERROR(SEARCH("VENCIDA",W2)))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48A26-39AE-48A9-AB40-AF2428C5C46D}">
  <dimension ref="A1:W37"/>
  <sheetViews>
    <sheetView workbookViewId="0">
      <selection sqref="A1:XFD1048576"/>
    </sheetView>
  </sheetViews>
  <sheetFormatPr baseColWidth="10" defaultRowHeight="15" x14ac:dyDescent="0.25"/>
  <sheetData>
    <row r="1" spans="1:23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3" t="s">
        <v>22</v>
      </c>
    </row>
    <row r="2" spans="1:23" x14ac:dyDescent="0.25">
      <c r="W2" t="str">
        <f t="shared" ref="W2:W37" ca="1" si="0">IF(V2&lt;TODAY(),"VENCIDA",IF(V2=TODAY(),"VENCE HOY",IF(V2&gt;TODAY(),"")))</f>
        <v>VENCIDA</v>
      </c>
    </row>
    <row r="3" spans="1:23" x14ac:dyDescent="0.25">
      <c r="W3" t="str">
        <f t="shared" ca="1" si="0"/>
        <v>VENCIDA</v>
      </c>
    </row>
    <row r="4" spans="1:23" x14ac:dyDescent="0.25">
      <c r="W4" t="str">
        <f t="shared" ca="1" si="0"/>
        <v>VENCIDA</v>
      </c>
    </row>
    <row r="5" spans="1:23" x14ac:dyDescent="0.25">
      <c r="W5" t="str">
        <f t="shared" ca="1" si="0"/>
        <v>VENCIDA</v>
      </c>
    </row>
    <row r="6" spans="1:23" x14ac:dyDescent="0.25">
      <c r="W6" t="str">
        <f t="shared" ca="1" si="0"/>
        <v>VENCIDA</v>
      </c>
    </row>
    <row r="7" spans="1:23" x14ac:dyDescent="0.25">
      <c r="W7" t="str">
        <f t="shared" ca="1" si="0"/>
        <v>VENCIDA</v>
      </c>
    </row>
    <row r="8" spans="1:23" x14ac:dyDescent="0.25">
      <c r="W8" t="str">
        <f t="shared" ca="1" si="0"/>
        <v>VENCIDA</v>
      </c>
    </row>
    <row r="9" spans="1:23" x14ac:dyDescent="0.25">
      <c r="W9" t="str">
        <f t="shared" ca="1" si="0"/>
        <v>VENCIDA</v>
      </c>
    </row>
    <row r="10" spans="1:23" x14ac:dyDescent="0.25">
      <c r="W10" t="str">
        <f t="shared" ca="1" si="0"/>
        <v>VENCIDA</v>
      </c>
    </row>
    <row r="11" spans="1:23" x14ac:dyDescent="0.25">
      <c r="W11" t="str">
        <f t="shared" ca="1" si="0"/>
        <v>VENCIDA</v>
      </c>
    </row>
    <row r="12" spans="1:23" x14ac:dyDescent="0.25">
      <c r="W12" t="str">
        <f t="shared" ca="1" si="0"/>
        <v>VENCIDA</v>
      </c>
    </row>
    <row r="13" spans="1:23" x14ac:dyDescent="0.25">
      <c r="W13" t="str">
        <f t="shared" ca="1" si="0"/>
        <v>VENCIDA</v>
      </c>
    </row>
    <row r="14" spans="1:23" x14ac:dyDescent="0.25">
      <c r="W14" t="str">
        <f t="shared" ca="1" si="0"/>
        <v>VENCIDA</v>
      </c>
    </row>
    <row r="15" spans="1:23" x14ac:dyDescent="0.25">
      <c r="W15" t="str">
        <f t="shared" ca="1" si="0"/>
        <v>VENCIDA</v>
      </c>
    </row>
    <row r="16" spans="1:23" x14ac:dyDescent="0.25">
      <c r="W16" t="str">
        <f t="shared" ca="1" si="0"/>
        <v>VENCIDA</v>
      </c>
    </row>
    <row r="17" spans="23:23" x14ac:dyDescent="0.25">
      <c r="W17" t="str">
        <f t="shared" ca="1" si="0"/>
        <v>VENCIDA</v>
      </c>
    </row>
    <row r="18" spans="23:23" x14ac:dyDescent="0.25">
      <c r="W18" t="str">
        <f t="shared" ca="1" si="0"/>
        <v>VENCIDA</v>
      </c>
    </row>
    <row r="19" spans="23:23" x14ac:dyDescent="0.25">
      <c r="W19" t="str">
        <f t="shared" ca="1" si="0"/>
        <v>VENCIDA</v>
      </c>
    </row>
    <row r="20" spans="23:23" x14ac:dyDescent="0.25">
      <c r="W20" t="str">
        <f t="shared" ca="1" si="0"/>
        <v>VENCIDA</v>
      </c>
    </row>
    <row r="21" spans="23:23" x14ac:dyDescent="0.25">
      <c r="W21" t="str">
        <f t="shared" ca="1" si="0"/>
        <v>VENCIDA</v>
      </c>
    </row>
    <row r="22" spans="23:23" x14ac:dyDescent="0.25">
      <c r="W22" t="str">
        <f t="shared" ca="1" si="0"/>
        <v>VENCIDA</v>
      </c>
    </row>
    <row r="23" spans="23:23" x14ac:dyDescent="0.25">
      <c r="W23" t="str">
        <f t="shared" ca="1" si="0"/>
        <v>VENCIDA</v>
      </c>
    </row>
    <row r="24" spans="23:23" x14ac:dyDescent="0.25">
      <c r="W24" t="str">
        <f t="shared" ca="1" si="0"/>
        <v>VENCIDA</v>
      </c>
    </row>
    <row r="25" spans="23:23" x14ac:dyDescent="0.25">
      <c r="W25" t="str">
        <f t="shared" ca="1" si="0"/>
        <v>VENCIDA</v>
      </c>
    </row>
    <row r="26" spans="23:23" x14ac:dyDescent="0.25">
      <c r="W26" t="str">
        <f t="shared" ca="1" si="0"/>
        <v>VENCIDA</v>
      </c>
    </row>
    <row r="27" spans="23:23" x14ac:dyDescent="0.25">
      <c r="W27" t="str">
        <f t="shared" ca="1" si="0"/>
        <v>VENCIDA</v>
      </c>
    </row>
    <row r="28" spans="23:23" x14ac:dyDescent="0.25">
      <c r="W28" t="str">
        <f t="shared" ca="1" si="0"/>
        <v>VENCIDA</v>
      </c>
    </row>
    <row r="29" spans="23:23" x14ac:dyDescent="0.25">
      <c r="W29" t="str">
        <f t="shared" ca="1" si="0"/>
        <v>VENCIDA</v>
      </c>
    </row>
    <row r="30" spans="23:23" x14ac:dyDescent="0.25">
      <c r="W30" t="str">
        <f t="shared" ca="1" si="0"/>
        <v>VENCIDA</v>
      </c>
    </row>
    <row r="31" spans="23:23" x14ac:dyDescent="0.25">
      <c r="W31" t="str">
        <f t="shared" ca="1" si="0"/>
        <v>VENCIDA</v>
      </c>
    </row>
    <row r="32" spans="23:23" x14ac:dyDescent="0.25">
      <c r="W32" t="str">
        <f t="shared" ca="1" si="0"/>
        <v>VENCIDA</v>
      </c>
    </row>
    <row r="33" spans="23:23" x14ac:dyDescent="0.25">
      <c r="W33" t="str">
        <f t="shared" ca="1" si="0"/>
        <v>VENCIDA</v>
      </c>
    </row>
    <row r="34" spans="23:23" x14ac:dyDescent="0.25">
      <c r="W34" t="str">
        <f t="shared" ca="1" si="0"/>
        <v>VENCIDA</v>
      </c>
    </row>
    <row r="35" spans="23:23" x14ac:dyDescent="0.25">
      <c r="W35" t="str">
        <f t="shared" ca="1" si="0"/>
        <v>VENCIDA</v>
      </c>
    </row>
    <row r="36" spans="23:23" x14ac:dyDescent="0.25">
      <c r="W36" t="str">
        <f t="shared" ca="1" si="0"/>
        <v>VENCIDA</v>
      </c>
    </row>
    <row r="37" spans="23:23" x14ac:dyDescent="0.25">
      <c r="W37" t="str">
        <f t="shared" ca="1" si="0"/>
        <v>VENCIDA</v>
      </c>
    </row>
  </sheetData>
  <conditionalFormatting sqref="W2:W37">
    <cfRule type="containsText" dxfId="1" priority="1" operator="containsText" text="VENCIDA">
      <formula>NOT(ISERROR(SEARCH("VENCIDA",W2)))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85F83-F132-4D6D-A8FA-F7A98D388AEB}">
  <dimension ref="A1:W56"/>
  <sheetViews>
    <sheetView zoomScale="80" zoomScaleNormal="80" workbookViewId="0">
      <selection activeCell="AA19" sqref="AA19"/>
    </sheetView>
  </sheetViews>
  <sheetFormatPr baseColWidth="10" defaultRowHeight="15" x14ac:dyDescent="0.25"/>
  <sheetData>
    <row r="1" spans="1:23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3" t="s">
        <v>22</v>
      </c>
    </row>
    <row r="2" spans="1:23" x14ac:dyDescent="0.25">
      <c r="A2" s="4"/>
      <c r="B2" s="5"/>
      <c r="C2" s="4"/>
      <c r="D2" s="4"/>
      <c r="E2" s="4"/>
      <c r="F2" s="4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4"/>
      <c r="T2" s="6"/>
      <c r="U2" s="6"/>
      <c r="V2" s="5"/>
      <c r="W2" t="str">
        <f t="shared" ref="W2:W56" ca="1" si="0">IF(V2&lt;TODAY(),"VENCIDA",IF(V2=TODAY(),"VENCE HOY",IF(V2&gt;TODAY(),"")))</f>
        <v>VENCIDA</v>
      </c>
    </row>
    <row r="3" spans="1:23" x14ac:dyDescent="0.25">
      <c r="A3" s="4"/>
      <c r="B3" s="5"/>
      <c r="C3" s="4"/>
      <c r="D3" s="4"/>
      <c r="E3" s="4"/>
      <c r="F3" s="4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4"/>
      <c r="T3" s="6"/>
      <c r="U3" s="6"/>
      <c r="V3" s="5"/>
      <c r="W3" t="str">
        <f t="shared" ca="1" si="0"/>
        <v>VENCIDA</v>
      </c>
    </row>
    <row r="4" spans="1:23" x14ac:dyDescent="0.25">
      <c r="A4" s="4"/>
      <c r="B4" s="5"/>
      <c r="C4" s="4"/>
      <c r="D4" s="4"/>
      <c r="E4" s="4"/>
      <c r="F4" s="4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4"/>
      <c r="T4" s="6"/>
      <c r="U4" s="6"/>
      <c r="V4" s="5"/>
      <c r="W4" t="str">
        <f t="shared" ca="1" si="0"/>
        <v>VENCIDA</v>
      </c>
    </row>
    <row r="5" spans="1:23" x14ac:dyDescent="0.25">
      <c r="A5" s="4"/>
      <c r="B5" s="5"/>
      <c r="C5" s="4"/>
      <c r="D5" s="4"/>
      <c r="E5" s="4"/>
      <c r="F5" s="4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4"/>
      <c r="T5" s="6"/>
      <c r="U5" s="6"/>
      <c r="V5" s="5"/>
      <c r="W5" t="str">
        <f t="shared" ca="1" si="0"/>
        <v>VENCIDA</v>
      </c>
    </row>
    <row r="6" spans="1:23" x14ac:dyDescent="0.25">
      <c r="A6" s="4"/>
      <c r="B6" s="5"/>
      <c r="C6" s="4"/>
      <c r="D6" s="4"/>
      <c r="E6" s="4"/>
      <c r="F6" s="4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4"/>
      <c r="T6" s="6"/>
      <c r="U6" s="6"/>
      <c r="V6" s="5"/>
      <c r="W6" t="str">
        <f t="shared" ca="1" si="0"/>
        <v>VENCIDA</v>
      </c>
    </row>
    <row r="7" spans="1:23" x14ac:dyDescent="0.25">
      <c r="A7" s="4"/>
      <c r="B7" s="5"/>
      <c r="C7" s="4"/>
      <c r="D7" s="4"/>
      <c r="E7" s="4"/>
      <c r="F7" s="4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4"/>
      <c r="T7" s="6"/>
      <c r="U7" s="6"/>
      <c r="V7" s="5"/>
      <c r="W7" t="str">
        <f t="shared" ca="1" si="0"/>
        <v>VENCIDA</v>
      </c>
    </row>
    <row r="8" spans="1:23" x14ac:dyDescent="0.25">
      <c r="A8" s="4"/>
      <c r="B8" s="5"/>
      <c r="C8" s="4"/>
      <c r="D8" s="4"/>
      <c r="E8" s="4"/>
      <c r="F8" s="4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4"/>
      <c r="T8" s="6"/>
      <c r="U8" s="6"/>
      <c r="V8" s="5"/>
      <c r="W8" t="str">
        <f t="shared" ca="1" si="0"/>
        <v>VENCIDA</v>
      </c>
    </row>
    <row r="9" spans="1:23" x14ac:dyDescent="0.25">
      <c r="A9" s="4"/>
      <c r="B9" s="5"/>
      <c r="C9" s="4"/>
      <c r="D9" s="4"/>
      <c r="E9" s="4"/>
      <c r="F9" s="4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4"/>
      <c r="T9" s="6"/>
      <c r="U9" s="6"/>
      <c r="V9" s="5"/>
      <c r="W9" t="str">
        <f t="shared" ca="1" si="0"/>
        <v>VENCIDA</v>
      </c>
    </row>
    <row r="10" spans="1:23" x14ac:dyDescent="0.25">
      <c r="A10" s="4"/>
      <c r="B10" s="5"/>
      <c r="C10" s="4"/>
      <c r="D10" s="4"/>
      <c r="E10" s="4"/>
      <c r="F10" s="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4"/>
      <c r="T10" s="6"/>
      <c r="U10" s="6"/>
      <c r="V10" s="5"/>
      <c r="W10" t="str">
        <f t="shared" ca="1" si="0"/>
        <v>VENCIDA</v>
      </c>
    </row>
    <row r="11" spans="1:23" x14ac:dyDescent="0.25">
      <c r="A11" s="4"/>
      <c r="B11" s="5"/>
      <c r="C11" s="4"/>
      <c r="D11" s="4"/>
      <c r="E11" s="4"/>
      <c r="F11" s="4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4"/>
      <c r="T11" s="6"/>
      <c r="U11" s="6"/>
      <c r="V11" s="5"/>
      <c r="W11" t="str">
        <f t="shared" ca="1" si="0"/>
        <v>VENCIDA</v>
      </c>
    </row>
    <row r="12" spans="1:23" x14ac:dyDescent="0.25">
      <c r="A12" s="4"/>
      <c r="B12" s="5"/>
      <c r="C12" s="4"/>
      <c r="D12" s="4"/>
      <c r="E12" s="4"/>
      <c r="F12" s="4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4"/>
      <c r="T12" s="6"/>
      <c r="U12" s="6"/>
      <c r="V12" s="5"/>
      <c r="W12" t="str">
        <f t="shared" ca="1" si="0"/>
        <v>VENCIDA</v>
      </c>
    </row>
    <row r="13" spans="1:23" x14ac:dyDescent="0.25">
      <c r="A13" s="4"/>
      <c r="B13" s="5"/>
      <c r="C13" s="4"/>
      <c r="D13" s="4"/>
      <c r="E13" s="4"/>
      <c r="F13" s="4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4"/>
      <c r="T13" s="6"/>
      <c r="U13" s="6"/>
      <c r="V13" s="5"/>
      <c r="W13" t="str">
        <f t="shared" ca="1" si="0"/>
        <v>VENCIDA</v>
      </c>
    </row>
    <row r="14" spans="1:23" x14ac:dyDescent="0.25">
      <c r="A14" s="4"/>
      <c r="B14" s="5"/>
      <c r="C14" s="4"/>
      <c r="D14" s="4"/>
      <c r="E14" s="4"/>
      <c r="F14" s="4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4"/>
      <c r="T14" s="6"/>
      <c r="U14" s="6"/>
      <c r="V14" s="5"/>
      <c r="W14" t="str">
        <f t="shared" ca="1" si="0"/>
        <v>VENCIDA</v>
      </c>
    </row>
    <row r="15" spans="1:23" x14ac:dyDescent="0.25">
      <c r="A15" s="4"/>
      <c r="B15" s="5"/>
      <c r="C15" s="4"/>
      <c r="D15" s="4"/>
      <c r="E15" s="4"/>
      <c r="F15" s="4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4"/>
      <c r="T15" s="6"/>
      <c r="U15" s="6"/>
      <c r="V15" s="5"/>
      <c r="W15" t="str">
        <f t="shared" ca="1" si="0"/>
        <v>VENCIDA</v>
      </c>
    </row>
    <row r="16" spans="1:23" x14ac:dyDescent="0.25">
      <c r="A16" s="4"/>
      <c r="B16" s="5"/>
      <c r="C16" s="4"/>
      <c r="D16" s="4"/>
      <c r="E16" s="4"/>
      <c r="F16" s="4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4"/>
      <c r="T16" s="6"/>
      <c r="U16" s="6"/>
      <c r="V16" s="5"/>
      <c r="W16" t="str">
        <f t="shared" ca="1" si="0"/>
        <v>VENCIDA</v>
      </c>
    </row>
    <row r="17" spans="1:23" x14ac:dyDescent="0.25">
      <c r="A17" s="4"/>
      <c r="B17" s="5"/>
      <c r="C17" s="4"/>
      <c r="D17" s="4"/>
      <c r="E17" s="4"/>
      <c r="F17" s="4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4"/>
      <c r="T17" s="6"/>
      <c r="U17" s="6"/>
      <c r="V17" s="5"/>
      <c r="W17" t="str">
        <f t="shared" ca="1" si="0"/>
        <v>VENCIDA</v>
      </c>
    </row>
    <row r="18" spans="1:23" x14ac:dyDescent="0.25">
      <c r="A18" s="4"/>
      <c r="B18" s="5"/>
      <c r="C18" s="4"/>
      <c r="D18" s="4"/>
      <c r="E18" s="4"/>
      <c r="F18" s="4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4"/>
      <c r="T18" s="6"/>
      <c r="U18" s="6"/>
      <c r="V18" s="5"/>
      <c r="W18" t="str">
        <f t="shared" ca="1" si="0"/>
        <v>VENCIDA</v>
      </c>
    </row>
    <row r="19" spans="1:23" x14ac:dyDescent="0.25">
      <c r="A19" s="4"/>
      <c r="B19" s="5"/>
      <c r="C19" s="4"/>
      <c r="D19" s="4"/>
      <c r="E19" s="4"/>
      <c r="F19" s="4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4"/>
      <c r="T19" s="6"/>
      <c r="U19" s="6"/>
      <c r="V19" s="5"/>
      <c r="W19" t="str">
        <f t="shared" ca="1" si="0"/>
        <v>VENCIDA</v>
      </c>
    </row>
    <row r="20" spans="1:23" x14ac:dyDescent="0.25">
      <c r="A20" s="4"/>
      <c r="B20" s="5"/>
      <c r="C20" s="4"/>
      <c r="D20" s="4"/>
      <c r="E20" s="4"/>
      <c r="F20" s="4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4"/>
      <c r="T20" s="6"/>
      <c r="U20" s="6"/>
      <c r="V20" s="5"/>
      <c r="W20" t="str">
        <f t="shared" ca="1" si="0"/>
        <v>VENCIDA</v>
      </c>
    </row>
    <row r="21" spans="1:23" x14ac:dyDescent="0.25">
      <c r="A21" s="4"/>
      <c r="B21" s="5"/>
      <c r="C21" s="4"/>
      <c r="D21" s="4"/>
      <c r="E21" s="4"/>
      <c r="F21" s="4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4"/>
      <c r="T21" s="6"/>
      <c r="U21" s="6"/>
      <c r="V21" s="5"/>
      <c r="W21" t="str">
        <f t="shared" ca="1" si="0"/>
        <v>VENCIDA</v>
      </c>
    </row>
    <row r="22" spans="1:23" x14ac:dyDescent="0.25">
      <c r="A22" s="4"/>
      <c r="B22" s="5"/>
      <c r="C22" s="4"/>
      <c r="D22" s="4"/>
      <c r="E22" s="4"/>
      <c r="F22" s="4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4"/>
      <c r="T22" s="6"/>
      <c r="U22" s="6"/>
      <c r="V22" s="5"/>
      <c r="W22" t="str">
        <f t="shared" ca="1" si="0"/>
        <v>VENCIDA</v>
      </c>
    </row>
    <row r="23" spans="1:23" x14ac:dyDescent="0.25">
      <c r="A23" s="4"/>
      <c r="B23" s="5"/>
      <c r="C23" s="4"/>
      <c r="D23" s="4"/>
      <c r="E23" s="4"/>
      <c r="F23" s="4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4"/>
      <c r="T23" s="6"/>
      <c r="U23" s="6"/>
      <c r="V23" s="5"/>
      <c r="W23" t="str">
        <f t="shared" ca="1" si="0"/>
        <v>VENCIDA</v>
      </c>
    </row>
    <row r="24" spans="1:23" x14ac:dyDescent="0.25">
      <c r="A24" s="4"/>
      <c r="B24" s="5"/>
      <c r="C24" s="4"/>
      <c r="D24" s="4"/>
      <c r="E24" s="4"/>
      <c r="F24" s="4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4"/>
      <c r="T24" s="6"/>
      <c r="U24" s="6"/>
      <c r="V24" s="5"/>
      <c r="W24" t="str">
        <f t="shared" ca="1" si="0"/>
        <v>VENCIDA</v>
      </c>
    </row>
    <row r="25" spans="1:23" x14ac:dyDescent="0.25">
      <c r="A25" s="4"/>
      <c r="B25" s="5"/>
      <c r="C25" s="4"/>
      <c r="D25" s="4"/>
      <c r="E25" s="4"/>
      <c r="F25" s="4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4"/>
      <c r="T25" s="6"/>
      <c r="U25" s="6"/>
      <c r="V25" s="5"/>
      <c r="W25" t="str">
        <f t="shared" ca="1" si="0"/>
        <v>VENCIDA</v>
      </c>
    </row>
    <row r="26" spans="1:23" x14ac:dyDescent="0.25">
      <c r="A26" s="4"/>
      <c r="B26" s="5"/>
      <c r="C26" s="4"/>
      <c r="D26" s="4"/>
      <c r="E26" s="4"/>
      <c r="F26" s="4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4"/>
      <c r="T26" s="6"/>
      <c r="U26" s="6"/>
      <c r="V26" s="5"/>
      <c r="W26" t="str">
        <f t="shared" ca="1" si="0"/>
        <v>VENCIDA</v>
      </c>
    </row>
    <row r="27" spans="1:23" x14ac:dyDescent="0.25">
      <c r="A27" s="4"/>
      <c r="B27" s="5"/>
      <c r="C27" s="4"/>
      <c r="D27" s="4"/>
      <c r="E27" s="4"/>
      <c r="F27" s="4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4"/>
      <c r="T27" s="6"/>
      <c r="U27" s="6"/>
      <c r="V27" s="5"/>
      <c r="W27" t="str">
        <f t="shared" ca="1" si="0"/>
        <v>VENCIDA</v>
      </c>
    </row>
    <row r="28" spans="1:23" x14ac:dyDescent="0.25">
      <c r="A28" s="4"/>
      <c r="B28" s="5"/>
      <c r="C28" s="4"/>
      <c r="D28" s="4"/>
      <c r="E28" s="4"/>
      <c r="F28" s="4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4"/>
      <c r="T28" s="6"/>
      <c r="U28" s="6"/>
      <c r="V28" s="5"/>
      <c r="W28" t="str">
        <f t="shared" ca="1" si="0"/>
        <v>VENCIDA</v>
      </c>
    </row>
    <row r="29" spans="1:23" x14ac:dyDescent="0.25">
      <c r="A29" s="4"/>
      <c r="B29" s="5"/>
      <c r="C29" s="4"/>
      <c r="D29" s="4"/>
      <c r="E29" s="4"/>
      <c r="F29" s="4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4"/>
      <c r="T29" s="6"/>
      <c r="U29" s="6"/>
      <c r="V29" s="5"/>
      <c r="W29" t="str">
        <f t="shared" ca="1" si="0"/>
        <v>VENCIDA</v>
      </c>
    </row>
    <row r="30" spans="1:23" x14ac:dyDescent="0.25">
      <c r="A30" s="4"/>
      <c r="B30" s="5"/>
      <c r="C30" s="4"/>
      <c r="D30" s="4"/>
      <c r="E30" s="4"/>
      <c r="F30" s="4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4"/>
      <c r="T30" s="6"/>
      <c r="U30" s="6"/>
      <c r="V30" s="5"/>
      <c r="W30" t="str">
        <f t="shared" ca="1" si="0"/>
        <v>VENCIDA</v>
      </c>
    </row>
    <row r="31" spans="1:23" x14ac:dyDescent="0.25">
      <c r="A31" s="4"/>
      <c r="B31" s="5"/>
      <c r="C31" s="4"/>
      <c r="D31" s="4"/>
      <c r="E31" s="4"/>
      <c r="F31" s="4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4"/>
      <c r="T31" s="6"/>
      <c r="U31" s="6"/>
      <c r="V31" s="5"/>
      <c r="W31" t="str">
        <f t="shared" ca="1" si="0"/>
        <v>VENCIDA</v>
      </c>
    </row>
    <row r="32" spans="1:23" x14ac:dyDescent="0.25">
      <c r="A32" s="4"/>
      <c r="B32" s="5"/>
      <c r="C32" s="4"/>
      <c r="D32" s="4"/>
      <c r="E32" s="4"/>
      <c r="F32" s="4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4"/>
      <c r="T32" s="6"/>
      <c r="U32" s="6"/>
      <c r="V32" s="5"/>
      <c r="W32" t="str">
        <f t="shared" ca="1" si="0"/>
        <v>VENCIDA</v>
      </c>
    </row>
    <row r="33" spans="1:23" x14ac:dyDescent="0.25">
      <c r="A33" s="4"/>
      <c r="B33" s="5"/>
      <c r="C33" s="4"/>
      <c r="D33" s="4"/>
      <c r="E33" s="4"/>
      <c r="F33" s="4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4"/>
      <c r="T33" s="6"/>
      <c r="U33" s="6"/>
      <c r="V33" s="5"/>
      <c r="W33" t="str">
        <f t="shared" ca="1" si="0"/>
        <v>VENCIDA</v>
      </c>
    </row>
    <row r="34" spans="1:23" x14ac:dyDescent="0.25">
      <c r="A34" s="4"/>
      <c r="B34" s="5"/>
      <c r="C34" s="4"/>
      <c r="D34" s="4"/>
      <c r="E34" s="4"/>
      <c r="F34" s="4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4"/>
      <c r="T34" s="6"/>
      <c r="U34" s="6"/>
      <c r="V34" s="5"/>
      <c r="W34" t="str">
        <f t="shared" ca="1" si="0"/>
        <v>VENCIDA</v>
      </c>
    </row>
    <row r="35" spans="1:23" x14ac:dyDescent="0.25">
      <c r="A35" s="4"/>
      <c r="B35" s="5"/>
      <c r="C35" s="4"/>
      <c r="D35" s="4"/>
      <c r="E35" s="4"/>
      <c r="F35" s="4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4"/>
      <c r="T35" s="6"/>
      <c r="U35" s="6"/>
      <c r="V35" s="5"/>
      <c r="W35" t="str">
        <f t="shared" ca="1" si="0"/>
        <v>VENCIDA</v>
      </c>
    </row>
    <row r="36" spans="1:23" x14ac:dyDescent="0.25">
      <c r="A36" s="4"/>
      <c r="B36" s="5"/>
      <c r="C36" s="4"/>
      <c r="D36" s="4"/>
      <c r="E36" s="4"/>
      <c r="F36" s="4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4"/>
      <c r="T36" s="6"/>
      <c r="U36" s="6"/>
      <c r="V36" s="5"/>
      <c r="W36" t="str">
        <f t="shared" ca="1" si="0"/>
        <v>VENCIDA</v>
      </c>
    </row>
    <row r="37" spans="1:23" x14ac:dyDescent="0.25">
      <c r="A37" s="4"/>
      <c r="B37" s="5"/>
      <c r="C37" s="4"/>
      <c r="D37" s="4"/>
      <c r="E37" s="4"/>
      <c r="F37" s="4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4"/>
      <c r="T37" s="6"/>
      <c r="U37" s="6"/>
      <c r="V37" s="5"/>
      <c r="W37" t="str">
        <f t="shared" ca="1" si="0"/>
        <v>VENCIDA</v>
      </c>
    </row>
    <row r="38" spans="1:23" x14ac:dyDescent="0.25">
      <c r="A38" s="4"/>
      <c r="B38" s="5"/>
      <c r="C38" s="4"/>
      <c r="D38" s="4"/>
      <c r="E38" s="4"/>
      <c r="F38" s="4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"/>
      <c r="T38" s="6"/>
      <c r="U38" s="6"/>
      <c r="V38" s="5"/>
      <c r="W38" t="str">
        <f t="shared" ca="1" si="0"/>
        <v>VENCIDA</v>
      </c>
    </row>
    <row r="39" spans="1:23" x14ac:dyDescent="0.25">
      <c r="A39" s="4"/>
      <c r="B39" s="5"/>
      <c r="C39" s="4"/>
      <c r="D39" s="4"/>
      <c r="E39" s="4"/>
      <c r="F39" s="4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4"/>
      <c r="T39" s="6"/>
      <c r="U39" s="6"/>
      <c r="V39" s="5"/>
      <c r="W39" t="str">
        <f t="shared" ca="1" si="0"/>
        <v>VENCIDA</v>
      </c>
    </row>
    <row r="40" spans="1:23" x14ac:dyDescent="0.25">
      <c r="A40" s="4"/>
      <c r="B40" s="5"/>
      <c r="C40" s="4"/>
      <c r="D40" s="4"/>
      <c r="E40" s="4"/>
      <c r="F40" s="4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4"/>
      <c r="T40" s="6"/>
      <c r="U40" s="6"/>
      <c r="V40" s="5"/>
      <c r="W40" t="str">
        <f t="shared" ca="1" si="0"/>
        <v>VENCIDA</v>
      </c>
    </row>
    <row r="41" spans="1:23" x14ac:dyDescent="0.25">
      <c r="A41" s="4"/>
      <c r="B41" s="5"/>
      <c r="C41" s="4"/>
      <c r="D41" s="4"/>
      <c r="E41" s="4"/>
      <c r="F41" s="4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4"/>
      <c r="T41" s="6"/>
      <c r="U41" s="6"/>
      <c r="V41" s="5"/>
      <c r="W41" t="str">
        <f t="shared" ca="1" si="0"/>
        <v>VENCIDA</v>
      </c>
    </row>
    <row r="42" spans="1:23" x14ac:dyDescent="0.25">
      <c r="A42" s="4"/>
      <c r="B42" s="5"/>
      <c r="C42" s="4"/>
      <c r="D42" s="4"/>
      <c r="E42" s="4"/>
      <c r="F42" s="4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4"/>
      <c r="T42" s="6"/>
      <c r="U42" s="6"/>
      <c r="V42" s="5"/>
      <c r="W42" t="str">
        <f t="shared" ca="1" si="0"/>
        <v>VENCIDA</v>
      </c>
    </row>
    <row r="43" spans="1:23" x14ac:dyDescent="0.25">
      <c r="A43" s="4"/>
      <c r="B43" s="5"/>
      <c r="C43" s="4"/>
      <c r="D43" s="4"/>
      <c r="E43" s="4"/>
      <c r="F43" s="4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4"/>
      <c r="T43" s="6"/>
      <c r="U43" s="6"/>
      <c r="V43" s="5"/>
      <c r="W43" t="str">
        <f t="shared" ca="1" si="0"/>
        <v>VENCIDA</v>
      </c>
    </row>
    <row r="44" spans="1:23" x14ac:dyDescent="0.25">
      <c r="A44" s="4"/>
      <c r="B44" s="5"/>
      <c r="C44" s="4"/>
      <c r="D44" s="4"/>
      <c r="E44" s="4"/>
      <c r="F44" s="4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4"/>
      <c r="T44" s="6"/>
      <c r="U44" s="6"/>
      <c r="V44" s="5"/>
      <c r="W44" t="str">
        <f t="shared" ca="1" si="0"/>
        <v>VENCIDA</v>
      </c>
    </row>
    <row r="45" spans="1:23" x14ac:dyDescent="0.25">
      <c r="A45" s="4"/>
      <c r="B45" s="5"/>
      <c r="C45" s="4"/>
      <c r="D45" s="4"/>
      <c r="E45" s="4"/>
      <c r="F45" s="4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4"/>
      <c r="T45" s="6"/>
      <c r="U45" s="6"/>
      <c r="V45" s="5"/>
      <c r="W45" t="str">
        <f t="shared" ca="1" si="0"/>
        <v>VENCIDA</v>
      </c>
    </row>
    <row r="46" spans="1:23" x14ac:dyDescent="0.25">
      <c r="A46" s="4"/>
      <c r="B46" s="5"/>
      <c r="C46" s="4"/>
      <c r="D46" s="4"/>
      <c r="E46" s="4"/>
      <c r="F46" s="4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4"/>
      <c r="T46" s="6"/>
      <c r="U46" s="6"/>
      <c r="V46" s="5"/>
      <c r="W46" t="str">
        <f t="shared" ca="1" si="0"/>
        <v>VENCIDA</v>
      </c>
    </row>
    <row r="47" spans="1:23" x14ac:dyDescent="0.25">
      <c r="A47" s="4"/>
      <c r="B47" s="5"/>
      <c r="C47" s="4"/>
      <c r="D47" s="4"/>
      <c r="E47" s="4"/>
      <c r="F47" s="4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4"/>
      <c r="T47" s="6"/>
      <c r="U47" s="6"/>
      <c r="V47" s="5"/>
      <c r="W47" t="str">
        <f t="shared" ca="1" si="0"/>
        <v>VENCIDA</v>
      </c>
    </row>
    <row r="48" spans="1:23" x14ac:dyDescent="0.25">
      <c r="A48" s="4"/>
      <c r="B48" s="5"/>
      <c r="C48" s="4"/>
      <c r="D48" s="4"/>
      <c r="E48" s="4"/>
      <c r="F48" s="4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4"/>
      <c r="T48" s="6"/>
      <c r="U48" s="6"/>
      <c r="V48" s="5"/>
      <c r="W48" t="str">
        <f t="shared" ca="1" si="0"/>
        <v>VENCIDA</v>
      </c>
    </row>
    <row r="49" spans="1:23" x14ac:dyDescent="0.25">
      <c r="A49" s="4"/>
      <c r="B49" s="5"/>
      <c r="C49" s="4"/>
      <c r="D49" s="4"/>
      <c r="E49" s="4"/>
      <c r="F49" s="4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4"/>
      <c r="T49" s="6"/>
      <c r="U49" s="6"/>
      <c r="V49" s="5"/>
      <c r="W49" t="str">
        <f t="shared" ca="1" si="0"/>
        <v>VENCIDA</v>
      </c>
    </row>
    <row r="50" spans="1:23" x14ac:dyDescent="0.25">
      <c r="A50" s="4"/>
      <c r="B50" s="5"/>
      <c r="C50" s="4"/>
      <c r="D50" s="4"/>
      <c r="E50" s="4"/>
      <c r="F50" s="4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4"/>
      <c r="T50" s="6"/>
      <c r="U50" s="6"/>
      <c r="V50" s="5"/>
      <c r="W50" t="str">
        <f t="shared" ca="1" si="0"/>
        <v>VENCIDA</v>
      </c>
    </row>
    <row r="51" spans="1:23" x14ac:dyDescent="0.25">
      <c r="A51" s="4"/>
      <c r="B51" s="5"/>
      <c r="C51" s="4"/>
      <c r="D51" s="4"/>
      <c r="E51" s="4"/>
      <c r="F51" s="4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4"/>
      <c r="T51" s="6"/>
      <c r="U51" s="6"/>
      <c r="V51" s="5"/>
      <c r="W51" t="str">
        <f t="shared" ca="1" si="0"/>
        <v>VENCIDA</v>
      </c>
    </row>
    <row r="52" spans="1:23" x14ac:dyDescent="0.25">
      <c r="A52" s="4"/>
      <c r="B52" s="5"/>
      <c r="C52" s="4"/>
      <c r="D52" s="4"/>
      <c r="E52" s="4"/>
      <c r="F52" s="4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4"/>
      <c r="T52" s="6"/>
      <c r="U52" s="6"/>
      <c r="V52" s="5"/>
      <c r="W52" t="str">
        <f t="shared" ca="1" si="0"/>
        <v>VENCIDA</v>
      </c>
    </row>
    <row r="53" spans="1:23" x14ac:dyDescent="0.25">
      <c r="A53" s="4"/>
      <c r="B53" s="5"/>
      <c r="C53" s="4"/>
      <c r="D53" s="4"/>
      <c r="E53" s="4"/>
      <c r="F53" s="4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4"/>
      <c r="T53" s="6"/>
      <c r="U53" s="6"/>
      <c r="V53" s="5"/>
      <c r="W53" t="str">
        <f t="shared" ca="1" si="0"/>
        <v>VENCIDA</v>
      </c>
    </row>
    <row r="54" spans="1:23" x14ac:dyDescent="0.25">
      <c r="A54" s="4"/>
      <c r="B54" s="5"/>
      <c r="C54" s="4"/>
      <c r="D54" s="4"/>
      <c r="E54" s="4"/>
      <c r="F54" s="4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4"/>
      <c r="T54" s="6"/>
      <c r="U54" s="6"/>
      <c r="V54" s="5"/>
      <c r="W54" t="str">
        <f t="shared" ca="1" si="0"/>
        <v>VENCIDA</v>
      </c>
    </row>
    <row r="55" spans="1:23" x14ac:dyDescent="0.25">
      <c r="A55" s="4"/>
      <c r="B55" s="5"/>
      <c r="C55" s="4"/>
      <c r="D55" s="4"/>
      <c r="E55" s="4"/>
      <c r="F55" s="4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4"/>
      <c r="T55" s="6"/>
      <c r="U55" s="6"/>
      <c r="V55" s="5"/>
      <c r="W55" t="str">
        <f t="shared" ca="1" si="0"/>
        <v>VENCIDA</v>
      </c>
    </row>
    <row r="56" spans="1:23" x14ac:dyDescent="0.25">
      <c r="A56" s="4"/>
      <c r="B56" s="5"/>
      <c r="C56" s="4"/>
      <c r="D56" s="4"/>
      <c r="E56" s="4"/>
      <c r="F56" s="4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4"/>
      <c r="T56" s="6"/>
      <c r="U56" s="6"/>
      <c r="V56" s="5"/>
      <c r="W56" t="str">
        <f t="shared" ca="1" si="0"/>
        <v>VENCIDA</v>
      </c>
    </row>
  </sheetData>
  <conditionalFormatting sqref="W2:W56">
    <cfRule type="containsText" dxfId="0" priority="1" operator="containsText" text="VENCIDA">
      <formula>NOT(ISERROR(SEARCH("VENCIDA",W2)))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Sanchez</dc:creator>
  <cp:lastModifiedBy>Elena Heras</cp:lastModifiedBy>
  <dcterms:created xsi:type="dcterms:W3CDTF">2025-01-02T07:24:14Z</dcterms:created>
  <dcterms:modified xsi:type="dcterms:W3CDTF">2025-03-10T16:29:10Z</dcterms:modified>
</cp:coreProperties>
</file>