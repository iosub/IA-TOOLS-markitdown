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ESTION\Dpto.CONTA\Clara\excel para txema\paloma\"/>
    </mc:Choice>
  </mc:AlternateContent>
  <xr:revisionPtr revIDLastSave="0" documentId="8_{B5DC2F5C-729D-44FD-9A89-E4BCC83071D8}" xr6:coauthVersionLast="47" xr6:coauthVersionMax="47" xr10:uidLastSave="{00000000-0000-0000-0000-000000000000}"/>
  <bookViews>
    <workbookView xWindow="-120" yWindow="-120" windowWidth="29040" windowHeight="15840" tabRatio="500" firstSheet="1" activeTab="7" xr2:uid="{00000000-000D-0000-FFFF-FFFF00000000}"/>
  </bookViews>
  <sheets>
    <sheet name="COMPRAS 1T" sheetId="1" r:id="rId1"/>
    <sheet name="COMPRAS 2T" sheetId="2" r:id="rId2"/>
    <sheet name="COMPRAS 3T" sheetId="3" r:id="rId3"/>
    <sheet name="COMPRAS 4T" sheetId="4" r:id="rId4"/>
    <sheet name="VENTAS 1T " sheetId="5" r:id="rId5"/>
    <sheet name="VENTAS 2T" sheetId="6" r:id="rId6"/>
    <sheet name="VENTAS 3T" sheetId="7" r:id="rId7"/>
    <sheet name="VENTAS 4T" sheetId="8" r:id="rId8"/>
  </sheets>
  <definedNames>
    <definedName name="_xlnm.Print_Area" localSheetId="0">'COMPRAS 1T'!$A$1:$AB$5</definedName>
    <definedName name="_xlnm.Print_Area" localSheetId="4">'VENTAS 1T '!$A$1:$AB$4</definedName>
    <definedName name="Excel_BuiltIn__FilterDatabase" localSheetId="0">'COMPRAS 1T'!$A$1:$AI$5</definedName>
    <definedName name="Excel_BuiltIn__FilterDatabase" localSheetId="4">'VENTAS 1T '!$A$1:$AI$4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A4" i="8" l="1"/>
  <c r="X4" i="8"/>
  <c r="U4" i="8"/>
  <c r="S4" i="8"/>
  <c r="P4" i="8"/>
  <c r="N4" i="8"/>
  <c r="K4" i="8"/>
  <c r="I4" i="8"/>
  <c r="F4" i="8"/>
  <c r="AA3" i="8"/>
  <c r="X3" i="8"/>
  <c r="AB3" i="8" s="1"/>
  <c r="U3" i="8"/>
  <c r="S3" i="8"/>
  <c r="P3" i="8"/>
  <c r="N3" i="8"/>
  <c r="K3" i="8"/>
  <c r="I3" i="8"/>
  <c r="F3" i="8"/>
  <c r="AA2" i="8"/>
  <c r="X2" i="8"/>
  <c r="U2" i="8"/>
  <c r="S2" i="8"/>
  <c r="P2" i="8"/>
  <c r="N2" i="8"/>
  <c r="K2" i="8"/>
  <c r="I2" i="8"/>
  <c r="F2" i="8"/>
  <c r="AA4" i="7"/>
  <c r="X4" i="7"/>
  <c r="U4" i="7"/>
  <c r="S4" i="7"/>
  <c r="P4" i="7"/>
  <c r="N4" i="7"/>
  <c r="K4" i="7"/>
  <c r="I4" i="7"/>
  <c r="F4" i="7"/>
  <c r="AA3" i="7"/>
  <c r="X3" i="7"/>
  <c r="U3" i="7"/>
  <c r="S3" i="7"/>
  <c r="P3" i="7"/>
  <c r="N3" i="7"/>
  <c r="K3" i="7"/>
  <c r="I3" i="7"/>
  <c r="F3" i="7"/>
  <c r="AA2" i="7"/>
  <c r="X2" i="7"/>
  <c r="U2" i="7"/>
  <c r="S2" i="7"/>
  <c r="P2" i="7"/>
  <c r="N2" i="7"/>
  <c r="K2" i="7"/>
  <c r="I2" i="7"/>
  <c r="F2" i="7"/>
  <c r="AA4" i="6"/>
  <c r="X4" i="6"/>
  <c r="U4" i="6"/>
  <c r="S4" i="6"/>
  <c r="P4" i="6"/>
  <c r="N4" i="6"/>
  <c r="K4" i="6"/>
  <c r="I4" i="6"/>
  <c r="F4" i="6"/>
  <c r="AA3" i="6"/>
  <c r="X3" i="6"/>
  <c r="U3" i="6"/>
  <c r="S3" i="6"/>
  <c r="P3" i="6"/>
  <c r="N3" i="6"/>
  <c r="K3" i="6"/>
  <c r="I3" i="6"/>
  <c r="F3" i="6"/>
  <c r="AA2" i="6"/>
  <c r="X2" i="6"/>
  <c r="U2" i="6"/>
  <c r="S2" i="6"/>
  <c r="P2" i="6"/>
  <c r="N2" i="6"/>
  <c r="K2" i="6"/>
  <c r="I2" i="6"/>
  <c r="F2" i="6"/>
  <c r="AA4" i="5"/>
  <c r="X4" i="5"/>
  <c r="U4" i="5"/>
  <c r="S4" i="5"/>
  <c r="P4" i="5"/>
  <c r="N4" i="5"/>
  <c r="K4" i="5"/>
  <c r="I4" i="5"/>
  <c r="F4" i="5"/>
  <c r="AA3" i="5"/>
  <c r="X3" i="5"/>
  <c r="U3" i="5"/>
  <c r="S3" i="5"/>
  <c r="P3" i="5"/>
  <c r="N3" i="5"/>
  <c r="K3" i="5"/>
  <c r="I3" i="5"/>
  <c r="F3" i="5"/>
  <c r="AA2" i="5"/>
  <c r="X2" i="5"/>
  <c r="U2" i="5"/>
  <c r="S2" i="5"/>
  <c r="P2" i="5"/>
  <c r="N2" i="5"/>
  <c r="K2" i="5"/>
  <c r="I2" i="5"/>
  <c r="F2" i="5"/>
  <c r="AA6" i="4"/>
  <c r="X6" i="4"/>
  <c r="U6" i="4"/>
  <c r="S6" i="4"/>
  <c r="P6" i="4"/>
  <c r="N6" i="4"/>
  <c r="K6" i="4"/>
  <c r="I6" i="4"/>
  <c r="F6" i="4"/>
  <c r="AA5" i="4"/>
  <c r="X5" i="4"/>
  <c r="U5" i="4"/>
  <c r="S5" i="4"/>
  <c r="P5" i="4"/>
  <c r="N5" i="4"/>
  <c r="K5" i="4"/>
  <c r="I5" i="4"/>
  <c r="F5" i="4"/>
  <c r="AA4" i="4"/>
  <c r="X4" i="4"/>
  <c r="U4" i="4"/>
  <c r="S4" i="4"/>
  <c r="P4" i="4"/>
  <c r="N4" i="4"/>
  <c r="K4" i="4"/>
  <c r="I4" i="4"/>
  <c r="F4" i="4"/>
  <c r="AA3" i="4"/>
  <c r="X3" i="4"/>
  <c r="U3" i="4"/>
  <c r="S3" i="4"/>
  <c r="P3" i="4"/>
  <c r="N3" i="4"/>
  <c r="K3" i="4"/>
  <c r="I3" i="4"/>
  <c r="F3" i="4"/>
  <c r="AA2" i="4"/>
  <c r="X2" i="4"/>
  <c r="U2" i="4"/>
  <c r="S2" i="4"/>
  <c r="P2" i="4"/>
  <c r="N2" i="4"/>
  <c r="K2" i="4"/>
  <c r="I2" i="4"/>
  <c r="F2" i="4"/>
  <c r="AA6" i="3"/>
  <c r="X6" i="3"/>
  <c r="U6" i="3"/>
  <c r="S6" i="3"/>
  <c r="AB6" i="3" s="1"/>
  <c r="P6" i="3"/>
  <c r="N6" i="3"/>
  <c r="K6" i="3"/>
  <c r="I6" i="3"/>
  <c r="F6" i="3"/>
  <c r="AA5" i="3"/>
  <c r="X5" i="3"/>
  <c r="U5" i="3"/>
  <c r="S5" i="3"/>
  <c r="P5" i="3"/>
  <c r="N5" i="3"/>
  <c r="K5" i="3"/>
  <c r="I5" i="3"/>
  <c r="F5" i="3"/>
  <c r="AA4" i="3"/>
  <c r="X4" i="3"/>
  <c r="U4" i="3"/>
  <c r="S4" i="3"/>
  <c r="P4" i="3"/>
  <c r="N4" i="3"/>
  <c r="K4" i="3"/>
  <c r="I4" i="3"/>
  <c r="F4" i="3"/>
  <c r="AA3" i="3"/>
  <c r="X3" i="3"/>
  <c r="U3" i="3"/>
  <c r="S3" i="3"/>
  <c r="P3" i="3"/>
  <c r="N3" i="3"/>
  <c r="K3" i="3"/>
  <c r="I3" i="3"/>
  <c r="F3" i="3"/>
  <c r="AA2" i="3"/>
  <c r="X2" i="3"/>
  <c r="U2" i="3"/>
  <c r="S2" i="3"/>
  <c r="P2" i="3"/>
  <c r="N2" i="3"/>
  <c r="K2" i="3"/>
  <c r="I2" i="3"/>
  <c r="F2" i="3"/>
  <c r="AA6" i="2"/>
  <c r="X6" i="2"/>
  <c r="U6" i="2"/>
  <c r="S6" i="2"/>
  <c r="P6" i="2"/>
  <c r="N6" i="2"/>
  <c r="K6" i="2"/>
  <c r="I6" i="2"/>
  <c r="F6" i="2"/>
  <c r="AA5" i="2"/>
  <c r="X5" i="2"/>
  <c r="U5" i="2"/>
  <c r="S5" i="2"/>
  <c r="P5" i="2"/>
  <c r="N5" i="2"/>
  <c r="AB5" i="2" s="1"/>
  <c r="K5" i="2"/>
  <c r="I5" i="2"/>
  <c r="F5" i="2"/>
  <c r="AA4" i="2"/>
  <c r="X4" i="2"/>
  <c r="U4" i="2"/>
  <c r="S4" i="2"/>
  <c r="P4" i="2"/>
  <c r="N4" i="2"/>
  <c r="K4" i="2"/>
  <c r="I4" i="2"/>
  <c r="F4" i="2"/>
  <c r="AA3" i="2"/>
  <c r="X3" i="2"/>
  <c r="U3" i="2"/>
  <c r="S3" i="2"/>
  <c r="P3" i="2"/>
  <c r="N3" i="2"/>
  <c r="K3" i="2"/>
  <c r="I3" i="2"/>
  <c r="F3" i="2"/>
  <c r="AA2" i="2"/>
  <c r="X2" i="2"/>
  <c r="U2" i="2"/>
  <c r="S2" i="2"/>
  <c r="P2" i="2"/>
  <c r="N2" i="2"/>
  <c r="K2" i="2"/>
  <c r="I2" i="2"/>
  <c r="F2" i="2"/>
  <c r="AA5" i="1"/>
  <c r="X5" i="1"/>
  <c r="U5" i="1"/>
  <c r="S5" i="1"/>
  <c r="P5" i="1"/>
  <c r="N5" i="1"/>
  <c r="K5" i="1"/>
  <c r="I5" i="1"/>
  <c r="F5" i="1"/>
  <c r="AA4" i="1"/>
  <c r="X4" i="1"/>
  <c r="U4" i="1"/>
  <c r="S4" i="1"/>
  <c r="P4" i="1"/>
  <c r="N4" i="1"/>
  <c r="K4" i="1"/>
  <c r="I4" i="1"/>
  <c r="F4" i="1"/>
  <c r="AA3" i="1"/>
  <c r="X3" i="1"/>
  <c r="U3" i="1"/>
  <c r="S3" i="1"/>
  <c r="P3" i="1"/>
  <c r="N3" i="1"/>
  <c r="K3" i="1"/>
  <c r="I3" i="1"/>
  <c r="F3" i="1"/>
  <c r="AA2" i="1"/>
  <c r="X2" i="1"/>
  <c r="U2" i="1"/>
  <c r="S2" i="1"/>
  <c r="P2" i="1"/>
  <c r="N2" i="1"/>
  <c r="K2" i="1"/>
  <c r="AB2" i="1" s="1"/>
  <c r="I2" i="1"/>
  <c r="F2" i="1"/>
  <c r="AB2" i="8" l="1"/>
  <c r="AB4" i="8"/>
  <c r="AB2" i="7"/>
  <c r="AB3" i="6"/>
  <c r="AB2" i="6"/>
  <c r="AB2" i="4"/>
  <c r="AB6" i="4"/>
  <c r="AB5" i="3"/>
  <c r="AB4" i="2"/>
  <c r="AB4" i="1"/>
  <c r="AB3" i="1"/>
  <c r="AB2" i="2"/>
  <c r="AB6" i="2"/>
  <c r="AB5" i="1"/>
  <c r="AB3" i="2"/>
  <c r="AB2" i="3"/>
  <c r="AB3" i="5"/>
  <c r="AB4" i="3"/>
  <c r="AB5" i="4"/>
  <c r="AB4" i="4"/>
  <c r="AB3" i="3"/>
  <c r="AB3" i="4"/>
  <c r="AB2" i="5"/>
  <c r="AB3" i="7"/>
  <c r="AB4" i="5"/>
  <c r="AB4" i="6"/>
  <c r="AB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CUENTA CONTABLE
DEL CLIENTE</t>
        </r>
      </text>
    </comment>
    <comment ref="F1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 shapeId="0" xr:uid="{00000000-0006-0000-0000-000008000000}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 shapeId="0" xr:uid="{00000000-0006-0000-0000-000009000000}">
      <text>
        <r>
          <rPr>
            <sz val="11"/>
            <color rgb="FF000000"/>
            <rFont val="Calibri"/>
            <family val="2"/>
            <charset val="1"/>
          </rPr>
          <t>CUENTA CONTRAPARTIDA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>CUENTA CONTABLE
DEL CLIENTE</t>
        </r>
      </text>
    </comment>
    <comment ref="F1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 shapeId="0" xr:uid="{00000000-0006-0000-0100-000006000000}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 shapeId="0" xr:uid="{00000000-0006-0000-0100-000007000000}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 shapeId="0" xr:uid="{00000000-0006-0000-0100-000008000000}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 shapeId="0" xr:uid="{00000000-0006-0000-0100-000009000000}">
      <text>
        <r>
          <rPr>
            <sz val="11"/>
            <color rgb="FF000000"/>
            <rFont val="Calibri"/>
            <family val="2"/>
            <charset val="1"/>
          </rPr>
          <t>CUENTA CONTRAPARTIDA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 shapeId="0" xr:uid="{00000000-0006-0000-0200-000002000000}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 shapeId="0" xr:uid="{00000000-0006-0000-0200-000003000000}">
      <text>
        <r>
          <rPr>
            <sz val="11"/>
            <color rgb="FF000000"/>
            <rFont val="Calibri"/>
            <family val="2"/>
            <charset val="1"/>
          </rPr>
          <t>CUENTA CONTABLE
DEL CLIENTE</t>
        </r>
      </text>
    </comment>
    <comment ref="F1" authorId="0" shapeId="0" xr:uid="{00000000-0006-0000-0200-000004000000}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 shapeId="0" xr:uid="{00000000-0006-0000-0200-000005000000}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 shapeId="0" xr:uid="{00000000-0006-0000-0200-000006000000}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 shapeId="0" xr:uid="{00000000-0006-0000-0200-000007000000}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 shapeId="0" xr:uid="{00000000-0006-0000-0200-000008000000}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 shapeId="0" xr:uid="{00000000-0006-0000-0200-000009000000}">
      <text>
        <r>
          <rPr>
            <sz val="11"/>
            <color rgb="FF000000"/>
            <rFont val="Calibri"/>
            <family val="2"/>
            <charset val="1"/>
          </rPr>
          <t>CUENTA CONTRAPARTIDA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 shapeId="0" xr:uid="{00000000-0006-0000-0300-000002000000}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 shapeId="0" xr:uid="{00000000-0006-0000-0300-000003000000}">
      <text>
        <r>
          <rPr>
            <sz val="11"/>
            <color rgb="FF000000"/>
            <rFont val="Calibri"/>
            <family val="2"/>
            <charset val="1"/>
          </rPr>
          <t>CUENTA CONTABLE
DEL CLIENTE</t>
        </r>
      </text>
    </comment>
    <comment ref="F1" authorId="0" shapeId="0" xr:uid="{00000000-0006-0000-0300-000004000000}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 shapeId="0" xr:uid="{00000000-0006-0000-0300-000005000000}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 shapeId="0" xr:uid="{00000000-0006-0000-0300-000006000000}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 shapeId="0" xr:uid="{00000000-0006-0000-0300-000007000000}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 shapeId="0" xr:uid="{00000000-0006-0000-0300-000008000000}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 shapeId="0" xr:uid="{00000000-0006-0000-0300-000009000000}">
      <text>
        <r>
          <rPr>
            <sz val="11"/>
            <color rgb="FF000000"/>
            <rFont val="Calibri"/>
            <family val="2"/>
            <charset val="1"/>
          </rPr>
          <t>CUENTA CONTRAPARTIDA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1000000}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 shapeId="0" xr:uid="{00000000-0006-0000-0400-000002000000}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 shapeId="0" xr:uid="{00000000-0006-0000-0400-000003000000}">
      <text>
        <r>
          <rPr>
            <sz val="11"/>
            <color rgb="FF000000"/>
            <rFont val="Calibri"/>
            <family val="2"/>
            <charset val="1"/>
          </rPr>
          <t>CUENTA CONTABLE
DEL CLIENTE</t>
        </r>
      </text>
    </comment>
    <comment ref="F1" authorId="0" shapeId="0" xr:uid="{00000000-0006-0000-0400-000004000000}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 shapeId="0" xr:uid="{00000000-0006-0000-0400-000005000000}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 shapeId="0" xr:uid="{00000000-0006-0000-0400-000006000000}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 shapeId="0" xr:uid="{00000000-0006-0000-0400-000007000000}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 shapeId="0" xr:uid="{00000000-0006-0000-0400-000008000000}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 shapeId="0" xr:uid="{00000000-0006-0000-0400-000009000000}">
      <text>
        <r>
          <rPr>
            <sz val="11"/>
            <color rgb="FF000000"/>
            <rFont val="Calibri"/>
            <family val="2"/>
            <charset val="1"/>
          </rPr>
          <t>CUENTA CONTRAPARTIDA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 shapeId="0" xr:uid="{00000000-0006-0000-0500-000002000000}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 shapeId="0" xr:uid="{00000000-0006-0000-0500-000003000000}">
      <text>
        <r>
          <rPr>
            <sz val="11"/>
            <color rgb="FF000000"/>
            <rFont val="Calibri"/>
            <family val="2"/>
            <charset val="1"/>
          </rPr>
          <t>CUENTA CONTABLE
DEL CLIENTE</t>
        </r>
      </text>
    </comment>
    <comment ref="F1" authorId="0" shapeId="0" xr:uid="{00000000-0006-0000-0500-000004000000}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 shapeId="0" xr:uid="{00000000-0006-0000-0500-000005000000}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 shapeId="0" xr:uid="{00000000-0006-0000-0500-000006000000}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 shapeId="0" xr:uid="{00000000-0006-0000-0500-000007000000}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 shapeId="0" xr:uid="{00000000-0006-0000-0500-000008000000}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 shapeId="0" xr:uid="{00000000-0006-0000-0500-000009000000}">
      <text>
        <r>
          <rPr>
            <sz val="11"/>
            <color rgb="FF000000"/>
            <rFont val="Calibri"/>
            <family val="2"/>
            <charset val="1"/>
          </rPr>
          <t>CUENTA CONTRAPARTIDA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 shapeId="0" xr:uid="{00000000-0006-0000-0600-000002000000}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 shapeId="0" xr:uid="{00000000-0006-0000-0600-000003000000}">
      <text>
        <r>
          <rPr>
            <sz val="11"/>
            <color rgb="FF000000"/>
            <rFont val="Calibri"/>
            <family val="2"/>
            <charset val="1"/>
          </rPr>
          <t>CUENTA CONTABLE
DEL CLIENTE</t>
        </r>
      </text>
    </comment>
    <comment ref="F1" authorId="0" shapeId="0" xr:uid="{00000000-0006-0000-0600-000004000000}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 shapeId="0" xr:uid="{00000000-0006-0000-0600-000005000000}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 shapeId="0" xr:uid="{00000000-0006-0000-0600-000006000000}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 shapeId="0" xr:uid="{00000000-0006-0000-0600-000007000000}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 shapeId="0" xr:uid="{00000000-0006-0000-0600-000008000000}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 shapeId="0" xr:uid="{00000000-0006-0000-0600-000009000000}">
      <text>
        <r>
          <rPr>
            <sz val="11"/>
            <color rgb="FF000000"/>
            <rFont val="Calibri"/>
            <family val="2"/>
            <charset val="1"/>
          </rPr>
          <t>CUENTA CONTRAPARTIDA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700-000001000000}">
      <text>
        <r>
          <rPr>
            <sz val="11"/>
            <color rgb="FF000000"/>
            <rFont val="Calibri"/>
            <family val="2"/>
            <charset val="1"/>
          </rPr>
          <t xml:space="preserve">FECHA REGISTRO DE LA FACTURA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B1" authorId="0" shapeId="0" xr:uid="{00000000-0006-0000-0700-000002000000}">
      <text>
        <r>
          <rPr>
            <sz val="11"/>
            <color rgb="FF000000"/>
            <rFont val="Calibri"/>
            <family val="2"/>
            <charset val="1"/>
          </rPr>
          <t xml:space="preserve">Nº DE FACTURA
</t>
        </r>
      </text>
    </comment>
    <comment ref="C1" authorId="0" shapeId="0" xr:uid="{00000000-0006-0000-0700-000003000000}">
      <text>
        <r>
          <rPr>
            <sz val="11"/>
            <color rgb="FF000000"/>
            <rFont val="Calibri"/>
            <family val="2"/>
            <charset val="1"/>
          </rPr>
          <t>CUENTA CONTABLE
DEL CLIENTE</t>
        </r>
      </text>
    </comment>
    <comment ref="F1" authorId="0" shapeId="0" xr:uid="{00000000-0006-0000-0700-000004000000}">
      <text>
        <r>
          <rPr>
            <sz val="11"/>
            <color rgb="FF000000"/>
            <rFont val="Calibri"/>
            <family val="2"/>
            <charset val="1"/>
          </rPr>
          <t xml:space="preserve">DESCRIPCION DEL ASIENTO
</t>
        </r>
      </text>
    </comment>
    <comment ref="G1" authorId="0" shapeId="0" xr:uid="{00000000-0006-0000-0700-000005000000}">
      <text>
        <r>
          <rPr>
            <sz val="11"/>
            <color rgb="FF000000"/>
            <rFont val="Calibri"/>
            <family val="2"/>
            <charset val="1"/>
          </rPr>
          <t xml:space="preserve">BASE IMPONIBLE DE LA FACTURA.
</t>
        </r>
      </text>
    </comment>
    <comment ref="I1" authorId="0" shapeId="0" xr:uid="{00000000-0006-0000-0700-000006000000}">
      <text>
        <r>
          <rPr>
            <sz val="11"/>
            <color rgb="FF000000"/>
            <rFont val="Calibri"/>
            <family val="2"/>
            <charset val="1"/>
          </rPr>
          <t xml:space="preserve">IMPORTE DEL IVA </t>
        </r>
      </text>
    </comment>
    <comment ref="K1" authorId="0" shapeId="0" xr:uid="{00000000-0006-0000-0700-000007000000}">
      <text>
        <r>
          <rPr>
            <sz val="11"/>
            <color rgb="FF000000"/>
            <rFont val="Calibri"/>
            <family val="2"/>
            <charset val="1"/>
          </rPr>
          <t xml:space="preserve">IMPORTE DEL RECARGO DE EQUIVALENCIA </t>
        </r>
      </text>
    </comment>
    <comment ref="AB1" authorId="0" shapeId="0" xr:uid="{00000000-0006-0000-0700-000008000000}">
      <text>
        <r>
          <rPr>
            <sz val="11"/>
            <color rgb="FF000000"/>
            <rFont val="Calibri"/>
            <family val="2"/>
            <charset val="1"/>
          </rPr>
          <t xml:space="preserve">IMPORTE TOTAL FACTURA. </t>
        </r>
      </text>
    </comment>
    <comment ref="AC1" authorId="0" shapeId="0" xr:uid="{00000000-0006-0000-0700-000009000000}">
      <text>
        <r>
          <rPr>
            <sz val="11"/>
            <color rgb="FF000000"/>
            <rFont val="Calibri"/>
            <family val="2"/>
            <charset val="1"/>
          </rPr>
          <t>CUENTA CONTRAPARTIDA</t>
        </r>
      </text>
    </comment>
  </commentList>
</comments>
</file>

<file path=xl/sharedStrings.xml><?xml version="1.0" encoding="utf-8"?>
<sst xmlns="http://schemas.openxmlformats.org/spreadsheetml/2006/main" count="435" uniqueCount="79">
  <si>
    <t>FECHA</t>
  </si>
  <si>
    <t>REG.</t>
  </si>
  <si>
    <t>CUENTA</t>
  </si>
  <si>
    <t>NIF</t>
  </si>
  <si>
    <t>NOMBRE</t>
  </si>
  <si>
    <t>DESCRIPCIÓN</t>
  </si>
  <si>
    <t>BASE</t>
  </si>
  <si>
    <t>%IVA</t>
  </si>
  <si>
    <t>IMPORTE IVA</t>
  </si>
  <si>
    <t>%REQ. EQUIV.</t>
  </si>
  <si>
    <t>IMPORTE REC. EQUIV.</t>
  </si>
  <si>
    <t>BASE 2</t>
  </si>
  <si>
    <t>%IVA 2</t>
  </si>
  <si>
    <t>IMPORTE IVA 2</t>
  </si>
  <si>
    <t>%REQ. EQUIV. 2</t>
  </si>
  <si>
    <t>IMPORTE REC. EQUIV. 2</t>
  </si>
  <si>
    <t>BASE 3</t>
  </si>
  <si>
    <t>%IVA 3</t>
  </si>
  <si>
    <t>IMPORTE IVA 3</t>
  </si>
  <si>
    <t>%REQ. EQUIV. 3</t>
  </si>
  <si>
    <t>IMPORTE REC. EQUIV. 3</t>
  </si>
  <si>
    <t>BASE RETENCION</t>
  </si>
  <si>
    <t>%RET</t>
  </si>
  <si>
    <t>IMPORTE RET</t>
  </si>
  <si>
    <t>BASE RETENCION 2</t>
  </si>
  <si>
    <t>%RET 2</t>
  </si>
  <si>
    <t>IMPORTE RET 2</t>
  </si>
  <si>
    <t>TOTAL FACTURA</t>
  </si>
  <si>
    <t>CONTRAPARTIDA</t>
  </si>
  <si>
    <t>CONTRAPARTIDA 2</t>
  </si>
  <si>
    <t>CONTRAPARTIDA 3</t>
  </si>
  <si>
    <t>PAIS</t>
  </si>
  <si>
    <t>PROVINCIA</t>
  </si>
  <si>
    <t>PAGO AUTOMATICO</t>
  </si>
  <si>
    <t>OPERACION ARRENDAMIENTO</t>
  </si>
  <si>
    <t>A-20242-00011</t>
  </si>
  <si>
    <t>B01827161</t>
  </si>
  <si>
    <t>Comunidad Solar Terque 1800 SL</t>
  </si>
  <si>
    <t xml:space="preserve">ESPAÑA </t>
  </si>
  <si>
    <t>ALMERIA</t>
  </si>
  <si>
    <t>202401AV008676</t>
  </si>
  <si>
    <t>A62332580</t>
  </si>
  <si>
    <t>Nexus Energia SA</t>
  </si>
  <si>
    <t>BARCELONA</t>
  </si>
  <si>
    <t>202402AV016794</t>
  </si>
  <si>
    <t>202403AV026312</t>
  </si>
  <si>
    <t>A-2024-00032</t>
  </si>
  <si>
    <t>F24/1449</t>
  </si>
  <si>
    <t>G85982965</t>
  </si>
  <si>
    <t>Anpier</t>
  </si>
  <si>
    <t>MADRID</t>
  </si>
  <si>
    <t>202404AV035164</t>
  </si>
  <si>
    <t>202405AV044955</t>
  </si>
  <si>
    <t>202406AV046315</t>
  </si>
  <si>
    <t>A-2023-00051</t>
  </si>
  <si>
    <t>202407AV055459</t>
  </si>
  <si>
    <t>202408AV063929</t>
  </si>
  <si>
    <t>202309AV074132</t>
  </si>
  <si>
    <t>202409270004935</t>
  </si>
  <si>
    <t>P0400000F</t>
  </si>
  <si>
    <t>Diputación Provincial Almería</t>
  </si>
  <si>
    <t>A-2024-0072</t>
  </si>
  <si>
    <t>F24/4034</t>
  </si>
  <si>
    <t>202410AV081935</t>
  </si>
  <si>
    <t>202411AV091026</t>
  </si>
  <si>
    <t>202412AV099900</t>
  </si>
  <si>
    <t>202401CAV000001</t>
  </si>
  <si>
    <t>ESPAÑA</t>
  </si>
  <si>
    <t>202402CAV000002</t>
  </si>
  <si>
    <t>202403CAV000003</t>
  </si>
  <si>
    <t>202404CAV000004</t>
  </si>
  <si>
    <t>202405CAV000005</t>
  </si>
  <si>
    <t>202406CAV000006</t>
  </si>
  <si>
    <t>202407CAV000007</t>
  </si>
  <si>
    <t>202408CAV000008</t>
  </si>
  <si>
    <t>202409CAV000009</t>
  </si>
  <si>
    <t>202410CAV000010</t>
  </si>
  <si>
    <t>202411CAV000011</t>
  </si>
  <si>
    <t>202412CAV000012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</si>
</sst>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 #,##0.00&quot;    &quot;;\-* #,##0.00&quot;    &quot;;* \-#&quot;    &quot;;@\ "/>
  </numFmts>
  <fonts count="7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Arial"/>
      <family val="2"/>
      <charset val="1"/>
    </font>
    <font>
      <sz val="9"/>
      <color rgb="FF000000"/>
      <name val="Tahom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thin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2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3" borderId="0" xfId="0" applyNumberFormat="1" applyFill="1"/>
    <xf numFmtId="49" fontId="0" fillId="3" borderId="0" xfId="0" applyNumberFormat="1" applyFill="1" applyProtection="1">
      <protection locked="0"/>
    </xf>
    <xf numFmtId="49" fontId="0" fillId="3" borderId="0" xfId="0" applyNumberFormat="1" applyFill="1"/>
    <xf numFmtId="2" fontId="0" fillId="4" borderId="0" xfId="0" applyNumberFormat="1" applyFill="1"/>
    <xf numFmtId="2" fontId="0" fillId="3" borderId="0" xfId="0" applyNumberFormat="1" applyFill="1"/>
    <xf numFmtId="0" fontId="0" fillId="3" borderId="0" xfId="0" applyFill="1" applyProtection="1">
      <protection locked="0"/>
    </xf>
    <xf numFmtId="164" fontId="0" fillId="4" borderId="0" xfId="0" applyNumberFormat="1" applyFill="1"/>
    <xf numFmtId="0" fontId="0" fillId="3" borderId="0" xfId="0" applyFill="1"/>
    <xf numFmtId="164" fontId="4" fillId="4" borderId="0" xfId="0" applyNumberFormat="1" applyFont="1" applyFill="1"/>
    <xf numFmtId="49" fontId="0" fillId="0" borderId="0" xfId="0" applyNumberFormat="1" applyAlignment="1" applyProtection="1">
      <alignment horizontal="center"/>
      <protection locked="0"/>
    </xf>
    <xf numFmtId="0" fontId="2" fillId="0" borderId="0" xfId="2" applyAlignment="1">
      <alignment wrapText="1"/>
    </xf>
    <xf numFmtId="0" fontId="5" fillId="3" borderId="0" xfId="2" applyFont="1" applyFill="1" applyAlignment="1">
      <alignment wrapText="1"/>
    </xf>
    <xf numFmtId="49" fontId="0" fillId="3" borderId="0" xfId="0" applyNumberFormat="1" applyFill="1" applyAlignment="1">
      <alignment horizontal="center"/>
    </xf>
    <xf numFmtId="0" fontId="2" fillId="3" borderId="0" xfId="2" applyFill="1" applyAlignment="1">
      <alignment wrapText="1"/>
    </xf>
    <xf numFmtId="0" fontId="0" fillId="0" borderId="0" xfId="0" applyAlignment="1">
      <alignment horizontal="center"/>
    </xf>
    <xf numFmtId="14" fontId="0" fillId="3" borderId="0" xfId="0" applyNumberFormat="1" applyFill="1" applyAlignment="1">
      <alignment horizontal="center"/>
    </xf>
    <xf numFmtId="0" fontId="2" fillId="0" borderId="0" xfId="3" applyAlignment="1">
      <alignment wrapText="1"/>
    </xf>
    <xf numFmtId="49" fontId="0" fillId="3" borderId="0" xfId="0" applyNumberFormat="1" applyFill="1" applyAlignment="1">
      <alignment horizontal="left"/>
    </xf>
  </cellXfs>
  <cellStyles count="4">
    <cellStyle name="Excel Built-in Explanatory Text" xfId="3" xr:uid="{00000000-0005-0000-0000-000008000000}"/>
    <cellStyle name="Normal" xfId="0" builtinId="0"/>
    <cellStyle name="Normal 2" xfId="1" xr:uid="{00000000-0005-0000-0000-000006000000}"/>
    <cellStyle name="Normal_Hoja1_1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zoomScale="75" zoomScaleNormal="75" workbookViewId="0">
      <selection activeCell="A6" sqref="A6:XFD535"/>
    </sheetView>
  </sheetViews>
  <sheetFormatPr baseColWidth="10" defaultColWidth="14.5703125" defaultRowHeight="15" x14ac:dyDescent="0.25"/>
  <cols>
    <col min="1" max="1" width="14.42578125" customWidth="1"/>
    <col min="2" max="2" width="18" style="1" customWidth="1"/>
    <col min="3" max="3" width="6.42578125" style="1" customWidth="1"/>
    <col min="4" max="4" width="13.140625" style="1" customWidth="1"/>
    <col min="5" max="5" width="28.28515625" style="1" customWidth="1"/>
    <col min="6" max="6" width="33.85546875" style="1" customWidth="1"/>
    <col min="7" max="7" width="10.85546875" customWidth="1"/>
    <col min="8" max="8" width="9.7109375" customWidth="1"/>
    <col min="9" max="9" width="15" customWidth="1"/>
    <col min="10" max="10" width="9.7109375" customWidth="1"/>
    <col min="11" max="11" width="15.28515625" customWidth="1"/>
    <col min="12" max="12" width="11.140625" customWidth="1"/>
    <col min="13" max="13" width="9.7109375" customWidth="1"/>
    <col min="14" max="14" width="13" customWidth="1"/>
    <col min="15" max="15" width="11" customWidth="1"/>
    <col min="16" max="16" width="19.28515625" customWidth="1"/>
    <col min="17" max="17" width="9.7109375" customWidth="1"/>
    <col min="18" max="18" width="8.5703125" customWidth="1"/>
    <col min="19" max="19" width="12.42578125" customWidth="1"/>
    <col min="20" max="20" width="9.7109375" customWidth="1"/>
    <col min="21" max="21" width="14" customWidth="1"/>
    <col min="22" max="22" width="14.7109375" customWidth="1"/>
    <col min="23" max="23" width="7.7109375" customWidth="1"/>
    <col min="24" max="24" width="13.42578125" customWidth="1"/>
    <col min="25" max="25" width="14.7109375" customWidth="1"/>
    <col min="26" max="26" width="7.7109375" customWidth="1"/>
    <col min="27" max="27" width="10.85546875" customWidth="1"/>
    <col min="28" max="28" width="15.7109375" customWidth="1"/>
    <col min="29" max="29" width="23.42578125" customWidth="1"/>
    <col min="30" max="30" width="25.42578125" customWidth="1"/>
    <col min="31" max="31" width="25.42578125" style="2" customWidth="1"/>
    <col min="32" max="33" width="14.42578125" style="2" customWidth="1"/>
    <col min="34" max="34" width="18.140625" style="1" customWidth="1"/>
    <col min="35" max="35" width="23.5703125" customWidth="1"/>
    <col min="36" max="257" width="14.42578125" customWidth="1"/>
  </cols>
  <sheetData>
    <row r="1" spans="1:35" s="5" customFormat="1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</row>
    <row r="2" spans="1:35" ht="15.75" x14ac:dyDescent="0.25">
      <c r="A2" s="6">
        <v>45292</v>
      </c>
      <c r="B2" s="7" t="s">
        <v>35</v>
      </c>
      <c r="C2" s="8"/>
      <c r="D2" s="8" t="s">
        <v>36</v>
      </c>
      <c r="E2" s="8" t="s">
        <v>37</v>
      </c>
      <c r="F2" s="9" t="str">
        <f t="shared" ref="F2:F5" si="0">"S/F "&amp;B2&amp;" "&amp;E2</f>
        <v>S/F A-20242-00011 Comunidad Solar Terque 1800 SL</v>
      </c>
      <c r="G2" s="10">
        <v>335</v>
      </c>
      <c r="H2" s="11">
        <v>21</v>
      </c>
      <c r="I2" s="12">
        <f t="shared" ref="I2:I5" si="1">+IF(G2&lt;&gt;0,G2*H2/100,0)</f>
        <v>70.349999999999994</v>
      </c>
      <c r="J2" s="11"/>
      <c r="K2" s="12">
        <f t="shared" ref="K2:K5" si="2">+IF(G2&lt;&gt;0,G2*J2/100,0)</f>
        <v>0</v>
      </c>
      <c r="L2" s="10"/>
      <c r="M2" s="11"/>
      <c r="N2" s="12">
        <f t="shared" ref="N2:N5" si="3">+IF(L2&lt;&gt;0,L2*M2/100,0)</f>
        <v>0</v>
      </c>
      <c r="O2" s="13"/>
      <c r="P2" s="12">
        <f t="shared" ref="P2:P5" si="4">+IF(L2&lt;&gt;0,L2*O2/100,0)</f>
        <v>0</v>
      </c>
      <c r="Q2" s="10"/>
      <c r="R2" s="11"/>
      <c r="S2" s="12">
        <f t="shared" ref="S2:S5" si="5">+IF(Q2&lt;&gt;0,Q2*R2/100,0)</f>
        <v>0</v>
      </c>
      <c r="T2" s="13"/>
      <c r="U2" s="12">
        <f t="shared" ref="U2:U5" si="6">+IF(Q2&lt;&gt;0,Q2*T2/100,0)</f>
        <v>0</v>
      </c>
      <c r="V2" s="13"/>
      <c r="W2" s="13"/>
      <c r="X2" s="12">
        <f t="shared" ref="X2:X5" si="7">+IF(W2&lt;&gt;0,V2*W2/100,0)</f>
        <v>0</v>
      </c>
      <c r="Y2" s="13"/>
      <c r="Z2" s="13"/>
      <c r="AA2" s="12">
        <f t="shared" ref="AA2:AA5" si="8">+IF(Z2&lt;&gt;0,Y2*Z2/100,0)</f>
        <v>0</v>
      </c>
      <c r="AB2" s="14">
        <f t="shared" ref="AB2:AB5" si="9">+G2+I2+K2+L2+N2+P2+Q2+S2+U2-X2-AA2</f>
        <v>405.35</v>
      </c>
      <c r="AC2" s="15"/>
      <c r="AD2" s="16"/>
      <c r="AF2" s="17" t="s">
        <v>38</v>
      </c>
      <c r="AG2" s="18" t="s">
        <v>39</v>
      </c>
    </row>
    <row r="3" spans="1:35" ht="15.75" x14ac:dyDescent="0.25">
      <c r="A3" s="6">
        <v>45315</v>
      </c>
      <c r="B3" s="7" t="s">
        <v>40</v>
      </c>
      <c r="C3" s="8"/>
      <c r="D3" s="8" t="s">
        <v>41</v>
      </c>
      <c r="E3" s="8" t="s">
        <v>42</v>
      </c>
      <c r="F3" s="9" t="str">
        <f t="shared" si="0"/>
        <v>S/F 202401AV008676 Nexus Energia SA</v>
      </c>
      <c r="G3" s="10">
        <v>6.01</v>
      </c>
      <c r="H3" s="11">
        <v>21</v>
      </c>
      <c r="I3" s="12">
        <f t="shared" si="1"/>
        <v>1.2621</v>
      </c>
      <c r="J3" s="11"/>
      <c r="K3" s="12">
        <f t="shared" si="2"/>
        <v>0</v>
      </c>
      <c r="L3" s="10"/>
      <c r="M3" s="11">
        <v>0</v>
      </c>
      <c r="N3" s="12">
        <f t="shared" si="3"/>
        <v>0</v>
      </c>
      <c r="O3" s="13"/>
      <c r="P3" s="12">
        <f t="shared" si="4"/>
        <v>0</v>
      </c>
      <c r="Q3" s="10"/>
      <c r="R3" s="11"/>
      <c r="S3" s="12">
        <f t="shared" si="5"/>
        <v>0</v>
      </c>
      <c r="T3" s="13"/>
      <c r="U3" s="12">
        <f t="shared" si="6"/>
        <v>0</v>
      </c>
      <c r="V3" s="13"/>
      <c r="W3" s="13"/>
      <c r="X3" s="12">
        <f t="shared" si="7"/>
        <v>0</v>
      </c>
      <c r="Y3" s="13"/>
      <c r="Z3" s="13"/>
      <c r="AA3" s="12">
        <f t="shared" si="8"/>
        <v>0</v>
      </c>
      <c r="AB3" s="14">
        <f t="shared" si="9"/>
        <v>7.2721</v>
      </c>
      <c r="AC3" s="15"/>
      <c r="AD3" s="16"/>
      <c r="AF3" s="17" t="s">
        <v>38</v>
      </c>
      <c r="AG3" s="18" t="s">
        <v>43</v>
      </c>
    </row>
    <row r="4" spans="1:35" ht="15.75" x14ac:dyDescent="0.25">
      <c r="A4" s="6">
        <v>45349</v>
      </c>
      <c r="B4" s="7" t="s">
        <v>44</v>
      </c>
      <c r="C4" s="8"/>
      <c r="D4" s="8" t="s">
        <v>41</v>
      </c>
      <c r="E4" s="8" t="s">
        <v>42</v>
      </c>
      <c r="F4" s="9" t="str">
        <f t="shared" si="0"/>
        <v>S/F 202402AV016794 Nexus Energia SA</v>
      </c>
      <c r="G4" s="10">
        <v>2.52</v>
      </c>
      <c r="H4" s="11">
        <v>21</v>
      </c>
      <c r="I4" s="12">
        <f t="shared" si="1"/>
        <v>0.5292</v>
      </c>
      <c r="J4" s="11"/>
      <c r="K4" s="12">
        <f t="shared" si="2"/>
        <v>0</v>
      </c>
      <c r="L4" s="10">
        <v>2.2200000000000002</v>
      </c>
      <c r="M4" s="11">
        <v>0</v>
      </c>
      <c r="N4" s="12">
        <f t="shared" si="3"/>
        <v>0</v>
      </c>
      <c r="O4" s="13"/>
      <c r="P4" s="12">
        <f t="shared" si="4"/>
        <v>0</v>
      </c>
      <c r="Q4" s="10"/>
      <c r="R4" s="11"/>
      <c r="S4" s="12">
        <f t="shared" si="5"/>
        <v>0</v>
      </c>
      <c r="T4" s="13"/>
      <c r="U4" s="12">
        <f t="shared" si="6"/>
        <v>0</v>
      </c>
      <c r="V4" s="13"/>
      <c r="W4" s="13"/>
      <c r="X4" s="12">
        <f t="shared" si="7"/>
        <v>0</v>
      </c>
      <c r="Y4" s="13"/>
      <c r="Z4" s="13"/>
      <c r="AA4" s="12">
        <f t="shared" si="8"/>
        <v>0</v>
      </c>
      <c r="AB4" s="14">
        <f t="shared" si="9"/>
        <v>5.2691999999999997</v>
      </c>
      <c r="AC4" s="15"/>
      <c r="AD4" s="16"/>
      <c r="AF4" s="17" t="s">
        <v>38</v>
      </c>
      <c r="AG4" s="18" t="s">
        <v>43</v>
      </c>
    </row>
    <row r="5" spans="1:35" x14ac:dyDescent="0.25">
      <c r="A5" s="6">
        <v>45376</v>
      </c>
      <c r="B5" s="7" t="s">
        <v>45</v>
      </c>
      <c r="C5" s="8"/>
      <c r="D5" s="8" t="s">
        <v>41</v>
      </c>
      <c r="E5" s="8" t="s">
        <v>42</v>
      </c>
      <c r="F5" s="9" t="str">
        <f t="shared" si="0"/>
        <v>S/F 202403AV026312 Nexus Energia SA</v>
      </c>
      <c r="G5" s="10">
        <v>2.66</v>
      </c>
      <c r="H5" s="11">
        <v>21</v>
      </c>
      <c r="I5" s="12">
        <f t="shared" si="1"/>
        <v>0.55859999999999999</v>
      </c>
      <c r="J5" s="11"/>
      <c r="K5" s="12">
        <f t="shared" si="2"/>
        <v>0</v>
      </c>
      <c r="L5" s="10">
        <v>3.19</v>
      </c>
      <c r="M5" s="11">
        <v>0</v>
      </c>
      <c r="N5" s="12">
        <f t="shared" si="3"/>
        <v>0</v>
      </c>
      <c r="O5" s="13"/>
      <c r="P5" s="12">
        <f t="shared" si="4"/>
        <v>0</v>
      </c>
      <c r="Q5" s="10"/>
      <c r="R5" s="11"/>
      <c r="S5" s="12">
        <f t="shared" si="5"/>
        <v>0</v>
      </c>
      <c r="T5" s="13"/>
      <c r="U5" s="12">
        <f t="shared" si="6"/>
        <v>0</v>
      </c>
      <c r="V5" s="13"/>
      <c r="W5" s="13"/>
      <c r="X5" s="12">
        <f t="shared" si="7"/>
        <v>0</v>
      </c>
      <c r="Y5" s="13"/>
      <c r="Z5" s="13"/>
      <c r="AA5" s="12">
        <f t="shared" si="8"/>
        <v>0</v>
      </c>
      <c r="AB5" s="14">
        <f t="shared" si="9"/>
        <v>6.4085999999999999</v>
      </c>
      <c r="AC5" s="15"/>
      <c r="AD5" s="16"/>
      <c r="AF5" s="19" t="s">
        <v>38</v>
      </c>
      <c r="AG5" s="18" t="s">
        <v>43</v>
      </c>
    </row>
  </sheetData>
  <dataValidations count="1">
    <dataValidation type="textLength" errorStyle="warning" allowBlank="1" showErrorMessage="1" error="Contamar le informa de que el código introducido debe contener únicamente 8 dígitos." sqref="AC2:AC5" xr:uid="{00000000-0002-0000-0000-000000000000}">
      <formula1>8</formula1>
      <formula2>8</formula2>
    </dataValidation>
  </dataValidations>
  <pageMargins left="0.70833333333333304" right="0.70833333333333304" top="0.74791666666666701" bottom="0.74791666666666701" header="0.511811023622047" footer="0.511811023622047"/>
  <pageSetup paperSize="9" scale="75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"/>
  <sheetViews>
    <sheetView zoomScale="75" zoomScaleNormal="75" workbookViewId="0">
      <selection activeCell="A7" sqref="A7:XFD316"/>
    </sheetView>
  </sheetViews>
  <sheetFormatPr baseColWidth="10" defaultColWidth="14.5703125" defaultRowHeight="15" x14ac:dyDescent="0.25"/>
  <cols>
    <col min="1" max="1" width="16.140625" customWidth="1"/>
    <col min="2" max="2" width="19.85546875" style="1" customWidth="1"/>
    <col min="3" max="3" width="12.5703125" style="1" customWidth="1"/>
    <col min="4" max="4" width="20" style="1" customWidth="1"/>
    <col min="5" max="5" width="35" style="1" customWidth="1"/>
    <col min="6" max="6" width="36.7109375" style="1" customWidth="1"/>
    <col min="7" max="7" width="10.85546875" customWidth="1"/>
    <col min="8" max="8" width="9.7109375" customWidth="1"/>
    <col min="9" max="9" width="17.42578125" customWidth="1"/>
    <col min="10" max="10" width="9.7109375" customWidth="1"/>
    <col min="11" max="11" width="15.28515625" customWidth="1"/>
    <col min="12" max="12" width="11.140625" customWidth="1"/>
    <col min="13" max="13" width="9.7109375" customWidth="1"/>
    <col min="14" max="14" width="13" customWidth="1"/>
    <col min="15" max="15" width="11" customWidth="1"/>
    <col min="16" max="16" width="19.28515625" customWidth="1"/>
    <col min="17" max="17" width="9.7109375" customWidth="1"/>
    <col min="18" max="18" width="8.5703125" customWidth="1"/>
    <col min="19" max="19" width="12.42578125" customWidth="1"/>
    <col min="20" max="20" width="9.7109375" customWidth="1"/>
    <col min="21" max="21" width="14" customWidth="1"/>
    <col min="22" max="22" width="14.7109375" customWidth="1"/>
    <col min="23" max="23" width="7.7109375" customWidth="1"/>
    <col min="24" max="24" width="13.42578125" customWidth="1"/>
    <col min="25" max="25" width="14.7109375" customWidth="1"/>
    <col min="26" max="26" width="7.7109375" customWidth="1"/>
    <col min="27" max="27" width="10.85546875" customWidth="1"/>
    <col min="28" max="28" width="15.7109375" customWidth="1"/>
    <col min="29" max="29" width="23.42578125" customWidth="1"/>
    <col min="30" max="30" width="25.42578125" customWidth="1"/>
    <col min="31" max="31" width="25.42578125" style="2" customWidth="1"/>
    <col min="32" max="33" width="14.42578125" style="2" customWidth="1"/>
    <col min="34" max="34" width="18.140625" style="1" customWidth="1"/>
    <col min="35" max="35" width="23.5703125" customWidth="1"/>
    <col min="36" max="257" width="14.42578125" customWidth="1"/>
    <col min="1024" max="1024" width="11.5703125" customWidth="1"/>
  </cols>
  <sheetData>
    <row r="1" spans="1:1024" s="5" customFormat="1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  <c r="AMJ1"/>
    </row>
    <row r="2" spans="1:1024" ht="15.75" x14ac:dyDescent="0.25">
      <c r="A2" s="6"/>
      <c r="B2" s="7" t="s">
        <v>46</v>
      </c>
      <c r="C2" s="8"/>
      <c r="D2" s="8" t="s">
        <v>36</v>
      </c>
      <c r="E2" s="8" t="s">
        <v>37</v>
      </c>
      <c r="F2" s="9" t="str">
        <f t="shared" ref="F2:F6" si="0">"S/F "&amp;B2&amp;" "&amp;E2</f>
        <v>S/F A-2024-00032 Comunidad Solar Terque 1800 SL</v>
      </c>
      <c r="G2" s="10">
        <v>201</v>
      </c>
      <c r="H2" s="11">
        <v>21</v>
      </c>
      <c r="I2" s="12">
        <f t="shared" ref="I2:I6" si="1">+IF(G2&lt;&gt;0,G2*H2/100,0)</f>
        <v>42.21</v>
      </c>
      <c r="J2" s="11"/>
      <c r="K2" s="12">
        <f t="shared" ref="K2:K6" si="2">+IF(G2&lt;&gt;0,G2*J2/100,0)</f>
        <v>0</v>
      </c>
      <c r="L2" s="10"/>
      <c r="M2" s="11"/>
      <c r="N2" s="12">
        <f t="shared" ref="N2:N6" si="3">+IF(L2&lt;&gt;0,L2*M2/100,0)</f>
        <v>0</v>
      </c>
      <c r="O2" s="13"/>
      <c r="P2" s="12">
        <f t="shared" ref="P2:P6" si="4">+IF(L2&lt;&gt;0,L2*O2/100,0)</f>
        <v>0</v>
      </c>
      <c r="Q2" s="10"/>
      <c r="R2" s="11"/>
      <c r="S2" s="12">
        <f t="shared" ref="S2:S6" si="5">+IF(Q2&lt;&gt;0,Q2*R2/100,0)</f>
        <v>0</v>
      </c>
      <c r="T2" s="13"/>
      <c r="U2" s="12">
        <f t="shared" ref="U2:U6" si="6">+IF(Q2&lt;&gt;0,Q2*T2/100,0)</f>
        <v>0</v>
      </c>
      <c r="V2" s="13"/>
      <c r="W2" s="13"/>
      <c r="X2" s="12">
        <f t="shared" ref="X2:X6" si="7">+IF(W2&lt;&gt;0,V2*W2/100,0)</f>
        <v>0</v>
      </c>
      <c r="Y2" s="13"/>
      <c r="Z2" s="13"/>
      <c r="AA2" s="12">
        <f t="shared" ref="AA2:AA6" si="8">+IF(Z2&lt;&gt;0,Y2*Z2/100,0)</f>
        <v>0</v>
      </c>
      <c r="AB2" s="14">
        <f t="shared" ref="AB2:AB6" si="9">+G2+I2+K2+L2+N2+P2+Q2+S2+U2-X2-AA2</f>
        <v>243.21</v>
      </c>
      <c r="AC2" s="15"/>
      <c r="AD2" s="16"/>
      <c r="AF2" s="17" t="s">
        <v>38</v>
      </c>
      <c r="AG2" s="18" t="s">
        <v>39</v>
      </c>
    </row>
    <row r="3" spans="1:1024" ht="15.75" x14ac:dyDescent="0.25">
      <c r="A3" s="6"/>
      <c r="B3" s="7" t="s">
        <v>47</v>
      </c>
      <c r="C3" s="8"/>
      <c r="D3" s="8" t="s">
        <v>48</v>
      </c>
      <c r="E3" s="8" t="s">
        <v>49</v>
      </c>
      <c r="F3" s="9" t="str">
        <f t="shared" si="0"/>
        <v>S/F F24/1449 Anpier</v>
      </c>
      <c r="G3" s="10">
        <v>30</v>
      </c>
      <c r="H3" s="11">
        <v>21</v>
      </c>
      <c r="I3" s="12">
        <f t="shared" si="1"/>
        <v>6.3</v>
      </c>
      <c r="J3" s="11"/>
      <c r="K3" s="12">
        <f t="shared" si="2"/>
        <v>0</v>
      </c>
      <c r="L3" s="10"/>
      <c r="M3" s="11"/>
      <c r="N3" s="12">
        <f t="shared" si="3"/>
        <v>0</v>
      </c>
      <c r="O3" s="13"/>
      <c r="P3" s="12">
        <f t="shared" si="4"/>
        <v>0</v>
      </c>
      <c r="Q3" s="10"/>
      <c r="R3" s="11"/>
      <c r="S3" s="12">
        <f t="shared" si="5"/>
        <v>0</v>
      </c>
      <c r="T3" s="13"/>
      <c r="U3" s="12">
        <f t="shared" si="6"/>
        <v>0</v>
      </c>
      <c r="V3" s="13"/>
      <c r="W3" s="13"/>
      <c r="X3" s="12">
        <f t="shared" si="7"/>
        <v>0</v>
      </c>
      <c r="Y3" s="13"/>
      <c r="Z3" s="13"/>
      <c r="AA3" s="12">
        <f t="shared" si="8"/>
        <v>0</v>
      </c>
      <c r="AB3" s="14">
        <f t="shared" si="9"/>
        <v>36.299999999999997</v>
      </c>
      <c r="AC3" s="15"/>
      <c r="AD3" s="16"/>
      <c r="AF3" s="17" t="s">
        <v>38</v>
      </c>
      <c r="AG3" s="18" t="s">
        <v>50</v>
      </c>
    </row>
    <row r="4" spans="1:1024" ht="15.75" x14ac:dyDescent="0.25">
      <c r="A4" s="6"/>
      <c r="B4" s="7" t="s">
        <v>51</v>
      </c>
      <c r="C4" s="8"/>
      <c r="D4" s="8" t="s">
        <v>41</v>
      </c>
      <c r="E4" s="8" t="s">
        <v>42</v>
      </c>
      <c r="F4" s="9" t="str">
        <f t="shared" si="0"/>
        <v>S/F 202404AV035164 Nexus Energia SA</v>
      </c>
      <c r="G4" s="10">
        <v>3.41</v>
      </c>
      <c r="H4" s="11">
        <v>21</v>
      </c>
      <c r="I4" s="12">
        <f t="shared" si="1"/>
        <v>0.71609999999999996</v>
      </c>
      <c r="J4" s="11"/>
      <c r="K4" s="12">
        <f t="shared" si="2"/>
        <v>0</v>
      </c>
      <c r="L4" s="10">
        <v>0.49</v>
      </c>
      <c r="M4" s="11">
        <v>0</v>
      </c>
      <c r="N4" s="12">
        <f t="shared" si="3"/>
        <v>0</v>
      </c>
      <c r="O4" s="13"/>
      <c r="P4" s="12">
        <f t="shared" si="4"/>
        <v>0</v>
      </c>
      <c r="Q4" s="10"/>
      <c r="R4" s="11"/>
      <c r="S4" s="12">
        <f t="shared" si="5"/>
        <v>0</v>
      </c>
      <c r="T4" s="13"/>
      <c r="U4" s="12">
        <f t="shared" si="6"/>
        <v>0</v>
      </c>
      <c r="V4" s="13"/>
      <c r="W4" s="13"/>
      <c r="X4" s="12">
        <f t="shared" si="7"/>
        <v>0</v>
      </c>
      <c r="Y4" s="13"/>
      <c r="Z4" s="13"/>
      <c r="AA4" s="12">
        <f t="shared" si="8"/>
        <v>0</v>
      </c>
      <c r="AB4" s="14">
        <f t="shared" si="9"/>
        <v>4.6161000000000003</v>
      </c>
      <c r="AC4" s="15"/>
      <c r="AD4" s="16"/>
      <c r="AF4" s="17" t="s">
        <v>38</v>
      </c>
      <c r="AG4" s="18" t="s">
        <v>43</v>
      </c>
    </row>
    <row r="5" spans="1:1024" ht="15.75" x14ac:dyDescent="0.25">
      <c r="A5" s="6"/>
      <c r="B5" s="7" t="s">
        <v>52</v>
      </c>
      <c r="C5" s="8"/>
      <c r="D5" s="8" t="s">
        <v>41</v>
      </c>
      <c r="E5" s="8" t="s">
        <v>42</v>
      </c>
      <c r="F5" s="9" t="str">
        <f t="shared" si="0"/>
        <v>S/F 202405AV044955 Nexus Energia SA</v>
      </c>
      <c r="G5" s="10">
        <v>3.36</v>
      </c>
      <c r="H5" s="11">
        <v>21</v>
      </c>
      <c r="I5" s="12">
        <f t="shared" si="1"/>
        <v>0.7056</v>
      </c>
      <c r="J5" s="11"/>
      <c r="K5" s="12">
        <f t="shared" si="2"/>
        <v>0</v>
      </c>
      <c r="L5" s="10">
        <v>0.48</v>
      </c>
      <c r="M5" s="11"/>
      <c r="N5" s="12">
        <f t="shared" si="3"/>
        <v>0</v>
      </c>
      <c r="O5" s="13"/>
      <c r="P5" s="12">
        <f t="shared" si="4"/>
        <v>0</v>
      </c>
      <c r="Q5" s="10"/>
      <c r="R5" s="11"/>
      <c r="S5" s="12">
        <f t="shared" si="5"/>
        <v>0</v>
      </c>
      <c r="T5" s="13"/>
      <c r="U5" s="12">
        <f t="shared" si="6"/>
        <v>0</v>
      </c>
      <c r="V5" s="13"/>
      <c r="W5" s="13"/>
      <c r="X5" s="12">
        <f t="shared" si="7"/>
        <v>0</v>
      </c>
      <c r="Y5" s="13"/>
      <c r="Z5" s="13"/>
      <c r="AA5" s="12">
        <f t="shared" si="8"/>
        <v>0</v>
      </c>
      <c r="AB5" s="14">
        <f t="shared" si="9"/>
        <v>4.5456000000000003</v>
      </c>
      <c r="AC5" s="15"/>
      <c r="AD5" s="16"/>
      <c r="AF5" s="17" t="s">
        <v>38</v>
      </c>
      <c r="AG5" s="18" t="s">
        <v>43</v>
      </c>
    </row>
    <row r="6" spans="1:1024" ht="15.75" x14ac:dyDescent="0.25">
      <c r="A6" s="6"/>
      <c r="B6" s="7" t="s">
        <v>53</v>
      </c>
      <c r="C6" s="8"/>
      <c r="D6" s="8" t="s">
        <v>41</v>
      </c>
      <c r="E6" s="8" t="s">
        <v>42</v>
      </c>
      <c r="F6" s="9" t="str">
        <f t="shared" si="0"/>
        <v>S/F 202406AV046315 Nexus Energia SA</v>
      </c>
      <c r="G6" s="10">
        <v>4.2300000000000004</v>
      </c>
      <c r="H6" s="11">
        <v>21</v>
      </c>
      <c r="I6" s="12">
        <f t="shared" si="1"/>
        <v>0.88830000000000009</v>
      </c>
      <c r="J6" s="11"/>
      <c r="K6" s="12">
        <f t="shared" si="2"/>
        <v>0</v>
      </c>
      <c r="L6" s="10">
        <v>0.6</v>
      </c>
      <c r="M6" s="11"/>
      <c r="N6" s="12">
        <f t="shared" si="3"/>
        <v>0</v>
      </c>
      <c r="O6" s="13"/>
      <c r="P6" s="12">
        <f t="shared" si="4"/>
        <v>0</v>
      </c>
      <c r="Q6" s="10"/>
      <c r="R6" s="11"/>
      <c r="S6" s="12">
        <f t="shared" si="5"/>
        <v>0</v>
      </c>
      <c r="T6" s="13"/>
      <c r="U6" s="12">
        <f t="shared" si="6"/>
        <v>0</v>
      </c>
      <c r="V6" s="13"/>
      <c r="W6" s="13"/>
      <c r="X6" s="12">
        <f t="shared" si="7"/>
        <v>0</v>
      </c>
      <c r="Y6" s="13"/>
      <c r="Z6" s="13"/>
      <c r="AA6" s="12">
        <f t="shared" si="8"/>
        <v>0</v>
      </c>
      <c r="AB6" s="14">
        <f t="shared" si="9"/>
        <v>5.7183000000000002</v>
      </c>
      <c r="AC6" s="15"/>
      <c r="AD6" s="16"/>
      <c r="AF6" s="17" t="s">
        <v>38</v>
      </c>
      <c r="AG6" s="18" t="s">
        <v>43</v>
      </c>
    </row>
  </sheetData>
  <dataValidations count="1">
    <dataValidation type="textLength" errorStyle="warning" allowBlank="1" showErrorMessage="1" error="Contamar le informa de que el código introducido debe contener únicamente 8 dígitos." sqref="AC2:AC6" xr:uid="{00000000-0002-0000-0100-000000000000}">
      <formula1>8</formula1>
      <formula2>8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"/>
  <sheetViews>
    <sheetView zoomScale="75" zoomScaleNormal="75" workbookViewId="0">
      <selection activeCell="A7" sqref="A7:XFD520"/>
    </sheetView>
  </sheetViews>
  <sheetFormatPr baseColWidth="10" defaultColWidth="14.5703125" defaultRowHeight="15" x14ac:dyDescent="0.25"/>
  <cols>
    <col min="1" max="1" width="14.5703125" customWidth="1"/>
    <col min="2" max="2" width="19.7109375" style="1" customWidth="1"/>
    <col min="3" max="3" width="12.5703125" style="1" customWidth="1"/>
    <col min="4" max="4" width="15.7109375" style="1" customWidth="1"/>
    <col min="5" max="5" width="35" style="1" customWidth="1"/>
    <col min="6" max="6" width="43.85546875" style="1" customWidth="1"/>
    <col min="7" max="7" width="10.85546875" customWidth="1"/>
    <col min="8" max="8" width="9.7109375" customWidth="1"/>
    <col min="9" max="9" width="17.42578125" customWidth="1"/>
    <col min="10" max="10" width="9.7109375" customWidth="1"/>
    <col min="11" max="11" width="15.28515625" customWidth="1"/>
    <col min="12" max="12" width="11.140625" customWidth="1"/>
    <col min="13" max="13" width="9.7109375" customWidth="1"/>
    <col min="14" max="14" width="13" customWidth="1"/>
    <col min="15" max="15" width="11" customWidth="1"/>
    <col min="16" max="16" width="19.28515625" customWidth="1"/>
    <col min="17" max="17" width="9.7109375" customWidth="1"/>
    <col min="18" max="18" width="8.5703125" customWidth="1"/>
    <col min="19" max="19" width="12.42578125" customWidth="1"/>
    <col min="20" max="20" width="9.7109375" customWidth="1"/>
    <col min="21" max="21" width="14" customWidth="1"/>
    <col min="22" max="22" width="14.7109375" customWidth="1"/>
    <col min="23" max="23" width="7.7109375" customWidth="1"/>
    <col min="24" max="24" width="13.42578125" customWidth="1"/>
    <col min="25" max="25" width="14.7109375" customWidth="1"/>
    <col min="26" max="26" width="7.7109375" customWidth="1"/>
    <col min="27" max="27" width="10.85546875" customWidth="1"/>
    <col min="28" max="28" width="15.7109375" customWidth="1"/>
    <col min="29" max="29" width="23.42578125" customWidth="1"/>
    <col min="30" max="30" width="25.42578125" customWidth="1"/>
    <col min="31" max="31" width="25.42578125" style="2" customWidth="1"/>
    <col min="32" max="33" width="14.42578125" style="2" customWidth="1"/>
    <col min="34" max="34" width="18.140625" style="1" customWidth="1"/>
    <col min="35" max="35" width="23.5703125" customWidth="1"/>
    <col min="36" max="257" width="14.42578125" customWidth="1"/>
  </cols>
  <sheetData>
    <row r="1" spans="1:35" s="5" customFormat="1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</row>
    <row r="2" spans="1:35" ht="15.75" x14ac:dyDescent="0.25">
      <c r="A2" s="6">
        <v>45474</v>
      </c>
      <c r="B2" s="7" t="s">
        <v>54</v>
      </c>
      <c r="C2" s="8"/>
      <c r="D2" s="8" t="s">
        <v>36</v>
      </c>
      <c r="E2" s="8" t="s">
        <v>37</v>
      </c>
      <c r="F2" s="9" t="str">
        <f t="shared" ref="F2:F6" si="0">"S/F "&amp;B2&amp;" "&amp;E2</f>
        <v>S/F A-2023-00051 Comunidad Solar Terque 1800 SL</v>
      </c>
      <c r="G2" s="10">
        <v>227.8</v>
      </c>
      <c r="H2" s="11">
        <v>21</v>
      </c>
      <c r="I2" s="12">
        <f t="shared" ref="I2:I6" si="1">+IF(G2&lt;&gt;0,G2*H2/100,0)</f>
        <v>47.838000000000001</v>
      </c>
      <c r="J2" s="11"/>
      <c r="K2" s="12">
        <f t="shared" ref="K2:K6" si="2">+IF(G2&lt;&gt;0,G2*J2/100,0)</f>
        <v>0</v>
      </c>
      <c r="L2" s="10"/>
      <c r="M2" s="11"/>
      <c r="N2" s="12">
        <f t="shared" ref="N2:N6" si="3">+IF(L2&lt;&gt;0,L2*M2/100,0)</f>
        <v>0</v>
      </c>
      <c r="O2" s="13"/>
      <c r="P2" s="12">
        <f t="shared" ref="P2:P6" si="4">+IF(L2&lt;&gt;0,L2*O2/100,0)</f>
        <v>0</v>
      </c>
      <c r="Q2" s="10"/>
      <c r="R2" s="11"/>
      <c r="S2" s="12">
        <f t="shared" ref="S2:S6" si="5">+IF(Q2&lt;&gt;0,Q2*R2/100,0)</f>
        <v>0</v>
      </c>
      <c r="T2" s="13"/>
      <c r="U2" s="12">
        <f t="shared" ref="U2:U6" si="6">+IF(Q2&lt;&gt;0,Q2*T2/100,0)</f>
        <v>0</v>
      </c>
      <c r="V2" s="13"/>
      <c r="W2" s="13"/>
      <c r="X2" s="12">
        <f t="shared" ref="X2:X6" si="7">+IF(W2&lt;&gt;0,V2*W2/100,0)</f>
        <v>0</v>
      </c>
      <c r="Y2" s="13"/>
      <c r="Z2" s="13"/>
      <c r="AA2" s="12">
        <f t="shared" ref="AA2:AA6" si="8">+IF(Z2&lt;&gt;0,Y2*Z2/100,0)</f>
        <v>0</v>
      </c>
      <c r="AB2" s="14">
        <f t="shared" ref="AB2:AB6" si="9">+G2+I2+K2+L2+N2+P2+Q2+S2+U2-X2-AA2</f>
        <v>275.63800000000003</v>
      </c>
      <c r="AC2" s="15"/>
      <c r="AD2" s="16"/>
      <c r="AF2" s="17" t="s">
        <v>38</v>
      </c>
      <c r="AG2" s="18" t="s">
        <v>39</v>
      </c>
    </row>
    <row r="3" spans="1:35" ht="15.75" x14ac:dyDescent="0.25">
      <c r="A3" s="6">
        <v>45488</v>
      </c>
      <c r="B3" s="7" t="s">
        <v>55</v>
      </c>
      <c r="C3" s="8"/>
      <c r="D3" s="8" t="s">
        <v>41</v>
      </c>
      <c r="E3" s="8" t="s">
        <v>42</v>
      </c>
      <c r="F3" s="9" t="str">
        <f t="shared" si="0"/>
        <v>S/F 202407AV055459 Nexus Energia SA</v>
      </c>
      <c r="G3" s="10">
        <v>5.08</v>
      </c>
      <c r="H3" s="11">
        <v>21</v>
      </c>
      <c r="I3" s="12">
        <f t="shared" si="1"/>
        <v>1.0668</v>
      </c>
      <c r="J3" s="11"/>
      <c r="K3" s="12">
        <f t="shared" si="2"/>
        <v>0</v>
      </c>
      <c r="L3" s="10">
        <v>0.72</v>
      </c>
      <c r="M3" s="11">
        <v>0</v>
      </c>
      <c r="N3" s="12">
        <f t="shared" si="3"/>
        <v>0</v>
      </c>
      <c r="O3" s="13"/>
      <c r="P3" s="12">
        <f t="shared" si="4"/>
        <v>0</v>
      </c>
      <c r="Q3" s="10"/>
      <c r="R3" s="11"/>
      <c r="S3" s="12">
        <f t="shared" si="5"/>
        <v>0</v>
      </c>
      <c r="T3" s="13"/>
      <c r="U3" s="12">
        <f t="shared" si="6"/>
        <v>0</v>
      </c>
      <c r="V3" s="13"/>
      <c r="W3" s="13"/>
      <c r="X3" s="12">
        <f t="shared" si="7"/>
        <v>0</v>
      </c>
      <c r="Y3" s="13"/>
      <c r="Z3" s="13"/>
      <c r="AA3" s="12">
        <f t="shared" si="8"/>
        <v>0</v>
      </c>
      <c r="AB3" s="14">
        <f t="shared" si="9"/>
        <v>6.8667999999999996</v>
      </c>
      <c r="AC3" s="15"/>
      <c r="AD3" s="16"/>
      <c r="AF3" s="17" t="s">
        <v>38</v>
      </c>
      <c r="AG3" s="18" t="s">
        <v>43</v>
      </c>
    </row>
    <row r="4" spans="1:35" ht="15.75" x14ac:dyDescent="0.25">
      <c r="A4" s="6">
        <v>45511</v>
      </c>
      <c r="B4" s="7" t="s">
        <v>56</v>
      </c>
      <c r="C4" s="8"/>
      <c r="D4" s="8" t="s">
        <v>41</v>
      </c>
      <c r="E4" s="8" t="s">
        <v>42</v>
      </c>
      <c r="F4" s="9" t="str">
        <f t="shared" si="0"/>
        <v>S/F 202408AV063929 Nexus Energia SA</v>
      </c>
      <c r="G4" s="10">
        <v>5.6</v>
      </c>
      <c r="H4" s="11">
        <v>21</v>
      </c>
      <c r="I4" s="12">
        <f t="shared" si="1"/>
        <v>1.1759999999999999</v>
      </c>
      <c r="J4" s="11"/>
      <c r="K4" s="12">
        <f t="shared" si="2"/>
        <v>0</v>
      </c>
      <c r="L4" s="10">
        <v>1.66</v>
      </c>
      <c r="M4" s="11">
        <v>0</v>
      </c>
      <c r="N4" s="12">
        <f t="shared" si="3"/>
        <v>0</v>
      </c>
      <c r="O4" s="13"/>
      <c r="P4" s="12">
        <f t="shared" si="4"/>
        <v>0</v>
      </c>
      <c r="Q4" s="10"/>
      <c r="R4" s="11"/>
      <c r="S4" s="12">
        <f t="shared" si="5"/>
        <v>0</v>
      </c>
      <c r="T4" s="13"/>
      <c r="U4" s="12">
        <f t="shared" si="6"/>
        <v>0</v>
      </c>
      <c r="V4" s="13"/>
      <c r="W4" s="13"/>
      <c r="X4" s="12">
        <f t="shared" si="7"/>
        <v>0</v>
      </c>
      <c r="Y4" s="13"/>
      <c r="Z4" s="13"/>
      <c r="AA4" s="12">
        <f t="shared" si="8"/>
        <v>0</v>
      </c>
      <c r="AB4" s="14">
        <f t="shared" si="9"/>
        <v>8.4359999999999999</v>
      </c>
      <c r="AC4" s="15"/>
      <c r="AD4" s="16"/>
      <c r="AF4" s="17" t="s">
        <v>38</v>
      </c>
      <c r="AG4" s="18" t="s">
        <v>43</v>
      </c>
    </row>
    <row r="5" spans="1:35" ht="15.75" x14ac:dyDescent="0.25">
      <c r="A5" s="6">
        <v>45562</v>
      </c>
      <c r="B5" s="7" t="s">
        <v>57</v>
      </c>
      <c r="C5" s="8"/>
      <c r="D5" s="8" t="s">
        <v>41</v>
      </c>
      <c r="E5" s="8" t="s">
        <v>42</v>
      </c>
      <c r="F5" s="9" t="str">
        <f t="shared" si="0"/>
        <v>S/F 202309AV074132 Nexus Energia SA</v>
      </c>
      <c r="G5" s="10">
        <v>4.3499999999999996</v>
      </c>
      <c r="H5" s="11">
        <v>21</v>
      </c>
      <c r="I5" s="12">
        <f t="shared" si="1"/>
        <v>0.91349999999999998</v>
      </c>
      <c r="J5" s="11"/>
      <c r="K5" s="12">
        <f t="shared" si="2"/>
        <v>0</v>
      </c>
      <c r="L5" s="10">
        <v>3.68</v>
      </c>
      <c r="M5" s="11">
        <v>0</v>
      </c>
      <c r="N5" s="12">
        <f t="shared" si="3"/>
        <v>0</v>
      </c>
      <c r="O5" s="13"/>
      <c r="P5" s="12">
        <f t="shared" si="4"/>
        <v>0</v>
      </c>
      <c r="Q5" s="10"/>
      <c r="R5" s="11"/>
      <c r="S5" s="12">
        <f t="shared" si="5"/>
        <v>0</v>
      </c>
      <c r="T5" s="13"/>
      <c r="U5" s="12">
        <f t="shared" si="6"/>
        <v>0</v>
      </c>
      <c r="V5" s="13"/>
      <c r="W5" s="13"/>
      <c r="X5" s="12">
        <f t="shared" si="7"/>
        <v>0</v>
      </c>
      <c r="Y5" s="13"/>
      <c r="Z5" s="13"/>
      <c r="AA5" s="12">
        <f t="shared" si="8"/>
        <v>0</v>
      </c>
      <c r="AB5" s="14">
        <f t="shared" si="9"/>
        <v>8.9435000000000002</v>
      </c>
      <c r="AC5" s="15"/>
      <c r="AD5" s="16"/>
      <c r="AF5" s="17" t="s">
        <v>38</v>
      </c>
      <c r="AG5" s="18" t="s">
        <v>43</v>
      </c>
    </row>
    <row r="6" spans="1:35" ht="15.75" x14ac:dyDescent="0.25">
      <c r="A6" s="6">
        <v>45562</v>
      </c>
      <c r="B6" s="7" t="s">
        <v>58</v>
      </c>
      <c r="C6" s="8"/>
      <c r="D6" s="8" t="s">
        <v>59</v>
      </c>
      <c r="E6" s="8" t="s">
        <v>60</v>
      </c>
      <c r="F6" s="9" t="str">
        <f t="shared" si="0"/>
        <v>S/F 202409270004935 Diputación Provincial Almería</v>
      </c>
      <c r="G6" s="10">
        <v>18.77</v>
      </c>
      <c r="H6" s="11">
        <v>0</v>
      </c>
      <c r="I6" s="12">
        <f t="shared" si="1"/>
        <v>0</v>
      </c>
      <c r="J6" s="11"/>
      <c r="K6" s="12">
        <f t="shared" si="2"/>
        <v>0</v>
      </c>
      <c r="L6" s="10"/>
      <c r="M6" s="11"/>
      <c r="N6" s="12">
        <f t="shared" si="3"/>
        <v>0</v>
      </c>
      <c r="O6" s="13"/>
      <c r="P6" s="12">
        <f t="shared" si="4"/>
        <v>0</v>
      </c>
      <c r="Q6" s="10"/>
      <c r="R6" s="11"/>
      <c r="S6" s="12">
        <f t="shared" si="5"/>
        <v>0</v>
      </c>
      <c r="T6" s="13"/>
      <c r="U6" s="12">
        <f t="shared" si="6"/>
        <v>0</v>
      </c>
      <c r="V6" s="13"/>
      <c r="W6" s="13"/>
      <c r="X6" s="12">
        <f t="shared" si="7"/>
        <v>0</v>
      </c>
      <c r="Y6" s="13"/>
      <c r="Z6" s="13"/>
      <c r="AA6" s="12">
        <f t="shared" si="8"/>
        <v>0</v>
      </c>
      <c r="AB6" s="14">
        <f t="shared" si="9"/>
        <v>18.77</v>
      </c>
      <c r="AC6" s="15"/>
      <c r="AD6" s="16"/>
      <c r="AF6" s="17" t="s">
        <v>38</v>
      </c>
      <c r="AG6" s="18" t="s">
        <v>39</v>
      </c>
    </row>
  </sheetData>
  <dataValidations count="1">
    <dataValidation type="textLength" errorStyle="warning" allowBlank="1" showErrorMessage="1" error="Contamar le informa de que el código introducido debe contener únicamente 8 dígitos." sqref="AC2:AC6" xr:uid="{00000000-0002-0000-0200-000000000000}">
      <formula1>8</formula1>
      <formula2>8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"/>
  <sheetViews>
    <sheetView zoomScale="75" zoomScaleNormal="75" workbookViewId="0">
      <selection activeCell="A7" sqref="A7:XFD243"/>
    </sheetView>
  </sheetViews>
  <sheetFormatPr baseColWidth="10" defaultColWidth="14.5703125" defaultRowHeight="15" x14ac:dyDescent="0.25"/>
  <cols>
    <col min="1" max="1" width="16.140625" style="20" customWidth="1"/>
    <col min="2" max="2" width="16.85546875" style="1" customWidth="1"/>
    <col min="3" max="3" width="10.5703125" style="1" customWidth="1"/>
    <col min="4" max="4" width="16.7109375" style="1" customWidth="1"/>
    <col min="5" max="5" width="36.42578125" style="1" customWidth="1"/>
    <col min="6" max="6" width="48" style="1" customWidth="1"/>
    <col min="7" max="7" width="10.85546875" customWidth="1"/>
    <col min="8" max="8" width="9.7109375" customWidth="1"/>
    <col min="9" max="9" width="17.42578125" customWidth="1"/>
    <col min="10" max="10" width="9.7109375" customWidth="1"/>
    <col min="11" max="11" width="15.28515625" customWidth="1"/>
    <col min="12" max="12" width="11.140625" customWidth="1"/>
    <col min="13" max="13" width="9.7109375" customWidth="1"/>
    <col min="14" max="14" width="13" customWidth="1"/>
    <col min="15" max="15" width="11" customWidth="1"/>
    <col min="16" max="16" width="19.28515625" customWidth="1"/>
    <col min="17" max="17" width="9.7109375" customWidth="1"/>
    <col min="18" max="18" width="8.5703125" customWidth="1"/>
    <col min="19" max="19" width="12.42578125" customWidth="1"/>
    <col min="20" max="20" width="9.7109375" customWidth="1"/>
    <col min="21" max="21" width="14" customWidth="1"/>
    <col min="22" max="22" width="14.7109375" customWidth="1"/>
    <col min="23" max="23" width="7.7109375" customWidth="1"/>
    <col min="24" max="24" width="13.42578125" customWidth="1"/>
    <col min="25" max="25" width="14.7109375" customWidth="1"/>
    <col min="26" max="26" width="7.7109375" customWidth="1"/>
    <col min="27" max="27" width="10.85546875" customWidth="1"/>
    <col min="28" max="28" width="15.7109375" customWidth="1"/>
    <col min="29" max="29" width="23.42578125" customWidth="1"/>
    <col min="30" max="30" width="25.42578125" customWidth="1"/>
    <col min="31" max="31" width="25.42578125" style="2" customWidth="1"/>
    <col min="32" max="33" width="14.42578125" style="2" customWidth="1"/>
    <col min="34" max="34" width="18.140625" style="1" customWidth="1"/>
    <col min="35" max="35" width="23.5703125" customWidth="1"/>
    <col min="36" max="257" width="14.42578125" customWidth="1"/>
  </cols>
  <sheetData>
    <row r="1" spans="1:35" s="5" customFormat="1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</row>
    <row r="2" spans="1:35" ht="15.75" x14ac:dyDescent="0.25">
      <c r="A2" s="21">
        <v>45566</v>
      </c>
      <c r="B2" s="7" t="s">
        <v>61</v>
      </c>
      <c r="C2" s="8"/>
      <c r="D2" s="8" t="s">
        <v>36</v>
      </c>
      <c r="E2" s="8" t="s">
        <v>37</v>
      </c>
      <c r="F2" s="9" t="str">
        <f t="shared" ref="F2:F6" si="0">"S/F "&amp;B2&amp;" "&amp;E2</f>
        <v>S/F A-2024-0072 Comunidad Solar Terque 1800 SL</v>
      </c>
      <c r="G2" s="10">
        <v>201</v>
      </c>
      <c r="H2" s="11">
        <v>21</v>
      </c>
      <c r="I2" s="12">
        <f t="shared" ref="I2:I6" si="1">+IF(G2&lt;&gt;0,G2*H2/100,0)</f>
        <v>42.21</v>
      </c>
      <c r="J2" s="11"/>
      <c r="K2" s="12">
        <f t="shared" ref="K2:K6" si="2">+IF(G2&lt;&gt;0,G2*J2/100,0)</f>
        <v>0</v>
      </c>
      <c r="L2" s="10"/>
      <c r="M2" s="11"/>
      <c r="N2" s="12">
        <f t="shared" ref="N2:N6" si="3">+IF(L2&lt;&gt;0,L2*M2/100,0)</f>
        <v>0</v>
      </c>
      <c r="O2" s="13"/>
      <c r="P2" s="12">
        <f t="shared" ref="P2:P6" si="4">+IF(L2&lt;&gt;0,L2*O2/100,0)</f>
        <v>0</v>
      </c>
      <c r="Q2" s="10"/>
      <c r="R2" s="11"/>
      <c r="S2" s="12">
        <f t="shared" ref="S2:S6" si="5">+IF(Q2&lt;&gt;0,Q2*R2/100,0)</f>
        <v>0</v>
      </c>
      <c r="T2" s="13"/>
      <c r="U2" s="12">
        <f t="shared" ref="U2:U6" si="6">+IF(Q2&lt;&gt;0,Q2*T2/100,0)</f>
        <v>0</v>
      </c>
      <c r="V2" s="13"/>
      <c r="W2" s="13"/>
      <c r="X2" s="12">
        <f t="shared" ref="X2:X6" si="7">+IF(W2&lt;&gt;0,V2*W2/100,0)</f>
        <v>0</v>
      </c>
      <c r="Y2" s="13"/>
      <c r="Z2" s="13"/>
      <c r="AA2" s="12">
        <f t="shared" ref="AA2:AA6" si="8">+IF(Z2&lt;&gt;0,Y2*Z2/100,0)</f>
        <v>0</v>
      </c>
      <c r="AB2" s="14">
        <f t="shared" ref="AB2:AB6" si="9">+G2+I2+K2+L2+N2+P2+Q2+S2+U2-X2-AA2</f>
        <v>243.21</v>
      </c>
      <c r="AC2" s="15"/>
      <c r="AD2" s="16"/>
      <c r="AF2" s="17" t="s">
        <v>38</v>
      </c>
      <c r="AG2" s="18" t="s">
        <v>39</v>
      </c>
    </row>
    <row r="3" spans="1:35" ht="15.75" x14ac:dyDescent="0.25">
      <c r="A3" s="21">
        <v>45566</v>
      </c>
      <c r="B3" s="7" t="s">
        <v>62</v>
      </c>
      <c r="C3" s="8"/>
      <c r="D3" s="8" t="s">
        <v>48</v>
      </c>
      <c r="E3" s="8" t="s">
        <v>49</v>
      </c>
      <c r="F3" s="9" t="str">
        <f t="shared" si="0"/>
        <v>S/F F24/4034 Anpier</v>
      </c>
      <c r="G3" s="10">
        <v>30</v>
      </c>
      <c r="H3" s="11">
        <v>21</v>
      </c>
      <c r="I3" s="12">
        <f t="shared" si="1"/>
        <v>6.3</v>
      </c>
      <c r="J3" s="11"/>
      <c r="K3" s="12">
        <f t="shared" si="2"/>
        <v>0</v>
      </c>
      <c r="L3" s="10"/>
      <c r="M3" s="11"/>
      <c r="N3" s="12">
        <f t="shared" si="3"/>
        <v>0</v>
      </c>
      <c r="O3" s="13"/>
      <c r="P3" s="12">
        <f t="shared" si="4"/>
        <v>0</v>
      </c>
      <c r="Q3" s="10"/>
      <c r="R3" s="11"/>
      <c r="S3" s="12">
        <f t="shared" si="5"/>
        <v>0</v>
      </c>
      <c r="T3" s="13"/>
      <c r="U3" s="12">
        <f t="shared" si="6"/>
        <v>0</v>
      </c>
      <c r="V3" s="13"/>
      <c r="W3" s="13"/>
      <c r="X3" s="12">
        <f t="shared" si="7"/>
        <v>0</v>
      </c>
      <c r="Y3" s="13"/>
      <c r="Z3" s="13"/>
      <c r="AA3" s="12">
        <f t="shared" si="8"/>
        <v>0</v>
      </c>
      <c r="AB3" s="14">
        <f t="shared" si="9"/>
        <v>36.299999999999997</v>
      </c>
      <c r="AC3" s="15"/>
      <c r="AD3" s="16"/>
      <c r="AF3" s="17" t="s">
        <v>38</v>
      </c>
      <c r="AG3" s="18" t="s">
        <v>50</v>
      </c>
    </row>
    <row r="4" spans="1:35" ht="15.75" x14ac:dyDescent="0.25">
      <c r="A4" s="21">
        <v>45581</v>
      </c>
      <c r="B4" s="7" t="s">
        <v>63</v>
      </c>
      <c r="C4" s="8"/>
      <c r="D4" s="8" t="s">
        <v>41</v>
      </c>
      <c r="E4" s="8" t="s">
        <v>42</v>
      </c>
      <c r="F4" s="9" t="str">
        <f t="shared" si="0"/>
        <v>S/F 202410AV081935 Nexus Energia SA</v>
      </c>
      <c r="G4" s="10">
        <v>4.33</v>
      </c>
      <c r="H4" s="11">
        <v>21</v>
      </c>
      <c r="I4" s="12">
        <f t="shared" si="1"/>
        <v>0.90930000000000011</v>
      </c>
      <c r="J4" s="11"/>
      <c r="K4" s="12">
        <f t="shared" si="2"/>
        <v>0</v>
      </c>
      <c r="L4" s="10">
        <v>0.62</v>
      </c>
      <c r="M4" s="11">
        <v>0</v>
      </c>
      <c r="N4" s="12">
        <f t="shared" si="3"/>
        <v>0</v>
      </c>
      <c r="O4" s="13"/>
      <c r="P4" s="12">
        <f t="shared" si="4"/>
        <v>0</v>
      </c>
      <c r="Q4" s="10"/>
      <c r="R4" s="11"/>
      <c r="S4" s="12">
        <f t="shared" si="5"/>
        <v>0</v>
      </c>
      <c r="T4" s="13"/>
      <c r="U4" s="12">
        <f t="shared" si="6"/>
        <v>0</v>
      </c>
      <c r="V4" s="13"/>
      <c r="W4" s="13"/>
      <c r="X4" s="12">
        <f t="shared" si="7"/>
        <v>0</v>
      </c>
      <c r="Y4" s="13"/>
      <c r="Z4" s="13"/>
      <c r="AA4" s="12">
        <f t="shared" si="8"/>
        <v>0</v>
      </c>
      <c r="AB4" s="14">
        <f t="shared" si="9"/>
        <v>5.8593000000000002</v>
      </c>
      <c r="AC4" s="15"/>
      <c r="AD4" s="16"/>
      <c r="AF4" s="17" t="s">
        <v>38</v>
      </c>
      <c r="AG4" s="18" t="s">
        <v>43</v>
      </c>
    </row>
    <row r="5" spans="1:35" ht="15.75" x14ac:dyDescent="0.25">
      <c r="A5" s="21">
        <v>45611</v>
      </c>
      <c r="B5" s="7" t="s">
        <v>64</v>
      </c>
      <c r="C5" s="8"/>
      <c r="D5" s="8" t="s">
        <v>41</v>
      </c>
      <c r="E5" s="8" t="s">
        <v>42</v>
      </c>
      <c r="F5" s="9" t="str">
        <f t="shared" si="0"/>
        <v>S/F 202411AV091026 Nexus Energia SA</v>
      </c>
      <c r="G5" s="10">
        <v>3.43</v>
      </c>
      <c r="H5" s="11">
        <v>21</v>
      </c>
      <c r="I5" s="12">
        <f t="shared" si="1"/>
        <v>0.72030000000000005</v>
      </c>
      <c r="J5" s="11"/>
      <c r="K5" s="12">
        <f t="shared" si="2"/>
        <v>0</v>
      </c>
      <c r="L5" s="10">
        <v>0.49</v>
      </c>
      <c r="M5" s="11">
        <v>0</v>
      </c>
      <c r="N5" s="12">
        <f t="shared" si="3"/>
        <v>0</v>
      </c>
      <c r="O5" s="13"/>
      <c r="P5" s="12">
        <f t="shared" si="4"/>
        <v>0</v>
      </c>
      <c r="Q5" s="10"/>
      <c r="R5" s="11"/>
      <c r="S5" s="12">
        <f t="shared" si="5"/>
        <v>0</v>
      </c>
      <c r="T5" s="13"/>
      <c r="U5" s="12">
        <f t="shared" si="6"/>
        <v>0</v>
      </c>
      <c r="V5" s="13"/>
      <c r="W5" s="13"/>
      <c r="X5" s="12">
        <f t="shared" si="7"/>
        <v>0</v>
      </c>
      <c r="Y5" s="13"/>
      <c r="Z5" s="13"/>
      <c r="AA5" s="12">
        <f t="shared" si="8"/>
        <v>0</v>
      </c>
      <c r="AB5" s="14">
        <f t="shared" si="9"/>
        <v>4.6403000000000008</v>
      </c>
      <c r="AC5" s="15"/>
      <c r="AD5" s="16"/>
      <c r="AF5" s="17" t="s">
        <v>38</v>
      </c>
      <c r="AG5" s="18" t="s">
        <v>43</v>
      </c>
    </row>
    <row r="6" spans="1:35" ht="15.75" x14ac:dyDescent="0.25">
      <c r="A6" s="21">
        <v>45644</v>
      </c>
      <c r="B6" s="7" t="s">
        <v>65</v>
      </c>
      <c r="C6" s="8"/>
      <c r="D6" s="8" t="s">
        <v>41</v>
      </c>
      <c r="E6" s="8" t="s">
        <v>42</v>
      </c>
      <c r="F6" s="9" t="str">
        <f t="shared" si="0"/>
        <v>S/F 202412AV099900 Nexus Energia SA</v>
      </c>
      <c r="G6" s="10">
        <v>2.96</v>
      </c>
      <c r="H6" s="11">
        <v>21</v>
      </c>
      <c r="I6" s="12">
        <f t="shared" si="1"/>
        <v>0.62159999999999993</v>
      </c>
      <c r="J6" s="11"/>
      <c r="K6" s="12">
        <f t="shared" si="2"/>
        <v>0</v>
      </c>
      <c r="L6" s="10">
        <v>0.42</v>
      </c>
      <c r="M6" s="11">
        <v>0</v>
      </c>
      <c r="N6" s="12">
        <f t="shared" si="3"/>
        <v>0</v>
      </c>
      <c r="O6" s="13"/>
      <c r="P6" s="12">
        <f t="shared" si="4"/>
        <v>0</v>
      </c>
      <c r="Q6" s="10"/>
      <c r="R6" s="11"/>
      <c r="S6" s="12">
        <f t="shared" si="5"/>
        <v>0</v>
      </c>
      <c r="T6" s="13"/>
      <c r="U6" s="12">
        <f t="shared" si="6"/>
        <v>0</v>
      </c>
      <c r="V6" s="13"/>
      <c r="W6" s="13"/>
      <c r="X6" s="12">
        <f t="shared" si="7"/>
        <v>0</v>
      </c>
      <c r="Y6" s="13"/>
      <c r="Z6" s="13"/>
      <c r="AA6" s="12">
        <f t="shared" si="8"/>
        <v>0</v>
      </c>
      <c r="AB6" s="14">
        <f t="shared" si="9"/>
        <v>4.0015999999999998</v>
      </c>
      <c r="AC6" s="15"/>
      <c r="AD6" s="16"/>
      <c r="AF6" s="17" t="s">
        <v>38</v>
      </c>
      <c r="AG6" s="18" t="s">
        <v>43</v>
      </c>
    </row>
  </sheetData>
  <dataValidations count="1">
    <dataValidation type="textLength" errorStyle="warning" allowBlank="1" showErrorMessage="1" error="Contamar le informa de que el código introducido debe contener únicamente 8 dígitos." sqref="AC2:AC6" xr:uid="{00000000-0002-0000-0300-000000000000}">
      <formula1>8</formula1>
      <formula2>8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"/>
  <sheetViews>
    <sheetView zoomScale="75" zoomScaleNormal="75" workbookViewId="0">
      <pane xSplit="9" topLeftCell="J1" activePane="topRight" state="frozen"/>
      <selection pane="topRight" activeCell="A5" sqref="A5:XFD467"/>
    </sheetView>
  </sheetViews>
  <sheetFormatPr baseColWidth="10" defaultColWidth="14" defaultRowHeight="15" x14ac:dyDescent="0.25"/>
  <cols>
    <col min="1" max="1" width="18.28515625" customWidth="1"/>
    <col min="2" max="2" width="21" style="1" customWidth="1"/>
    <col min="3" max="3" width="16.85546875" style="1" customWidth="1"/>
    <col min="4" max="4" width="17.140625" style="1" customWidth="1"/>
    <col min="5" max="5" width="21" style="1" customWidth="1"/>
    <col min="6" max="6" width="30.28515625" style="1" customWidth="1"/>
    <col min="7" max="7" width="16.5703125" customWidth="1"/>
    <col min="8" max="8" width="9" customWidth="1"/>
    <col min="9" max="9" width="25.5703125" customWidth="1"/>
    <col min="10" max="10" width="17.42578125" customWidth="1"/>
    <col min="11" max="11" width="23.5703125" customWidth="1"/>
    <col min="12" max="12" width="18.28515625" customWidth="1"/>
    <col min="13" max="13" width="17.42578125" customWidth="1"/>
    <col min="14" max="14" width="21.28515625" customWidth="1"/>
    <col min="15" max="15" width="19.28515625" customWidth="1"/>
    <col min="16" max="16" width="27.28515625" customWidth="1"/>
    <col min="17" max="17" width="18.28515625" customWidth="1"/>
    <col min="18" max="18" width="17.42578125" customWidth="1"/>
    <col min="19" max="19" width="25.5703125" customWidth="1"/>
    <col min="20" max="20" width="19.28515625" customWidth="1"/>
    <col min="21" max="21" width="27.28515625" customWidth="1"/>
    <col min="22" max="22" width="24.140625" customWidth="1"/>
    <col min="23" max="23" width="16.5703125" customWidth="1"/>
    <col min="24" max="24" width="21.28515625" customWidth="1"/>
    <col min="25" max="25" width="25.85546875" customWidth="1"/>
    <col min="26" max="26" width="18.28515625" customWidth="1"/>
    <col min="27" max="27" width="21.28515625" customWidth="1"/>
    <col min="28" max="28" width="21.7109375" customWidth="1"/>
    <col min="29" max="29" width="31.42578125" customWidth="1"/>
    <col min="30" max="30" width="33.7109375" customWidth="1"/>
    <col min="31" max="31" width="19.5703125" style="2" customWidth="1"/>
    <col min="32" max="33" width="14.42578125" style="2" customWidth="1"/>
    <col min="34" max="34" width="15.85546875" style="1" customWidth="1"/>
    <col min="35" max="35" width="17.85546875" customWidth="1"/>
  </cols>
  <sheetData>
    <row r="1" spans="1:35" s="5" customFormat="1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</row>
    <row r="2" spans="1:35" x14ac:dyDescent="0.25">
      <c r="A2" s="6">
        <v>45315</v>
      </c>
      <c r="B2" s="7" t="s">
        <v>66</v>
      </c>
      <c r="C2" s="8"/>
      <c r="D2" s="8" t="s">
        <v>41</v>
      </c>
      <c r="E2" s="8" t="s">
        <v>42</v>
      </c>
      <c r="F2" s="9" t="str">
        <f t="shared" ref="F2:F4" si="0">"N/F "&amp;B2&amp;" "&amp;E2</f>
        <v>N/F 202401CAV000001 Nexus Energia SA</v>
      </c>
      <c r="G2" s="10">
        <v>945.6</v>
      </c>
      <c r="H2" s="11">
        <v>21</v>
      </c>
      <c r="I2" s="12">
        <f t="shared" ref="I2:I4" si="1">+IF(G2&lt;&gt;0,G2*H2/100,0)</f>
        <v>198.57600000000002</v>
      </c>
      <c r="J2" s="11"/>
      <c r="K2" s="12">
        <f t="shared" ref="K2:K4" si="2">+IF(G2&lt;&gt;0,G2*J2/100,0)</f>
        <v>0</v>
      </c>
      <c r="L2" s="10"/>
      <c r="M2" s="11"/>
      <c r="N2" s="12">
        <f t="shared" ref="N2:N4" si="3">+IF(L2&lt;&gt;0,L2*M2/100,0)</f>
        <v>0</v>
      </c>
      <c r="O2" s="13"/>
      <c r="P2" s="12">
        <f t="shared" ref="P2:P4" si="4">+IF(L2&lt;&gt;0,L2*O2/100,0)</f>
        <v>0</v>
      </c>
      <c r="Q2" s="10"/>
      <c r="R2" s="11"/>
      <c r="S2" s="12">
        <f t="shared" ref="S2:S4" si="5">+IF(Q2&lt;&gt;0,Q2*R2/100,0)</f>
        <v>0</v>
      </c>
      <c r="T2" s="13"/>
      <c r="U2" s="12">
        <f t="shared" ref="U2:U4" si="6">+IF(Q2&lt;&gt;0,Q2*T2/100,0)</f>
        <v>0</v>
      </c>
      <c r="V2" s="13"/>
      <c r="W2" s="13"/>
      <c r="X2" s="12">
        <f t="shared" ref="X2:X4" si="7">+IF(W2&lt;&gt;0,V2*W2/100,0)</f>
        <v>0</v>
      </c>
      <c r="Y2" s="13"/>
      <c r="Z2" s="13"/>
      <c r="AA2" s="12">
        <f t="shared" ref="AA2:AA4" si="8">+IF(Z2&lt;&gt;0,Y2*Z2/100,0)</f>
        <v>0</v>
      </c>
      <c r="AB2" s="14">
        <f t="shared" ref="AB2:AB4" si="9">+G2+I2+K2+L2+N2+P2+Q2+S2+U2-X2-AA2</f>
        <v>1144.1759999999999</v>
      </c>
      <c r="AC2" s="15"/>
      <c r="AD2" s="22"/>
      <c r="AF2" s="23" t="s">
        <v>67</v>
      </c>
      <c r="AG2" s="23" t="s">
        <v>43</v>
      </c>
    </row>
    <row r="3" spans="1:35" x14ac:dyDescent="0.25">
      <c r="A3" s="6">
        <v>45349</v>
      </c>
      <c r="B3" s="7" t="s">
        <v>68</v>
      </c>
      <c r="C3" s="8"/>
      <c r="D3" s="8" t="s">
        <v>41</v>
      </c>
      <c r="E3" s="8" t="s">
        <v>42</v>
      </c>
      <c r="F3" s="9" t="str">
        <f t="shared" si="0"/>
        <v>N/F 202402CAV000002 Nexus Energia SA</v>
      </c>
      <c r="G3" s="10">
        <v>771.39</v>
      </c>
      <c r="H3" s="11">
        <v>21</v>
      </c>
      <c r="I3" s="12">
        <f t="shared" si="1"/>
        <v>161.99190000000002</v>
      </c>
      <c r="J3" s="11"/>
      <c r="K3" s="12">
        <f t="shared" si="2"/>
        <v>0</v>
      </c>
      <c r="L3" s="10"/>
      <c r="M3" s="11"/>
      <c r="N3" s="12">
        <f t="shared" si="3"/>
        <v>0</v>
      </c>
      <c r="O3" s="13"/>
      <c r="P3" s="12">
        <f t="shared" si="4"/>
        <v>0</v>
      </c>
      <c r="Q3" s="10"/>
      <c r="R3" s="11"/>
      <c r="S3" s="12">
        <f t="shared" si="5"/>
        <v>0</v>
      </c>
      <c r="T3" s="13"/>
      <c r="U3" s="12">
        <f t="shared" si="6"/>
        <v>0</v>
      </c>
      <c r="V3" s="13"/>
      <c r="W3" s="13"/>
      <c r="X3" s="12">
        <f t="shared" si="7"/>
        <v>0</v>
      </c>
      <c r="Y3" s="13"/>
      <c r="Z3" s="13"/>
      <c r="AA3" s="12">
        <f t="shared" si="8"/>
        <v>0</v>
      </c>
      <c r="AB3" s="14">
        <f t="shared" si="9"/>
        <v>933.38189999999997</v>
      </c>
      <c r="AC3" s="15"/>
      <c r="AD3" s="22"/>
      <c r="AF3" s="23" t="s">
        <v>67</v>
      </c>
      <c r="AG3" s="23" t="s">
        <v>43</v>
      </c>
    </row>
    <row r="4" spans="1:35" x14ac:dyDescent="0.25">
      <c r="A4" s="6">
        <v>45376</v>
      </c>
      <c r="B4" s="7" t="s">
        <v>69</v>
      </c>
      <c r="C4" s="8"/>
      <c r="D4" s="13" t="s">
        <v>41</v>
      </c>
      <c r="E4" s="8" t="s">
        <v>42</v>
      </c>
      <c r="F4" s="9" t="str">
        <f t="shared" si="0"/>
        <v>N/F 202403CAV000003 Nexus Energia SA</v>
      </c>
      <c r="G4" s="10">
        <v>558.17999999999995</v>
      </c>
      <c r="H4" s="11">
        <v>21</v>
      </c>
      <c r="I4" s="12">
        <f t="shared" si="1"/>
        <v>117.21779999999998</v>
      </c>
      <c r="J4" s="11"/>
      <c r="K4" s="12">
        <f t="shared" si="2"/>
        <v>0</v>
      </c>
      <c r="L4" s="10"/>
      <c r="M4" s="11"/>
      <c r="N4" s="12">
        <f t="shared" si="3"/>
        <v>0</v>
      </c>
      <c r="O4" s="13"/>
      <c r="P4" s="12">
        <f t="shared" si="4"/>
        <v>0</v>
      </c>
      <c r="Q4" s="10"/>
      <c r="R4" s="11"/>
      <c r="S4" s="12">
        <f t="shared" si="5"/>
        <v>0</v>
      </c>
      <c r="T4" s="13"/>
      <c r="U4" s="12">
        <f t="shared" si="6"/>
        <v>0</v>
      </c>
      <c r="V4" s="13"/>
      <c r="W4" s="13"/>
      <c r="X4" s="12">
        <f t="shared" si="7"/>
        <v>0</v>
      </c>
      <c r="Y4" s="13"/>
      <c r="Z4" s="13"/>
      <c r="AA4" s="12">
        <f t="shared" si="8"/>
        <v>0</v>
      </c>
      <c r="AB4" s="14">
        <f t="shared" si="9"/>
        <v>675.39779999999996</v>
      </c>
      <c r="AC4" s="15"/>
      <c r="AD4" s="16"/>
      <c r="AF4" s="23" t="s">
        <v>67</v>
      </c>
      <c r="AG4" s="23" t="s">
        <v>43</v>
      </c>
    </row>
  </sheetData>
  <dataValidations count="2">
    <dataValidation type="textLength" allowBlank="1" showErrorMessage="1" error="Contamar le informa de que el código introducido debe contener únicamente 8 dígitos." sqref="AC2:AC3" xr:uid="{00000000-0002-0000-0400-000000000000}">
      <formula1>8</formula1>
      <formula2>8</formula2>
    </dataValidation>
    <dataValidation type="textLength" errorStyle="warning" allowBlank="1" showErrorMessage="1" error="Contamar le informa de que el código introducido debe contener únicamente 8 dígitos." sqref="AC4" xr:uid="{00000000-0002-0000-0400-000001000000}">
      <formula1>8</formula1>
      <formula2>8</formula2>
    </dataValidation>
  </dataValidations>
  <pageMargins left="0.70833333333333304" right="0.70833333333333304" top="0.74791666666666701" bottom="0.74791666666666701" header="0.511811023622047" footer="0.511811023622047"/>
  <pageSetup paperSize="9" scale="8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"/>
  <sheetViews>
    <sheetView zoomScale="75" zoomScaleNormal="75" workbookViewId="0">
      <selection activeCell="A5" sqref="A5:XFD286"/>
    </sheetView>
  </sheetViews>
  <sheetFormatPr baseColWidth="10" defaultColWidth="14" defaultRowHeight="15" x14ac:dyDescent="0.25"/>
  <cols>
    <col min="1" max="1" width="18.28515625" customWidth="1"/>
    <col min="2" max="2" width="27.85546875" style="1" customWidth="1"/>
    <col min="3" max="3" width="20" style="1" customWidth="1"/>
    <col min="4" max="4" width="17.140625" style="1" customWidth="1"/>
    <col min="5" max="5" width="21" style="1" customWidth="1"/>
    <col min="6" max="6" width="30.28515625" style="1" customWidth="1"/>
    <col min="7" max="7" width="16.5703125" customWidth="1"/>
    <col min="8" max="8" width="15.7109375" customWidth="1"/>
    <col min="9" max="9" width="25.5703125" customWidth="1"/>
    <col min="10" max="10" width="17.42578125" customWidth="1"/>
    <col min="11" max="11" width="23.5703125" customWidth="1"/>
    <col min="12" max="12" width="18.28515625" customWidth="1"/>
    <col min="13" max="13" width="17.42578125" customWidth="1"/>
    <col min="14" max="14" width="21.28515625" customWidth="1"/>
    <col min="15" max="15" width="19.28515625" customWidth="1"/>
    <col min="16" max="16" width="27.28515625" customWidth="1"/>
    <col min="17" max="17" width="18.28515625" customWidth="1"/>
    <col min="18" max="18" width="17.42578125" customWidth="1"/>
    <col min="19" max="19" width="25.5703125" customWidth="1"/>
    <col min="20" max="20" width="19.28515625" customWidth="1"/>
    <col min="21" max="21" width="27.28515625" customWidth="1"/>
    <col min="22" max="22" width="24.140625" customWidth="1"/>
    <col min="23" max="23" width="16.5703125" customWidth="1"/>
    <col min="24" max="24" width="21.28515625" customWidth="1"/>
    <col min="25" max="25" width="25.85546875" customWidth="1"/>
    <col min="26" max="26" width="18.28515625" customWidth="1"/>
    <col min="27" max="27" width="21.28515625" customWidth="1"/>
    <col min="28" max="28" width="21.7109375" customWidth="1"/>
    <col min="29" max="29" width="31.42578125" customWidth="1"/>
    <col min="30" max="30" width="33.7109375" customWidth="1"/>
    <col min="31" max="31" width="19.5703125" style="2" customWidth="1"/>
    <col min="32" max="33" width="14.42578125" style="2" customWidth="1"/>
    <col min="34" max="34" width="15.85546875" style="1" customWidth="1"/>
    <col min="35" max="35" width="17.85546875" customWidth="1"/>
  </cols>
  <sheetData>
    <row r="1" spans="1:35" s="5" customFormat="1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</row>
    <row r="2" spans="1:35" x14ac:dyDescent="0.25">
      <c r="A2" s="6"/>
      <c r="B2" s="7" t="s">
        <v>70</v>
      </c>
      <c r="C2" s="8"/>
      <c r="D2" s="8" t="s">
        <v>41</v>
      </c>
      <c r="E2" s="8" t="s">
        <v>42</v>
      </c>
      <c r="F2" s="9" t="str">
        <f>"N/F "&amp;B2&amp;" "&amp;E2</f>
        <v>N/F 202404CAV000004 Nexus Energia SA</v>
      </c>
      <c r="G2" s="10">
        <v>763.8</v>
      </c>
      <c r="H2" s="11">
        <v>21</v>
      </c>
      <c r="I2" s="12">
        <f>+IF(G2&lt;&gt;0,G2*H2/100,0)</f>
        <v>160.398</v>
      </c>
      <c r="J2" s="11"/>
      <c r="K2" s="12">
        <f>+IF(G2&lt;&gt;0,G2*J2/100,0)</f>
        <v>0</v>
      </c>
      <c r="L2" s="10"/>
      <c r="M2" s="11"/>
      <c r="N2" s="12">
        <f>+IF(L2&lt;&gt;0,L2*M2/100,0)</f>
        <v>0</v>
      </c>
      <c r="O2" s="13"/>
      <c r="P2" s="12">
        <f>+IF(L2&lt;&gt;0,L2*O2/100,0)</f>
        <v>0</v>
      </c>
      <c r="Q2" s="10"/>
      <c r="R2" s="11"/>
      <c r="S2" s="12">
        <f>+IF(Q2&lt;&gt;0,Q2*R2/100,0)</f>
        <v>0</v>
      </c>
      <c r="T2" s="13"/>
      <c r="U2" s="12">
        <f>+IF(Q2&lt;&gt;0,Q2*T2/100,0)</f>
        <v>0</v>
      </c>
      <c r="V2" s="13"/>
      <c r="W2" s="13"/>
      <c r="X2" s="12">
        <f>+IF(W2&lt;&gt;0,V2*W2/100,0)</f>
        <v>0</v>
      </c>
      <c r="Y2" s="13"/>
      <c r="Z2" s="13"/>
      <c r="AA2" s="12">
        <f>+IF(Z2&lt;&gt;0,Y2*Z2/100,0)</f>
        <v>0</v>
      </c>
      <c r="AB2" s="14">
        <f>+G2+I2+K2+L2+N2+P2+Q2+S2+U2-X2-AA2</f>
        <v>924.19799999999998</v>
      </c>
      <c r="AC2" s="15"/>
      <c r="AD2" s="22"/>
      <c r="AF2" s="23" t="s">
        <v>67</v>
      </c>
      <c r="AG2" s="23" t="s">
        <v>43</v>
      </c>
    </row>
    <row r="3" spans="1:35" x14ac:dyDescent="0.25">
      <c r="A3" s="6"/>
      <c r="B3" s="7" t="s">
        <v>71</v>
      </c>
      <c r="C3" s="8"/>
      <c r="D3" s="8" t="s">
        <v>41</v>
      </c>
      <c r="E3" s="8" t="s">
        <v>42</v>
      </c>
      <c r="F3" s="9" t="str">
        <f>"N/F "&amp;B3&amp;" "&amp;E3</f>
        <v>N/F 202405CAV000005 Nexus Energia SA</v>
      </c>
      <c r="G3" s="10">
        <v>740.87</v>
      </c>
      <c r="H3" s="11">
        <v>21</v>
      </c>
      <c r="I3" s="12">
        <f>+IF(G3&lt;&gt;0,G3*H3/100,0)</f>
        <v>155.58270000000002</v>
      </c>
      <c r="J3" s="11"/>
      <c r="K3" s="12">
        <f>+IF(G3&lt;&gt;0,G3*J3/100,0)</f>
        <v>0</v>
      </c>
      <c r="L3" s="10"/>
      <c r="M3" s="11"/>
      <c r="N3" s="12">
        <f>+IF(L3&lt;&gt;0,L3*M3/100,0)</f>
        <v>0</v>
      </c>
      <c r="O3" s="13"/>
      <c r="P3" s="12">
        <f>+IF(L3&lt;&gt;0,L3*O3/100,0)</f>
        <v>0</v>
      </c>
      <c r="Q3" s="10"/>
      <c r="R3" s="11"/>
      <c r="S3" s="12">
        <f>+IF(Q3&lt;&gt;0,Q3*R3/100,0)</f>
        <v>0</v>
      </c>
      <c r="T3" s="13"/>
      <c r="U3" s="12">
        <f>+IF(Q3&lt;&gt;0,Q3*T3/100,0)</f>
        <v>0</v>
      </c>
      <c r="V3" s="13"/>
      <c r="W3" s="13"/>
      <c r="X3" s="12">
        <f>+IF(W3&lt;&gt;0,V3*W3/100,0)</f>
        <v>0</v>
      </c>
      <c r="Y3" s="13"/>
      <c r="Z3" s="13"/>
      <c r="AA3" s="12">
        <f>+IF(Z3&lt;&gt;0,Y3*Z3/100,0)</f>
        <v>0</v>
      </c>
      <c r="AB3" s="14">
        <f>+G3+I3+K3+L3+N3+P3+Q3+S3+U3-X3-AA3</f>
        <v>896.45270000000005</v>
      </c>
      <c r="AC3" s="15"/>
      <c r="AD3" s="22"/>
      <c r="AF3" s="23" t="s">
        <v>67</v>
      </c>
      <c r="AG3" s="23" t="s">
        <v>43</v>
      </c>
    </row>
    <row r="4" spans="1:35" x14ac:dyDescent="0.25">
      <c r="A4" s="6"/>
      <c r="B4" s="7" t="s">
        <v>72</v>
      </c>
      <c r="C4" s="8"/>
      <c r="D4" s="8" t="s">
        <v>41</v>
      </c>
      <c r="E4" s="8" t="s">
        <v>42</v>
      </c>
      <c r="F4" s="9" t="str">
        <f>"N/F "&amp;B4&amp;" "&amp;E4</f>
        <v>N/F 202406CAV000006 Nexus Energia SA</v>
      </c>
      <c r="G4" s="10">
        <v>499.25</v>
      </c>
      <c r="H4" s="11">
        <v>21</v>
      </c>
      <c r="I4" s="12">
        <f>+IF(G4&lt;&gt;0,G4*H4/100,0)</f>
        <v>104.8425</v>
      </c>
      <c r="J4" s="11"/>
      <c r="K4" s="12">
        <f>+IF(G4&lt;&gt;0,G4*J4/100,0)</f>
        <v>0</v>
      </c>
      <c r="L4" s="10"/>
      <c r="M4" s="11"/>
      <c r="N4" s="12">
        <f>+IF(L4&lt;&gt;0,L4*M4/100,0)</f>
        <v>0</v>
      </c>
      <c r="O4" s="13"/>
      <c r="P4" s="12">
        <f>+IF(L4&lt;&gt;0,L4*O4/100,0)</f>
        <v>0</v>
      </c>
      <c r="Q4" s="10"/>
      <c r="R4" s="11"/>
      <c r="S4" s="12">
        <f>+IF(Q4&lt;&gt;0,Q4*R4/100,0)</f>
        <v>0</v>
      </c>
      <c r="T4" s="13"/>
      <c r="U4" s="12">
        <f>+IF(Q4&lt;&gt;0,Q4*T4/100,0)</f>
        <v>0</v>
      </c>
      <c r="V4" s="13"/>
      <c r="W4" s="13"/>
      <c r="X4" s="12">
        <f>+IF(W4&lt;&gt;0,V4*W4/100,0)</f>
        <v>0</v>
      </c>
      <c r="Y4" s="13"/>
      <c r="Z4" s="13"/>
      <c r="AA4" s="12">
        <f>+IF(Z4&lt;&gt;0,Y4*Z4/100,0)</f>
        <v>0</v>
      </c>
      <c r="AB4" s="14">
        <f>+G4+I4+K4+L4+N4+P4+Q4+S4+U4-X4-AA4</f>
        <v>604.09249999999997</v>
      </c>
      <c r="AC4" s="15"/>
      <c r="AD4" s="22"/>
      <c r="AF4" s="23" t="s">
        <v>67</v>
      </c>
      <c r="AG4" s="23" t="s">
        <v>43</v>
      </c>
    </row>
  </sheetData>
  <dataValidations count="1">
    <dataValidation type="textLength" allowBlank="1" showErrorMessage="1" error="Contamar le informa de que el código introducido debe contener únicamente 8 dígitos." sqref="AC2:AC4" xr:uid="{00000000-0002-0000-0500-000000000000}">
      <formula1>8</formula1>
      <formula2>8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"/>
  <sheetViews>
    <sheetView zoomScale="75" zoomScaleNormal="75" workbookViewId="0">
      <selection activeCell="A5" sqref="A5:XFD510"/>
    </sheetView>
  </sheetViews>
  <sheetFormatPr baseColWidth="10" defaultColWidth="14" defaultRowHeight="15" x14ac:dyDescent="0.25"/>
  <cols>
    <col min="1" max="1" width="18.28515625" customWidth="1"/>
    <col min="2" max="2" width="19.42578125" style="1" customWidth="1"/>
    <col min="3" max="3" width="20" style="1" customWidth="1"/>
    <col min="4" max="4" width="17.140625" style="1" customWidth="1"/>
    <col min="5" max="5" width="21" style="1" customWidth="1"/>
    <col min="6" max="6" width="30.28515625" style="1" customWidth="1"/>
    <col min="7" max="7" width="16.5703125" customWidth="1"/>
    <col min="8" max="8" width="15.7109375" customWidth="1"/>
    <col min="9" max="9" width="25.5703125" customWidth="1"/>
    <col min="10" max="10" width="17.42578125" customWidth="1"/>
    <col min="11" max="11" width="23.5703125" customWidth="1"/>
    <col min="12" max="12" width="18.28515625" customWidth="1"/>
    <col min="13" max="13" width="17.42578125" customWidth="1"/>
    <col min="14" max="14" width="21.28515625" customWidth="1"/>
    <col min="15" max="15" width="19.28515625" customWidth="1"/>
    <col min="16" max="16" width="27.28515625" customWidth="1"/>
    <col min="17" max="17" width="18.28515625" customWidth="1"/>
    <col min="18" max="18" width="17.42578125" customWidth="1"/>
    <col min="19" max="19" width="25.5703125" customWidth="1"/>
    <col min="20" max="20" width="19.28515625" customWidth="1"/>
    <col min="21" max="21" width="27.28515625" customWidth="1"/>
    <col min="22" max="22" width="24.140625" customWidth="1"/>
    <col min="23" max="23" width="16.5703125" customWidth="1"/>
    <col min="24" max="24" width="21.28515625" customWidth="1"/>
    <col min="25" max="25" width="25.85546875" customWidth="1"/>
    <col min="26" max="26" width="18.28515625" customWidth="1"/>
    <col min="27" max="27" width="21.28515625" customWidth="1"/>
    <col min="28" max="28" width="21.7109375" customWidth="1"/>
    <col min="29" max="29" width="31.42578125" customWidth="1"/>
    <col min="30" max="30" width="33.7109375" customWidth="1"/>
    <col min="31" max="31" width="19.5703125" style="2" customWidth="1"/>
    <col min="32" max="33" width="14.42578125" style="2" customWidth="1"/>
    <col min="34" max="34" width="15.85546875" style="1" customWidth="1"/>
    <col min="35" max="35" width="17.85546875" customWidth="1"/>
  </cols>
  <sheetData>
    <row r="1" spans="1:35" s="5" customFormat="1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</row>
    <row r="2" spans="1:35" x14ac:dyDescent="0.25">
      <c r="A2" s="6">
        <v>45488</v>
      </c>
      <c r="B2" s="7" t="s">
        <v>73</v>
      </c>
      <c r="C2" s="8"/>
      <c r="D2" s="8" t="s">
        <v>41</v>
      </c>
      <c r="E2" s="8" t="s">
        <v>42</v>
      </c>
      <c r="F2" s="9" t="str">
        <f t="shared" ref="F2:F4" si="0">"N/F "&amp;B2&amp;" "&amp;E2</f>
        <v>N/F 202407CAV000007 Nexus Energia SA</v>
      </c>
      <c r="G2" s="10">
        <v>1039.51</v>
      </c>
      <c r="H2" s="11">
        <v>21</v>
      </c>
      <c r="I2" s="12">
        <f>+IF(G2&lt;&gt;0,G2*H2/100,0)</f>
        <v>218.2971</v>
      </c>
      <c r="J2" s="11"/>
      <c r="K2" s="12">
        <f t="shared" ref="K2:K4" si="1">+IF(G2&lt;&gt;0,G2*J2/100,0)</f>
        <v>0</v>
      </c>
      <c r="L2" s="10"/>
      <c r="M2" s="11"/>
      <c r="N2" s="12">
        <f t="shared" ref="N2:N4" si="2">+IF(L2&lt;&gt;0,L2*M2/100,0)</f>
        <v>0</v>
      </c>
      <c r="O2" s="13"/>
      <c r="P2" s="12">
        <f t="shared" ref="P2:P4" si="3">+IF(L2&lt;&gt;0,L2*O2/100,0)</f>
        <v>0</v>
      </c>
      <c r="Q2" s="10"/>
      <c r="R2" s="11"/>
      <c r="S2" s="12">
        <f t="shared" ref="S2:S4" si="4">+IF(Q2&lt;&gt;0,Q2*R2/100,0)</f>
        <v>0</v>
      </c>
      <c r="T2" s="13"/>
      <c r="U2" s="12">
        <f t="shared" ref="U2:U4" si="5">+IF(Q2&lt;&gt;0,Q2*T2/100,0)</f>
        <v>0</v>
      </c>
      <c r="V2" s="13"/>
      <c r="W2" s="13"/>
      <c r="X2" s="12">
        <f t="shared" ref="X2:X4" si="6">+IF(W2&lt;&gt;0,V2*W2/100,0)</f>
        <v>0</v>
      </c>
      <c r="Y2" s="13"/>
      <c r="Z2" s="13"/>
      <c r="AA2" s="12">
        <f t="shared" ref="AA2:AA4" si="7">+IF(Z2&lt;&gt;0,Y2*Z2/100,0)</f>
        <v>0</v>
      </c>
      <c r="AB2" s="14">
        <f t="shared" ref="AB2:AB4" si="8">+G2+I2+K2+L2+N2+P2+Q2+S2+U2-X2-AA2</f>
        <v>1257.8071</v>
      </c>
      <c r="AC2" s="15"/>
      <c r="AD2" s="22"/>
      <c r="AF2" s="23" t="s">
        <v>67</v>
      </c>
      <c r="AG2" s="23" t="s">
        <v>43</v>
      </c>
    </row>
    <row r="3" spans="1:35" x14ac:dyDescent="0.25">
      <c r="A3" s="6">
        <v>45511</v>
      </c>
      <c r="B3" s="7" t="s">
        <v>74</v>
      </c>
      <c r="C3" s="8"/>
      <c r="D3" s="8" t="s">
        <v>41</v>
      </c>
      <c r="E3" s="8" t="s">
        <v>42</v>
      </c>
      <c r="F3" s="9" t="str">
        <f t="shared" si="0"/>
        <v>N/F 202408CAV000008 Nexus Energia SA</v>
      </c>
      <c r="G3" s="10">
        <v>570.64</v>
      </c>
      <c r="H3" s="11">
        <v>21</v>
      </c>
      <c r="I3" s="12">
        <f>+IF(G3&lt;&gt;0,G3*H3/100,0)</f>
        <v>119.8344</v>
      </c>
      <c r="J3" s="11"/>
      <c r="K3" s="12">
        <f t="shared" si="1"/>
        <v>0</v>
      </c>
      <c r="L3" s="10"/>
      <c r="M3" s="11"/>
      <c r="N3" s="12">
        <f t="shared" si="2"/>
        <v>0</v>
      </c>
      <c r="O3" s="13"/>
      <c r="P3" s="12">
        <f t="shared" si="3"/>
        <v>0</v>
      </c>
      <c r="Q3" s="10"/>
      <c r="R3" s="11"/>
      <c r="S3" s="12">
        <f t="shared" si="4"/>
        <v>0</v>
      </c>
      <c r="T3" s="13"/>
      <c r="U3" s="12">
        <f t="shared" si="5"/>
        <v>0</v>
      </c>
      <c r="V3" s="13"/>
      <c r="W3" s="13"/>
      <c r="X3" s="12">
        <f t="shared" si="6"/>
        <v>0</v>
      </c>
      <c r="Y3" s="13"/>
      <c r="Z3" s="13"/>
      <c r="AA3" s="12">
        <f t="shared" si="7"/>
        <v>0</v>
      </c>
      <c r="AB3" s="14">
        <f t="shared" si="8"/>
        <v>690.47439999999995</v>
      </c>
      <c r="AC3" s="15"/>
      <c r="AD3" s="22"/>
      <c r="AF3" s="23" t="s">
        <v>67</v>
      </c>
      <c r="AG3" s="23" t="s">
        <v>43</v>
      </c>
    </row>
    <row r="4" spans="1:35" x14ac:dyDescent="0.25">
      <c r="A4" s="6">
        <v>45562</v>
      </c>
      <c r="B4" s="7" t="s">
        <v>75</v>
      </c>
      <c r="C4" s="8"/>
      <c r="D4" s="8" t="s">
        <v>41</v>
      </c>
      <c r="E4" s="8" t="s">
        <v>42</v>
      </c>
      <c r="F4" s="9" t="str">
        <f t="shared" si="0"/>
        <v>N/F 202409CAV000009 Nexus Energia SA</v>
      </c>
      <c r="G4" s="10">
        <v>435.3</v>
      </c>
      <c r="H4" s="11">
        <v>21</v>
      </c>
      <c r="I4" s="12">
        <f>+IF(G4&lt;&gt;0,G4*H4/100,0)</f>
        <v>91.413000000000011</v>
      </c>
      <c r="J4" s="11"/>
      <c r="K4" s="12">
        <f t="shared" si="1"/>
        <v>0</v>
      </c>
      <c r="L4" s="10"/>
      <c r="M4" s="11"/>
      <c r="N4" s="12">
        <f t="shared" si="2"/>
        <v>0</v>
      </c>
      <c r="O4" s="13"/>
      <c r="P4" s="12">
        <f t="shared" si="3"/>
        <v>0</v>
      </c>
      <c r="Q4" s="10"/>
      <c r="R4" s="11"/>
      <c r="S4" s="12">
        <f t="shared" si="4"/>
        <v>0</v>
      </c>
      <c r="T4" s="13"/>
      <c r="U4" s="12">
        <f t="shared" si="5"/>
        <v>0</v>
      </c>
      <c r="V4" s="13"/>
      <c r="W4" s="13"/>
      <c r="X4" s="12">
        <f t="shared" si="6"/>
        <v>0</v>
      </c>
      <c r="Y4" s="13"/>
      <c r="Z4" s="13"/>
      <c r="AA4" s="12">
        <f t="shared" si="7"/>
        <v>0</v>
      </c>
      <c r="AB4" s="14">
        <f t="shared" si="8"/>
        <v>526.71299999999997</v>
      </c>
      <c r="AC4" s="15"/>
      <c r="AD4" s="22"/>
      <c r="AF4" s="23" t="s">
        <v>67</v>
      </c>
      <c r="AG4" s="23" t="s">
        <v>43</v>
      </c>
    </row>
  </sheetData>
  <dataValidations count="1">
    <dataValidation type="textLength" allowBlank="1" showErrorMessage="1" error="Contamar le informa de que el código introducido debe contener únicamente 8 dígitos." sqref="AC2:AC4" xr:uid="{00000000-0002-0000-0600-000000000000}">
      <formula1>8</formula1>
      <formula2>8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"/>
  <sheetViews>
    <sheetView tabSelected="1" zoomScale="75" zoomScaleNormal="75" workbookViewId="0">
      <selection activeCell="F28" sqref="F28"/>
    </sheetView>
  </sheetViews>
  <sheetFormatPr baseColWidth="10" defaultColWidth="14" defaultRowHeight="15" x14ac:dyDescent="0.25"/>
  <cols>
    <col min="1" max="1" width="14.42578125" style="20" customWidth="1"/>
    <col min="2" max="2" width="22.85546875" style="1" customWidth="1"/>
    <col min="3" max="3" width="20" style="1" customWidth="1"/>
    <col min="4" max="4" width="17.140625" style="1" customWidth="1"/>
    <col min="5" max="5" width="21" style="1" customWidth="1"/>
    <col min="6" max="6" width="33" style="1" customWidth="1"/>
    <col min="7" max="7" width="16.5703125" customWidth="1"/>
    <col min="8" max="8" width="15.7109375" customWidth="1"/>
    <col min="9" max="9" width="25.5703125" customWidth="1"/>
    <col min="10" max="10" width="17.42578125" customWidth="1"/>
    <col min="11" max="11" width="23.5703125" customWidth="1"/>
    <col min="12" max="12" width="18.28515625" customWidth="1"/>
    <col min="13" max="13" width="17.42578125" customWidth="1"/>
    <col min="14" max="14" width="21.28515625" customWidth="1"/>
    <col min="15" max="15" width="19.28515625" customWidth="1"/>
    <col min="16" max="16" width="27.28515625" customWidth="1"/>
    <col min="17" max="17" width="18.28515625" customWidth="1"/>
    <col min="18" max="18" width="17.42578125" customWidth="1"/>
    <col min="19" max="19" width="25.5703125" customWidth="1"/>
    <col min="20" max="20" width="19.28515625" customWidth="1"/>
    <col min="21" max="21" width="27.28515625" customWidth="1"/>
    <col min="22" max="22" width="24.140625" customWidth="1"/>
    <col min="23" max="23" width="16.5703125" customWidth="1"/>
    <col min="24" max="24" width="21.28515625" customWidth="1"/>
    <col min="25" max="25" width="25.85546875" customWidth="1"/>
    <col min="26" max="26" width="18.28515625" customWidth="1"/>
    <col min="27" max="27" width="21.28515625" customWidth="1"/>
    <col min="28" max="28" width="21.7109375" customWidth="1"/>
    <col min="29" max="29" width="31.42578125" customWidth="1"/>
    <col min="30" max="30" width="33.7109375" customWidth="1"/>
    <col min="31" max="31" width="19.5703125" style="2" customWidth="1"/>
    <col min="32" max="33" width="14.42578125" style="2" customWidth="1"/>
    <col min="34" max="34" width="15.85546875" style="1" customWidth="1"/>
    <col min="35" max="35" width="17.85546875" customWidth="1"/>
  </cols>
  <sheetData>
    <row r="1" spans="1:35" s="5" customFormat="1" ht="30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</row>
    <row r="2" spans="1:35" x14ac:dyDescent="0.25">
      <c r="A2" s="21">
        <v>45581</v>
      </c>
      <c r="B2" s="7" t="s">
        <v>76</v>
      </c>
      <c r="C2" s="8"/>
      <c r="D2" s="8" t="s">
        <v>41</v>
      </c>
      <c r="E2" s="8" t="s">
        <v>42</v>
      </c>
      <c r="F2" s="9" t="str">
        <f t="shared" ref="F2:F4" si="0">"N/F "&amp;B2&amp;" "&amp;E2</f>
        <v>N/F 202410CAV000010 Nexus Energia SA</v>
      </c>
      <c r="G2" s="10">
        <v>932.61</v>
      </c>
      <c r="H2" s="11">
        <v>21</v>
      </c>
      <c r="I2" s="12">
        <f t="shared" ref="I2:I4" si="1">+IF(G2&lt;&gt;0,G2*H2/100,0)</f>
        <v>195.84810000000002</v>
      </c>
      <c r="J2" s="11"/>
      <c r="K2" s="12">
        <f t="shared" ref="K2:K4" si="2">+IF(G2&lt;&gt;0,G2*J2/100,0)</f>
        <v>0</v>
      </c>
      <c r="L2" s="10"/>
      <c r="M2" s="11"/>
      <c r="N2" s="12">
        <f t="shared" ref="N2:N4" si="3">+IF(L2&lt;&gt;0,L2*M2/100,0)</f>
        <v>0</v>
      </c>
      <c r="O2" s="13"/>
      <c r="P2" s="12">
        <f t="shared" ref="P2:P4" si="4">+IF(L2&lt;&gt;0,L2*O2/100,0)</f>
        <v>0</v>
      </c>
      <c r="Q2" s="10"/>
      <c r="R2" s="11"/>
      <c r="S2" s="12">
        <f t="shared" ref="S2:S4" si="5">+IF(Q2&lt;&gt;0,Q2*R2/100,0)</f>
        <v>0</v>
      </c>
      <c r="T2" s="13"/>
      <c r="U2" s="12">
        <f t="shared" ref="U2:U4" si="6">+IF(Q2&lt;&gt;0,Q2*T2/100,0)</f>
        <v>0</v>
      </c>
      <c r="V2" s="13"/>
      <c r="W2" s="13"/>
      <c r="X2" s="12">
        <f t="shared" ref="X2:X4" si="7">+IF(W2&lt;&gt;0,V2*W2/100,0)</f>
        <v>0</v>
      </c>
      <c r="Y2" s="13"/>
      <c r="Z2" s="13"/>
      <c r="AA2" s="12">
        <f t="shared" ref="AA2:AA4" si="8">+IF(Z2&lt;&gt;0,Y2*Z2/100,0)</f>
        <v>0</v>
      </c>
      <c r="AB2" s="14">
        <f t="shared" ref="AB2:AB4" si="9">+G2+I2+K2+L2+N2+P2+Q2+S2+U2-X2-AA2</f>
        <v>1128.4581000000001</v>
      </c>
      <c r="AC2" s="15"/>
      <c r="AD2" s="22"/>
      <c r="AF2" s="23" t="s">
        <v>67</v>
      </c>
      <c r="AG2" s="23" t="s">
        <v>43</v>
      </c>
    </row>
    <row r="3" spans="1:35" x14ac:dyDescent="0.25">
      <c r="A3" s="21">
        <v>45611</v>
      </c>
      <c r="B3" s="7" t="s">
        <v>77</v>
      </c>
      <c r="C3" s="8"/>
      <c r="D3" s="8" t="s">
        <v>41</v>
      </c>
      <c r="E3" s="8" t="s">
        <v>42</v>
      </c>
      <c r="F3" s="9" t="str">
        <f t="shared" si="0"/>
        <v>N/F 202411CAV000011 Nexus Energia SA</v>
      </c>
      <c r="G3" s="10">
        <v>659.06</v>
      </c>
      <c r="H3" s="11">
        <v>21</v>
      </c>
      <c r="I3" s="12">
        <f t="shared" si="1"/>
        <v>138.40259999999998</v>
      </c>
      <c r="J3" s="11"/>
      <c r="K3" s="12">
        <f t="shared" si="2"/>
        <v>0</v>
      </c>
      <c r="L3" s="10"/>
      <c r="M3" s="11"/>
      <c r="N3" s="12">
        <f t="shared" si="3"/>
        <v>0</v>
      </c>
      <c r="O3" s="13"/>
      <c r="P3" s="12">
        <f t="shared" si="4"/>
        <v>0</v>
      </c>
      <c r="Q3" s="10"/>
      <c r="R3" s="11"/>
      <c r="S3" s="12">
        <f t="shared" si="5"/>
        <v>0</v>
      </c>
      <c r="T3" s="13"/>
      <c r="U3" s="12">
        <f t="shared" si="6"/>
        <v>0</v>
      </c>
      <c r="V3" s="13"/>
      <c r="W3" s="13"/>
      <c r="X3" s="12">
        <f t="shared" si="7"/>
        <v>0</v>
      </c>
      <c r="Y3" s="13"/>
      <c r="Z3" s="13"/>
      <c r="AA3" s="12">
        <f t="shared" si="8"/>
        <v>0</v>
      </c>
      <c r="AB3" s="14">
        <f t="shared" si="9"/>
        <v>797.46259999999995</v>
      </c>
      <c r="AC3" s="15"/>
      <c r="AD3" s="22"/>
      <c r="AF3" s="23" t="s">
        <v>67</v>
      </c>
      <c r="AG3" s="23" t="s">
        <v>43</v>
      </c>
    </row>
    <row r="4" spans="1:35" x14ac:dyDescent="0.25">
      <c r="A4" s="21">
        <v>45644</v>
      </c>
      <c r="B4" s="7" t="s">
        <v>78</v>
      </c>
      <c r="C4" s="8"/>
      <c r="D4" s="8" t="s">
        <v>41</v>
      </c>
      <c r="E4" s="8" t="s">
        <v>42</v>
      </c>
      <c r="F4" s="9" t="str">
        <f t="shared" si="0"/>
        <v>N/F 202412CAV000012 Nexus Energia SA</v>
      </c>
      <c r="G4" s="10">
        <v>479.87</v>
      </c>
      <c r="H4" s="11">
        <v>21</v>
      </c>
      <c r="I4" s="12">
        <f t="shared" si="1"/>
        <v>100.7727</v>
      </c>
      <c r="J4" s="11"/>
      <c r="K4" s="12">
        <f t="shared" si="2"/>
        <v>0</v>
      </c>
      <c r="L4" s="10"/>
      <c r="M4" s="11"/>
      <c r="N4" s="12">
        <f t="shared" si="3"/>
        <v>0</v>
      </c>
      <c r="O4" s="13"/>
      <c r="P4" s="12">
        <f t="shared" si="4"/>
        <v>0</v>
      </c>
      <c r="Q4" s="10"/>
      <c r="R4" s="11"/>
      <c r="S4" s="12">
        <f t="shared" si="5"/>
        <v>0</v>
      </c>
      <c r="T4" s="13"/>
      <c r="U4" s="12">
        <f t="shared" si="6"/>
        <v>0</v>
      </c>
      <c r="V4" s="13"/>
      <c r="W4" s="13"/>
      <c r="X4" s="12">
        <f t="shared" si="7"/>
        <v>0</v>
      </c>
      <c r="Y4" s="13"/>
      <c r="Z4" s="13"/>
      <c r="AA4" s="12">
        <f t="shared" si="8"/>
        <v>0</v>
      </c>
      <c r="AB4" s="14">
        <f t="shared" si="9"/>
        <v>580.64269999999999</v>
      </c>
      <c r="AC4" s="15"/>
      <c r="AD4" s="22"/>
      <c r="AF4" s="23" t="s">
        <v>67</v>
      </c>
      <c r="AG4" s="23" t="s">
        <v>43</v>
      </c>
    </row>
  </sheetData>
  <dataValidations count="1">
    <dataValidation type="textLength" allowBlank="1" showErrorMessage="1" error="Contamar le informa de que el código introducido debe contener únicamente 8 dígitos." sqref="AC2:AC4" xr:uid="{00000000-0002-0000-0700-000000000000}">
      <formula1>8</formula1>
      <formula2>8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COMPRAS 1T</vt:lpstr>
      <vt:lpstr>COMPRAS 2T</vt:lpstr>
      <vt:lpstr>COMPRAS 3T</vt:lpstr>
      <vt:lpstr>COMPRAS 4T</vt:lpstr>
      <vt:lpstr>VENTAS 1T </vt:lpstr>
      <vt:lpstr>VENTAS 2T</vt:lpstr>
      <vt:lpstr>VENTAS 3T</vt:lpstr>
      <vt:lpstr>VENTAS 4T</vt:lpstr>
      <vt:lpstr>'COMPRAS 1T'!Área_de_impresión</vt:lpstr>
      <vt:lpstr>'VENTAS 1T '!Área_de_impresión</vt:lpstr>
      <vt:lpstr>'COMPRAS 1T'!Excel_BuiltIn__FilterDatabase</vt:lpstr>
      <vt:lpstr>'VENTAS 1T '!Excel_BuiltIn__FilterDatabase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Importación Ventas</dc:title>
  <dc:subject/>
  <dc:creator>SUMMAR Tecnología y Gestión, S.A.</dc:creator>
  <dc:description/>
  <cp:lastModifiedBy>Paloma Fernandez</cp:lastModifiedBy>
  <cp:revision>53</cp:revision>
  <cp:lastPrinted>2017-04-10T15:40:59Z</cp:lastPrinted>
  <dcterms:created xsi:type="dcterms:W3CDTF">2008-12-29T13:38:41Z</dcterms:created>
  <dcterms:modified xsi:type="dcterms:W3CDTF">2025-05-12T10:02:18Z</dcterms:modified>
  <dc:language>es-ES</dc:language>
</cp:coreProperties>
</file>